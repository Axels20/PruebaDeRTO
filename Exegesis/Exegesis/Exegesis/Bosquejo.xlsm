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negocios\canales tradicionales\Medicion Financiera\SVR_MEDFIN\PROYECTOS\CUENTAS CAPITAL HUMANO\"/>
    </mc:Choice>
  </mc:AlternateContent>
  <bookViews>
    <workbookView xWindow="0" yWindow="0" windowWidth="21600" windowHeight="10320" activeTab="3"/>
  </bookViews>
  <sheets>
    <sheet name="Dashboard (2)" sheetId="4" r:id="rId1"/>
    <sheet name="Infosheet" sheetId="3" r:id="rId2"/>
    <sheet name="Dashboard" sheetId="1" r:id="rId3"/>
    <sheet name="Leyenda" sheetId="5" r:id="rId4"/>
    <sheet name="Data" sheetId="2" r:id="rId5"/>
    <sheet name="Tabla" sheetId="6" r:id="rId6"/>
  </sheets>
  <externalReferences>
    <externalReference r:id="rId7"/>
  </externalReferences>
  <definedNames>
    <definedName name="CeldaMax">Data!$C$2</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RangoMax">Data!#REF!</definedName>
    <definedName name="ranrowgrid">'Dashboard (2)'!$E$8:$AB$8</definedName>
    <definedName name="wrn.CONV.." hidden="1">{#N/A,#N/A,FALSE,"PWS#1";#N/A,#N/A,FALSE,"WS#3";#N/A,#N/A,FALSE,"PWS#4";#N/A,#N/A,FALSE,"WS#4";#N/A,#N/A,FALSE,"PWS#5&amp;6";#N/A,#N/A,FALSE,"PWS#7";#N/A,#N/A,FALSE,"PWS#8";#N/A,#N/A,FALSE,"PWS#9";#N/A,#N/A,FALSE,"PWS#9a";#N/A,#N/A,FALSE,"PWS#10";#N/A,#N/A,FALSE,"PWS#11";#N/A,#N/A,FALSE,"PWS#12";#N/A,#N/A,FALSE,"PWS#13";#N/A,#N/A,FALSE,"PWS#14"}</definedName>
  </definedNames>
  <calcPr calcId="152511"/>
  <pivotCaches>
    <pivotCache cacheId="0" r:id="rId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3" i="1" l="1"/>
  <c r="B24" i="1"/>
  <c r="B25" i="1"/>
  <c r="B26" i="1"/>
  <c r="E23" i="1"/>
  <c r="E24" i="1"/>
  <c r="E25" i="1"/>
  <c r="E26" i="1"/>
  <c r="L23" i="1"/>
  <c r="L24" i="1"/>
  <c r="L25" i="1"/>
  <c r="L26" i="1"/>
  <c r="U23" i="1"/>
  <c r="U24" i="1"/>
  <c r="U25" i="1"/>
  <c r="U26" i="1"/>
  <c r="AF23" i="1"/>
  <c r="AF24" i="1"/>
  <c r="AF25" i="1"/>
  <c r="AF26" i="1"/>
  <c r="AI23" i="1"/>
  <c r="AI24" i="1"/>
  <c r="AI25" i="1"/>
  <c r="AI26" i="1"/>
  <c r="AI22" i="1"/>
  <c r="AF22" i="1"/>
  <c r="U22" i="1"/>
  <c r="L22" i="1"/>
  <c r="E22" i="1"/>
  <c r="B22" i="1"/>
  <c r="C2" i="2" l="1"/>
  <c r="I2" i="6"/>
  <c r="C6" i="5" l="1"/>
  <c r="B7" i="3" l="1"/>
  <c r="N2" i="3"/>
</calcChain>
</file>

<file path=xl/connections.xml><?xml version="1.0" encoding="utf-8"?>
<connections xmlns="http://schemas.openxmlformats.org/spreadsheetml/2006/main">
  <connection id="1" sourceFile="\\negocios\canales tradicionales\Medicion Financiera\SVR_MEDFIN\PROYECTOS\CUENTAS CAPITAL HUMANO\Capital Humano.accdb" keepAlive="1" name="Capital Humano"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s>
</file>

<file path=xl/sharedStrings.xml><?xml version="1.0" encoding="utf-8"?>
<sst xmlns="http://schemas.openxmlformats.org/spreadsheetml/2006/main" count="10414" uniqueCount="390">
  <si>
    <t>Medición Financiera - Canales Tradicionales</t>
  </si>
  <si>
    <t>Versión:</t>
  </si>
  <si>
    <t>Favor lea las siguientes instrucciones detenidamente:</t>
  </si>
  <si>
    <t xml:space="preserve">Este archivo no tendrá funcionalidad alguna hasta que todo el contenido del libro sea habilitado. </t>
  </si>
  <si>
    <t>Verifique su versión de Microsoft Office Excel de acuerdo al mensaje mostrado a continuación y siga uno de los pasos descritos abajo para poder utilizar el tablero:</t>
  </si>
  <si>
    <t>Usuarios de Office Excel 2007 o superior</t>
  </si>
  <si>
    <t>Usuarios de Office Excel 97-2003</t>
  </si>
  <si>
    <t xml:space="preserve">Hacer clic en el botón "Opciones…" ubicado en la barra de advertencia de </t>
  </si>
  <si>
    <t xml:space="preserve">Favor cerrar el libro e intente abrirlo nuevamente, al aparecer el mensaje </t>
  </si>
  <si>
    <t>seguridad y habilitar las Macros y las Conecciones de Datos para iniciar.</t>
  </si>
  <si>
    <t>mostrado abajo haga clic en la opción "Habilitar Macros" y podrá iniciar.</t>
  </si>
  <si>
    <t>Horas extras</t>
  </si>
  <si>
    <t>Alimentación</t>
  </si>
  <si>
    <t>Viáticos</t>
  </si>
  <si>
    <t>Reconocimientos</t>
  </si>
  <si>
    <t>Celebraciones</t>
  </si>
  <si>
    <t>Brindis participación</t>
  </si>
  <si>
    <t>Balance YTM</t>
  </si>
  <si>
    <t>Plan Anual</t>
  </si>
  <si>
    <t>%Disponible</t>
  </si>
  <si>
    <t>$Disponible</t>
  </si>
  <si>
    <t>CAJA</t>
  </si>
  <si>
    <t>PAGO NOMINA QUINCENA 1 ENERO 2018</t>
  </si>
  <si>
    <t>TRANSACCIONES DEL DIA 01/10/2018 RECURSOS HUMANOS</t>
  </si>
  <si>
    <t>SERVICIOS PERSONALES</t>
  </si>
  <si>
    <t>ADMINISTRACION DE SUCURSALES</t>
  </si>
  <si>
    <t>6</t>
  </si>
  <si>
    <t/>
  </si>
  <si>
    <t>5</t>
  </si>
  <si>
    <t>Año</t>
  </si>
  <si>
    <t>Mes</t>
  </si>
  <si>
    <t>|</t>
  </si>
  <si>
    <t>Brindis 
participación</t>
  </si>
  <si>
    <t>Brindis de entrega de Participación de Utilidades</t>
  </si>
  <si>
    <t>Entrega de Chorrito (Dic)</t>
  </si>
  <si>
    <t xml:space="preserve">Actividades destinadas a compartir con el equipo de trabajo como cumpleaños, nacimientos, despedidas, brindis, etc. </t>
  </si>
  <si>
    <t>Premios, certificados de regalo, obsequios, etc. que se utilicen para reconocer conductas positivas de los colaboradores o el mérito en el cumplimiento con éxito de una actividad o tarea de manera sobresaliente.</t>
  </si>
  <si>
    <t>Reconocimientos y Celebraciones</t>
  </si>
  <si>
    <t>Gastos de movilización, hospedaje, alimentación en que incurra el colaborador por desplazamiento no recurrente, realizados a consecuencia del desempeño de sus labores. Aplica para viajes locales, internacionales y movimientos dentro de Panamá.
Se exceptúan todos los gastos cuya naturaleza sea capacitación  o Proyectos.</t>
  </si>
  <si>
    <t xml:space="preserve">Viáticos </t>
  </si>
  <si>
    <t>a) Por permanecer laborando más de 3 horas despúes de finalizada la jornada regular de trabajo y la hora de salida sea despúes de las 7:00 pm.
b) Que por motivos de contingencia no puedan tomar el tiempo de almuerzo.
c) Almuerzos de trabajo. 
d) Reuniones de trabajo fuera de jornada laboral.
Se exceptúan todos los gastos cuya naturaleza sea capacitación  o Proyectos.</t>
  </si>
  <si>
    <t>Oficina</t>
  </si>
  <si>
    <t>(Todas)</t>
  </si>
  <si>
    <t>Etiquetas de fila</t>
  </si>
  <si>
    <t>BANCA DE CONSUMO</t>
  </si>
  <si>
    <t>BANCA PRIVADA</t>
  </si>
  <si>
    <t>DESARROLLO DE PRODUCTOS</t>
  </si>
  <si>
    <t>ATM</t>
  </si>
  <si>
    <t>BANCA COMERCIAL INTERIOR</t>
  </si>
  <si>
    <t>CANALES DE DISTRIBUCION</t>
  </si>
  <si>
    <t>FUERZA DE VENTAS AUTOS</t>
  </si>
  <si>
    <t>FUERZAS DE VENTAS PANAMA</t>
  </si>
  <si>
    <t>BANCA COMERCIAL PERIFERIA</t>
  </si>
  <si>
    <t>GESTION HIPOTECARIA</t>
  </si>
  <si>
    <t>IMAGEN CORPORATIVA</t>
  </si>
  <si>
    <t>ATENCION A CLIENTES</t>
  </si>
  <si>
    <t>CENTRO DE TARJETAS</t>
  </si>
  <si>
    <t>BANCA COMERCIAL CENTRO</t>
  </si>
  <si>
    <t>BANCA CORPORATIVA</t>
  </si>
  <si>
    <t>HIPOTECAS</t>
  </si>
  <si>
    <t>BANCA COMERCIAL</t>
  </si>
  <si>
    <t>TELEMERCADEO</t>
  </si>
  <si>
    <t>VENTAS CONSUMO</t>
  </si>
  <si>
    <t>ZONA LIBRE</t>
  </si>
  <si>
    <t>INTERINOS</t>
  </si>
  <si>
    <t>CANALES EXTERNOS HIP</t>
  </si>
  <si>
    <t>SEGMENTO DE NEGOCIOS</t>
  </si>
  <si>
    <t>CANALES ALTERNOS</t>
  </si>
  <si>
    <t>PERSONALES</t>
  </si>
  <si>
    <t>MERCADEO Y PUBLICIDAD</t>
  </si>
  <si>
    <t>GESTION Y CONTROL CANALES ALTERNOS</t>
  </si>
  <si>
    <t>FUERZA DE VENTAS INTERIOR</t>
  </si>
  <si>
    <t>MERCADEO</t>
  </si>
  <si>
    <t>AUTOS</t>
  </si>
  <si>
    <t>SERVICIOS AL CLIENTE</t>
  </si>
  <si>
    <t>EMISOR DE TARJETAS</t>
  </si>
  <si>
    <t>CUENTAS CORPORATIVAS</t>
  </si>
  <si>
    <t>AFILIACIONES DE COMERCIOS</t>
  </si>
  <si>
    <t>OPERACIONES DE CENTRO DE TARJETAS</t>
  </si>
  <si>
    <t>CAMPAðA</t>
  </si>
  <si>
    <t>ALIMENTACION DE EMPLEADOS CTA NUEVA</t>
  </si>
  <si>
    <t>NC ALIMENTACION DE EMPLEADOS NVA</t>
  </si>
  <si>
    <t>OTROS EGRESOS 18</t>
  </si>
  <si>
    <t>VIATICOS</t>
  </si>
  <si>
    <t>NC  RECONOCIMIENTOS</t>
  </si>
  <si>
    <t>VIATICOS 2</t>
  </si>
  <si>
    <t>GASTOS NO DEDUCIBLES</t>
  </si>
  <si>
    <t>NC VIATICOS</t>
  </si>
  <si>
    <t>NC GASTO NO DEDUCIBLES</t>
  </si>
  <si>
    <t>PAGO NOMINA QUINCENA 1 ENERO 2019</t>
  </si>
  <si>
    <t>PAGO NOMINA QUINCENA 2 ENERO 2019</t>
  </si>
  <si>
    <t>PROVISION DEL MES ENERO 2019</t>
  </si>
  <si>
    <t>RECONOCIMIENTO</t>
  </si>
  <si>
    <t>PLANILLAS DE LIQUIDACIONES FEB 2019</t>
  </si>
  <si>
    <t>ALIMENTACION DE EMPLEADOS [EMPL]</t>
  </si>
  <si>
    <t>PAGO NOMINA QUINCENA 1 FEBRERO 2019</t>
  </si>
  <si>
    <t>PAGO NOMINA QUINCENA 2 FEBRERO 2019</t>
  </si>
  <si>
    <t>REVERSI╦N - FEBRERO 2019</t>
  </si>
  <si>
    <t>PAGO NOMINA QUINCENA 1 MARZO 2019</t>
  </si>
  <si>
    <t>PLANILLAS DE LIQUIDACIONES MAR 2019</t>
  </si>
  <si>
    <t>CORRRECCION DEL 21/03/2019 POR CAUSA DE REGISTRO DE VIATICO MAL</t>
  </si>
  <si>
    <t>OTROS EGRESOS 17</t>
  </si>
  <si>
    <t>PAGO NOMINA QUINCENA 2 MARZO 2019</t>
  </si>
  <si>
    <t>PAGO NOMINA QUINCENA 1 ABRIL 2019</t>
  </si>
  <si>
    <t>PLANILLAS DE LIQUIDACIONES ABR 2019</t>
  </si>
  <si>
    <t>PAGO NOMINA QUINCENA 2 ABRIL 2019</t>
  </si>
  <si>
    <t>REVERSION - ABRIL 2019</t>
  </si>
  <si>
    <t>PLANILLAS DE LIQUIDACIONES MAY 2019</t>
  </si>
  <si>
    <t>PAGO NOMINA QUINCENA 1 MAYO 2019</t>
  </si>
  <si>
    <t>PAGO NOMINA QUINCENA 2 MAYO 2019</t>
  </si>
  <si>
    <t>REVERSION MAYO 2019</t>
  </si>
  <si>
    <t>CORRIGE  RECHAZO 05-JUNIO-2019</t>
  </si>
  <si>
    <t>CORRIGE RECHAZO 05/JUNIO/2019</t>
  </si>
  <si>
    <t>PAGO NOMINA QUINCENA 1 JUNIO 2019</t>
  </si>
  <si>
    <t>CORRECCION DE RECHAZO REG. 08/06/2019</t>
  </si>
  <si>
    <t>PAGO NOMINA QUINCENA 2 JUNIO 2019</t>
  </si>
  <si>
    <t>PAGO NOMINA QUINCENA 1 JULIO 2019</t>
  </si>
  <si>
    <t>PLANILLAS DE LIQUIDACIONES JUL 2019</t>
  </si>
  <si>
    <t>PAGO NOMINA QUINCENA 2 JULIO 2019</t>
  </si>
  <si>
    <t>Area</t>
  </si>
  <si>
    <t>Asiento</t>
  </si>
  <si>
    <t>Comprobante</t>
  </si>
  <si>
    <t>TRANSACCIONES DEL DIA 01/02/2019SPYRAL - GESTION ADMINISTRATIVA</t>
  </si>
  <si>
    <t>OTROS EGRESOS 1.P.O (OR:196/DES:196 TRN:86 PERF:300086 CAU: 18</t>
  </si>
  <si>
    <t>TRANSACCIONES DEL DIA 01/03/2019SPYRAL - GESTION ADMINISTRATIVA</t>
  </si>
  <si>
    <t>OTROS EGRESOS 1.P.O (OR:22/DES:22 TRN:86 PERF:300086 CAU: 18</t>
  </si>
  <si>
    <t>OTROS EGRESOS 1.P.O (OR:39/DES:39 TRN:86 PERF:300086 CAU: 18</t>
  </si>
  <si>
    <t>TRANSACCIONES DEL DIA 01/04/2019SPYRAL - GESTION ADMINISTRATIVA</t>
  </si>
  <si>
    <t>OTROS EGRESOS 1.P.O (OR:89/DES:89 TRN:86 PERF:300086 CAU: 18</t>
  </si>
  <si>
    <t>OTROS EGRESOS 1.P.O (OR:95/DES:95 TRN:86 PERF:300086 CAU: 18</t>
  </si>
  <si>
    <t>TRANSACCIONES DEL DIA 01/05/2019SPYRAL - GESTION ADMINISTRATIVA</t>
  </si>
  <si>
    <t>TRANSACCIONES DEL DIA 01/07/2019SPYRAL - GESTION ADMINISTRATIVA</t>
  </si>
  <si>
    <t>OTROS EGRESOS 1.P.O (OR:29/DES:29 TRN:86 PERF:300086 CAU: 18</t>
  </si>
  <si>
    <t>OTROS EGRESOS 1.P.O (OR:72/DES:72 TRN:86 PERF:300086 CAU: 18</t>
  </si>
  <si>
    <t>OTROS EGRESOS 1.P.O (OR:97/DES:97 TRN:86 PERF:300086 CAU: 18</t>
  </si>
  <si>
    <t>TRANSACCIONES DEL DIA 01/08/2019SPYRAL - GESTION ADMINISTRATIVA</t>
  </si>
  <si>
    <t>OTROS EGRESOS 1.P.O (OR:17/DES:17 TRN:86 PERF:300086 CAU: 18</t>
  </si>
  <si>
    <t>TRANSACCIONES DEL DIA 01/10/2019SPYRAL - GESTION ADMINISTRATIVA</t>
  </si>
  <si>
    <t>OTROS EGRESOS 1.P.O (OR:164/DES:164 TRN:86 PERF:300086 CAU: 18</t>
  </si>
  <si>
    <t>OTROS EGRESOS 1.P.O (OR:3/DES:3 TRN:86 PERF:300086 CAU: 18</t>
  </si>
  <si>
    <t>OTROS EGRESOS 1.P.O (OR:5/DES:5 TRN:86 PERF:300086 CAU: 18</t>
  </si>
  <si>
    <t>OTROS EGRESOS 1.P.O (OR:71/DES:71 TRN:86 PERF:300086 CAU: 18</t>
  </si>
  <si>
    <t>TRANSACCIONES DEL DIA 01/10/2019 RECURSOS HUMANOS</t>
  </si>
  <si>
    <t>TRANSACCIONES DEL DIA 01/11/2019SPYRAL - GESTION ADMINISTRATIVA</t>
  </si>
  <si>
    <t>TRANSACCIONES DEL DIA 01/14/2019SPYRAL - GESTION ADMINISTRATIVA</t>
  </si>
  <si>
    <t>OTROS EGRESOS 1.P.O (OR:101/DES:101 TRN:86 PERF:300086 CAU: 18</t>
  </si>
  <si>
    <t>TRANSACCIONES DEL DIA 01/15/2019SPYRAL - GESTION ADMINISTRATIVA</t>
  </si>
  <si>
    <t>TRANSACCIONES DEL DIA 01/16/2019SPYRAL - GESTION ADMINISTRATIVA</t>
  </si>
  <si>
    <t>OTROS EGRESOS 1.P.O (OR:2/DES:2 TRN:86 PERF:300086 CAU: 18</t>
  </si>
  <si>
    <t>OTROS EGRESOS 1.P.O (OR:15/DES:15 TRN:86 PERF:300086 CAU: 18</t>
  </si>
  <si>
    <t>OTROS EGRESOS 1.P.O (OR:34/DES:34 TRN:86 PERF:300086 CAU: 18</t>
  </si>
  <si>
    <t>OTROS EGRESOS 1.P.O (OR:40/DES:40 TRN:86 PERF:300086 CAU: 18</t>
  </si>
  <si>
    <t>TRANSACCIONES DEL DIA 01/17/2019SPYRAL - GESTION ADMINISTRATIVA</t>
  </si>
  <si>
    <t>TRANSACCIONES DEL DIA 01/18/2019SPYRAL - GESTION ADMINISTRATIVA</t>
  </si>
  <si>
    <t>OTROS EGRESOS 1.P.O (OR:23/DES:23 TRN:86 PERF:300086 CAU: 18</t>
  </si>
  <si>
    <t>OTROS EGRESOS 1.P.O (OR:73/DES:73 TRN:86 PERF:300086 CAU: 18</t>
  </si>
  <si>
    <t>OTROS EGRESOS 1.P.O (OR:79/DES:79 TRN:86 PERF:300086 CAU: 18</t>
  </si>
  <si>
    <t>TRANSACCIONES DEL DIA 01/19/2019SPYRAL - GESTION ADMINISTRATIVA</t>
  </si>
  <si>
    <t>TRANSACCIONES DEL DIA 01/21/2019SPYRAL - GESTION ADMINISTRATIVA</t>
  </si>
  <si>
    <t>OTROS EGRESOS 1.P.O (OR:43/DES:43 TRN:86 PERF:300086 CAU: 18</t>
  </si>
  <si>
    <t>TRANSACCIONES DEL DIA 01/22/2019SPYRAL - GESTION ADMINISTRATIVA</t>
  </si>
  <si>
    <t>TRANSACCIONES DEL DIA 01/23/2019SPYRAL - GESTION ADMINISTRATIVA</t>
  </si>
  <si>
    <t>OTROS EGRESOS 1.P.O (OR:38/DES:38 TRN:86 PERF:300086 CAU: 18</t>
  </si>
  <si>
    <t>TRANSACCIONES DEL DIA 01/24/2019SPYRAL - GESTION ADMINISTRATIVA</t>
  </si>
  <si>
    <t>TRANSACCIONES DEL DIA 01/25/2019SPYRAL - GESTION ADMINISTRATIVA</t>
  </si>
  <si>
    <t>OTROS EGRESOS 1.P.O (OR:53/DES:53 TRN:86 PERF:300086 CAU: 18</t>
  </si>
  <si>
    <t>TRANSACCIONES DEL DIA 01/25/2019 RECURSOS HUMANOS</t>
  </si>
  <si>
    <t>TRANSACCIONES DEL DIA 01/28/2019SPYRAL - GESTION ADMINISTRATIVA</t>
  </si>
  <si>
    <t>TRANSACCIONES DEL DIA 01/29/2019SPYRAL - GESTION ADMINISTRATIVA</t>
  </si>
  <si>
    <t>OTROS EGRESOS 1.P.O (OR:47/DES:47 TRN:86 PERF:300086 CAU: 18</t>
  </si>
  <si>
    <t>OTROS EGRESOS 1.P.O (OR:7/DES:7 TRN:86 PERF:300086 CAU: 18</t>
  </si>
  <si>
    <t>PROVISION CUENTA DE RECONOCIMIENTOS</t>
  </si>
  <si>
    <t>TRANSACCIONES DEL DIA 01/30/2019SPYRAL - GESTION ADMINISTRATIVA</t>
  </si>
  <si>
    <t>OTROS EGRESOS 1.P.O (OR:18/DES:18 TRN:86 PERF:300086 CAU: 18</t>
  </si>
  <si>
    <t>OTROS EGRESOS 1.P.O (OR:131/DES:131 TRN:86 PERF:300086 CAU: 18</t>
  </si>
  <si>
    <t>TRANSACCIONES DEL DIA 01/31/2019SPYRAL - GESTION ADMINISTRATIVA</t>
  </si>
  <si>
    <t>TRANSACCIONES DEL DIA 02/01/2019SPYRAL - GESTION ADMINISTRATIVA</t>
  </si>
  <si>
    <t>OTROS EGRESOS 1.P.O (OR:32/DES:32 TRN:86 PERF:300086 CAU: 18</t>
  </si>
  <si>
    <t>TRANSACCIONES DEL DIA 02/02/2019SPYRAL - GESTION ADMINISTRATIVA</t>
  </si>
  <si>
    <t>OTROS EGRESOS 1.P.O (OR:125/DES:125 TRN:86 PERF:300086 CAU: 18</t>
  </si>
  <si>
    <t>OTROS EGRESOS 1.P.O (OR:70/DES:70 TRN:86 PERF:300086 CAU: 18</t>
  </si>
  <si>
    <t>TRANSACCIONES DEL DIA 02/04/2019SPYRAL - GESTION ADMINISTRATIVA</t>
  </si>
  <si>
    <t>OTROS EGRESOS 1.P.O (OR:66/DES:66 TRN:86 PERF:300086 CAU: 18</t>
  </si>
  <si>
    <t>TRANSACCIONES DEL DIA 02/04/2019 RECURSOS HUMANOS</t>
  </si>
  <si>
    <t>TRANSACCIONES DEL DIA 02/05/2019SPYRAL - GESTION ADMINISTRATIVA</t>
  </si>
  <si>
    <t>TRANSACCIONES DEL DIA 02/06/2019SPYRAL - GESTION ADMINISTRATIVA</t>
  </si>
  <si>
    <t>TRANSACCIONES DEL DIA 02/07/2019SPYRAL - GESTION ADMINISTRATIVA</t>
  </si>
  <si>
    <t>TRANSACCIONES DEL DIA 02/08/2019SPYRAL - GESTION ADMINISTRATIVA</t>
  </si>
  <si>
    <t>OTROS EGRESOS 1.P.O (OR:78/DES:78 TRN:86 PERF:300086 CAU: 18</t>
  </si>
  <si>
    <t>TRANSACCIONES DEL DIA 02/09/2019 RECURSOS HUMANOS</t>
  </si>
  <si>
    <t>TRANSACCIONES DEL DIA 02/09/2019SPYRAL - GESTION ADMINISTRATIVA</t>
  </si>
  <si>
    <t>TRANSACCIONES DEL DIA 02/11/2019SPYRAL - GESTION ADMINISTRATIVA</t>
  </si>
  <si>
    <t>OTROS EGRESOS 1.P.O (OR:48/DES:48 TRN:86 PERF:300086 CAU: 18</t>
  </si>
  <si>
    <t>TRANSACCIONES DEL DIA 02/12/2019SPYRAL - GESTION ADMINISTRATIVA</t>
  </si>
  <si>
    <t>TRANSACCIONES DEL DIA 02/13/2019SPYRAL - GESTION ADMINISTRATIVA</t>
  </si>
  <si>
    <t>OTROS EGRESOS 1.P.O (OR:103/DES:103 TRN:86 PERF:300086 CAU: 18</t>
  </si>
  <si>
    <t>OTROS EGRESOS 1.P.O (OR:33/DES:33 TRN:86 PERF:300086 CAU: 18</t>
  </si>
  <si>
    <t>OTROS EGRESOS 1.P.O (OR:80/DES:80 TRN:86 PERF:300086 CAU: 18</t>
  </si>
  <si>
    <t>OTROS EGRESOS 1.P.O (OR:1/DES:1 TRN:86 PERF:300086 CAU: 18</t>
  </si>
  <si>
    <t>OTROS EGRESOS 1.P.O (OR:26/DES:26 TRN:86 PERF:300086 CAU: 18</t>
  </si>
  <si>
    <t>OTROS EGRESOS 1.P.O (OR:76/DES:76 TRN:86 PERF:300086 CAU: 18</t>
  </si>
  <si>
    <t>TRANSACCIONES DEL DIA 02/14/2019SPYRAL - GESTION ADMINISTRATIVA</t>
  </si>
  <si>
    <t>TRANSACCIONES DEL DIA 02/15/2019SPYRAL - GESTION ADMINISTRATIVA</t>
  </si>
  <si>
    <t>OTROS EGRESOS 1.P.O (OR:74/DES:74 TRN:86 PERF:300086 CAU: 18</t>
  </si>
  <si>
    <t>OTROS EGRESOS 1.P.O (OR:19/DES:19 TRN:86 PERF:300086 CAU: 18</t>
  </si>
  <si>
    <t>TRANSACCIONES DEL DIA 02/16/2019SPYRAL - GESTION ADMINISTRATIVA</t>
  </si>
  <si>
    <t>TRANSACCIONES DEL DIA 02/18/2019SPYRAL - GESTION ADMINISTRATIVA</t>
  </si>
  <si>
    <t>OTROS EGRESOS 1.P.O (OR:16/DES:16 TRN:86 PERF:300086 CAU: 18</t>
  </si>
  <si>
    <t>OTROS EGRESOS 1.P.O (OR:165/DES:165 TRN:86 PERF:300086 CAU: 18</t>
  </si>
  <si>
    <t>OTROS EGRESOS 1.P.O (OR:28/DES:28 TRN:86 PERF:300086 CAU: 18</t>
  </si>
  <si>
    <t>OTROS EGRESOS 1.P.O (OR:9/DES:9 TRN:86 PERF:300086 CAU: 18</t>
  </si>
  <si>
    <t>TRANSACCIONES DEL DIA 02/19/2019SPYRAL - GESTION ADMINISTRATIVA</t>
  </si>
  <si>
    <t>OTROS EGRESOS 1.P.O (OR:10/DES:10 TRN:86 PERF:300086 CAU: 18</t>
  </si>
  <si>
    <t>OTROS EGRESOS 1.P.O (OR:13/DES:13 TRN:86 PERF:300086 CAU: 18</t>
  </si>
  <si>
    <t>OTROS EGRESOS 1.P.O (OR:35/DES:35 TRN:86 PERF:300086 CAU: 18</t>
  </si>
  <si>
    <t>OTROS EGRESOS 1.P.O (OR:44/DES:44 TRN:86 PERF:300086 CAU: 18</t>
  </si>
  <si>
    <t>TRANSACCIONES DEL DIA 02/20/2019SPYRAL - GESTION ADMINISTRATIVA</t>
  </si>
  <si>
    <t>OTROS EGRESOS 1.P.O (OR:21/DES:21 TRN:86 PERF:300086 CAU: 18</t>
  </si>
  <si>
    <t>OTROS EGRESOS 1.P.O (OR:6/DES:6 TRN:86 PERF:300086 CAU: 18</t>
  </si>
  <si>
    <t>TRANSACCIONES DEL DIA 02/21/2019SPYRAL - GESTION ADMINISTRATIVA</t>
  </si>
  <si>
    <t>TRANSACCIONES DEL DIA 02/22/2019SPYRAL - GESTION ADMINISTRATIVA</t>
  </si>
  <si>
    <t>OTROS EGRESOS 1.P.O (OR:20/DES:20 TRN:86 PERF:300086 CAU: 18</t>
  </si>
  <si>
    <t>OTROS EGRESOS 1.P.O (OR:46/DES:46 TRN:86 PERF:300086 CAU: 18</t>
  </si>
  <si>
    <t>OTROS EGRESOS 1.P.O (OR:99/DES:99 TRN:86 PERF:300086 CAU: 18</t>
  </si>
  <si>
    <t>TRANSACCIONES DEL DIA 02/25/2019SPYRAL - GESTION ADMINISTRATIVA</t>
  </si>
  <si>
    <t>TRANSACCIONES DEL DIA 02/25/2019 RECURSOS HUMANOS</t>
  </si>
  <si>
    <t>TRANSACCIONES DEL DIA 02/26/2019SPYRAL - GESTION ADMINISTRATIVA</t>
  </si>
  <si>
    <t>REVERSION PROVISION CUENTA DE RECONOCIMIENTOS</t>
  </si>
  <si>
    <t>TRANSACCIONES DEL DIA 02/27/2019SPYRAL - GESTION ADMINISTRATIVA</t>
  </si>
  <si>
    <t>TRANSACCIONES DEL DIA 02/27/2019 RECURSOS HUMANOS</t>
  </si>
  <si>
    <t>TRANSACCIONES DEL DIA 03/01/2019SPYRAL - GESTION ADMINISTRATIVA</t>
  </si>
  <si>
    <t>TRANSACCIONES DEL DIA 03/06/2019SPYRAL - GESTION ADMINISTRATIVA</t>
  </si>
  <si>
    <t>TRANSACCIONES DEL DIA 03/07/2019SPYRAL - GESTION ADMINISTRATIVA</t>
  </si>
  <si>
    <t>TRANSACCIONES DEL DIA 03/08/2019SPYRAL - GESTION ADMINISTRATIVA</t>
  </si>
  <si>
    <t>TRANSACCIONES DEL DIA 03/09/2019SPYRAL - GESTION ADMINISTRATIVA</t>
  </si>
  <si>
    <t>TRANSACCIONES DEL DIA 03/09/2019 RECURSOS HUMANOS</t>
  </si>
  <si>
    <t>TRANSACCIONES DEL DIA 03/11/2019SPYRAL - GESTION ADMINISTRATIVA</t>
  </si>
  <si>
    <t>TRANSACCIONES DEL DIA 03/12/2019SPYRAL - GESTION ADMINISTRATIVA</t>
  </si>
  <si>
    <t>OTROS EGRESOS 1.P.O (OR:69/DES:69 TRN:86 PERF:300086 CAU: 18</t>
  </si>
  <si>
    <t>TRANSACCIONES DEL DIA 03/12/2019 RECURSOS HUMANOS</t>
  </si>
  <si>
    <t>TRANSACCIONES DEL DIA 03/13/2019SPYRAL - GESTION ADMINISTRATIVA</t>
  </si>
  <si>
    <t>OTROS EGRESOS 1.P.O (OR:37/DES:37 TRN:86 PERF:300086 CAU: 18</t>
  </si>
  <si>
    <t>OTROS EGRESOS 1.P.O (OR:51/DES:51 TRN:86 PERF:300086 CAU: 18</t>
  </si>
  <si>
    <t>TRANSACCIONES DEL DIA 03/14/2019SPYRAL - GESTION ADMINISTRATIVA</t>
  </si>
  <si>
    <t>TRANSACCIONES DEL DIA 03/15/2019SPYRAL - GESTION ADMINISTRATIVA</t>
  </si>
  <si>
    <t>TRANSACCIONES DEL DIA 03/16/2019SPYRAL - GESTION ADMINISTRATIVA</t>
  </si>
  <si>
    <t>TRANSACCIONES DEL DIA 03/18/2019SPYRAL - GESTION ADMINISTRATIVA</t>
  </si>
  <si>
    <t>TRANSACCIONES DEL DIA 03/19/2019SPYRAL - GESTION ADMINISTRATIVA</t>
  </si>
  <si>
    <t>OTROS EGRESOS 1.P.O (OR:8/DES:8 TRN:86 PERF:300086 CAU: 18</t>
  </si>
  <si>
    <t>TRANSACCIONES DEL DIA 03/20/2019SPYRAL - GESTION ADMINISTRATIVA</t>
  </si>
  <si>
    <t>TRANSACCIONES DEL DIA 03/21/2019SPYRAL - GESTION ADMINISTRATIVA</t>
  </si>
  <si>
    <t>CORRECCION DE REGISTRO DE VIATICO MAL POSTEADO</t>
  </si>
  <si>
    <t>TRANSACCIONES DEL DIA 03/22/2019SPYRAL - GESTION ADMINISTRATIVA</t>
  </si>
  <si>
    <t>TRANSACCIONES DEL DIA 03/23/2019SPYRAL - GESTION ADMINISTRATIVA</t>
  </si>
  <si>
    <t>OTROS EGRESOS 1.P.O (OR:4/DES:4 TRN:86 PERF:300086 CAU: 18</t>
  </si>
  <si>
    <t>TRANSACCIONES DEL DIA 03/25/2019SPYRAL - GESTION ADMINISTRATIVA</t>
  </si>
  <si>
    <t>OTROS EGRESOS 1.P.O (OR:54/DES:54 TRN:86 PERF:300086 CAU: 17</t>
  </si>
  <si>
    <t>TRANSACCIONES DEL DIA 03/25/2019 RECURSOS HUMANOS</t>
  </si>
  <si>
    <t>TRANSACCIONES DEL DIA 03/26/2019SPYRAL - GESTION ADMINISTRATIVA</t>
  </si>
  <si>
    <t>TRANSACCIONES DEL DIA 03/27/2019SPYRAL - GESTION ADMINISTRATIVA</t>
  </si>
  <si>
    <t>TRANSACCIONES DEL DIA 03/28/2019SPYRAL - GESTION ADMINISTRATIVA</t>
  </si>
  <si>
    <t>TRANSACCIONES DEL DIA 03/29/2019SPYRAL - GESTION ADMINISTRATIVA</t>
  </si>
  <si>
    <t>TRANSACCIONES DEL DIA 04/01/2019SPYRAL - GESTION ADMINISTRATIVA</t>
  </si>
  <si>
    <t>TRANSACCIONES DEL DIA 04/02/2019SPYRAL - GESTION ADMINISTRATIVA</t>
  </si>
  <si>
    <t>TRANSACCIONES DEL DIA 04/03/2019SPYRAL - GESTION ADMINISTRATIVA</t>
  </si>
  <si>
    <t>TRANSACCIONES DEL DIA 04/04/2019SPYRAL - GESTION ADMINISTRATIVA</t>
  </si>
  <si>
    <t>TRANSACCIONES DEL DIA 04/05/2019SPYRAL - GESTION ADMINISTRATIVA</t>
  </si>
  <si>
    <t>TRANSACCIONES DEL DIA 04/06/2019SPYRAL - GESTION ADMINISTRATIVA</t>
  </si>
  <si>
    <t>TRANSACCIONES DEL DIA 04/08/2019SPYRAL - GESTION ADMINISTRATIVA</t>
  </si>
  <si>
    <t>OTROS EGRESOS 1.P.O (OR:68/DES:68 TRN:86 PERF:300086 CAU: 18</t>
  </si>
  <si>
    <t>TRANSACCIONES DEL DIA 04/09/2019SPYRAL - GESTION ADMINISTRATIVA</t>
  </si>
  <si>
    <t>TRANSACCIONES DEL DIA 04/10/2019 RECURSOS HUMANOS</t>
  </si>
  <si>
    <t>TRANSACCIONES DEL DIA 04/10/2019SPYRAL - GESTION ADMINISTRATIVA</t>
  </si>
  <si>
    <t>TRANSACCIONES DEL DIA 04/11/2019SPYRAL - GESTION ADMINISTRATIVA</t>
  </si>
  <si>
    <t>OTROS EGRESOS 1.P.O (OR:77/DES:77 TRN:86 PERF:300086 CAU: 18</t>
  </si>
  <si>
    <t>TRANSACCIONES DEL DIA 04/12/2019SPYRAL - GESTION ADMINISTRATIVA</t>
  </si>
  <si>
    <t>OTROS EGRESOS 1.P.O (OR:41/DES:41 TRN:86 PERF:300086 CAU: 18</t>
  </si>
  <si>
    <t>TRANSACCIONES DEL DIA 04/13/2019SPYRAL - GESTION ADMINISTRATIVA</t>
  </si>
  <si>
    <t>TRANSACCIONES DEL DIA 04/15/2019SPYRAL - GESTION ADMINISTRATIVA</t>
  </si>
  <si>
    <t>TRANSACCIONES DEL DIA 04/16/2019SPYRAL - GESTION ADMINISTRATIVA</t>
  </si>
  <si>
    <t>TRANSACCIONES DEL DIA 04/16/2019 RECURSOS HUMANOS</t>
  </si>
  <si>
    <t>TRANSACCIONES DEL DIA 04/17/2019SPYRAL - GESTION ADMINISTRATIVA</t>
  </si>
  <si>
    <t>TRANSACCIONES DEL DIA 04/18/2019SPYRAL - GESTION ADMINISTRATIVA</t>
  </si>
  <si>
    <t>TRANSACCIONES DEL DIA 04/22/2019SPYRAL - GESTION ADMINISTRATIVA</t>
  </si>
  <si>
    <t>TRANSACCIONES DEL DIA 04/23/2019SPYRAL - GESTION ADMINISTRATIVA</t>
  </si>
  <si>
    <t>OTROS EGRESOS 1.P.O (OR:45/DES:45 TRN:86 PERF:300086 CAU: 18</t>
  </si>
  <si>
    <t>TRANSACCIONES DEL DIA 04/24/2019SPYRAL - GESTION ADMINISTRATIVA</t>
  </si>
  <si>
    <t>TRANSACCIONES DEL DIA 04/25/2019SPYRAL - GESTION ADMINISTRATIVA</t>
  </si>
  <si>
    <t>TRANSACCIONES DEL DIA 04/25/2019 RECURSOS HUMANOS</t>
  </si>
  <si>
    <t>TRANSACCIONES DEL DIA 04/26/2019SPYRAL - GESTION ADMINISTRATIVA</t>
  </si>
  <si>
    <t>TRANSACCIONES DEL DIA 04/29/2019SPYRAL - GESTION ADMINISTRATIVA</t>
  </si>
  <si>
    <t>TRANSACCIONES DEL DIA 04/29/2019 RECURSOS HUMANOS</t>
  </si>
  <si>
    <t>TRANSACCIONES DEL DIA 04/30/2019SPYRAL - GESTION ADMINISTRATIVA</t>
  </si>
  <si>
    <t>TRANSACCIONES DEL DIA 05/02/2019SPYRAL - GESTION ADMINISTRATIVA</t>
  </si>
  <si>
    <t>TRANSACCIONES DEL DIA 05/03/2019SPYRAL - GESTION ADMINISTRATIVA</t>
  </si>
  <si>
    <t>TRANSACCIONES DEL DIA 05/04/2019SPYRAL - GESTION ADMINISTRATIVA</t>
  </si>
  <si>
    <t>TRANSACCIONES DEL DIA 05/06/2019SPYRAL - GESTION ADMINISTRATIVA</t>
  </si>
  <si>
    <t>TRANSACCIONES DEL DIA 05/07/2019SPYRAL - GESTION ADMINISTRATIVA</t>
  </si>
  <si>
    <t>TRANSACCIONES DEL DIA 05/07/2019 RECURSOS HUMANOS</t>
  </si>
  <si>
    <t>TRANSACCIONES DEL DIA 05/08/2019SPYRAL - GESTION ADMINISTRATIVA</t>
  </si>
  <si>
    <t>TRANSACCIONES DEL DIA 05/09/2019SPYRAL - GESTION ADMINISTRATIVA</t>
  </si>
  <si>
    <t>TRANSACCIONES DEL DIA 05/10/2019SPYRAL - GESTION ADMINISTRATIVA</t>
  </si>
  <si>
    <t>TRANSACCIONES DEL DIA 05/10/2019 RECURSOS HUMANOS</t>
  </si>
  <si>
    <t>TRANSACCIONES DEL DIA 05/13/2019SPYRAL - GESTION ADMINISTRATIVA</t>
  </si>
  <si>
    <t>TRANSACCIONES DEL DIA 05/14/2019SPYRAL - GESTION ADMINISTRATIVA</t>
  </si>
  <si>
    <t>TRANSACCIONES DEL DIA 05/15/2019SPYRAL - GESTION ADMINISTRATIVA</t>
  </si>
  <si>
    <t>TRANSACCIONES DEL DIA 05/16/2019SPYRAL - GESTION ADMINISTRATIVA</t>
  </si>
  <si>
    <t>TRANSACCIONES DEL DIA 05/17/2019SPYRAL - GESTION ADMINISTRATIVA</t>
  </si>
  <si>
    <t>TRANSACCIONES DEL DIA 05/17/2019 RECURSOS HUMANOS</t>
  </si>
  <si>
    <t>TRANSACCIONES DEL DIA 05/18/2019SPYRAL - GESTION ADMINISTRATIVA</t>
  </si>
  <si>
    <t>TRANSACCIONES DEL DIA 05/20/2019SPYRAL - GESTION ADMINISTRATIVA</t>
  </si>
  <si>
    <t>TRANSACCIONES DEL DIA 05/21/2019SPYRAL - GESTION ADMINISTRATIVA</t>
  </si>
  <si>
    <t>TRANSACCIONES DEL DIA 05/22/2019SPYRAL - GESTION ADMINISTRATIVA</t>
  </si>
  <si>
    <t>TRANSACCIONES DEL DIA 05/23/2019SPYRAL - GESTION ADMINISTRATIVA</t>
  </si>
  <si>
    <t>TRANSACCIONES DEL DIA 05/24/2019SPYRAL - GESTION ADMINISTRATIVA</t>
  </si>
  <si>
    <t>TRANSACCIONES DEL DIA 05/25/2019 RECURSOS HUMANOS</t>
  </si>
  <si>
    <t>TRANSACCIONES DEL DIA 05/25/2019SPYRAL - GESTION ADMINISTRATIVA</t>
  </si>
  <si>
    <t>TRANSACCIONES DEL DIA 05/27/2019SPYRAL - GESTION ADMINISTRATIVA</t>
  </si>
  <si>
    <t>TRANSACCIONES DEL DIA 05/28/2019SPYRAL - GESTION ADMINISTRATIVA</t>
  </si>
  <si>
    <t>TRANSACCIONES DEL DIA 05/29/2019SPYRAL - GESTION ADMINISTRATIVA</t>
  </si>
  <si>
    <t>TRANSACCIONES DEL DIA 05/30/2019SPYRAL - GESTION ADMINISTRATIVA</t>
  </si>
  <si>
    <t>OTROS EGRESOS 1.P.O (OR:98/DES:98 TRN:86 PERF:300086 CAU: 18</t>
  </si>
  <si>
    <t>TRANSACCIONES DEL DIA 06/01/2019SPYRAL - GESTION ADMINISTRATIVA</t>
  </si>
  <si>
    <t>TRANSACCIONES DEL DIA 06/03/2019SPYRAL - GESTION ADMINISTRATIVA</t>
  </si>
  <si>
    <t>TRANSACCIONES DEL DIA 06/04/2019SPYRAL - GESTION ADMINISTRATIVA</t>
  </si>
  <si>
    <t>TRANSACCIONES DEL DIA 06/05/2019SPYRAL - GESTION ADMINISTRATIVA</t>
  </si>
  <si>
    <t>TRANSACCIONES DEL DIA 06/06/2019SPYRAL - GESTION ADMINISTRATIVA</t>
  </si>
  <si>
    <t>CORRECCION DE RECHAZOS EN LA INTERFAZ CONTABLE</t>
  </si>
  <si>
    <t>TRANSACCIONES DEL DIA 06/07/2019SPYRAL - GESTION ADMINISTRATIVA</t>
  </si>
  <si>
    <t>TRANSACCIONES DEL DIA 06/08/2019SPYRAL - GESTION ADMINISTRATIVA</t>
  </si>
  <si>
    <t>TRANSACCIONES DEL DIA 06/10/2019SPYRAL - GESTION ADMINISTRATIVA</t>
  </si>
  <si>
    <t>TRANSACCIONES DEL DIA 06/10/2019 RECURSOS HUMANOS</t>
  </si>
  <si>
    <t>REGISTRO DE ENTRADA DE ADMINISTRACION</t>
  </si>
  <si>
    <t>TRANSACCIONES DEL DIA 06/11/2019SPYRAL - GESTION ADMINISTRATIVA</t>
  </si>
  <si>
    <t>OTROS EGRESOS 1.P.O (OR:162/DES:162 TRN:86 PERF:300086 CAU: 18</t>
  </si>
  <si>
    <t>TRANSACCIONES DEL DIA 06/12/2019SPYRAL - GESTION ADMINISTRATIVA</t>
  </si>
  <si>
    <t>TRANSACCIONES DEL DIA 06/13/2019SPYRAL - GESTION ADMINISTRATIVA</t>
  </si>
  <si>
    <t>TRANSACCIONES DEL DIA 06/14/2019SPYRAL - GESTION ADMINISTRATIVA</t>
  </si>
  <si>
    <t>TRANSACCIONES DEL DIA 06/15/2019SPYRAL - GESTION ADMINISTRATIVA</t>
  </si>
  <si>
    <t>TRANSACCIONES DEL DIA 06/17/2019SPYRAL - GESTION ADMINISTRATIVA</t>
  </si>
  <si>
    <t>TRANSACCIONES DEL DIA 06/18/2019SPYRAL - GESTION ADMINISTRATIVA</t>
  </si>
  <si>
    <t>TRANSACCIONES DEL DIA 06/19/2019SPYRAL - GESTION ADMINISTRATIVA</t>
  </si>
  <si>
    <t>TRANSACCIONES DEL DIA 06/20/2019SPYRAL - GESTION ADMINISTRATIVA</t>
  </si>
  <si>
    <t>TRANSACCIONES DEL DIA 06/21/2019SPYRAL - GESTION ADMINISTRATIVA</t>
  </si>
  <si>
    <t>TRANSACCIONES DEL DIA 06/22/2019SPYRAL - GESTION ADMINISTRATIVA</t>
  </si>
  <si>
    <t>TRANSACCIONES DEL DIA 06/24/2019SPYRAL - GESTION ADMINISTRATIVA</t>
  </si>
  <si>
    <t>TRANSACCIONES DEL DIA 06/25/2019SPYRAL - GESTION ADMINISTRATIVA</t>
  </si>
  <si>
    <t>TRANSACCIONES DEL DIA 06/25/2019 RECURSOS HUMANOS</t>
  </si>
  <si>
    <t>TRANSACCIONES DEL DIA 06/26/2019SPYRAL - GESTION ADMINISTRATIVA</t>
  </si>
  <si>
    <t>TRANSACCIONES DEL DIA 06/27/2019SPYRAL - GESTION ADMINISTRATIVA</t>
  </si>
  <si>
    <t>OTROS EGRESOS 1.P.O (OR:154/DES:154 TRN:86 PERF:300086 CAU: 18</t>
  </si>
  <si>
    <t>OTROS EGRESOS 1.P.O (OR:42/DES:42 TRN:86 PERF:300086 CAU: 18</t>
  </si>
  <si>
    <t>TRANSACCIONES DEL DIA 06/28/2019SPYRAL - GESTION ADMINISTRATIVA</t>
  </si>
  <si>
    <t>TRANSACCIONES DEL DIA 07/02/2019SPYRAL - GESTION ADMINISTRATIVA</t>
  </si>
  <si>
    <t>OTROS EGRESOS 1.P.O (OR:162/DES:162 TRN:86 PERF:300086 CAU: 17</t>
  </si>
  <si>
    <t>TRANSACCIONES DEL DIA 07/03/2019SPYRAL - GESTION ADMINISTRATIVA</t>
  </si>
  <si>
    <t>TRANSACCIONES DEL DIA 07/04/2019SPYRAL - GESTION ADMINISTRATIVA</t>
  </si>
  <si>
    <t>TRANSACCIONES DEL DIA 07/05/2019SPYRAL - GESTION ADMINISTRATIVA</t>
  </si>
  <si>
    <t>TRANSACCIONES DEL DIA 07/08/2019SPYRAL - GESTION ADMINISTRATIVA</t>
  </si>
  <si>
    <t>TRANSACCIONES DEL DIA 07/09/2019SPYRAL - GESTION ADMINISTRATIVA</t>
  </si>
  <si>
    <t>TRANSACCIONES DEL DIA 07/10/2019 RECURSOS HUMANOS</t>
  </si>
  <si>
    <t>TRANSACCIONES DEL DIA 07/10/2019SPYRAL - GESTION ADMINISTRATIVA</t>
  </si>
  <si>
    <t>TRANSACCIONES DEL DIA 07/11/2019SPYRAL - GESTION ADMINISTRATIVA</t>
  </si>
  <si>
    <t>TRANSACCIONES DEL DIA 07/12/2019SPYRAL - GESTION ADMINISTRATIVA</t>
  </si>
  <si>
    <t>TRANSACCIONES DEL DIA 07/13/2019SPYRAL - GESTION ADMINISTRATIVA</t>
  </si>
  <si>
    <t>TRANSACCIONES DEL DIA 07/15/2019SPYRAL - GESTION ADMINISTRATIVA</t>
  </si>
  <si>
    <t>TRANSACCIONES DEL DIA 07/16/2019SPYRAL - GESTION ADMINISTRATIVA</t>
  </si>
  <si>
    <t>TRANSACCIONES DEL DIA 07/17/2019SPYRAL - GESTION ADMINISTRATIVA</t>
  </si>
  <si>
    <t>TRANSACCIONES DEL DIA 07/18/2019SPYRAL - GESTION ADMINISTRATIVA</t>
  </si>
  <si>
    <t>TRANSACCIONES DEL DIA 07/19/2019SPYRAL - GESTION ADMINISTRATIVA</t>
  </si>
  <si>
    <t>TRANSACCIONES DEL DIA 07/19/2019 RECURSOS HUMANOS</t>
  </si>
  <si>
    <t>TRANSACCIONES DEL DIA 07/20/2019SPYRAL - GESTION ADMINISTRATIVA</t>
  </si>
  <si>
    <t>OTROS EGRESOS 1.P.O (OR:157/DES:157 TRN:86 PERF:300086 CAU: 18</t>
  </si>
  <si>
    <t>TRANSACCIONES DEL DIA 07/22/2019SPYRAL - GESTION ADMINISTRATIVA</t>
  </si>
  <si>
    <t>TRANSACCIONES DEL DIA 07/23/2019SPYRAL - GESTION ADMINISTRATIVA</t>
  </si>
  <si>
    <t>TRANSACCIONES DEL DIA 07/24/2019SPYRAL - GESTION ADMINISTRATIVA</t>
  </si>
  <si>
    <t>TRANSACCIONES DEL DIA 07/25/2019 RECURSOS HUMANOS</t>
  </si>
  <si>
    <t>TRANSACCIONES DEL DIA 07/25/2019SPYRAL - GESTION ADMINISTRATIVA</t>
  </si>
  <si>
    <t>TRANSACCIONES DEL DIA 07/26/2019SPYRAL - GESTION ADMINISTRATIVA</t>
  </si>
  <si>
    <t>OTROS EGRESOS 1.P.O (OR:14/DES:14 TRN:86 PERF:300086 CAU: 18</t>
  </si>
  <si>
    <t>TRANSACCIONES DEL DIA 07/27/2019SPYRAL - GESTION ADMINISTRATIVA</t>
  </si>
  <si>
    <t>TRANSACCIONES DEL DIA 07/29/2019SPYRAL - GESTION ADMINISTRATIVA</t>
  </si>
  <si>
    <t>TRANSACCIONES DEL DIA 07/29/2019 RECURSOS HUMANOS</t>
  </si>
  <si>
    <t>TRANSACCIONES DEL DIA 07/30/2019SPYRAL - GESTION ADMINISTRATIVA</t>
  </si>
  <si>
    <t>TRANSACCIONES DEL DIA 07/30/2019 RECURSOS HUMANOS</t>
  </si>
  <si>
    <t>Debito</t>
  </si>
  <si>
    <t>Credito</t>
  </si>
  <si>
    <t>Fecha</t>
  </si>
  <si>
    <t>Celda Max:</t>
  </si>
  <si>
    <t>Rango Barra:</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</si>
</sst>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5" formatCode="&quot;$&quot;#,##0_);\(&quot;$&quot;#,##0\)"/>
    <numFmt numFmtId="6" formatCode="&quot;$&quot;#,##0_);[Red]\(&quot;$&quot;#,##0\)"/>
    <numFmt numFmtId="8" formatCode="&quot;$&quot;#,##0.00_);[Red]\(&quot;$&quot;#,##0.00\)"/>
    <numFmt numFmtId="44" formatCode="_(&quot;$&quot;* #,##0.00_);_(&quot;$&quot;* \(#,##0.00\);_(&quot;$&quot;* &quot;-&quot;??_);_(@_)"/>
    <numFmt numFmtId="164" formatCode="0.0"/>
    <numFmt numFmtId="165" formatCode=";;;"/>
    <numFmt numFmtId="166" formatCode="0.0%"/>
  </numFmts>
  <fonts count="39" x14ac:knownFonts="1">
    <font>
      <sz val="11"/>
      <color theme="1"/>
      <name val="Calibri"/>
      <family val="2"/>
      <scheme val="minor"/>
    </font>
    <font>
      <sz val="10"/>
      <name val="Arial"/>
      <family val="2"/>
    </font>
    <font>
      <sz val="13"/>
      <name val="Tahoma"/>
      <family val="2"/>
    </font>
    <font>
      <b/>
      <sz val="11"/>
      <name val="Tahoma"/>
      <family val="2"/>
    </font>
    <font>
      <b/>
      <sz val="11"/>
      <color theme="3"/>
      <name val="Tahoma"/>
      <family val="2"/>
    </font>
    <font>
      <sz val="10"/>
      <color theme="3"/>
      <name val="Arial"/>
      <family val="2"/>
    </font>
    <font>
      <sz val="11"/>
      <name val="Tahoma"/>
      <family val="2"/>
    </font>
    <font>
      <sz val="7"/>
      <color indexed="14"/>
      <name val="Verdana"/>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1" tint="0.14999847407452621"/>
      <name val="Calibri"/>
      <family val="2"/>
      <scheme val="minor"/>
    </font>
    <font>
      <b/>
      <sz val="20"/>
      <color theme="1" tint="0.14999847407452621"/>
      <name val="Bookman Old Style"/>
      <family val="1"/>
    </font>
    <font>
      <sz val="16"/>
      <color theme="1"/>
      <name val="Calibri"/>
      <family val="2"/>
      <scheme val="minor"/>
    </font>
    <font>
      <sz val="13"/>
      <color theme="4" tint="0.79998168889431442"/>
      <name val="Calibri"/>
      <family val="2"/>
      <scheme val="minor"/>
    </font>
    <font>
      <sz val="13"/>
      <color theme="1"/>
      <name val="Calibri"/>
      <family val="2"/>
      <scheme val="minor"/>
    </font>
    <font>
      <sz val="15"/>
      <color theme="1" tint="0.34998626667073579"/>
      <name val="Arial"/>
      <family val="2"/>
    </font>
    <font>
      <b/>
      <sz val="14"/>
      <color theme="1"/>
      <name val="Webdings"/>
      <family val="1"/>
      <charset val="2"/>
    </font>
    <font>
      <b/>
      <sz val="16"/>
      <color theme="1" tint="0.34998626667073579"/>
      <name val="Webdings"/>
      <family val="1"/>
      <charset val="2"/>
    </font>
    <font>
      <b/>
      <sz val="18"/>
      <color theme="1"/>
      <name val="Calibri"/>
      <family val="2"/>
    </font>
    <font>
      <sz val="13"/>
      <color theme="1" tint="0.249977111117893"/>
      <name val="Arial"/>
      <family val="2"/>
    </font>
    <font>
      <sz val="14"/>
      <color theme="1" tint="0.249977111117893"/>
      <name val="Arial"/>
      <family val="2"/>
    </font>
    <font>
      <b/>
      <sz val="11"/>
      <color theme="1"/>
      <name val="Arial"/>
      <family val="2"/>
    </font>
    <font>
      <b/>
      <sz val="18"/>
      <color theme="1" tint="0.34998626667073579"/>
      <name val="Arial"/>
      <family val="2"/>
    </font>
    <font>
      <sz val="18"/>
      <color theme="1" tint="0.34998626667073579"/>
      <name val="Arial"/>
      <family val="2"/>
    </font>
    <font>
      <sz val="14"/>
      <color theme="1"/>
      <name val="Calibri"/>
      <family val="2"/>
      <scheme val="minor"/>
    </font>
    <font>
      <b/>
      <sz val="20"/>
      <color theme="0"/>
      <name val="Calibri"/>
      <family val="2"/>
      <scheme val="minor"/>
    </font>
    <font>
      <b/>
      <sz val="20"/>
      <color theme="1"/>
      <name val="Calibri"/>
      <family val="2"/>
      <scheme val="minor"/>
    </font>
    <font>
      <b/>
      <sz val="17"/>
      <color theme="1"/>
      <name val="Webdings"/>
      <family val="1"/>
      <charset val="2"/>
    </font>
    <font>
      <sz val="13"/>
      <name val="Arial"/>
      <family val="2"/>
    </font>
    <font>
      <sz val="14"/>
      <name val="Arial"/>
      <family val="2"/>
    </font>
    <font>
      <sz val="14"/>
      <color theme="1"/>
      <name val="Arial"/>
      <family val="2"/>
    </font>
    <font>
      <b/>
      <sz val="20"/>
      <color rgb="FF00B0F0"/>
      <name val="Webdings"/>
      <family val="1"/>
      <charset val="2"/>
    </font>
    <font>
      <sz val="11"/>
      <color rgb="FF00B0F0"/>
      <name val="Webdings"/>
      <family val="1"/>
      <charset val="2"/>
    </font>
    <font>
      <sz val="11.5"/>
      <color theme="1" tint="0.14999847407452621"/>
      <name val="Arial"/>
      <family val="2"/>
    </font>
    <font>
      <sz val="11"/>
      <name val="Calibri"/>
      <family val="2"/>
      <scheme val="minor"/>
    </font>
    <font>
      <sz val="10"/>
      <color theme="1"/>
      <name val="Calibri"/>
      <family val="2"/>
      <scheme val="minor"/>
    </font>
    <font>
      <b/>
      <sz val="10"/>
      <color theme="1"/>
      <name val="Calibri"/>
      <family val="2"/>
      <scheme val="minor"/>
    </font>
    <font>
      <sz val="11"/>
      <color theme="1"/>
      <name val="Calibri"/>
      <family val="2"/>
      <scheme val="minor"/>
    </font>
  </fonts>
  <fills count="8">
    <fill>
      <patternFill patternType="none"/>
    </fill>
    <fill>
      <patternFill patternType="gray125"/>
    </fill>
    <fill>
      <patternFill patternType="solid">
        <fgColor indexed="2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499984740745262"/>
        <bgColor indexed="64"/>
      </patternFill>
    </fill>
  </fills>
  <borders count="2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79998168889431442"/>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dotted">
        <color auto="1"/>
      </left>
      <right style="dotted">
        <color auto="1"/>
      </right>
      <top style="dotted">
        <color auto="1"/>
      </top>
      <bottom style="dotted">
        <color auto="1"/>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s>
  <cellStyleXfs count="3">
    <xf numFmtId="0" fontId="0" fillId="0" borderId="0"/>
    <xf numFmtId="0" fontId="1" fillId="0" borderId="0"/>
    <xf numFmtId="44" fontId="38" fillId="0" borderId="0" applyFont="0" applyFill="0" applyBorder="0" applyAlignment="0" applyProtection="0"/>
  </cellStyleXfs>
  <cellXfs count="144">
    <xf numFmtId="0" fontId="0" fillId="0" borderId="0" xfId="0"/>
    <xf numFmtId="0" fontId="2" fillId="0" borderId="0" xfId="1" applyFont="1" applyAlignment="1">
      <alignment horizontal="left" indent="5"/>
    </xf>
    <xf numFmtId="0" fontId="1" fillId="0" borderId="0" xfId="1"/>
    <xf numFmtId="0" fontId="3" fillId="0" borderId="0" xfId="1" applyFont="1" applyAlignment="1">
      <alignment horizontal="right"/>
    </xf>
    <xf numFmtId="164" fontId="3" fillId="0" borderId="0" xfId="1" applyNumberFormat="1" applyFont="1" applyAlignment="1">
      <alignment horizontal="left"/>
    </xf>
    <xf numFmtId="0" fontId="4" fillId="0" borderId="0" xfId="1" applyFont="1" applyAlignment="1"/>
    <xf numFmtId="0" fontId="5" fillId="0" borderId="0" xfId="1" applyFont="1"/>
    <xf numFmtId="0" fontId="6" fillId="0" borderId="0" xfId="1" applyFont="1" applyAlignment="1"/>
    <xf numFmtId="0" fontId="6" fillId="0" borderId="0" xfId="1" applyFont="1" applyAlignment="1">
      <alignment horizontal="left" indent="1"/>
    </xf>
    <xf numFmtId="0" fontId="3" fillId="0" borderId="0" xfId="1" applyFont="1" applyAlignment="1"/>
    <xf numFmtId="0" fontId="6" fillId="0" borderId="4" xfId="1" applyFont="1" applyBorder="1" applyAlignment="1"/>
    <xf numFmtId="0" fontId="1" fillId="0" borderId="0" xfId="1" applyBorder="1"/>
    <xf numFmtId="0" fontId="1" fillId="0" borderId="5" xfId="1" applyBorder="1"/>
    <xf numFmtId="0" fontId="6" fillId="0" borderId="6" xfId="1" applyFont="1" applyBorder="1" applyAlignment="1">
      <alignment horizontal="left" indent="1"/>
    </xf>
    <xf numFmtId="0" fontId="1" fillId="0" borderId="7" xfId="1" applyBorder="1"/>
    <xf numFmtId="0" fontId="6" fillId="0" borderId="4" xfId="1" applyFont="1" applyBorder="1" applyAlignment="1">
      <alignment horizontal="left" indent="1"/>
    </xf>
    <xf numFmtId="0" fontId="7" fillId="0" borderId="0" xfId="1" applyFont="1" applyBorder="1"/>
    <xf numFmtId="0" fontId="1" fillId="0" borderId="4" xfId="1" applyBorder="1"/>
    <xf numFmtId="0" fontId="1" fillId="0" borderId="8" xfId="1" applyBorder="1"/>
    <xf numFmtId="0" fontId="1" fillId="0" borderId="9" xfId="1" applyBorder="1"/>
    <xf numFmtId="0" fontId="1" fillId="0" borderId="10" xfId="1" applyBorder="1"/>
    <xf numFmtId="0" fontId="0" fillId="3" borderId="0" xfId="0" applyFill="1" applyProtection="1"/>
    <xf numFmtId="0" fontId="0" fillId="0" borderId="0" xfId="0" applyFill="1" applyProtection="1"/>
    <xf numFmtId="0" fontId="0" fillId="0" borderId="0" xfId="0" applyFill="1" applyAlignment="1">
      <alignment vertical="center"/>
    </xf>
    <xf numFmtId="0" fontId="11" fillId="0" borderId="0" xfId="0" applyFont="1" applyFill="1" applyAlignment="1">
      <alignment vertical="center"/>
    </xf>
    <xf numFmtId="0" fontId="12" fillId="0" borderId="0" xfId="0" applyFont="1" applyFill="1" applyAlignment="1">
      <alignment vertical="center"/>
    </xf>
    <xf numFmtId="0" fontId="0" fillId="0" borderId="0" xfId="0" applyAlignment="1">
      <alignment vertical="center"/>
    </xf>
    <xf numFmtId="165" fontId="0" fillId="0" borderId="0" xfId="0" applyNumberFormat="1" applyProtection="1">
      <protection locked="0"/>
    </xf>
    <xf numFmtId="0" fontId="0" fillId="4" borderId="0" xfId="0" applyFill="1"/>
    <xf numFmtId="0" fontId="13" fillId="4" borderId="0" xfId="0" applyFont="1" applyFill="1" applyAlignment="1">
      <alignment horizontal="center" vertical="center"/>
    </xf>
    <xf numFmtId="165" fontId="13" fillId="4" borderId="0" xfId="0" applyNumberFormat="1" applyFont="1" applyFill="1" applyAlignment="1">
      <alignment horizontal="left" vertical="center"/>
    </xf>
    <xf numFmtId="165" fontId="0" fillId="4" borderId="0" xfId="0" applyNumberFormat="1" applyFill="1" applyAlignment="1">
      <alignment horizontal="left"/>
    </xf>
    <xf numFmtId="0" fontId="10" fillId="4" borderId="0" xfId="0" applyFont="1" applyFill="1" applyBorder="1" applyAlignment="1" applyProtection="1">
      <alignment horizontal="left" vertical="center" indent="1"/>
    </xf>
    <xf numFmtId="165" fontId="14" fillId="4" borderId="0" xfId="0" applyNumberFormat="1" applyFont="1" applyFill="1" applyBorder="1" applyAlignment="1" applyProtection="1"/>
    <xf numFmtId="165" fontId="15" fillId="4" borderId="0" xfId="0" applyNumberFormat="1" applyFont="1" applyFill="1" applyBorder="1" applyAlignment="1" applyProtection="1"/>
    <xf numFmtId="0" fontId="0" fillId="4" borderId="0" xfId="0" applyFill="1" applyProtection="1"/>
    <xf numFmtId="0" fontId="10" fillId="4" borderId="0" xfId="0" applyFont="1" applyFill="1" applyAlignment="1" applyProtection="1">
      <alignment horizontal="left" vertical="center" indent="1"/>
    </xf>
    <xf numFmtId="0" fontId="17" fillId="4" borderId="0" xfId="0" applyFont="1" applyFill="1" applyBorder="1" applyAlignment="1" applyProtection="1">
      <alignment horizontal="center" vertical="center"/>
    </xf>
    <xf numFmtId="0" fontId="17" fillId="3" borderId="0" xfId="0" applyFont="1" applyFill="1" applyBorder="1" applyAlignment="1" applyProtection="1">
      <alignment horizontal="center" vertical="center"/>
    </xf>
    <xf numFmtId="0" fontId="19" fillId="4" borderId="0" xfId="0" applyFont="1" applyFill="1" applyAlignment="1">
      <alignment horizontal="center" vertical="center"/>
    </xf>
    <xf numFmtId="0" fontId="20" fillId="3" borderId="11" xfId="0" applyFont="1" applyFill="1" applyBorder="1" applyAlignment="1" applyProtection="1">
      <alignment horizontal="left" vertical="center" indent="1"/>
    </xf>
    <xf numFmtId="0" fontId="21" fillId="3" borderId="0" xfId="0" applyFont="1" applyFill="1" applyBorder="1" applyAlignment="1" applyProtection="1">
      <alignment horizontal="center" vertical="center"/>
    </xf>
    <xf numFmtId="0" fontId="22" fillId="5" borderId="0" xfId="0" applyFont="1" applyFill="1" applyBorder="1" applyAlignment="1" applyProtection="1">
      <alignment vertical="center"/>
    </xf>
    <xf numFmtId="0" fontId="23" fillId="5" borderId="0" xfId="0" applyFont="1" applyFill="1" applyBorder="1" applyAlignment="1" applyProtection="1">
      <alignment vertical="center"/>
    </xf>
    <xf numFmtId="0" fontId="10" fillId="5" borderId="0" xfId="0" applyFont="1" applyFill="1" applyBorder="1" applyAlignment="1" applyProtection="1">
      <alignment vertical="center"/>
    </xf>
    <xf numFmtId="0" fontId="20" fillId="3" borderId="0" xfId="0" applyFont="1" applyFill="1" applyBorder="1" applyAlignment="1" applyProtection="1">
      <alignment horizontal="left" vertical="center" indent="1"/>
    </xf>
    <xf numFmtId="0" fontId="24" fillId="5" borderId="0" xfId="0" applyFont="1" applyFill="1" applyBorder="1" applyAlignment="1" applyProtection="1">
      <alignment vertical="center"/>
    </xf>
    <xf numFmtId="166" fontId="24" fillId="5" borderId="0" xfId="0" applyNumberFormat="1" applyFont="1" applyFill="1" applyBorder="1" applyAlignment="1" applyProtection="1">
      <alignment vertical="center"/>
    </xf>
    <xf numFmtId="0" fontId="21" fillId="3" borderId="0" xfId="0" applyFont="1" applyFill="1" applyBorder="1" applyAlignment="1" applyProtection="1">
      <alignment vertical="center"/>
    </xf>
    <xf numFmtId="5" fontId="24" fillId="5" borderId="0" xfId="0" applyNumberFormat="1" applyFont="1" applyFill="1" applyBorder="1" applyAlignment="1" applyProtection="1">
      <alignment vertical="center"/>
    </xf>
    <xf numFmtId="165" fontId="10" fillId="5" borderId="0" xfId="0" applyNumberFormat="1" applyFont="1" applyFill="1" applyBorder="1" applyAlignment="1" applyProtection="1">
      <alignment vertical="center"/>
    </xf>
    <xf numFmtId="165" fontId="26" fillId="5" borderId="0" xfId="0" applyNumberFormat="1" applyFont="1" applyFill="1" applyBorder="1" applyAlignment="1" applyProtection="1">
      <alignment vertical="center"/>
    </xf>
    <xf numFmtId="165" fontId="27" fillId="5" borderId="0" xfId="0" applyNumberFormat="1" applyFont="1" applyFill="1" applyBorder="1" applyAlignment="1" applyProtection="1">
      <alignment vertical="center"/>
    </xf>
    <xf numFmtId="0" fontId="19" fillId="4" borderId="0" xfId="0" applyFont="1" applyFill="1" applyAlignment="1" applyProtection="1">
      <alignment horizontal="center" vertical="center"/>
    </xf>
    <xf numFmtId="0" fontId="28" fillId="4" borderId="0" xfId="0" applyFont="1" applyFill="1" applyBorder="1" applyAlignment="1" applyProtection="1">
      <alignment horizontal="center" vertical="center"/>
    </xf>
    <xf numFmtId="0" fontId="10" fillId="5" borderId="0" xfId="0" applyFont="1" applyFill="1" applyAlignment="1" applyProtection="1">
      <alignment horizontal="left" vertical="center" indent="1"/>
    </xf>
    <xf numFmtId="0" fontId="17" fillId="5" borderId="0" xfId="0" applyFont="1" applyFill="1" applyBorder="1" applyAlignment="1" applyProtection="1">
      <alignment horizontal="center" vertical="center"/>
    </xf>
    <xf numFmtId="0" fontId="28" fillId="5" borderId="0" xfId="0" applyFont="1" applyFill="1" applyBorder="1" applyAlignment="1" applyProtection="1">
      <alignment horizontal="center" vertical="center"/>
    </xf>
    <xf numFmtId="0" fontId="0" fillId="5" borderId="0" xfId="0" applyFill="1" applyProtection="1"/>
    <xf numFmtId="0" fontId="0" fillId="5" borderId="0" xfId="0" applyFill="1"/>
    <xf numFmtId="0" fontId="0" fillId="4" borderId="0" xfId="0" applyFill="1" applyBorder="1" applyAlignment="1">
      <alignment vertical="top" wrapText="1"/>
    </xf>
    <xf numFmtId="0" fontId="21" fillId="4" borderId="0" xfId="0" applyFont="1" applyFill="1" applyAlignment="1">
      <alignment vertical="center" wrapText="1"/>
    </xf>
    <xf numFmtId="0" fontId="29" fillId="4" borderId="0" xfId="0" applyFont="1" applyFill="1" applyAlignment="1">
      <alignment vertical="center" wrapText="1"/>
    </xf>
    <xf numFmtId="0" fontId="0" fillId="4" borderId="0" xfId="0" applyFill="1" applyBorder="1" applyAlignment="1"/>
    <xf numFmtId="0" fontId="20" fillId="3" borderId="0" xfId="0" applyFont="1" applyFill="1" applyBorder="1" applyAlignment="1">
      <alignment vertical="center" wrapText="1"/>
    </xf>
    <xf numFmtId="0" fontId="0" fillId="4" borderId="0" xfId="0" applyFill="1" applyBorder="1"/>
    <xf numFmtId="0" fontId="33" fillId="4" borderId="0" xfId="0" applyFont="1" applyFill="1" applyBorder="1" applyAlignment="1">
      <alignment horizontal="center" vertical="center"/>
    </xf>
    <xf numFmtId="0" fontId="29" fillId="0" borderId="0" xfId="0" applyFont="1" applyFill="1" applyBorder="1" applyAlignment="1">
      <alignment vertical="center" wrapText="1"/>
    </xf>
    <xf numFmtId="0" fontId="33" fillId="4" borderId="0" xfId="0" applyFont="1" applyFill="1" applyBorder="1" applyAlignment="1">
      <alignment vertical="center"/>
    </xf>
    <xf numFmtId="0" fontId="10" fillId="0" borderId="0" xfId="0" applyFont="1" applyAlignment="1"/>
    <xf numFmtId="0" fontId="0" fillId="0" borderId="0" xfId="0" pivotButton="1"/>
    <xf numFmtId="14" fontId="0" fillId="0" borderId="0" xfId="0" applyNumberFormat="1"/>
    <xf numFmtId="44" fontId="0" fillId="0" borderId="0" xfId="0" applyNumberFormat="1"/>
    <xf numFmtId="0" fontId="13" fillId="0" borderId="0" xfId="0" applyFont="1" applyAlignment="1">
      <alignment horizontal="center" vertical="center"/>
    </xf>
    <xf numFmtId="165" fontId="9" fillId="4" borderId="0" xfId="0" applyNumberFormat="1" applyFont="1" applyFill="1" applyAlignment="1">
      <alignment horizontal="center"/>
    </xf>
    <xf numFmtId="0" fontId="16" fillId="3" borderId="0" xfId="0" applyNumberFormat="1" applyFont="1" applyFill="1" applyBorder="1" applyAlignment="1" applyProtection="1">
      <alignment horizontal="center" vertical="center"/>
    </xf>
    <xf numFmtId="4" fontId="16" fillId="3" borderId="0" xfId="0" applyNumberFormat="1" applyFont="1" applyFill="1" applyBorder="1" applyAlignment="1" applyProtection="1">
      <alignment horizontal="center" vertical="center"/>
    </xf>
    <xf numFmtId="0" fontId="17" fillId="4" borderId="0" xfId="0" applyFont="1" applyFill="1" applyBorder="1" applyAlignment="1" applyProtection="1">
      <alignment horizontal="center" vertical="center"/>
    </xf>
    <xf numFmtId="0" fontId="18" fillId="3" borderId="0" xfId="0" applyFont="1" applyFill="1" applyBorder="1" applyAlignment="1" applyProtection="1">
      <alignment horizontal="center" vertical="center"/>
    </xf>
    <xf numFmtId="6" fontId="24" fillId="5" borderId="0" xfId="0" applyNumberFormat="1" applyFont="1" applyFill="1" applyBorder="1" applyAlignment="1" applyProtection="1">
      <alignment horizontal="center" vertical="center"/>
    </xf>
    <xf numFmtId="6" fontId="23" fillId="5" borderId="0" xfId="0" applyNumberFormat="1" applyFont="1" applyFill="1" applyBorder="1" applyAlignment="1" applyProtection="1">
      <alignment horizontal="center" vertical="center"/>
    </xf>
    <xf numFmtId="5" fontId="24" fillId="5" borderId="0" xfId="0" applyNumberFormat="1" applyFont="1" applyFill="1" applyBorder="1" applyAlignment="1" applyProtection="1">
      <alignment horizontal="center" vertical="center"/>
    </xf>
    <xf numFmtId="166" fontId="24" fillId="5" borderId="0" xfId="0" applyNumberFormat="1" applyFont="1" applyFill="1" applyBorder="1" applyAlignment="1" applyProtection="1">
      <alignment horizontal="center" vertical="center"/>
    </xf>
    <xf numFmtId="0" fontId="25" fillId="3" borderId="0" xfId="0" applyFont="1" applyFill="1" applyBorder="1" applyAlignment="1" applyProtection="1">
      <alignment horizontal="center" vertical="center"/>
    </xf>
    <xf numFmtId="165" fontId="8" fillId="5" borderId="0" xfId="0" applyNumberFormat="1" applyFont="1" applyFill="1" applyBorder="1" applyAlignment="1" applyProtection="1">
      <alignment horizontal="center" vertical="center"/>
    </xf>
    <xf numFmtId="0" fontId="17" fillId="3" borderId="0" xfId="0" applyFont="1" applyFill="1" applyBorder="1" applyAlignment="1" applyProtection="1">
      <alignment horizontal="center" vertical="center"/>
    </xf>
    <xf numFmtId="0" fontId="28" fillId="5" borderId="0" xfId="0" applyFont="1" applyFill="1" applyBorder="1" applyAlignment="1" applyProtection="1">
      <alignment horizontal="center" vertical="center"/>
    </xf>
    <xf numFmtId="0" fontId="28" fillId="4" borderId="0" xfId="0" applyFont="1" applyFill="1" applyBorder="1" applyAlignment="1" applyProtection="1">
      <alignment horizontal="center" vertical="center"/>
    </xf>
    <xf numFmtId="14" fontId="34" fillId="0" borderId="12" xfId="0" applyNumberFormat="1" applyFont="1" applyFill="1" applyBorder="1" applyAlignment="1">
      <alignment horizontal="center" vertical="center" wrapText="1"/>
    </xf>
    <xf numFmtId="14" fontId="34" fillId="0" borderId="13" xfId="0" applyNumberFormat="1" applyFont="1" applyFill="1" applyBorder="1" applyAlignment="1">
      <alignment horizontal="center" vertical="center" wrapText="1"/>
    </xf>
    <xf numFmtId="0" fontId="34" fillId="0" borderId="13" xfId="0" applyFont="1" applyFill="1" applyBorder="1" applyAlignment="1">
      <alignment horizontal="left" vertical="center"/>
    </xf>
    <xf numFmtId="0" fontId="34" fillId="0" borderId="13" xfId="0" applyFont="1" applyFill="1" applyBorder="1" applyAlignment="1">
      <alignment horizontal="center" vertical="center"/>
    </xf>
    <xf numFmtId="8" fontId="34" fillId="0" borderId="13" xfId="0" applyNumberFormat="1" applyFont="1" applyFill="1" applyBorder="1" applyAlignment="1">
      <alignment horizontal="right" vertical="center" indent="1"/>
    </xf>
    <xf numFmtId="8" fontId="34" fillId="0" borderId="14" xfId="0" applyNumberFormat="1" applyFont="1" applyFill="1" applyBorder="1" applyAlignment="1">
      <alignment horizontal="right" vertical="center" indent="1"/>
    </xf>
    <xf numFmtId="0" fontId="31" fillId="4" borderId="0" xfId="0" applyFont="1" applyFill="1" applyBorder="1" applyAlignment="1">
      <alignment horizontal="center"/>
    </xf>
    <xf numFmtId="0" fontId="32" fillId="3" borderId="0" xfId="0" applyFont="1" applyFill="1" applyBorder="1" applyAlignment="1">
      <alignment horizontal="right" vertical="center" wrapText="1"/>
    </xf>
    <xf numFmtId="0" fontId="32" fillId="3" borderId="0" xfId="0" applyFont="1" applyFill="1" applyBorder="1" applyAlignment="1">
      <alignment vertical="center" wrapText="1"/>
    </xf>
    <xf numFmtId="0" fontId="32" fillId="3" borderId="0" xfId="0" applyFont="1" applyFill="1" applyBorder="1" applyAlignment="1">
      <alignment vertical="center"/>
    </xf>
    <xf numFmtId="0" fontId="30" fillId="4" borderId="0" xfId="0" applyFont="1" applyFill="1" applyBorder="1" applyAlignment="1">
      <alignment horizontal="center" wrapText="1"/>
    </xf>
    <xf numFmtId="165" fontId="0" fillId="0" borderId="0" xfId="0" applyNumberFormat="1" applyFill="1" applyAlignment="1">
      <alignment horizontal="center"/>
    </xf>
    <xf numFmtId="165" fontId="35" fillId="0" borderId="0" xfId="0" applyNumberFormat="1" applyFont="1" applyFill="1" applyAlignment="1">
      <alignment horizontal="center"/>
    </xf>
    <xf numFmtId="0" fontId="0" fillId="4" borderId="0" xfId="0" applyFill="1" applyAlignment="1">
      <alignment horizontal="center"/>
    </xf>
    <xf numFmtId="0" fontId="3" fillId="2" borderId="1" xfId="1" applyFont="1" applyFill="1" applyBorder="1" applyAlignment="1">
      <alignment horizontal="center"/>
    </xf>
    <xf numFmtId="0" fontId="3" fillId="2" borderId="2" xfId="1" applyFont="1" applyFill="1" applyBorder="1" applyAlignment="1">
      <alignment horizontal="center"/>
    </xf>
    <xf numFmtId="0" fontId="3" fillId="2" borderId="3" xfId="1" applyFont="1" applyFill="1" applyBorder="1" applyAlignment="1">
      <alignment horizontal="center"/>
    </xf>
    <xf numFmtId="0" fontId="37" fillId="0" borderId="15" xfId="0" applyFont="1" applyBorder="1" applyAlignment="1">
      <alignment horizontal="left" vertical="center"/>
    </xf>
    <xf numFmtId="0" fontId="36" fillId="0" borderId="15" xfId="0" applyFont="1" applyBorder="1" applyAlignment="1">
      <alignment vertical="center" wrapText="1"/>
    </xf>
    <xf numFmtId="0" fontId="36" fillId="0" borderId="15" xfId="0" applyFont="1" applyBorder="1" applyAlignment="1">
      <alignment horizontal="left" vertical="center" wrapText="1"/>
    </xf>
    <xf numFmtId="0" fontId="0" fillId="7" borderId="0" xfId="0" applyFill="1"/>
    <xf numFmtId="0" fontId="8" fillId="7" borderId="0" xfId="0" applyFont="1" applyFill="1"/>
    <xf numFmtId="0" fontId="8" fillId="7" borderId="0" xfId="0" applyFont="1" applyFill="1" applyAlignment="1">
      <alignment horizontal="right"/>
    </xf>
    <xf numFmtId="0" fontId="0" fillId="0" borderId="0" xfId="0" applyFill="1"/>
    <xf numFmtId="0" fontId="10" fillId="0" borderId="0" xfId="0" applyFont="1" applyFill="1" applyAlignment="1">
      <alignment horizontal="center" vertical="center"/>
    </xf>
    <xf numFmtId="0" fontId="10" fillId="0" borderId="0" xfId="0" applyFont="1" applyFill="1" applyAlignment="1"/>
    <xf numFmtId="0" fontId="10" fillId="0" borderId="0" xfId="0" applyFont="1" applyFill="1" applyAlignment="1">
      <alignment horizontal="left" vertical="center"/>
    </xf>
    <xf numFmtId="0" fontId="10" fillId="0" borderId="0" xfId="0" applyFont="1" applyFill="1" applyAlignment="1">
      <alignment horizontal="center" vertical="center"/>
    </xf>
    <xf numFmtId="44" fontId="0" fillId="0" borderId="0" xfId="2" quotePrefix="1" applyFont="1" applyFill="1" applyAlignment="1">
      <alignment horizontal="center" vertical="center"/>
    </xf>
    <xf numFmtId="14" fontId="0" fillId="6" borderId="16" xfId="0" quotePrefix="1" applyNumberFormat="1" applyFill="1" applyBorder="1" applyAlignment="1">
      <alignment horizontal="center" vertical="center"/>
    </xf>
    <xf numFmtId="14" fontId="0" fillId="6" borderId="17" xfId="0" quotePrefix="1" applyNumberFormat="1" applyFill="1" applyBorder="1" applyAlignment="1">
      <alignment horizontal="center" vertical="center"/>
    </xf>
    <xf numFmtId="14" fontId="0" fillId="6" borderId="18" xfId="0" quotePrefix="1" applyNumberFormat="1" applyFill="1" applyBorder="1" applyAlignment="1">
      <alignment horizontal="center" vertical="center"/>
    </xf>
    <xf numFmtId="14" fontId="0" fillId="6" borderId="16" xfId="0" quotePrefix="1" applyNumberFormat="1" applyFill="1" applyBorder="1" applyAlignment="1">
      <alignment vertical="center"/>
    </xf>
    <xf numFmtId="14" fontId="0" fillId="6" borderId="17" xfId="0" quotePrefix="1" applyNumberFormat="1" applyFill="1" applyBorder="1" applyAlignment="1">
      <alignment vertical="center"/>
    </xf>
    <xf numFmtId="0" fontId="0" fillId="6" borderId="17" xfId="0" applyFill="1" applyBorder="1"/>
    <xf numFmtId="0" fontId="0" fillId="6" borderId="18" xfId="0" applyFill="1" applyBorder="1"/>
    <xf numFmtId="44" fontId="0" fillId="6" borderId="17" xfId="2" quotePrefix="1" applyFont="1" applyFill="1" applyBorder="1" applyAlignment="1">
      <alignment horizontal="center" vertical="center"/>
    </xf>
    <xf numFmtId="44" fontId="0" fillId="6" borderId="18" xfId="2" quotePrefix="1" applyFont="1" applyFill="1" applyBorder="1" applyAlignment="1">
      <alignment horizontal="center" vertical="center"/>
    </xf>
    <xf numFmtId="14" fontId="0" fillId="6" borderId="19" xfId="0" quotePrefix="1" applyNumberFormat="1" applyFill="1" applyBorder="1" applyAlignment="1">
      <alignment horizontal="center" vertical="center"/>
    </xf>
    <xf numFmtId="14" fontId="0" fillId="6" borderId="0" xfId="0" quotePrefix="1" applyNumberFormat="1" applyFill="1" applyBorder="1" applyAlignment="1">
      <alignment horizontal="center" vertical="center"/>
    </xf>
    <xf numFmtId="14" fontId="0" fillId="6" borderId="20" xfId="0" quotePrefix="1" applyNumberFormat="1" applyFill="1" applyBorder="1" applyAlignment="1">
      <alignment horizontal="center" vertical="center"/>
    </xf>
    <xf numFmtId="14" fontId="0" fillId="6" borderId="19" xfId="0" quotePrefix="1" applyNumberFormat="1" applyFill="1" applyBorder="1" applyAlignment="1">
      <alignment vertical="center"/>
    </xf>
    <xf numFmtId="14" fontId="0" fillId="6" borderId="0" xfId="0" quotePrefix="1" applyNumberFormat="1" applyFill="1" applyBorder="1" applyAlignment="1">
      <alignment vertical="center"/>
    </xf>
    <xf numFmtId="0" fontId="0" fillId="6" borderId="0" xfId="0" applyFill="1" applyBorder="1"/>
    <xf numFmtId="0" fontId="0" fillId="6" borderId="20" xfId="0" applyFill="1" applyBorder="1"/>
    <xf numFmtId="44" fontId="0" fillId="6" borderId="0" xfId="2" quotePrefix="1" applyFont="1" applyFill="1" applyBorder="1" applyAlignment="1">
      <alignment horizontal="center" vertical="center"/>
    </xf>
    <xf numFmtId="44" fontId="0" fillId="6" borderId="20" xfId="2" quotePrefix="1" applyFont="1" applyFill="1" applyBorder="1" applyAlignment="1">
      <alignment horizontal="center" vertical="center"/>
    </xf>
    <xf numFmtId="14" fontId="0" fillId="6" borderId="21" xfId="0" quotePrefix="1" applyNumberFormat="1" applyFill="1" applyBorder="1" applyAlignment="1">
      <alignment horizontal="center" vertical="center"/>
    </xf>
    <xf numFmtId="14" fontId="0" fillId="6" borderId="22" xfId="0" quotePrefix="1" applyNumberFormat="1" applyFill="1" applyBorder="1" applyAlignment="1">
      <alignment horizontal="center" vertical="center"/>
    </xf>
    <xf numFmtId="14" fontId="0" fillId="6" borderId="23" xfId="0" quotePrefix="1" applyNumberFormat="1" applyFill="1" applyBorder="1" applyAlignment="1">
      <alignment horizontal="center" vertical="center"/>
    </xf>
    <xf numFmtId="14" fontId="0" fillId="6" borderId="21" xfId="0" quotePrefix="1" applyNumberFormat="1" applyFill="1" applyBorder="1" applyAlignment="1">
      <alignment vertical="center"/>
    </xf>
    <xf numFmtId="14" fontId="0" fillId="6" borderId="22" xfId="0" quotePrefix="1" applyNumberFormat="1" applyFill="1" applyBorder="1" applyAlignment="1">
      <alignment vertical="center"/>
    </xf>
    <xf numFmtId="0" fontId="0" fillId="6" borderId="22" xfId="0" applyFill="1" applyBorder="1"/>
    <xf numFmtId="0" fontId="0" fillId="6" borderId="23" xfId="0" applyFill="1" applyBorder="1"/>
    <xf numFmtId="44" fontId="0" fillId="6" borderId="22" xfId="2" quotePrefix="1" applyFont="1" applyFill="1" applyBorder="1" applyAlignment="1">
      <alignment horizontal="center" vertical="center"/>
    </xf>
    <xf numFmtId="44" fontId="0" fillId="6" borderId="23" xfId="2" quotePrefix="1" applyFont="1" applyFill="1" applyBorder="1" applyAlignment="1">
      <alignment horizontal="center" vertical="center"/>
    </xf>
  </cellXfs>
  <cellStyles count="3">
    <cellStyle name="Moneda" xfId="2" builtinId="4"/>
    <cellStyle name="Normal" xfId="0" builtinId="0"/>
    <cellStyle name="Normal 2" xfId="1"/>
  </cellStyles>
  <dxfs count="5504">
    <dxf>
      <font>
        <color theme="0"/>
      </font>
      <fill>
        <patternFill>
          <bgColor theme="3"/>
        </patternFill>
      </fill>
    </dxf>
    <dxf>
      <font>
        <color theme="0"/>
      </font>
      <fill>
        <patternFill>
          <bgColor theme="3"/>
        </patternFill>
      </fill>
    </dxf>
    <dxf>
      <fill>
        <patternFill>
          <bgColor theme="0" tint="-4.9989318521683403E-2"/>
        </patternFill>
      </fill>
    </dxf>
    <dxf>
      <font>
        <color theme="0"/>
      </font>
      <fill>
        <patternFill>
          <bgColor rgb="FF00B0F0"/>
        </patternFill>
      </fill>
    </dxf>
    <dxf>
      <font>
        <b/>
        <i val="0"/>
        <color rgb="FF00B0F0"/>
      </font>
      <fill>
        <patternFill patternType="solid">
          <bgColor theme="0" tint="-4.9989318521683403E-2"/>
        </patternFill>
      </fill>
    </dxf>
    <dxf>
      <font>
        <b/>
        <i val="0"/>
        <color rgb="FF00B0F0"/>
      </font>
      <fill>
        <patternFill patternType="solid">
          <bgColor theme="0" tint="-4.9989318521683403E-2"/>
        </patternFill>
      </fill>
    </dxf>
    <dxf>
      <font>
        <color auto="1"/>
      </font>
      <fill>
        <patternFill>
          <bgColor theme="0" tint="-4.9989318521683403E-2"/>
        </patternFill>
      </fill>
      <border>
        <left/>
        <right/>
        <top/>
        <bottom/>
      </border>
    </dxf>
    <dxf>
      <font>
        <b/>
        <i val="0"/>
        <color rgb="FF00B0F0"/>
      </font>
      <fill>
        <patternFill patternType="solid">
          <bgColor theme="0" tint="-4.9989318521683403E-2"/>
        </patternFill>
      </fill>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([1]Data!$C$4,[1]Data!$C$5,[1]Data!$C$6)</c:f>
              <c:numCache>
                <c:formatCode>General</c:formatCode>
                <c:ptCount val="3"/>
                <c:pt idx="0">
                  <c:v>0.8451679830613773</c:v>
                </c:pt>
                <c:pt idx="1">
                  <c:v>0</c:v>
                </c:pt>
                <c:pt idx="2">
                  <c:v>0.1548320169386227</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([1]Data!$H$4,[1]Data!$H$5,[1]Data!$H$6)</c:f>
              <c:numCache>
                <c:formatCode>General</c:formatCode>
                <c:ptCount val="3"/>
                <c:pt idx="0">
                  <c:v>0.94974613912882788</c:v>
                </c:pt>
                <c:pt idx="1">
                  <c:v>5.0253860871172118E-2</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([1]Data!$F$4,[1]Data!$F$5,[1]Data!$F$6)</c:f>
              <c:numCache>
                <c:formatCode>General</c:formatCode>
                <c:ptCount val="3"/>
                <c:pt idx="0">
                  <c:v>1</c:v>
                </c:pt>
                <c:pt idx="1">
                  <c:v>0</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([1]Data!$D$4,[1]Data!$D$5,[1]Data!$D$6)</c:f>
              <c:numCache>
                <c:formatCode>General</c:formatCode>
                <c:ptCount val="3"/>
                <c:pt idx="0">
                  <c:v>0.88121118029160539</c:v>
                </c:pt>
                <c:pt idx="1">
                  <c:v>0.11878881970839461</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([1]Data!$E$4,[1]Data!$E$5,[1]Data!$E$6)</c:f>
              <c:numCache>
                <c:formatCode>General</c:formatCode>
                <c:ptCount val="3"/>
                <c:pt idx="0">
                  <c:v>1</c:v>
                </c:pt>
                <c:pt idx="1">
                  <c:v>0</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([1]Data!$G$4,[1]Data!$G$5,[1]Data!$G$6)</c:f>
              <c:numCache>
                <c:formatCode>General</c:formatCode>
                <c:ptCount val="3"/>
                <c:pt idx="0">
                  <c:v>1</c:v>
                </c:pt>
                <c:pt idx="1">
                  <c:v>0</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max="100" page="10" val="61"/>
</file>

<file path=xl/ctrlProps/ctrlProp2.xml><?xml version="1.0" encoding="utf-8"?>
<formControlPr xmlns="http://schemas.microsoft.com/office/spreadsheetml/2009/9/main" objectType="Drop" dropStyle="combo" dx="16" noThreeD="1" sel="0" val="0"/>
</file>

<file path=xl/ctrlProps/ctrlProp3.xml><?xml version="1.0" encoding="utf-8"?>
<formControlPr xmlns="http://schemas.microsoft.com/office/spreadsheetml/2009/9/main" objectType="Radio" firstButton="1" fmlaLink="[1]Data!$B$10"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List" dx="22" fmlaLink="[1]Data!$E$20" fmlaRange="[1]Data!$B$20:$B$21" sel="0" val="0"/>
</file>

<file path=xl/ctrlProps/ctrlProp10.xml><?xml version="1.0" encoding="utf-8"?>
<formControlPr xmlns="http://schemas.microsoft.com/office/spreadsheetml/2009/9/main" objectType="Drop" dropStyle="combo" dx="16" noThreeD="1" sel="0" val="0"/>
</file>

<file path=xl/ctrlProps/ctrlProp11.xml><?xml version="1.0" encoding="utf-8"?>
<formControlPr xmlns="http://schemas.microsoft.com/office/spreadsheetml/2009/9/main" objectType="Drop" dropStyle="combo" dx="16" noThreeD="1" sel="0" val="0"/>
</file>

<file path=xl/ctrlProps/ctrlProp12.xml><?xml version="1.0" encoding="utf-8"?>
<formControlPr xmlns="http://schemas.microsoft.com/office/spreadsheetml/2009/9/main" objectType="Drop" dropStyle="combo" dx="16" noThreeD="1" sel="0" val="0"/>
</file>

<file path=xl/ctrlProps/ctrlProp13.xml><?xml version="1.0" encoding="utf-8"?>
<formControlPr xmlns="http://schemas.microsoft.com/office/spreadsheetml/2009/9/main" objectType="Scroll" dx="22" fmlaLink="Data!$C$3" max="600" min="1" page="5" val="3"/>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0</xdr:col>
      <xdr:colOff>57149</xdr:colOff>
      <xdr:row>0</xdr:row>
      <xdr:rowOff>47625</xdr:rowOff>
    </xdr:from>
    <xdr:ext cx="6352615" cy="457200"/>
    <xdr:sp macro="" textlink="">
      <xdr:nvSpPr>
        <xdr:cNvPr id="2" name="TextBox 14">
          <a:extLst>
            <a:ext uri="{FF2B5EF4-FFF2-40B4-BE49-F238E27FC236}">
              <a16:creationId xmlns:a16="http://schemas.microsoft.com/office/drawing/2014/main" xmlns="" id="{00000000-0008-0000-0000-000012000000}"/>
            </a:ext>
          </a:extLst>
        </xdr:cNvPr>
        <xdr:cNvSpPr txBox="1"/>
      </xdr:nvSpPr>
      <xdr:spPr>
        <a:xfrm>
          <a:off x="57149" y="47625"/>
          <a:ext cx="6352615"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2200" b="0">
              <a:ln w="3175">
                <a:noFill/>
              </a:ln>
              <a:solidFill>
                <a:srgbClr val="00B0F0"/>
              </a:solidFill>
              <a:effectLst>
                <a:outerShdw blurRad="38100" dist="25400" dir="5400000" algn="t" rotWithShape="0">
                  <a:schemeClr val="bg1">
                    <a:alpha val="40000"/>
                  </a:schemeClr>
                </a:outerShdw>
              </a:effectLst>
              <a:latin typeface="Arial" panose="020B0604020202020204" pitchFamily="34" charset="0"/>
              <a:cs typeface="Arial" panose="020B0604020202020204" pitchFamily="34" charset="0"/>
            </a:rPr>
            <a:t>Balance de cuentas de gasto de Capital Humano</a:t>
          </a:r>
        </a:p>
      </xdr:txBody>
    </xdr:sp>
    <xdr:clientData/>
  </xdr:oneCellAnchor>
  <xdr:twoCellAnchor>
    <xdr:from>
      <xdr:col>1</xdr:col>
      <xdr:colOff>0</xdr:colOff>
      <xdr:row>2</xdr:row>
      <xdr:rowOff>56027</xdr:rowOff>
    </xdr:from>
    <xdr:to>
      <xdr:col>29</xdr:col>
      <xdr:colOff>11205</xdr:colOff>
      <xdr:row>16</xdr:row>
      <xdr:rowOff>231320</xdr:rowOff>
    </xdr:to>
    <xdr:sp macro="" textlink="">
      <xdr:nvSpPr>
        <xdr:cNvPr id="3" name="Rounded Rectangle 5">
          <a:extLst>
            <a:ext uri="{FF2B5EF4-FFF2-40B4-BE49-F238E27FC236}">
              <a16:creationId xmlns:a16="http://schemas.microsoft.com/office/drawing/2014/main" xmlns="" id="{00000000-0008-0000-0000-000015000000}"/>
            </a:ext>
          </a:extLst>
        </xdr:cNvPr>
        <xdr:cNvSpPr/>
      </xdr:nvSpPr>
      <xdr:spPr>
        <a:xfrm>
          <a:off x="176893" y="668348"/>
          <a:ext cx="13577526" cy="4420722"/>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171450</xdr:colOff>
      <xdr:row>2</xdr:row>
      <xdr:rowOff>19050</xdr:rowOff>
    </xdr:from>
    <xdr:to>
      <xdr:col>29</xdr:col>
      <xdr:colOff>6804</xdr:colOff>
      <xdr:row>3</xdr:row>
      <xdr:rowOff>184018</xdr:rowOff>
    </xdr:to>
    <xdr:sp macro="" textlink="">
      <xdr:nvSpPr>
        <xdr:cNvPr id="4" name="Round Same Side Corner Rectangle 8">
          <a:extLst>
            <a:ext uri="{FF2B5EF4-FFF2-40B4-BE49-F238E27FC236}">
              <a16:creationId xmlns:a16="http://schemas.microsoft.com/office/drawing/2014/main" xmlns="" id="{00000000-0008-0000-0000-000014000000}"/>
            </a:ext>
          </a:extLst>
        </xdr:cNvPr>
        <xdr:cNvSpPr/>
      </xdr:nvSpPr>
      <xdr:spPr>
        <a:xfrm>
          <a:off x="171450" y="631371"/>
          <a:ext cx="13578568" cy="355468"/>
        </a:xfrm>
        <a:prstGeom prst="round2SameRect">
          <a:avLst/>
        </a:prstGeom>
        <a:solidFill>
          <a:srgbClr val="00B0F0"/>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effectLst>
                <a:outerShdw blurRad="63500" sx="102000" sy="102000" algn="ctr" rotWithShape="0">
                  <a:prstClr val="black">
                    <a:alpha val="40000"/>
                  </a:prstClr>
                </a:outerShdw>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9</xdr:col>
      <xdr:colOff>134471</xdr:colOff>
      <xdr:row>12</xdr:row>
      <xdr:rowOff>324971</xdr:rowOff>
    </xdr:from>
    <xdr:to>
      <xdr:col>10</xdr:col>
      <xdr:colOff>437030</xdr:colOff>
      <xdr:row>14</xdr:row>
      <xdr:rowOff>33618</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112058</xdr:colOff>
      <xdr:row>12</xdr:row>
      <xdr:rowOff>324971</xdr:rowOff>
    </xdr:from>
    <xdr:to>
      <xdr:col>6</xdr:col>
      <xdr:colOff>414617</xdr:colOff>
      <xdr:row>14</xdr:row>
      <xdr:rowOff>33618</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145676</xdr:colOff>
      <xdr:row>12</xdr:row>
      <xdr:rowOff>324971</xdr:rowOff>
    </xdr:from>
    <xdr:to>
      <xdr:col>22</xdr:col>
      <xdr:colOff>448235</xdr:colOff>
      <xdr:row>14</xdr:row>
      <xdr:rowOff>33618</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123265</xdr:colOff>
      <xdr:row>12</xdr:row>
      <xdr:rowOff>324971</xdr:rowOff>
    </xdr:from>
    <xdr:to>
      <xdr:col>14</xdr:col>
      <xdr:colOff>425824</xdr:colOff>
      <xdr:row>14</xdr:row>
      <xdr:rowOff>33618</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123264</xdr:colOff>
      <xdr:row>12</xdr:row>
      <xdr:rowOff>324971</xdr:rowOff>
    </xdr:from>
    <xdr:to>
      <xdr:col>18</xdr:col>
      <xdr:colOff>425823</xdr:colOff>
      <xdr:row>14</xdr:row>
      <xdr:rowOff>33618</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168088</xdr:colOff>
      <xdr:row>12</xdr:row>
      <xdr:rowOff>324971</xdr:rowOff>
    </xdr:from>
    <xdr:to>
      <xdr:col>26</xdr:col>
      <xdr:colOff>470647</xdr:colOff>
      <xdr:row>14</xdr:row>
      <xdr:rowOff>33618</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419542</xdr:colOff>
      <xdr:row>13</xdr:row>
      <xdr:rowOff>216634</xdr:rowOff>
    </xdr:from>
    <xdr:to>
      <xdr:col>3</xdr:col>
      <xdr:colOff>139364</xdr:colOff>
      <xdr:row>13</xdr:row>
      <xdr:rowOff>537882</xdr:rowOff>
    </xdr:to>
    <xdr:pic>
      <xdr:nvPicPr>
        <xdr:cNvPr id="11" name="Imagen 10"/>
        <xdr:cNvPicPr>
          <a:picLocks noChangeAspect="1"/>
        </xdr:cNvPicPr>
      </xdr:nvPicPr>
      <xdr:blipFill>
        <a:blip xmlns:r="http://schemas.openxmlformats.org/officeDocument/2006/relationships" r:embed="rId7"/>
        <a:stretch>
          <a:fillRect/>
        </a:stretch>
      </xdr:blipFill>
      <xdr:spPr>
        <a:xfrm>
          <a:off x="819592" y="3893284"/>
          <a:ext cx="319897" cy="321248"/>
        </a:xfrm>
        <a:prstGeom prst="rect">
          <a:avLst/>
        </a:prstGeom>
      </xdr:spPr>
    </xdr:pic>
    <xdr:clientData/>
  </xdr:twoCellAnchor>
  <xdr:twoCellAnchor editAs="absolute">
    <xdr:from>
      <xdr:col>0</xdr:col>
      <xdr:colOff>168087</xdr:colOff>
      <xdr:row>18</xdr:row>
      <xdr:rowOff>0</xdr:rowOff>
    </xdr:from>
    <xdr:to>
      <xdr:col>29</xdr:col>
      <xdr:colOff>9524</xdr:colOff>
      <xdr:row>19</xdr:row>
      <xdr:rowOff>121482</xdr:rowOff>
    </xdr:to>
    <xdr:sp macro="" textlink="">
      <xdr:nvSpPr>
        <xdr:cNvPr id="12" name="Round Same Side Corner Rectangle 8">
          <a:extLst>
            <a:ext uri="{FF2B5EF4-FFF2-40B4-BE49-F238E27FC236}">
              <a16:creationId xmlns:a16="http://schemas.microsoft.com/office/drawing/2014/main" xmlns="" id="{00000000-0008-0000-0000-000014000000}"/>
            </a:ext>
          </a:extLst>
        </xdr:cNvPr>
        <xdr:cNvSpPr/>
      </xdr:nvSpPr>
      <xdr:spPr>
        <a:xfrm>
          <a:off x="168087" y="5267325"/>
          <a:ext cx="13547912" cy="350082"/>
        </a:xfrm>
        <a:prstGeom prst="round2SameRect">
          <a:avLst/>
        </a:prstGeom>
        <a:solidFill>
          <a:srgbClr val="00B0F0"/>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effectLst>
                <a:outerShdw blurRad="63500" sx="102000" sy="102000" algn="ctr" rotWithShape="0">
                  <a:prstClr val="black">
                    <a:alpha val="40000"/>
                  </a:prstClr>
                </a:outerShdw>
              </a:effectLst>
              <a:latin typeface="Arial" panose="020B0604020202020204" pitchFamily="34" charset="0"/>
              <a:cs typeface="Arial" panose="020B0604020202020204" pitchFamily="34" charset="0"/>
            </a:rPr>
            <a:t>Detalle de asientos y comprobantes contables</a:t>
          </a:r>
        </a:p>
      </xdr:txBody>
    </xdr:sp>
    <xdr:clientData/>
  </xdr:twoCellAnchor>
  <mc:AlternateContent xmlns:mc="http://schemas.openxmlformats.org/markup-compatibility/2006">
    <mc:Choice xmlns:a14="http://schemas.microsoft.com/office/drawing/2010/main" Requires="a14">
      <xdr:twoCellAnchor editAs="oneCell">
        <xdr:from>
          <xdr:col>27</xdr:col>
          <xdr:colOff>9525</xdr:colOff>
          <xdr:row>23</xdr:row>
          <xdr:rowOff>0</xdr:rowOff>
        </xdr:from>
        <xdr:to>
          <xdr:col>27</xdr:col>
          <xdr:colOff>447675</xdr:colOff>
          <xdr:row>32</xdr:row>
          <xdr:rowOff>152400</xdr:rowOff>
        </xdr:to>
        <xdr:sp macro="" textlink="">
          <xdr:nvSpPr>
            <xdr:cNvPr id="2049" name="Scroll Bar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104775</xdr:colOff>
          <xdr:row>0</xdr:row>
          <xdr:rowOff>152400</xdr:rowOff>
        </xdr:from>
        <xdr:to>
          <xdr:col>28</xdr:col>
          <xdr:colOff>190500</xdr:colOff>
          <xdr:row>0</xdr:row>
          <xdr:rowOff>447675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22</xdr:col>
      <xdr:colOff>134470</xdr:colOff>
      <xdr:row>0</xdr:row>
      <xdr:rowOff>134470</xdr:rowOff>
    </xdr:from>
    <xdr:to>
      <xdr:col>25</xdr:col>
      <xdr:colOff>112059</xdr:colOff>
      <xdr:row>0</xdr:row>
      <xdr:rowOff>481852</xdr:rowOff>
    </xdr:to>
    <xdr:sp macro="" textlink="">
      <xdr:nvSpPr>
        <xdr:cNvPr id="15" name="CuadroTexto 14"/>
        <xdr:cNvSpPr txBox="1"/>
      </xdr:nvSpPr>
      <xdr:spPr>
        <a:xfrm>
          <a:off x="10640545" y="134470"/>
          <a:ext cx="1425389" cy="347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latin typeface="Arial" panose="020B0604020202020204" pitchFamily="34" charset="0"/>
              <a:cs typeface="Arial" panose="020B0604020202020204" pitchFamily="34" charset="0"/>
            </a:rPr>
            <a:t>Filtrar por año</a:t>
          </a:r>
        </a:p>
      </xdr:txBody>
    </xdr:sp>
    <xdr:clientData/>
  </xdr:twoCellAnchor>
  <mc:AlternateContent xmlns:mc="http://schemas.openxmlformats.org/markup-compatibility/2006">
    <mc:Choice xmlns:a14="http://schemas.microsoft.com/office/drawing/2010/main" Requires="a14">
      <xdr:twoCellAnchor>
        <xdr:from>
          <xdr:col>2</xdr:col>
          <xdr:colOff>70596</xdr:colOff>
          <xdr:row>23</xdr:row>
          <xdr:rowOff>82923</xdr:rowOff>
        </xdr:from>
        <xdr:to>
          <xdr:col>25</xdr:col>
          <xdr:colOff>258855</xdr:colOff>
          <xdr:row>23</xdr:row>
          <xdr:rowOff>322729</xdr:rowOff>
        </xdr:to>
        <xdr:grpSp>
          <xdr:nvGrpSpPr>
            <xdr:cNvPr id="16" name="Grupo 15"/>
            <xdr:cNvGrpSpPr/>
          </xdr:nvGrpSpPr>
          <xdr:grpSpPr>
            <a:xfrm>
              <a:off x="478810" y="6559923"/>
              <a:ext cx="11767938" cy="239806"/>
              <a:chOff x="462802" y="6022041"/>
              <a:chExt cx="11819965" cy="239806"/>
            </a:xfrm>
          </xdr:grpSpPr>
          <xdr:sp macro="" textlink="">
            <xdr:nvSpPr>
              <xdr:cNvPr id="2051" name="Option Button 3" hidden="1">
                <a:extLst>
                  <a:ext uri="{63B3BB69-23CF-44E3-9099-C40C66FF867C}">
                    <a14:compatExt spid="_x0000_s2051"/>
                  </a:ext>
                </a:extLst>
              </xdr:cNvPr>
              <xdr:cNvSpPr/>
            </xdr:nvSpPr>
            <xdr:spPr bwMode="auto">
              <a:xfrm>
                <a:off x="4177553" y="6024843"/>
                <a:ext cx="304800" cy="2370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2" name="Option Button 4" hidden="1">
                <a:extLst>
                  <a:ext uri="{63B3BB69-23CF-44E3-9099-C40C66FF867C}">
                    <a14:compatExt spid="_x0000_s2052"/>
                  </a:ext>
                </a:extLst>
              </xdr:cNvPr>
              <xdr:cNvSpPr/>
            </xdr:nvSpPr>
            <xdr:spPr bwMode="auto">
              <a:xfrm>
                <a:off x="7177368"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3" name="Option Button 5" hidden="1">
                <a:extLst>
                  <a:ext uri="{63B3BB69-23CF-44E3-9099-C40C66FF867C}">
                    <a14:compatExt spid="_x0000_s2053"/>
                  </a:ext>
                </a:extLst>
              </xdr:cNvPr>
              <xdr:cNvSpPr/>
            </xdr:nvSpPr>
            <xdr:spPr bwMode="auto">
              <a:xfrm>
                <a:off x="11065809"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4" name="Option Button 6" hidden="1">
                <a:extLst>
                  <a:ext uri="{63B3BB69-23CF-44E3-9099-C40C66FF867C}">
                    <a14:compatExt spid="_x0000_s2054"/>
                  </a:ext>
                </a:extLst>
              </xdr:cNvPr>
              <xdr:cNvSpPr/>
            </xdr:nvSpPr>
            <xdr:spPr bwMode="auto">
              <a:xfrm>
                <a:off x="11973485"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5" name="Option Button 7" hidden="1">
                <a:extLst>
                  <a:ext uri="{63B3BB69-23CF-44E3-9099-C40C66FF867C}">
                    <a14:compatExt spid="_x0000_s2055"/>
                  </a:ext>
                </a:extLst>
              </xdr:cNvPr>
              <xdr:cNvSpPr/>
            </xdr:nvSpPr>
            <xdr:spPr bwMode="auto">
              <a:xfrm>
                <a:off x="1612527" y="6028204"/>
                <a:ext cx="304800" cy="2336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6" name="Option Button 8" hidden="1">
                <a:extLst>
                  <a:ext uri="{63B3BB69-23CF-44E3-9099-C40C66FF867C}">
                    <a14:compatExt spid="_x0000_s2056"/>
                  </a:ext>
                </a:extLst>
              </xdr:cNvPr>
              <xdr:cNvSpPr/>
            </xdr:nvSpPr>
            <xdr:spPr bwMode="auto">
              <a:xfrm>
                <a:off x="462802" y="6022041"/>
                <a:ext cx="307041"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20</xdr:row>
          <xdr:rowOff>114300</xdr:rowOff>
        </xdr:from>
        <xdr:to>
          <xdr:col>7</xdr:col>
          <xdr:colOff>38100</xdr:colOff>
          <xdr:row>21</xdr:row>
          <xdr:rowOff>190500</xdr:rowOff>
        </xdr:to>
        <xdr:sp macro="" textlink="">
          <xdr:nvSpPr>
            <xdr:cNvPr id="2057" name="List Box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22412</xdr:colOff>
      <xdr:row>20</xdr:row>
      <xdr:rowOff>145677</xdr:rowOff>
    </xdr:from>
    <xdr:to>
      <xdr:col>4</xdr:col>
      <xdr:colOff>22414</xdr:colOff>
      <xdr:row>21</xdr:row>
      <xdr:rowOff>134470</xdr:rowOff>
    </xdr:to>
    <xdr:sp macro="" textlink="">
      <xdr:nvSpPr>
        <xdr:cNvPr id="24" name="CuadroTexto 23"/>
        <xdr:cNvSpPr txBox="1"/>
      </xdr:nvSpPr>
      <xdr:spPr>
        <a:xfrm>
          <a:off x="422462" y="5870202"/>
          <a:ext cx="1190627" cy="2173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a:latin typeface="Arial" panose="020B0604020202020204" pitchFamily="34" charset="0"/>
              <a:cs typeface="Arial" panose="020B0604020202020204" pitchFamily="34" charset="0"/>
            </a:rPr>
            <a:t>Ordenar</a:t>
          </a:r>
          <a:r>
            <a:rPr lang="es-PA" sz="1200" baseline="0">
              <a:latin typeface="Arial" panose="020B0604020202020204" pitchFamily="34" charset="0"/>
              <a:cs typeface="Arial" panose="020B0604020202020204" pitchFamily="34" charset="0"/>
            </a:rPr>
            <a:t> datos</a:t>
          </a:r>
          <a:endParaRPr lang="es-PA" sz="1200">
            <a:latin typeface="Arial" panose="020B0604020202020204" pitchFamily="34" charset="0"/>
            <a:cs typeface="Arial" panose="020B0604020202020204" pitchFamily="34" charset="0"/>
          </a:endParaRPr>
        </a:p>
      </xdr:txBody>
    </xdr:sp>
    <xdr:clientData/>
  </xdr:twoCellAnchor>
  <xdr:twoCellAnchor>
    <xdr:from>
      <xdr:col>13</xdr:col>
      <xdr:colOff>481852</xdr:colOff>
      <xdr:row>20</xdr:row>
      <xdr:rowOff>56028</xdr:rowOff>
    </xdr:from>
    <xdr:to>
      <xdr:col>16</xdr:col>
      <xdr:colOff>179295</xdr:colOff>
      <xdr:row>21</xdr:row>
      <xdr:rowOff>179292</xdr:rowOff>
    </xdr:to>
    <xdr:sp macro="" textlink="">
      <xdr:nvSpPr>
        <xdr:cNvPr id="25" name="Rectángulo redondeado 24"/>
        <xdr:cNvSpPr/>
      </xdr:nvSpPr>
      <xdr:spPr>
        <a:xfrm>
          <a:off x="6492127" y="5780553"/>
          <a:ext cx="1221443" cy="351864"/>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Exportar</a:t>
          </a:r>
        </a:p>
      </xdr:txBody>
    </xdr:sp>
    <xdr:clientData/>
  </xdr:twoCellAnchor>
  <mc:AlternateContent xmlns:mc="http://schemas.openxmlformats.org/markup-compatibility/2006">
    <mc:Choice xmlns:a14="http://schemas.microsoft.com/office/drawing/2010/main" Requires="a14">
      <xdr:twoCellAnchor editAs="oneCell">
        <xdr:from>
          <xdr:col>9</xdr:col>
          <xdr:colOff>514350</xdr:colOff>
          <xdr:row>20</xdr:row>
          <xdr:rowOff>85725</xdr:rowOff>
        </xdr:from>
        <xdr:to>
          <xdr:col>13</xdr:col>
          <xdr:colOff>142875</xdr:colOff>
          <xdr:row>21</xdr:row>
          <xdr:rowOff>152400</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504265</xdr:colOff>
      <xdr:row>20</xdr:row>
      <xdr:rowOff>56030</xdr:rowOff>
    </xdr:from>
    <xdr:to>
      <xdr:col>9</xdr:col>
      <xdr:colOff>481854</xdr:colOff>
      <xdr:row>21</xdr:row>
      <xdr:rowOff>179294</xdr:rowOff>
    </xdr:to>
    <xdr:sp macro="" textlink="">
      <xdr:nvSpPr>
        <xdr:cNvPr id="27" name="CuadroTexto 26"/>
        <xdr:cNvSpPr txBox="1"/>
      </xdr:nvSpPr>
      <xdr:spPr>
        <a:xfrm>
          <a:off x="3085540" y="5780555"/>
          <a:ext cx="1425389" cy="3518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200">
              <a:latin typeface="Arial" panose="020B0604020202020204" pitchFamily="34" charset="0"/>
              <a:cs typeface="Arial" panose="020B0604020202020204" pitchFamily="34" charset="0"/>
            </a:rPr>
            <a:t>Filtrar por mes</a:t>
          </a:r>
        </a:p>
      </xdr:txBody>
    </xdr:sp>
    <xdr:clientData/>
  </xdr:twoCellAnchor>
  <xdr:twoCellAnchor>
    <xdr:from>
      <xdr:col>2</xdr:col>
      <xdr:colOff>235321</xdr:colOff>
      <xdr:row>23</xdr:row>
      <xdr:rowOff>91888</xdr:rowOff>
    </xdr:from>
    <xdr:to>
      <xdr:col>3</xdr:col>
      <xdr:colOff>324968</xdr:colOff>
      <xdr:row>24</xdr:row>
      <xdr:rowOff>58271</xdr:rowOff>
    </xdr:to>
    <xdr:sp macro="" textlink="">
      <xdr:nvSpPr>
        <xdr:cNvPr id="28" name="CuadroTexto 27"/>
        <xdr:cNvSpPr txBox="1"/>
      </xdr:nvSpPr>
      <xdr:spPr>
        <a:xfrm>
          <a:off x="635371" y="6502213"/>
          <a:ext cx="689722" cy="356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Fecha</a:t>
          </a:r>
        </a:p>
      </xdr:txBody>
    </xdr:sp>
    <xdr:clientData/>
  </xdr:twoCellAnchor>
  <xdr:twoCellAnchor>
    <xdr:from>
      <xdr:col>4</xdr:col>
      <xdr:colOff>264458</xdr:colOff>
      <xdr:row>23</xdr:row>
      <xdr:rowOff>91888</xdr:rowOff>
    </xdr:from>
    <xdr:to>
      <xdr:col>7</xdr:col>
      <xdr:colOff>179294</xdr:colOff>
      <xdr:row>24</xdr:row>
      <xdr:rowOff>58271</xdr:rowOff>
    </xdr:to>
    <xdr:sp macro="" textlink="">
      <xdr:nvSpPr>
        <xdr:cNvPr id="29" name="CuadroTexto 28"/>
        <xdr:cNvSpPr txBox="1"/>
      </xdr:nvSpPr>
      <xdr:spPr>
        <a:xfrm>
          <a:off x="1855133" y="6502213"/>
          <a:ext cx="1438836" cy="356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Área contable</a:t>
          </a:r>
        </a:p>
      </xdr:txBody>
    </xdr:sp>
    <xdr:clientData/>
  </xdr:twoCellAnchor>
  <xdr:twoCellAnchor>
    <xdr:from>
      <xdr:col>9</xdr:col>
      <xdr:colOff>338416</xdr:colOff>
      <xdr:row>23</xdr:row>
      <xdr:rowOff>91888</xdr:rowOff>
    </xdr:from>
    <xdr:to>
      <xdr:col>12</xdr:col>
      <xdr:colOff>253253</xdr:colOff>
      <xdr:row>24</xdr:row>
      <xdr:rowOff>58271</xdr:rowOff>
    </xdr:to>
    <xdr:sp macro="" textlink="">
      <xdr:nvSpPr>
        <xdr:cNvPr id="30" name="CuadroTexto 29"/>
        <xdr:cNvSpPr txBox="1"/>
      </xdr:nvSpPr>
      <xdr:spPr>
        <a:xfrm>
          <a:off x="4367491" y="6502213"/>
          <a:ext cx="1438837" cy="356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Asiento contable</a:t>
          </a:r>
        </a:p>
      </xdr:txBody>
    </xdr:sp>
    <xdr:clientData/>
  </xdr:twoCellAnchor>
  <xdr:twoCellAnchor>
    <xdr:from>
      <xdr:col>15</xdr:col>
      <xdr:colOff>289111</xdr:colOff>
      <xdr:row>23</xdr:row>
      <xdr:rowOff>91888</xdr:rowOff>
    </xdr:from>
    <xdr:to>
      <xdr:col>19</xdr:col>
      <xdr:colOff>448236</xdr:colOff>
      <xdr:row>24</xdr:row>
      <xdr:rowOff>58271</xdr:rowOff>
    </xdr:to>
    <xdr:sp macro="" textlink="">
      <xdr:nvSpPr>
        <xdr:cNvPr id="31" name="CuadroTexto 30"/>
        <xdr:cNvSpPr txBox="1"/>
      </xdr:nvSpPr>
      <xdr:spPr>
        <a:xfrm>
          <a:off x="7366186" y="6502213"/>
          <a:ext cx="2140325" cy="356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Comprobante contable</a:t>
          </a:r>
        </a:p>
      </xdr:txBody>
    </xdr:sp>
    <xdr:clientData/>
  </xdr:twoCellAnchor>
  <xdr:twoCellAnchor>
    <xdr:from>
      <xdr:col>23</xdr:col>
      <xdr:colOff>100854</xdr:colOff>
      <xdr:row>23</xdr:row>
      <xdr:rowOff>91888</xdr:rowOff>
    </xdr:from>
    <xdr:to>
      <xdr:col>24</xdr:col>
      <xdr:colOff>67235</xdr:colOff>
      <xdr:row>24</xdr:row>
      <xdr:rowOff>58271</xdr:rowOff>
    </xdr:to>
    <xdr:sp macro="" textlink="">
      <xdr:nvSpPr>
        <xdr:cNvPr id="32" name="CuadroTexto 31"/>
        <xdr:cNvSpPr txBox="1"/>
      </xdr:nvSpPr>
      <xdr:spPr>
        <a:xfrm>
          <a:off x="11140329" y="6502213"/>
          <a:ext cx="423581" cy="356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200" b="1">
              <a:solidFill>
                <a:schemeClr val="tx1">
                  <a:lumMod val="75000"/>
                  <a:lumOff val="25000"/>
                </a:schemeClr>
              </a:solidFill>
              <a:latin typeface="Arial" panose="020B0604020202020204" pitchFamily="34" charset="0"/>
              <a:cs typeface="Arial" panose="020B0604020202020204" pitchFamily="34" charset="0"/>
            </a:rPr>
            <a:t>DB</a:t>
          </a:r>
        </a:p>
      </xdr:txBody>
    </xdr:sp>
    <xdr:clientData/>
  </xdr:twoCellAnchor>
  <xdr:twoCellAnchor>
    <xdr:from>
      <xdr:col>25</xdr:col>
      <xdr:colOff>89643</xdr:colOff>
      <xdr:row>23</xdr:row>
      <xdr:rowOff>80683</xdr:rowOff>
    </xdr:from>
    <xdr:to>
      <xdr:col>25</xdr:col>
      <xdr:colOff>515470</xdr:colOff>
      <xdr:row>23</xdr:row>
      <xdr:rowOff>336177</xdr:rowOff>
    </xdr:to>
    <xdr:sp macro="" textlink="">
      <xdr:nvSpPr>
        <xdr:cNvPr id="33" name="CuadroTexto 32"/>
        <xdr:cNvSpPr txBox="1"/>
      </xdr:nvSpPr>
      <xdr:spPr>
        <a:xfrm>
          <a:off x="12043518" y="6491008"/>
          <a:ext cx="425827" cy="255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CR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161925</xdr:colOff>
      <xdr:row>12</xdr:row>
      <xdr:rowOff>114300</xdr:rowOff>
    </xdr:from>
    <xdr:to>
      <xdr:col>7</xdr:col>
      <xdr:colOff>323850</xdr:colOff>
      <xdr:row>15</xdr:row>
      <xdr:rowOff>28575</xdr:rowOff>
    </xdr:to>
    <xdr:grpSp>
      <xdr:nvGrpSpPr>
        <xdr:cNvPr id="2" name="7 Grupo"/>
        <xdr:cNvGrpSpPr>
          <a:grpSpLocks/>
        </xdr:cNvGrpSpPr>
      </xdr:nvGrpSpPr>
      <xdr:grpSpPr bwMode="auto">
        <a:xfrm>
          <a:off x="261316" y="2607365"/>
          <a:ext cx="4733925" cy="411232"/>
          <a:chOff x="266700" y="400050"/>
          <a:chExt cx="5781675" cy="400050"/>
        </a:xfrm>
      </xdr:grpSpPr>
      <xdr:pic>
        <xdr:nvPicPr>
          <xdr:cNvPr id="3"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8124" r="52579" b="77000"/>
          <a:stretch>
            <a:fillRect/>
          </a:stretch>
        </xdr:blipFill>
        <xdr:spPr bwMode="auto">
          <a:xfrm>
            <a:off x="266700" y="428625"/>
            <a:ext cx="57816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4" name="3 Rectángulo">
            <a:extLst>
              <a:ext uri="{FF2B5EF4-FFF2-40B4-BE49-F238E27FC236}"/>
            </a:extLst>
          </xdr:cNvPr>
          <xdr:cNvSpPr/>
        </xdr:nvSpPr>
        <xdr:spPr>
          <a:xfrm>
            <a:off x="4361568" y="400050"/>
            <a:ext cx="1058617" cy="3905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xdr:from>
      <xdr:col>1</xdr:col>
      <xdr:colOff>171450</xdr:colOff>
      <xdr:row>16</xdr:row>
      <xdr:rowOff>57150</xdr:rowOff>
    </xdr:from>
    <xdr:to>
      <xdr:col>7</xdr:col>
      <xdr:colOff>295275</xdr:colOff>
      <xdr:row>37</xdr:row>
      <xdr:rowOff>57150</xdr:rowOff>
    </xdr:to>
    <xdr:grpSp>
      <xdr:nvGrpSpPr>
        <xdr:cNvPr id="5" name="6 Grupo"/>
        <xdr:cNvGrpSpPr>
          <a:grpSpLocks/>
        </xdr:cNvGrpSpPr>
      </xdr:nvGrpSpPr>
      <xdr:grpSpPr bwMode="auto">
        <a:xfrm>
          <a:off x="270841" y="3212824"/>
          <a:ext cx="4695825" cy="3478696"/>
          <a:chOff x="4019550" y="1285875"/>
          <a:chExt cx="5391150" cy="4229100"/>
        </a:xfrm>
      </xdr:grpSpPr>
      <xdr:pic>
        <xdr:nvPicPr>
          <xdr:cNvPr id="6"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31172" t="21500" r="24609" b="23000"/>
          <a:stretch>
            <a:fillRect/>
          </a:stretch>
        </xdr:blipFill>
        <xdr:spPr bwMode="auto">
          <a:xfrm>
            <a:off x="4019550" y="1285875"/>
            <a:ext cx="5391150"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7" name="6 Rectángulo">
            <a:extLst>
              <a:ext uri="{FF2B5EF4-FFF2-40B4-BE49-F238E27FC236}"/>
            </a:extLst>
          </xdr:cNvPr>
          <xdr:cNvSpPr/>
        </xdr:nvSpPr>
        <xdr:spPr>
          <a:xfrm>
            <a:off x="4292935" y="3607734"/>
            <a:ext cx="1530955" cy="1776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sp macro="" textlink="">
        <xdr:nvSpPr>
          <xdr:cNvPr id="8" name="7 Rectángulo">
            <a:extLst>
              <a:ext uri="{FF2B5EF4-FFF2-40B4-BE49-F238E27FC236}"/>
            </a:extLst>
          </xdr:cNvPr>
          <xdr:cNvSpPr/>
        </xdr:nvSpPr>
        <xdr:spPr>
          <a:xfrm>
            <a:off x="4325741" y="4851587"/>
            <a:ext cx="1530955" cy="165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editAs="oneCell">
    <xdr:from>
      <xdr:col>1</xdr:col>
      <xdr:colOff>9525</xdr:colOff>
      <xdr:row>0</xdr:row>
      <xdr:rowOff>38100</xdr:rowOff>
    </xdr:from>
    <xdr:to>
      <xdr:col>3</xdr:col>
      <xdr:colOff>571500</xdr:colOff>
      <xdr:row>1</xdr:row>
      <xdr:rowOff>314325</xdr:rowOff>
    </xdr:to>
    <xdr:pic>
      <xdr:nvPicPr>
        <xdr:cNvPr id="9" name="webImgShrinked" descr="Imagen"/>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l="3523" t="14122" b="11342"/>
        <a:stretch>
          <a:fillRect/>
        </a:stretch>
      </xdr:blipFill>
      <xdr:spPr bwMode="auto">
        <a:xfrm>
          <a:off x="104775" y="38100"/>
          <a:ext cx="2085975"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419100</xdr:colOff>
      <xdr:row>17</xdr:row>
      <xdr:rowOff>47625</xdr:rowOff>
    </xdr:from>
    <xdr:to>
      <xdr:col>13</xdr:col>
      <xdr:colOff>400050</xdr:colOff>
      <xdr:row>28</xdr:row>
      <xdr:rowOff>104775</xdr:rowOff>
    </xdr:to>
    <xdr:grpSp>
      <xdr:nvGrpSpPr>
        <xdr:cNvPr id="10" name="11 Grupo"/>
        <xdr:cNvGrpSpPr>
          <a:grpSpLocks/>
        </xdr:cNvGrpSpPr>
      </xdr:nvGrpSpPr>
      <xdr:grpSpPr bwMode="auto">
        <a:xfrm>
          <a:off x="5852491" y="3368951"/>
          <a:ext cx="3790950" cy="1879324"/>
          <a:chOff x="5753100" y="2305050"/>
          <a:chExt cx="3790950" cy="1838325"/>
        </a:xfrm>
      </xdr:grpSpPr>
      <xdr:pic>
        <xdr:nvPicPr>
          <xdr:cNvPr id="11" name="Picture 83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9357" t="36719" r="51855" b="38152"/>
          <a:stretch>
            <a:fillRect/>
          </a:stretch>
        </xdr:blipFill>
        <xdr:spPr bwMode="auto">
          <a:xfrm>
            <a:off x="5753100" y="2305050"/>
            <a:ext cx="3790950"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 name="11 Rectángulo">
            <a:extLst>
              <a:ext uri="{FF2B5EF4-FFF2-40B4-BE49-F238E27FC236}"/>
            </a:extLst>
          </xdr:cNvPr>
          <xdr:cNvSpPr/>
        </xdr:nvSpPr>
        <xdr:spPr>
          <a:xfrm>
            <a:off x="7048500" y="3743325"/>
            <a:ext cx="1228725" cy="381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126804</xdr:colOff>
      <xdr:row>18</xdr:row>
      <xdr:rowOff>180984</xdr:rowOff>
    </xdr:from>
    <xdr:to>
      <xdr:col>39</xdr:col>
      <xdr:colOff>6145</xdr:colOff>
      <xdr:row>28</xdr:row>
      <xdr:rowOff>81642</xdr:rowOff>
    </xdr:to>
    <xdr:sp macro="" textlink="">
      <xdr:nvSpPr>
        <xdr:cNvPr id="11" name="Rounded Rectangle 5">
          <a:extLst>
            <a:ext uri="{FF2B5EF4-FFF2-40B4-BE49-F238E27FC236}">
              <a16:creationId xmlns:a16="http://schemas.microsoft.com/office/drawing/2014/main" xmlns="" id="{00000000-0008-0000-0000-000015000000}"/>
            </a:ext>
          </a:extLst>
        </xdr:cNvPr>
        <xdr:cNvSpPr/>
      </xdr:nvSpPr>
      <xdr:spPr>
        <a:xfrm>
          <a:off x="126804" y="3541948"/>
          <a:ext cx="9390734" cy="1832873"/>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638</xdr:colOff>
      <xdr:row>5</xdr:row>
      <xdr:rowOff>0</xdr:rowOff>
    </xdr:from>
    <xdr:to>
      <xdr:col>39</xdr:col>
      <xdr:colOff>1</xdr:colOff>
      <xdr:row>17</xdr:row>
      <xdr:rowOff>123825</xdr:rowOff>
    </xdr:to>
    <xdr:sp macro="" textlink="">
      <xdr:nvSpPr>
        <xdr:cNvPr id="7" name="Rounded Rectangle 5">
          <a:extLst>
            <a:ext uri="{FF2B5EF4-FFF2-40B4-BE49-F238E27FC236}">
              <a16:creationId xmlns:a16="http://schemas.microsoft.com/office/drawing/2014/main" xmlns="" id="{00000000-0008-0000-0000-000015000000}"/>
            </a:ext>
          </a:extLst>
        </xdr:cNvPr>
        <xdr:cNvSpPr/>
      </xdr:nvSpPr>
      <xdr:spPr>
        <a:xfrm>
          <a:off x="249116" y="886239"/>
          <a:ext cx="9449820" cy="2409825"/>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28575</xdr:colOff>
      <xdr:row>0</xdr:row>
      <xdr:rowOff>9524</xdr:rowOff>
    </xdr:from>
    <xdr:to>
      <xdr:col>22</xdr:col>
      <xdr:colOff>180975</xdr:colOff>
      <xdr:row>2</xdr:row>
      <xdr:rowOff>190499</xdr:rowOff>
    </xdr:to>
    <xdr:sp macro="" textlink="">
      <xdr:nvSpPr>
        <xdr:cNvPr id="2" name="CuadroTexto 1"/>
        <xdr:cNvSpPr txBox="1"/>
      </xdr:nvSpPr>
      <xdr:spPr>
        <a:xfrm>
          <a:off x="28575" y="9524"/>
          <a:ext cx="5848350" cy="561975"/>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en-US" sz="2800" b="1">
              <a:solidFill>
                <a:schemeClr val="bg1"/>
              </a:solidFill>
              <a:effectLst>
                <a:outerShdw blurRad="38100" dist="25400" dir="5400000" algn="t" rotWithShape="0">
                  <a:schemeClr val="bg1">
                    <a:alpha val="40000"/>
                  </a:schemeClr>
                </a:outerShdw>
              </a:effectLst>
              <a:latin typeface="Arial" panose="020B0604020202020204" pitchFamily="34" charset="0"/>
              <a:ea typeface="+mn-ea"/>
              <a:cs typeface="Arial" panose="020B0604020202020204" pitchFamily="34" charset="0"/>
            </a:rPr>
            <a:t>Balance de cuentas de gastos</a:t>
          </a:r>
          <a:endParaRPr lang="es-PA" sz="2800" b="1">
            <a:solidFill>
              <a:schemeClr val="bg1"/>
            </a:solidFill>
            <a:effectLst/>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27</xdr:col>
          <xdr:colOff>74545</xdr:colOff>
          <xdr:row>1</xdr:row>
          <xdr:rowOff>0</xdr:rowOff>
        </xdr:from>
        <xdr:to>
          <xdr:col>30</xdr:col>
          <xdr:colOff>16566</xdr:colOff>
          <xdr:row>2</xdr:row>
          <xdr:rowOff>19050</xdr:rowOff>
        </xdr:to>
        <xdr:sp macro="" textlink="">
          <xdr:nvSpPr>
            <xdr:cNvPr id="3074" name="Drop Dow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24847</xdr:colOff>
          <xdr:row>1</xdr:row>
          <xdr:rowOff>0</xdr:rowOff>
        </xdr:from>
        <xdr:to>
          <xdr:col>35</xdr:col>
          <xdr:colOff>215347</xdr:colOff>
          <xdr:row>2</xdr:row>
          <xdr:rowOff>19050</xdr:rowOff>
        </xdr:to>
        <xdr:sp macro="" textlink="">
          <xdr:nvSpPr>
            <xdr:cNvPr id="3075" name="Drop Down 3"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xdr:colOff>
      <xdr:row>4</xdr:row>
      <xdr:rowOff>0</xdr:rowOff>
    </xdr:from>
    <xdr:to>
      <xdr:col>39</xdr:col>
      <xdr:colOff>5953</xdr:colOff>
      <xdr:row>5</xdr:row>
      <xdr:rowOff>190499</xdr:rowOff>
    </xdr:to>
    <xdr:sp macro="" textlink="">
      <xdr:nvSpPr>
        <xdr:cNvPr id="6" name="Round Same Side Corner Rectangle 8">
          <a:extLst>
            <a:ext uri="{FF2B5EF4-FFF2-40B4-BE49-F238E27FC236}">
              <a16:creationId xmlns:a16="http://schemas.microsoft.com/office/drawing/2014/main" xmlns="" id="{00000000-0008-0000-0000-000014000000}"/>
            </a:ext>
          </a:extLst>
        </xdr:cNvPr>
        <xdr:cNvSpPr/>
      </xdr:nvSpPr>
      <xdr:spPr>
        <a:xfrm>
          <a:off x="250033" y="696516"/>
          <a:ext cx="9513092" cy="380999"/>
        </a:xfrm>
        <a:prstGeom prst="round2SameRect">
          <a:avLst>
            <a:gd name="adj1" fmla="val 50000"/>
            <a:gd name="adj2" fmla="val 0"/>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ln>
                <a:noFill/>
              </a:ln>
              <a:solidFill>
                <a:schemeClr val="bg1"/>
              </a:solidFill>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0</xdr:col>
      <xdr:colOff>124239</xdr:colOff>
      <xdr:row>18</xdr:row>
      <xdr:rowOff>28575</xdr:rowOff>
    </xdr:from>
    <xdr:to>
      <xdr:col>39</xdr:col>
      <xdr:colOff>7723</xdr:colOff>
      <xdr:row>19</xdr:row>
      <xdr:rowOff>123825</xdr:rowOff>
    </xdr:to>
    <xdr:sp macro="" textlink="">
      <xdr:nvSpPr>
        <xdr:cNvPr id="9" name="Round Same Side Corner Rectangle 8">
          <a:extLst>
            <a:ext uri="{FF2B5EF4-FFF2-40B4-BE49-F238E27FC236}">
              <a16:creationId xmlns:a16="http://schemas.microsoft.com/office/drawing/2014/main" xmlns="" id="{00000000-0008-0000-0000-000014000000}"/>
            </a:ext>
          </a:extLst>
        </xdr:cNvPr>
        <xdr:cNvSpPr/>
      </xdr:nvSpPr>
      <xdr:spPr>
        <a:xfrm>
          <a:off x="124239" y="3390643"/>
          <a:ext cx="9436802" cy="285750"/>
        </a:xfrm>
        <a:prstGeom prst="round2SameRect">
          <a:avLst>
            <a:gd name="adj1" fmla="val 50000"/>
            <a:gd name="adj2" fmla="val 0"/>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en-US" sz="1500">
              <a:ln>
                <a:noFill/>
              </a:ln>
              <a:solidFill>
                <a:schemeClr val="bg1"/>
              </a:solidFill>
              <a:effectLst/>
              <a:latin typeface="Arial" panose="020B0604020202020204" pitchFamily="34" charset="0"/>
              <a:ea typeface="+mn-ea"/>
              <a:cs typeface="Arial" panose="020B0604020202020204" pitchFamily="34" charset="0"/>
            </a:rPr>
            <a:t>Detalle</a:t>
          </a:r>
          <a:r>
            <a:rPr lang="en-US" sz="1500">
              <a:solidFill>
                <a:schemeClr val="lt1"/>
              </a:solidFill>
              <a:effectLst>
                <a:outerShdw blurRad="63500" sx="102000" sy="102000" algn="ctr" rotWithShape="0">
                  <a:srgbClr val="000000">
                    <a:alpha val="40000"/>
                  </a:srgbClr>
                </a:outerShdw>
              </a:effectLst>
              <a:latin typeface="+mn-lt"/>
              <a:ea typeface="+mn-ea"/>
              <a:cs typeface="+mn-cs"/>
            </a:rPr>
            <a:t> </a:t>
          </a:r>
          <a:r>
            <a:rPr lang="en-US" sz="1500">
              <a:ln>
                <a:noFill/>
              </a:ln>
              <a:solidFill>
                <a:schemeClr val="bg1"/>
              </a:solidFill>
              <a:effectLst/>
              <a:latin typeface="Arial" panose="020B0604020202020204" pitchFamily="34" charset="0"/>
              <a:ea typeface="+mn-ea"/>
              <a:cs typeface="Arial" panose="020B0604020202020204" pitchFamily="34" charset="0"/>
            </a:rPr>
            <a:t>de</a:t>
          </a:r>
          <a:r>
            <a:rPr lang="en-US" sz="1500">
              <a:solidFill>
                <a:schemeClr val="lt1"/>
              </a:solidFill>
              <a:effectLst>
                <a:outerShdw blurRad="63500" sx="102000" sy="102000" algn="ctr" rotWithShape="0">
                  <a:srgbClr val="000000">
                    <a:alpha val="40000"/>
                  </a:srgbClr>
                </a:outerShdw>
              </a:effectLst>
              <a:latin typeface="+mn-lt"/>
              <a:ea typeface="+mn-ea"/>
              <a:cs typeface="+mn-cs"/>
            </a:rPr>
            <a:t> </a:t>
          </a:r>
          <a:r>
            <a:rPr lang="en-US" sz="1500">
              <a:ln>
                <a:noFill/>
              </a:ln>
              <a:solidFill>
                <a:schemeClr val="bg1"/>
              </a:solidFill>
              <a:effectLst/>
              <a:latin typeface="Arial" panose="020B0604020202020204" pitchFamily="34" charset="0"/>
              <a:ea typeface="+mn-ea"/>
              <a:cs typeface="Arial" panose="020B0604020202020204" pitchFamily="34" charset="0"/>
            </a:rPr>
            <a:t>asientos</a:t>
          </a:r>
          <a:r>
            <a:rPr lang="en-US" sz="1500" baseline="0">
              <a:ln>
                <a:noFill/>
              </a:ln>
              <a:solidFill>
                <a:schemeClr val="bg1"/>
              </a:solidFill>
              <a:effectLst/>
              <a:latin typeface="Arial" panose="020B0604020202020204" pitchFamily="34" charset="0"/>
              <a:ea typeface="+mn-ea"/>
              <a:cs typeface="Arial" panose="020B0604020202020204" pitchFamily="34" charset="0"/>
            </a:rPr>
            <a:t> </a:t>
          </a:r>
          <a:r>
            <a:rPr lang="en-US" sz="1500">
              <a:ln>
                <a:noFill/>
              </a:ln>
              <a:solidFill>
                <a:schemeClr val="bg1"/>
              </a:solidFill>
              <a:effectLst/>
              <a:latin typeface="Arial" panose="020B0604020202020204" pitchFamily="34" charset="0"/>
              <a:ea typeface="+mn-ea"/>
              <a:cs typeface="Arial" panose="020B0604020202020204" pitchFamily="34" charset="0"/>
            </a:rPr>
            <a:t>y</a:t>
          </a:r>
          <a:r>
            <a:rPr lang="en-US" sz="1500" baseline="0">
              <a:ln>
                <a:noFill/>
              </a:ln>
              <a:solidFill>
                <a:schemeClr val="bg1"/>
              </a:solidFill>
              <a:effectLst/>
              <a:latin typeface="Arial" panose="020B0604020202020204" pitchFamily="34" charset="0"/>
              <a:ea typeface="+mn-ea"/>
              <a:cs typeface="Arial" panose="020B0604020202020204" pitchFamily="34" charset="0"/>
            </a:rPr>
            <a:t> c</a:t>
          </a:r>
          <a:r>
            <a:rPr lang="en-US" sz="1500">
              <a:ln>
                <a:noFill/>
              </a:ln>
              <a:solidFill>
                <a:schemeClr val="bg1"/>
              </a:solidFill>
              <a:effectLst/>
              <a:latin typeface="Arial" panose="020B0604020202020204" pitchFamily="34" charset="0"/>
              <a:ea typeface="+mn-ea"/>
              <a:cs typeface="Arial" panose="020B0604020202020204" pitchFamily="34" charset="0"/>
            </a:rPr>
            <a:t>omprobantes</a:t>
          </a:r>
          <a:r>
            <a:rPr lang="en-US" sz="1500">
              <a:solidFill>
                <a:schemeClr val="lt1"/>
              </a:solidFill>
              <a:effectLst>
                <a:outerShdw blurRad="63500" sx="102000" sy="102000" algn="ctr" rotWithShape="0">
                  <a:srgbClr val="000000">
                    <a:alpha val="40000"/>
                  </a:srgbClr>
                </a:outerShdw>
              </a:effectLst>
              <a:latin typeface="+mn-lt"/>
              <a:ea typeface="+mn-ea"/>
              <a:cs typeface="+mn-cs"/>
            </a:rPr>
            <a:t> </a:t>
          </a:r>
          <a:r>
            <a:rPr lang="en-US" sz="1500">
              <a:ln>
                <a:noFill/>
              </a:ln>
              <a:solidFill>
                <a:schemeClr val="bg1"/>
              </a:solidFill>
              <a:effectLst/>
              <a:latin typeface="Arial" panose="020B0604020202020204" pitchFamily="34" charset="0"/>
              <a:ea typeface="+mn-ea"/>
              <a:cs typeface="Arial" panose="020B0604020202020204" pitchFamily="34" charset="0"/>
            </a:rPr>
            <a:t>contables</a:t>
          </a:r>
          <a:endParaRPr lang="es-PA" sz="1500">
            <a:ln>
              <a:noFill/>
            </a:ln>
            <a:solidFill>
              <a:schemeClr val="bg1"/>
            </a:solidFill>
            <a:effectLst/>
            <a:latin typeface="Arial" panose="020B0604020202020204" pitchFamily="34" charset="0"/>
            <a:ea typeface="+mn-ea"/>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38</xdr:col>
          <xdr:colOff>0</xdr:colOff>
          <xdr:row>20</xdr:row>
          <xdr:rowOff>171450</xdr:rowOff>
        </xdr:from>
        <xdr:to>
          <xdr:col>39</xdr:col>
          <xdr:colOff>637</xdr:colOff>
          <xdr:row>26</xdr:row>
          <xdr:rowOff>9525</xdr:rowOff>
        </xdr:to>
        <xdr:sp macro="" textlink="">
          <xdr:nvSpPr>
            <xdr:cNvPr id="3076" name="BarraSeleccion"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26</xdr:row>
          <xdr:rowOff>85725</xdr:rowOff>
        </xdr:from>
        <xdr:to>
          <xdr:col>4</xdr:col>
          <xdr:colOff>95250</xdr:colOff>
          <xdr:row>27</xdr:row>
          <xdr:rowOff>114300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PA" sz="1100" b="0" i="0" u="none" strike="noStrike" baseline="0">
                  <a:solidFill>
                    <a:srgbClr val="000000"/>
                  </a:solidFill>
                  <a:latin typeface="Calibri"/>
                </a:rPr>
                <a:t>Expotar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ocku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Dashboard"/>
      <sheetName val="Data"/>
      <sheetName val="Leyenda"/>
      <sheetName val="Cálculos"/>
      <sheetName val="Mockup"/>
    </sheetNames>
    <definedNames>
      <definedName name="PivotTableSort2"/>
    </definedNames>
    <sheetDataSet>
      <sheetData sheetId="0"/>
      <sheetData sheetId="1"/>
      <sheetData sheetId="2">
        <row r="4">
          <cell r="C4">
            <v>0.8451679830613773</v>
          </cell>
          <cell r="D4">
            <v>0.88121118029160539</v>
          </cell>
          <cell r="E4">
            <v>1</v>
          </cell>
          <cell r="F4">
            <v>1</v>
          </cell>
          <cell r="G4">
            <v>1</v>
          </cell>
          <cell r="H4">
            <v>0.94974613912882788</v>
          </cell>
        </row>
        <row r="5">
          <cell r="C5">
            <v>0</v>
          </cell>
          <cell r="D5">
            <v>0.11878881970839461</v>
          </cell>
          <cell r="E5">
            <v>0</v>
          </cell>
          <cell r="F5">
            <v>0</v>
          </cell>
          <cell r="G5">
            <v>0</v>
          </cell>
          <cell r="H5">
            <v>5.0253860871172118E-2</v>
          </cell>
        </row>
        <row r="6">
          <cell r="C6">
            <v>0.1548320169386227</v>
          </cell>
          <cell r="D6">
            <v>0</v>
          </cell>
          <cell r="E6">
            <v>0</v>
          </cell>
          <cell r="F6">
            <v>0</v>
          </cell>
          <cell r="G6">
            <v>0</v>
          </cell>
          <cell r="H6">
            <v>0</v>
          </cell>
        </row>
      </sheetData>
      <sheetData sheetId="3"/>
      <sheetData sheetId="4">
        <row r="2">
          <cell r="C2" t="str">
            <v>Alimentación</v>
          </cell>
        </row>
      </sheetData>
      <sheetData sheetId="5"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xel Amaya" refreshedDate="43696.638865972222" createdVersion="5" refreshedVersion="5" minRefreshableVersion="3" recordCount="3790">
  <cacheSource type="external" connectionId="1"/>
  <cacheFields count="8">
    <cacheField name="Oficina" numFmtId="0">
      <sharedItems containsSemiMixedTypes="0" containsString="0" containsNumber="1" containsInteger="1" minValue="1" maxValue="196" count="77">
        <n v="1"/>
        <n v="2"/>
        <n v="3"/>
        <n v="4"/>
        <n v="5"/>
        <n v="6"/>
        <n v="7"/>
        <n v="8"/>
        <n v="9"/>
        <n v="10"/>
        <n v="13"/>
        <n v="15"/>
        <n v="16"/>
        <n v="17"/>
        <n v="18"/>
        <n v="19"/>
        <n v="20"/>
        <n v="21"/>
        <n v="22"/>
        <n v="23"/>
        <n v="26"/>
        <n v="28"/>
        <n v="29"/>
        <n v="30"/>
        <n v="32"/>
        <n v="33"/>
        <n v="34"/>
        <n v="35"/>
        <n v="38"/>
        <n v="39"/>
        <n v="40"/>
        <n v="41"/>
        <n v="42"/>
        <n v="43"/>
        <n v="44"/>
        <n v="45"/>
        <n v="46"/>
        <n v="47"/>
        <n v="49"/>
        <n v="51"/>
        <n v="66"/>
        <n v="69"/>
        <n v="70"/>
        <n v="71"/>
        <n v="72"/>
        <n v="73"/>
        <n v="74"/>
        <n v="76"/>
        <n v="77"/>
        <n v="78"/>
        <n v="79"/>
        <n v="80"/>
        <n v="89"/>
        <n v="91"/>
        <n v="95"/>
        <n v="97"/>
        <n v="98"/>
        <n v="101"/>
        <n v="102"/>
        <n v="125"/>
        <n v="154"/>
        <n v="164"/>
        <n v="165"/>
        <n v="196"/>
        <n v="11"/>
        <n v="14"/>
        <n v="27"/>
        <n v="37"/>
        <n v="48"/>
        <n v="53"/>
        <n v="54"/>
        <n v="68"/>
        <n v="99"/>
        <n v="103"/>
        <n v="131"/>
        <n v="157"/>
        <n v="162"/>
      </sharedItems>
    </cacheField>
    <cacheField name="Fecha" numFmtId="0">
      <sharedItems containsSemiMixedTypes="0" containsNonDate="0" containsDate="1" containsString="0" minDate="2019-01-02T00:00:00" maxDate="2019-08-01T00:00:00" count="170">
        <d v="2019-01-25T00:00:00"/>
        <d v="2019-02-09T00:00:00"/>
        <d v="2019-02-25T00:00:00"/>
        <d v="2019-07-25T00:00:00"/>
        <d v="2019-03-09T00:00:00"/>
        <d v="2019-04-25T00:00:00"/>
        <d v="2019-05-10T00:00:00"/>
        <d v="2019-03-25T00:00:00"/>
        <d v="2019-01-10T00:00:00"/>
        <d v="2019-04-10T00:00:00"/>
        <d v="2019-05-25T00:00:00"/>
        <d v="2019-06-10T00:00:00"/>
        <d v="2019-06-25T00:00:00"/>
        <d v="2019-07-10T00:00:00"/>
        <d v="2019-02-27T00:00:00"/>
        <d v="2019-04-16T00:00:00"/>
        <d v="2019-05-07T00:00:00"/>
        <d v="2019-07-19T00:00:00"/>
        <d v="2019-04-29T00:00:00"/>
        <d v="2019-07-29T00:00:00"/>
        <d v="2019-07-30T00:00:00"/>
        <d v="2019-02-04T00:00:00"/>
        <d v="2019-05-17T00:00:00"/>
        <d v="2019-03-12T00:00:00"/>
        <d v="2019-02-14T00:00:00"/>
        <d v="2019-02-20T00:00:00"/>
        <d v="2019-03-18T00:00:00"/>
        <d v="2019-04-01T00:00:00"/>
        <d v="2019-04-26T00:00:00"/>
        <d v="2019-05-03T00:00:00"/>
        <d v="2019-05-13T00:00:00"/>
        <d v="2019-05-21T00:00:00"/>
        <d v="2019-07-15T00:00:00"/>
        <d v="2019-07-16T00:00:00"/>
        <d v="2019-01-16T00:00:00"/>
        <d v="2019-01-18T00:00:00"/>
        <d v="2019-02-19T00:00:00"/>
        <d v="2019-02-22T00:00:00"/>
        <d v="2019-01-21T00:00:00"/>
        <d v="2019-01-30T00:00:00"/>
        <d v="2019-03-20T00:00:00"/>
        <d v="2019-04-04T00:00:00"/>
        <d v="2019-05-14T00:00:00"/>
        <d v="2019-05-27T00:00:00"/>
        <d v="2019-06-04T00:00:00"/>
        <d v="2019-06-14T00:00:00"/>
        <d v="2019-07-05T00:00:00"/>
        <d v="2019-07-22T00:00:00"/>
        <d v="2019-03-23T00:00:00"/>
        <d v="2019-05-09T00:00:00"/>
        <d v="2019-06-06T00:00:00"/>
        <d v="2019-06-08T00:00:00"/>
        <d v="2019-06-19T00:00:00"/>
        <d v="2019-06-24T00:00:00"/>
        <d v="2019-01-14T00:00:00"/>
        <d v="2019-02-21T00:00:00"/>
        <d v="2019-03-07T00:00:00"/>
        <d v="2019-03-30T00:00:00"/>
        <d v="2019-07-26T00:00:00"/>
        <d v="2019-03-29T00:00:00"/>
        <d v="2019-04-08T00:00:00"/>
        <d v="2019-04-15T00:00:00"/>
        <d v="2019-04-24T00:00:00"/>
        <d v="2019-05-31T00:00:00"/>
        <d v="2019-06-26T00:00:00"/>
        <d v="2019-07-18T00:00:00"/>
        <d v="2019-01-29T00:00:00"/>
        <d v="2019-03-15T00:00:00"/>
        <d v="2019-04-09T00:00:00"/>
        <d v="2019-06-17T00:00:00"/>
        <d v="2019-07-27T00:00:00"/>
        <d v="2019-03-19T00:00:00"/>
        <d v="2019-04-11T00:00:00"/>
        <d v="2019-04-23T00:00:00"/>
        <d v="2019-02-18T00:00:00"/>
        <d v="2019-06-27T00:00:00"/>
        <d v="2019-02-05T00:00:00"/>
        <d v="2019-04-22T00:00:00"/>
        <d v="2019-05-15T00:00:00"/>
        <d v="2019-06-29T00:00:00"/>
        <d v="2019-02-01T00:00:00"/>
        <d v="2019-01-17T00:00:00"/>
        <d v="2019-01-24T00:00:00"/>
        <d v="2019-02-08T00:00:00"/>
        <d v="2019-03-27T00:00:00"/>
        <d v="2019-05-20T00:00:00"/>
        <d v="2019-06-18T00:00:00"/>
        <d v="2019-01-08T00:00:00"/>
        <d v="2019-01-11T00:00:00"/>
        <d v="2019-01-28T00:00:00"/>
        <d v="2019-02-13T00:00:00"/>
        <d v="2019-03-22T00:00:00"/>
        <d v="2019-04-03T00:00:00"/>
        <d v="2019-07-02T00:00:00"/>
        <d v="2019-07-08T00:00:00"/>
        <d v="2019-07-12T00:00:00"/>
        <d v="2019-02-16T00:00:00"/>
        <d v="2019-04-12T00:00:00"/>
        <d v="2019-05-02T00:00:00"/>
        <d v="2019-06-13T00:00:00"/>
        <d v="2019-07-24T00:00:00"/>
        <d v="2019-05-08T00:00:00"/>
        <d v="2019-05-22T00:00:00"/>
        <d v="2019-05-28T00:00:00"/>
        <d v="2019-05-29T00:00:00"/>
        <d v="2019-06-21T00:00:00"/>
        <d v="2019-01-03T00:00:00"/>
        <d v="2019-01-05T00:00:00"/>
        <d v="2019-01-31T00:00:00"/>
        <d v="2019-06-15T00:00:00"/>
        <d v="2019-07-03T00:00:00"/>
        <d v="2019-05-06T00:00:00"/>
        <d v="2019-05-11T00:00:00"/>
        <d v="2019-06-07T00:00:00"/>
        <d v="2019-07-04T00:00:00"/>
        <d v="2019-04-02T00:00:00"/>
        <d v="2019-04-27T00:00:00"/>
        <d v="2019-01-07T00:00:00"/>
        <d v="2019-02-06T00:00:00"/>
        <d v="2019-03-13T00:00:00"/>
        <d v="2019-03-28T00:00:00"/>
        <d v="2019-03-08T00:00:00"/>
        <d v="2019-03-14T00:00:00"/>
        <d v="2019-05-30T00:00:00"/>
        <d v="2019-06-11T00:00:00"/>
        <d v="2019-07-13T00:00:00"/>
        <d v="2019-07-17T00:00:00"/>
        <d v="2019-04-30T00:00:00"/>
        <d v="2019-05-16T00:00:00"/>
        <d v="2019-06-01T00:00:00"/>
        <d v="2019-03-02T00:00:00"/>
        <d v="2019-05-18T00:00:00"/>
        <d v="2019-03-11T00:00:00"/>
        <d v="2019-06-22T00:00:00"/>
        <d v="2019-07-09T00:00:00"/>
        <d v="2019-03-01T00:00:00"/>
        <d v="2019-06-12T00:00:00"/>
        <d v="2019-01-02T00:00:00"/>
        <d v="2019-01-15T00:00:00"/>
        <d v="2019-04-05T00:00:00"/>
        <d v="2019-05-23T00:00:00"/>
        <d v="2019-06-28T00:00:00"/>
        <d v="2019-07-20T00:00:00"/>
        <d v="2019-07-11T00:00:00"/>
        <d v="2019-06-03T00:00:00"/>
        <d v="2019-06-20T00:00:00"/>
        <d v="2019-04-06T00:00:00"/>
        <d v="2019-02-12T00:00:00"/>
        <d v="2019-02-26T00:00:00"/>
        <d v="2019-02-11T00:00:00"/>
        <d v="2019-02-02T00:00:00"/>
        <d v="2019-01-23T00:00:00"/>
        <d v="2019-02-15T00:00:00"/>
        <d v="2019-07-31T00:00:00"/>
        <d v="2019-05-04T00:00:00"/>
        <d v="2019-02-07T00:00:00"/>
        <d v="2019-01-04T00:00:00"/>
        <d v="2019-01-19T00:00:00"/>
        <d v="2019-04-17T00:00:00"/>
        <d v="2019-05-24T00:00:00"/>
        <d v="2019-03-26T00:00:00"/>
        <d v="2019-01-22T00:00:00"/>
        <d v="2019-03-16T00:00:00"/>
        <d v="2019-06-05T00:00:00"/>
        <d v="2019-07-23T00:00:00"/>
        <d v="2019-04-13T00:00:00"/>
        <d v="2019-03-06T00:00:00"/>
        <d v="2019-03-21T00:00:00"/>
        <d v="2019-04-18T00:00:00"/>
        <d v="2019-02-28T00:00:00"/>
      </sharedItems>
    </cacheField>
    <cacheField name="Area" numFmtId="0">
      <sharedItems count="39">
        <s v="CAJA"/>
        <s v="SERVICIOS PERSONALES"/>
        <s v="ADMINISTRACION DE SUCURSALES"/>
        <s v="HIPOTECAS"/>
        <s v="GESTION HIPOTECARIA"/>
        <s v="BANCA DE CONSUMO"/>
        <s v="CANALES DE DISTRIBUCION"/>
        <s v="CENTRO DE TARJETAS"/>
        <s v="CANALES ALTERNOS"/>
        <s v="TELEMERCADEO"/>
        <s v="ATM"/>
        <s v="ATENCION A CLIENTES"/>
        <s v="VENTAS CONSUMO"/>
        <s v="FUERZAS DE VENTAS PANAMA"/>
        <s v="FUERZA DE VENTAS AUTOS"/>
        <s v="IMAGEN CORPORATIVA"/>
        <s v="BANCA CORPORATIVA"/>
        <s v="INTERINOS"/>
        <s v="CUENTAS CORPORATIVAS"/>
        <s v="ZONA LIBRE"/>
        <s v="CANALES EXTERNOS HIP"/>
        <s v="PERSONALES"/>
        <s v="AFILIACIONES DE COMERCIOS"/>
        <s v="EMISOR DE TARJETAS"/>
        <s v="DESARROLLO DE PRODUCTOS"/>
        <s v="FUERZA DE VENTAS INTERIOR"/>
        <s v="SEGMENTO DE NEGOCIOS"/>
        <s v="BANCA PRIVADA"/>
        <s v="BANCA COMERCIAL"/>
        <s v="BANCA COMERCIAL INTERIOR"/>
        <s v="BANCA COMERCIAL CENTRO"/>
        <s v="BANCA COMERCIAL PERIFERIA"/>
        <s v="MERCADEO"/>
        <s v="MERCADEO Y PUBLICIDAD"/>
        <s v="SERVICIOS AL CLIENTE"/>
        <s v="AUTOS"/>
        <s v="CAMPAðA"/>
        <s v="OPERACIONES DE CENTRO DE TARJETAS"/>
        <s v="GESTION Y CONTROL CANALES ALTERNOS"/>
      </sharedItems>
    </cacheField>
    <cacheField name="Asiento" numFmtId="0">
      <sharedItems count="39">
        <s v="PAGO NOMINA QUINCENA 2 ENERO 2019"/>
        <s v="PAGO NOMINA QUINCENA 1 FEBRERO 2019"/>
        <s v="PAGO NOMINA QUINCENA 2 FEBRERO 2019"/>
        <s v="PAGO NOMINA QUINCENA 2 JULIO 2019"/>
        <s v="PAGO NOMINA QUINCENA 1 MARZO 2019"/>
        <s v="PAGO NOMINA QUINCENA 2 ABRIL 2019"/>
        <s v="PAGO NOMINA QUINCENA 1 MAYO 2019"/>
        <s v="PAGO NOMINA QUINCENA 2 MARZO 2019"/>
        <s v="PAGO NOMINA QUINCENA 1 ENERO 2019"/>
        <s v="PAGO NOMINA QUINCENA 1 ABRIL 2019"/>
        <s v="PAGO NOMINA QUINCENA 2 MAYO 2019"/>
        <s v="PAGO NOMINA QUINCENA 1 JUNIO 2019"/>
        <s v="PAGO NOMINA QUINCENA 2 JUNIO 2019"/>
        <s v="PAGO NOMINA QUINCENA 1 JULIO 2019"/>
        <s v="PLANILLAS DE LIQUIDACIONES FEB 2019"/>
        <s v="PLANILLAS DE LIQUIDACIONES ABR 2019"/>
        <s v="PLANILLAS DE LIQUIDACIONES MAY 2019"/>
        <s v="PLANILLAS DE LIQUIDACIONES JUL 2019"/>
        <s v="PLANILLAS DE LIQUIDACIONES MAR 2019"/>
        <s v="OTROS EGRESOS 18"/>
        <s v="VIATICOS 2"/>
        <s v="VIATICOS"/>
        <s v="NC VIATICOS"/>
        <s v="CORRRECCION DEL 21/03/2019 POR CAUSA DE REGISTRO DE VIATICO MAL"/>
        <s v="NC ALIMENTACION DE EMPLEADOS NVA"/>
        <s v="ALIMENTACION DE EMPLEADOS CTA NUEVA"/>
        <s v="CORRIGE  RECHAZO 05-JUNIO-2019"/>
        <s v="CORRECCION DE RECHAZO REG. 08/06/2019"/>
        <s v="CORRIGE RECHAZO 05/JUNIO/2019"/>
        <s v="ALIMENTACION DE EMPLEADOS [EMPL]"/>
        <s v="OTROS EGRESOS 17"/>
        <s v="NC  RECONOCIMIENTOS"/>
        <s v="RECONOCIMIENTO"/>
        <s v="PROVISION DEL MES ENERO 2019"/>
        <s v="REVERSI╦N - FEBRERO 2019"/>
        <s v="REVERSION - ABRIL 2019"/>
        <s v="REVERSION MAYO 2019"/>
        <s v="NC GASTO NO DEDUCIBLES"/>
        <s v="GASTOS NO DEDUCIBLES"/>
      </sharedItems>
    </cacheField>
    <cacheField name="Comprobante" numFmtId="0">
      <sharedItems count="263">
        <s v="TRANSACCIONES DEL DIA 01/25/2019 RECURSOS HUMANOS"/>
        <s v="TRANSACCIONES DEL DIA 02/09/2019 RECURSOS HUMANOS"/>
        <s v="TRANSACCIONES DEL DIA 02/25/2019 RECURSOS HUMANOS"/>
        <s v="TRANSACCIONES DEL DIA 07/25/2019 RECURSOS HUMANOS"/>
        <s v="TRANSACCIONES DEL DIA 03/09/2019 RECURSOS HUMANOS"/>
        <s v="TRANSACCIONES DEL DIA 04/25/2019 RECURSOS HUMANOS"/>
        <s v="TRANSACCIONES DEL DIA 05/10/2019 RECURSOS HUMANOS"/>
        <s v="TRANSACCIONES DEL DIA 03/25/2019 RECURSOS HUMANOS"/>
        <s v="TRANSACCIONES DEL DIA 01/10/2019 RECURSOS HUMANOS"/>
        <s v="TRANSACCIONES DEL DIA 04/10/2019 RECURSOS HUMANOS"/>
        <s v="TRANSACCIONES DEL DIA 05/25/2019 RECURSOS HUMANOS"/>
        <s v="TRANSACCIONES DEL DIA 06/10/2019 RECURSOS HUMANOS"/>
        <s v="TRANSACCIONES DEL DIA 06/25/2019 RECURSOS HUMANOS"/>
        <s v="TRANSACCIONES DEL DIA 07/10/2019 RECURSOS HUMANOS"/>
        <s v="TRANSACCIONES DEL DIA 02/27/2019 RECURSOS HUMANOS"/>
        <s v="TRANSACCIONES DEL DIA 04/16/2019 RECURSOS HUMANOS"/>
        <s v="TRANSACCIONES DEL DIA 05/07/2019 RECURSOS HUMANOS"/>
        <s v="TRANSACCIONES DEL DIA 07/19/2019 RECURSOS HUMANOS"/>
        <s v="TRANSACCIONES DEL DIA 04/29/2019 RECURSOS HUMANOS"/>
        <s v="TRANSACCIONES DEL DIA 07/29/2019 RECURSOS HUMANOS"/>
        <s v="TRANSACCIONES DEL DIA 07/30/2019 RECURSOS HUMANOS"/>
        <s v="TRANSACCIONES DEL DIA 02/04/2019 RECURSOS HUMANOS"/>
        <s v="TRANSACCIONES DEL DIA 05/17/2019 RECURSOS HUMANOS"/>
        <s v="TRANSACCIONES DEL DIA 03/12/2019 RECURSOS HUMANOS"/>
        <s v="OTROS EGRESOS 1.P.O (OR:1/DES:1 TRN:86 PERF:300086 CAU: 18"/>
        <s v="OTROS EGRESOS 1.P.O (OR:2/DES:2 TRN:86 PERF:300086 CAU: 18"/>
        <s v="OTROS EGRESOS 1.P.O (OR:3/DES:3 TRN:86 PERF:300086 CAU: 18"/>
        <s v="OTROS EGRESOS 1.P.O (OR:4/DES:4 TRN:86 PERF:300086 CAU: 18"/>
        <s v="OTROS EGRESOS 1.P.O (OR:5/DES:5 TRN:86 PERF:300086 CAU: 18"/>
        <s v="TRANSACCIONES DEL DIA 07/26/2019SPYRAL - GESTION ADMINISTRATIVA"/>
        <s v="TRANSACCIONES DEL DIA 07/25/2019SPYRAL - GESTION ADMINISTRATIVA"/>
        <s v="TRANSACCIONES DEL DIA 03/29/2019SPYRAL - GESTION ADMINISTRATIVA"/>
        <s v="OTROS EGRESOS 1.P.O (OR:6/DES:6 TRN:86 PERF:300086 CAU: 18"/>
        <s v="OTROS EGRESOS 1.P.O (OR:7/DES:7 TRN:86 PERF:300086 CAU: 18"/>
        <s v="OTROS EGRESOS 1.P.O (OR:8/DES:8 TRN:86 PERF:300086 CAU: 18"/>
        <s v="TRANSACCIONES DEL DIA 01/18/2019SPYRAL - GESTION ADMINISTRATIVA"/>
        <s v="OTROS EGRESOS 1.P.O (OR:9/DES:9 TRN:86 PERF:300086 CAU: 18"/>
        <s v="TRANSACCIONES DEL DIA 02/18/2019SPYRAL - GESTION ADMINISTRATIVA"/>
        <s v="TRANSACCIONES DEL DIA 03/20/2019SPYRAL - GESTION ADMINISTRATIVA"/>
        <s v="TRANSACCIONES DEL DIA 06/27/2019SPYRAL - GESTION ADMINISTRATIVA"/>
        <s v="TRANSACCIONES DEL DIA 07/15/2019SPYRAL - GESTION ADMINISTRATIVA"/>
        <s v="OTROS EGRESOS 1.P.O (OR:10/DES:10 TRN:86 PERF:300086 CAU: 18"/>
        <s v="TRANSACCIONES DEL DIA 02/05/2019SPYRAL - GESTION ADMINISTRATIVA"/>
        <s v="TRANSACCIONES DEL DIA 04/15/2019SPYRAL - GESTION ADMINISTRATIVA"/>
        <s v="OTROS EGRESOS 1.P.O (OR:13/DES:13 TRN:86 PERF:300086 CAU: 18"/>
        <s v="OTROS EGRESOS 1.P.O (OR:14/DES:14 TRN:86 PERF:300086 CAU: 18"/>
        <s v="TRANSACCIONES DEL DIA 02/01/2019SPYRAL - GESTION ADMINISTRATIVA"/>
        <s v="OTROS EGRESOS 1.P.O (OR:15/DES:15 TRN:86 PERF:300086 CAU: 18"/>
        <s v="TRANSACCIONES DEL DIA 01/24/2019SPYRAL - GESTION ADMINISTRATIVA"/>
        <s v="TRANSACCIONES DEL DIA 03/27/2019SPYRAL - GESTION ADMINISTRATIVA"/>
        <s v="TRANSACCIONES DEL DIA 05/20/2019SPYRAL - GESTION ADMINISTRATIVA"/>
        <s v="OTROS EGRESOS 1.P.O (OR:16/DES:16 TRN:86 PERF:300086 CAU: 18"/>
        <s v="OTROS EGRESOS 1.P.O (OR:17/DES:17 TRN:86 PERF:300086 CAU: 18"/>
        <s v="OTROS EGRESOS 1.P.O (OR:18/DES:18 TRN:86 PERF:300086 CAU: 18"/>
        <s v="OTROS EGRESOS 1.P.O (OR:19/DES:19 TRN:86 PERF:300086 CAU: 18"/>
        <s v="OTROS EGRESOS 1.P.O (OR:20/DES:20 TRN:86 PERF:300086 CAU: 18"/>
        <s v="OTROS EGRESOS 1.P.O (OR:21/DES:21 TRN:86 PERF:300086 CAU: 18"/>
        <s v="OTROS EGRESOS 1.P.O (OR:22/DES:22 TRN:86 PERF:300086 CAU: 18"/>
        <s v="TRANSACCIONES DEL DIA 06/15/2019SPYRAL - GESTION ADMINISTRATIVA"/>
        <s v="OTROS EGRESOS 1.P.O (OR:23/DES:23 TRN:86 PERF:300086 CAU: 18"/>
        <s v="OTROS EGRESOS 1.P.O (OR:26/DES:26 TRN:86 PERF:300086 CAU: 18"/>
        <s v="TRANSACCIONES DEL DIA 02/27/2019SPYRAL - GESTION ADMINISTRATIVA"/>
        <s v="TRANSACCIONES DEL DIA 04/02/2019SPYRAL - GESTION ADMINISTRATIVA"/>
        <s v="TRANSACCIONES DEL DIA 04/26/2019SPYRAL - GESTION ADMINISTRATIVA"/>
        <s v="OTROS EGRESOS 1.P.O (OR:28/DES:28 TRN:86 PERF:300086 CAU: 18"/>
        <s v="OTROS EGRESOS 1.P.O (OR:29/DES:29 TRN:86 PERF:300086 CAU: 18"/>
        <s v="TRANSACCIONES DEL DIA 01/16/2019SPYRAL - GESTION ADMINISTRATIVA"/>
        <s v="TRANSACCIONES DEL DIA 02/04/2019SPYRAL - GESTION ADMINISTRATIVA"/>
        <s v="TRANSACCIONES DEL DIA 02/06/2019SPYRAL - GESTION ADMINISTRATIVA"/>
        <s v="TRANSACCIONES DEL DIA 03/13/2019SPYRAL - GESTION ADMINISTRATIVA"/>
        <s v="TRANSACCIONES DEL DIA 03/28/2019SPYRAL - GESTION ADMINISTRATIVA"/>
        <s v="TRANSACCIONES DEL DIA 04/22/2019SPYRAL - GESTION ADMINISTRATIVA"/>
        <s v="TRANSACCIONES DEL DIA 05/21/2019SPYRAL - GESTION ADMINISTRATIVA"/>
        <s v="TRANSACCIONES DEL DIA 05/27/2019SPYRAL - GESTION ADMINISTRATIVA"/>
        <s v="TRANSACCIONES DEL DIA 05/29/2019SPYRAL - GESTION ADMINISTRATIVA"/>
        <s v="OTROS EGRESOS 1.P.O (OR:32/DES:32 TRN:86 PERF:300086 CAU: 18"/>
        <s v="OTROS EGRESOS 1.P.O (OR:33/DES:33 TRN:86 PERF:300086 CAU: 18"/>
        <s v="TRANSACCIONES DEL DIA 03/23/2019SPYRAL - GESTION ADMINISTRATIVA"/>
        <s v="TRANSACCIONES DEL DIA 05/09/2019SPYRAL - GESTION ADMINISTRATIVA"/>
        <s v="TRANSACCIONES DEL DIA 06/11/2019SPYRAL - GESTION ADMINISTRATIVA"/>
        <s v="TRANSACCIONES DEL DIA 07/02/2019SPYRAL - GESTION ADMINISTRATIVA"/>
        <s v="TRANSACCIONES DEL DIA 07/13/2019SPYRAL - GESTION ADMINISTRATIVA"/>
        <s v="TRANSACCIONES DEL DIA 07/17/2019SPYRAL - GESTION ADMINISTRATIVA"/>
        <s v="TRANSACCIONES DEL DIA 04/30/2019SPYRAL - GESTION ADMINISTRATIVA"/>
        <s v="TRANSACCIONES DEL DIA 05/16/2019SPYRAL - GESTION ADMINISTRATIVA"/>
        <s v="TRANSACCIONES DEL DIA 06/01/2019SPYRAL - GESTION ADMINISTRATIVA"/>
        <s v="TRANSACCIONES DEL DIA 07/16/2019SPYRAL - GESTION ADMINISTRATIVA"/>
        <s v="TRANSACCIONES DEL DIA 07/30/2019SPYRAL - GESTION ADMINISTRATIVA"/>
        <s v="TRANSACCIONES DEL DIA 04/04/2019SPYRAL - GESTION ADMINISTRATIVA"/>
        <s v="OTROS EGRESOS 1.P.O (OR:34/DES:34 TRN:86 PERF:300086 CAU: 18"/>
        <s v="TRANSACCIONES DEL DIA 02/13/2019SPYRAL - GESTION ADMINISTRATIVA"/>
        <s v="TRANSACCIONES DEL DIA 04/16/2019SPYRAL - GESTION ADMINISTRATIVA"/>
        <s v="OTROS EGRESOS 1.P.O (OR:35/DES:35 TRN:86 PERF:300086 CAU: 18"/>
        <s v="OTROS EGRESOS 1.P.O (OR:37/DES:37 TRN:86 PERF:300086 CAU: 18"/>
        <s v="TRANSACCIONES DEL DIA 06/04/2019SPYRAL - GESTION ADMINISTRATIVA"/>
        <s v="TRANSACCIONES DEL DIA 07/05/2019SPYRAL - GESTION ADMINISTRATIVA"/>
        <s v="OTROS EGRESOS 1.P.O (OR:38/DES:38 TRN:86 PERF:300086 CAU: 18"/>
        <s v="TRANSACCIONES DEL DIA 05/18/2019SPYRAL - GESTION ADMINISTRATIVA"/>
        <s v="TRANSACCIONES DEL DIA 01/03/2019SPYRAL - GESTION ADMINISTRATIVA"/>
        <s v="TRANSACCIONES DEL DIA 02/08/2019SPYRAL - GESTION ADMINISTRATIVA"/>
        <s v="TRANSACCIONES DEL DIA 03/11/2019SPYRAL - GESTION ADMINISTRATIVA"/>
        <s v="TRANSACCIONES DEL DIA 05/07/2019SPYRAL - GESTION ADMINISTRATIVA"/>
        <s v="TRANSACCIONES DEL DIA 06/22/2019SPYRAL - GESTION ADMINISTRATIVA"/>
        <s v="TRANSACCIONES DEL DIA 06/25/2019SPYRAL - GESTION ADMINISTRATIVA"/>
        <s v="TRANSACCIONES DEL DIA 07/09/2019SPYRAL - GESTION ADMINISTRATIVA"/>
        <s v="OTROS EGRESOS 1.P.O (OR:39/DES:39 TRN:86 PERF:300086 CAU: 18"/>
        <s v="OTROS EGRESOS 1.P.O (OR:40/DES:40 TRN:86 PERF:300086 CAU: 18"/>
        <s v="TRANSACCIONES DEL DIA 06/14/2019SPYRAL - GESTION ADMINISTRATIVA"/>
        <s v="TRANSACCIONES DEL DIA 01/02/2019SPYRAL - GESTION ADMINISTRATIVA"/>
        <s v="TRANSACCIONES DEL DIA 01/15/2019SPYRAL - GESTION ADMINISTRATIVA"/>
        <s v="TRANSACCIONES DEL DIA 04/05/2019SPYRAL - GESTION ADMINISTRATIVA"/>
        <s v="TRANSACCIONES DEL DIA 03/01/2019SPYRAL - GESTION ADMINISTRATIVA"/>
        <s v="TRANSACCIONES DEL DIA 03/14/2019SPYRAL - GESTION ADMINISTRATIVA"/>
        <s v="TRANSACCIONES DEL DIA 04/01/2019SPYRAL - GESTION ADMINISTRATIVA"/>
        <s v="TRANSACCIONES DEL DIA 04/12/2019SPYRAL - GESTION ADMINISTRATIVA"/>
        <s v="OTROS EGRESOS 1.P.O (OR:41/DES:41 TRN:86 PERF:300086 CAU: 18"/>
        <s v="OTROS EGRESOS 1.P.O (OR:42/DES:42 TRN:86 PERF:300086 CAU: 18"/>
        <s v="TRANSACCIONES DEL DIA 07/20/2019SPYRAL - GESTION ADMINISTRATIVA"/>
        <s v="TRANSACCIONES DEL DIA 07/29/2019SPYRAL - GESTION ADMINISTRATIVA"/>
        <s v="OTROS EGRESOS 1.P.O (OR:43/DES:43 TRN:86 PERF:300086 CAU: 18"/>
        <s v="OTROS EGRESOS 1.P.O (OR:44/DES:44 TRN:86 PERF:300086 CAU: 18"/>
        <s v="OTROS EGRESOS 1.P.O (OR:45/DES:45 TRN:86 PERF:300086 CAU: 18"/>
        <s v="OTROS EGRESOS 1.P.O (OR:46/DES:46 TRN:86 PERF:300086 CAU: 18"/>
        <s v="TRANSACCIONES DEL DIA 04/24/2019SPYRAL - GESTION ADMINISTRATIVA"/>
        <s v="TRANSACCIONES DEL DIA 04/29/2019SPYRAL - GESTION ADMINISTRATIVA"/>
        <s v="TRANSACCIONES DEL DIA 05/10/2019SPYRAL - GESTION ADMINISTRATIVA"/>
        <s v="TRANSACCIONES DEL DIA 06/06/2019SPYRAL - GESTION ADMINISTRATIVA"/>
        <s v="TRANSACCIONES DEL DIA 06/20/2019SPYRAL - GESTION ADMINISTRATIVA"/>
        <s v="OTROS EGRESOS 1.P.O (OR:47/DES:47 TRN:86 PERF:300086 CAU: 18"/>
        <s v="TRANSACCIONES DEL DIA 01/08/2019SPYRAL - GESTION ADMINISTRATIVA"/>
        <s v="OTROS EGRESOS 1.P.O (OR:48/DES:48 TRN:86 PERF:300086 CAU: 18"/>
        <s v="TRANSACCIONES DEL DIA 02/26/2019SPYRAL - GESTION ADMINISTRATIVA"/>
        <s v="TRANSACCIONES DEL DIA 05/03/2019SPYRAL - GESTION ADMINISTRATIVA"/>
        <s v="OTROS EGRESOS 1.P.O (OR:51/DES:51 TRN:86 PERF:300086 CAU: 18"/>
        <s v="OTROS EGRESOS 1.P.O (OR:53/DES:53 TRN:86 PERF:300086 CAU: 18"/>
        <s v="TRANSACCIONES DEL DIA 03/08/2019SPYRAL - GESTION ADMINISTRATIVA"/>
        <s v="TRANSACCIONES DEL DIA 03/25/2019SPYRAL - GESTION ADMINISTRATIVA"/>
        <s v="TRANSACCIONES DEL DIA 05/22/2019SPYRAL - GESTION ADMINISTRATIVA"/>
        <s v="TRANSACCIONES DEL DIA 01/11/2019SPYRAL - GESTION ADMINISTRATIVA"/>
        <s v="OTROS EGRESOS 1.P.O (OR:66/DES:66 TRN:86 PERF:300086 CAU: 18"/>
        <s v="OTROS EGRESOS 1.P.O (OR:68/DES:68 TRN:86 PERF:300086 CAU: 18"/>
        <s v="OTROS EGRESOS 1.P.O (OR:69/DES:69 TRN:86 PERF:300086 CAU: 18"/>
        <s v="OTROS EGRESOS 1.P.O (OR:70/DES:70 TRN:86 PERF:300086 CAU: 18"/>
        <s v="OTROS EGRESOS 1.P.O (OR:71/DES:71 TRN:86 PERF:300086 CAU: 18"/>
        <s v="OTROS EGRESOS 1.P.O (OR:72/DES:72 TRN:86 PERF:300086 CAU: 18"/>
        <s v="OTROS EGRESOS 1.P.O (OR:73/DES:73 TRN:86 PERF:300086 CAU: 18"/>
        <s v="TRANSACCIONES DEL DIA 05/06/2019SPYRAL - GESTION ADMINISTRATIVA"/>
        <s v="TRANSACCIONES DEL DIA 05/15/2019SPYRAL - GESTION ADMINISTRATIVA"/>
        <s v="OTROS EGRESOS 1.P.O (OR:74/DES:74 TRN:86 PERF:300086 CAU: 18"/>
        <s v="OTROS EGRESOS 1.P.O (OR:76/DES:76 TRN:86 PERF:300086 CAU: 18"/>
        <s v="TRANSACCIONES DEL DIA 05/08/2019SPYRAL - GESTION ADMINISTRATIVA"/>
        <s v="TRANSACCIONES DEL DIA 05/14/2019SPYRAL - GESTION ADMINISTRATIVA"/>
        <s v="TRANSACCIONES DEL DIA 05/25/2019SPYRAL - GESTION ADMINISTRATIVA"/>
        <s v="TRANSACCIONES DEL DIA 06/13/2019SPYRAL - GESTION ADMINISTRATIVA"/>
        <s v="OTROS EGRESOS 1.P.O (OR:77/DES:77 TRN:86 PERF:300086 CAU: 18"/>
        <s v="OTROS EGRESOS 1.P.O (OR:78/DES:78 TRN:86 PERF:300086 CAU: 18"/>
        <s v="OTROS EGRESOS 1.P.O (OR:79/DES:79 TRN:86 PERF:300086 CAU: 18"/>
        <s v="OTROS EGRESOS 1.P.O (OR:80/DES:80 TRN:86 PERF:300086 CAU: 18"/>
        <s v="OTROS EGRESOS 1.P.O (OR:89/DES:89 TRN:86 PERF:300086 CAU: 18"/>
        <s v="CORRECCION DE REGISTRO DE VIATICO MAL POSTEADO"/>
        <s v="TRANSACCIONES DEL DIA 01/19/2019SPYRAL - GESTION ADMINISTRATIVA"/>
        <s v="TRANSACCIONES DEL DIA 02/15/2019SPYRAL - GESTION ADMINISTRATIVA"/>
        <s v="TRANSACCIONES DEL DIA 03/22/2019SPYRAL - GESTION ADMINISTRATIVA"/>
        <s v="TRANSACCIONES DEL DIA 05/17/2019SPYRAL - GESTION ADMINISTRATIVA"/>
        <s v="TRANSACCIONES DEL DIA 07/12/2019SPYRAL - GESTION ADMINISTRATIVA"/>
        <s v="TRANSACCIONES DEL DIA 07/18/2019SPYRAL - GESTION ADMINISTRATIVA"/>
        <s v="TRANSACCIONES DEL DIA 07/11/2019SPYRAL - GESTION ADMINISTRATIVA"/>
        <s v="TRANSACCIONES DEL DIA 02/14/2019SPYRAL - GESTION ADMINISTRATIVA"/>
        <s v="TRANSACCIONES DEL DIA 02/19/2019SPYRAL - GESTION ADMINISTRATIVA"/>
        <s v="TRANSACCIONES DEL DIA 02/20/2019SPYRAL - GESTION ADMINISTRATIVA"/>
        <s v="TRANSACCIONES DEL DIA 02/21/2019SPYRAL - GESTION ADMINISTRATIVA"/>
        <s v="TRANSACCIONES DEL DIA 02/22/2019SPYRAL - GESTION ADMINISTRATIVA"/>
        <s v="TRANSACCIONES DEL DIA 02/25/2019SPYRAL - GESTION ADMINISTRATIVA"/>
        <s v="TRANSACCIONES DEL DIA 03/15/2019SPYRAL - GESTION ADMINISTRATIVA"/>
        <s v="TRANSACCIONES DEL DIA 04/17/2019SPYRAL - GESTION ADMINISTRATIVA"/>
        <s v="TRANSACCIONES DEL DIA 05/24/2019SPYRAL - GESTION ADMINISTRATIVA"/>
        <s v="TRANSACCIONES DEL DIA 05/30/2019SPYRAL - GESTION ADMINISTRATIVA"/>
        <s v="TRANSACCIONES DEL DIA 06/07/2019SPYRAL - GESTION ADMINISTRATIVA"/>
        <s v="TRANSACCIONES DEL DIA 06/08/2019SPYRAL - GESTION ADMINISTRATIVA"/>
        <s v="TRANSACCIONES DEL DIA 06/21/2019SPYRAL - GESTION ADMINISTRATIVA"/>
        <s v="TRANSACCIONES DEL DIA 07/08/2019SPYRAL - GESTION ADMINISTRATIVA"/>
        <s v="TRANSACCIONES DEL DIA 01/04/2019SPYRAL - GESTION ADMINISTRATIVA"/>
        <s v="TRANSACCIONES DEL DIA 02/12/2019SPYRAL - GESTION ADMINISTRATIVA"/>
        <s v="TRANSACCIONES DEL DIA 03/09/2019SPYRAL - GESTION ADMINISTRATIVA"/>
        <s v="TRANSACCIONES DEL DIA 03/12/2019SPYRAL - GESTION ADMINISTRATIVA"/>
        <s v="TRANSACCIONES DEL DIA 03/26/2019SPYRAL - GESTION ADMINISTRATIVA"/>
        <s v="TRANSACCIONES DEL DIA 06/10/2019SPYRAL - GESTION ADMINISTRATIVA"/>
        <s v="TRANSACCIONES DEL DIA 06/26/2019SPYRAL - GESTION ADMINISTRATIVA"/>
        <s v="TRANSACCIONES DEL DIA 06/28/2019SPYRAL - GESTION ADMINISTRATIVA"/>
        <s v="TRANSACCIONES DEL DIA 07/03/2019SPYRAL - GESTION ADMINISTRATIVA"/>
        <s v="TRANSACCIONES DEL DIA 01/17/2019SPYRAL - GESTION ADMINISTRATIVA"/>
        <s v="TRANSACCIONES DEL DIA 01/22/2019SPYRAL - GESTION ADMINISTRATIVA"/>
        <s v="TRANSACCIONES DEL DIA 02/11/2019SPYRAL - GESTION ADMINISTRATIVA"/>
        <s v="TRANSACCIONES DEL DIA 03/07/2019SPYRAL - GESTION ADMINISTRATIVA"/>
        <s v="TRANSACCIONES DEL DIA 03/16/2019SPYRAL - GESTION ADMINISTRATIVA"/>
        <s v="TRANSACCIONES DEL DIA 04/06/2019SPYRAL - GESTION ADMINISTRATIVA"/>
        <s v="TRANSACCIONES DEL DIA 04/08/2019SPYRAL - GESTION ADMINISTRATIVA"/>
        <s v="TRANSACCIONES DEL DIA 05/02/2019SPYRAL - GESTION ADMINISTRATIVA"/>
        <s v="TRANSACCIONES DEL DIA 05/28/2019SPYRAL - GESTION ADMINISTRATIVA"/>
        <s v="TRANSACCIONES DEL DIA 06/03/2019SPYRAL - GESTION ADMINISTRATIVA"/>
        <s v="TRANSACCIONES DEL DIA 06/05/2019SPYRAL - GESTION ADMINISTRATIVA"/>
        <s v="TRANSACCIONES DEL DIA 07/19/2019SPYRAL - GESTION ADMINISTRATIVA"/>
        <s v="TRANSACCIONES DEL DIA 07/23/2019SPYRAL - GESTION ADMINISTRATIVA"/>
        <s v="TRANSACCIONES DEL DIA 07/04/2019SPYRAL - GESTION ADMINISTRATIVA"/>
        <s v="TRANSACCIONES DEL DIA 06/18/2019SPYRAL - GESTION ADMINISTRATIVA"/>
        <s v="TRANSACCIONES DEL DIA 04/11/2019SPYRAL - GESTION ADMINISTRATIVA"/>
        <s v="TRANSACCIONES DEL DIA 04/25/2019SPYRAL - GESTION ADMINISTRATIVA"/>
        <s v="TRANSACCIONES DEL DIA 07/10/2019SPYRAL - GESTION ADMINISTRATIVA"/>
        <s v="TRANSACCIONES DEL DIA 06/24/2019SPYRAL - GESTION ADMINISTRATIVA"/>
        <s v="TRANSACCIONES DEL DIA 01/10/2019SPYRAL - GESTION ADMINISTRATIVA"/>
        <s v="TRANSACCIONES DEL DIA 01/14/2019SPYRAL - GESTION ADMINISTRATIVA"/>
        <s v="TRANSACCIONES DEL DIA 01/29/2019SPYRAL - GESTION ADMINISTRATIVA"/>
        <s v="TRANSACCIONES DEL DIA 01/30/2019SPYRAL - GESTION ADMINISTRATIVA"/>
        <s v="TRANSACCIONES DEL DIA 04/09/2019SPYRAL - GESTION ADMINISTRATIVA"/>
        <s v="TRANSACCIONES DEL DIA 04/13/2019SPYRAL - GESTION ADMINISTRATIVA"/>
        <s v="TRANSACCIONES DEL DIA 05/04/2019SPYRAL - GESTION ADMINISTRATIVA"/>
        <s v="TRANSACCIONES DEL DIA 05/13/2019SPYRAL - GESTION ADMINISTRATIVA"/>
        <s v="TRANSACCIONES DEL DIA 02/07/2019SPYRAL - GESTION ADMINISTRATIVA"/>
        <s v="TRANSACCIONES DEL DIA 03/06/2019SPYRAL - GESTION ADMINISTRATIVA"/>
        <s v="TRANSACCIONES DEL DIA 03/21/2019SPYRAL - GESTION ADMINISTRATIVA"/>
        <s v="TRANSACCIONES DEL DIA 07/24/2019SPYRAL - GESTION ADMINISTRATIVA"/>
        <s v="TRANSACCIONES DEL DIA 04/18/2019SPYRAL - GESTION ADMINISTRATIVA"/>
        <s v="TRANSACCIONES DEL DIA 01/21/2019SPYRAL - GESTION ADMINISTRATIVA"/>
        <s v="TRANSACCIONES DEL DIA 01/25/2019SPYRAL - GESTION ADMINISTRATIVA"/>
        <s v="TRANSACCIONES DEL DIA 02/02/2019SPYRAL - GESTION ADMINISTRATIVA"/>
        <s v="TRANSACCIONES DEL DIA 02/09/2019SPYRAL - GESTION ADMINISTRATIVA"/>
        <s v="TRANSACCIONES DEL DIA 03/18/2019SPYRAL - GESTION ADMINISTRATIVA"/>
        <s v="TRANSACCIONES DEL DIA 04/23/2019SPYRAL - GESTION ADMINISTRATIVA"/>
        <s v="TRANSACCIONES DEL DIA 06/19/2019SPYRAL - GESTION ADMINISTRATIVA"/>
        <s v="TRANSACCIONES DEL DIA 03/19/2019SPYRAL - GESTION ADMINISTRATIVA"/>
        <s v="TRANSACCIONES DEL DIA 04/03/2019SPYRAL - GESTION ADMINISTRATIVA"/>
        <s v="TRANSACCIONES DEL DIA 01/28/2019SPYRAL - GESTION ADMINISTRATIVA"/>
        <s v="TRANSACCIONES DEL DIA 02/16/2019SPYRAL - GESTION ADMINISTRATIVA"/>
        <s v="TRANSACCIONES DEL DIA 01/07/2019SPYRAL - GESTION ADMINISTRATIVA"/>
        <s v="TRANSACCIONES DEL DIA 05/23/2019SPYRAL - GESTION ADMINISTRATIVA"/>
        <s v="TRANSACCIONES DEL DIA 06/12/2019SPYRAL - GESTION ADMINISTRATIVA"/>
        <s v="TRANSACCIONES DEL DIA 06/17/2019SPYRAL - GESTION ADMINISTRATIVA"/>
        <s v="OTROS EGRESOS 1.P.O (OR:95/DES:95 TRN:86 PERF:300086 CAU: 18"/>
        <s v="OTROS EGRESOS 1.P.O (OR:97/DES:97 TRN:86 PERF:300086 CAU: 18"/>
        <s v="OTROS EGRESOS 1.P.O (OR:98/DES:98 TRN:86 PERF:300086 CAU: 18"/>
        <s v="OTROS EGRESOS 1.P.O (OR:99/DES:99 TRN:86 PERF:300086 CAU: 18"/>
        <s v="OTROS EGRESOS 1.P.O (OR:101/DES:101 TRN:86 PERF:300086 CAU: 18"/>
        <s v="OTROS EGRESOS 1.P.O (OR:103/DES:103 TRN:86 PERF:300086 CAU: 18"/>
        <s v="OTROS EGRESOS 1.P.O (OR:125/DES:125 TRN:86 PERF:300086 CAU: 18"/>
        <s v="OTROS EGRESOS 1.P.O (OR:131/DES:131 TRN:86 PERF:300086 CAU: 18"/>
        <s v="OTROS EGRESOS 1.P.O (OR:154/DES:154 TRN:86 PERF:300086 CAU: 18"/>
        <s v="OTROS EGRESOS 1.P.O (OR:157/DES:157 TRN:86 PERF:300086 CAU: 18"/>
        <s v="OTROS EGRESOS 1.P.O (OR:162/DES:162 TRN:86 PERF:300086 CAU: 18"/>
        <s v="OTROS EGRESOS 1.P.O (OR:164/DES:164 TRN:86 PERF:300086 CAU: 18"/>
        <s v="OTROS EGRESOS 1.P.O (OR:165/DES:165 TRN:86 PERF:300086 CAU: 18"/>
        <s v="OTROS EGRESOS 1.P.O (OR:196/DES:196 TRN:86 PERF:300086 CAU: 18"/>
        <s v="CORRECCION DE RECHAZOS EN LA INTERFAZ CONTABLE"/>
        <s v="REGISTRO DE ENTRADA DE ADMINISTRACION"/>
        <s v="TRANSACCIONES DEL DIA 07/27/2019SPYRAL - GESTION ADMINISTRATIVA"/>
        <s v="TRANSACCIONES DEL DIA 01/23/2019SPYRAL - GESTION ADMINISTRATIVA"/>
        <s v="TRANSACCIONES DEL DIA 01/31/2019SPYRAL - GESTION ADMINISTRATIVA"/>
        <s v="TRANSACCIONES DEL DIA 01/05/2019SPYRAL - GESTION ADMINISTRATIVA"/>
        <s v="TRANSACCIONES DEL DIA 07/22/2019SPYRAL - GESTION ADMINISTRATIVA"/>
        <s v="TRANSACCIONES DEL DIA 04/10/2019SPYRAL - GESTION ADMINISTRATIVA"/>
        <s v="OTROS EGRESOS 1.P.O (OR:54/DES:54 TRN:86 PERF:300086 CAU: 17"/>
        <s v="OTROS EGRESOS 1.P.O (OR:162/DES:162 TRN:86 PERF:300086 CAU: 17"/>
        <s v="PROVISION CUENTA DE RECONOCIMIENTOS"/>
        <s v="REVERSION PROVISION CUENTA DE RECONOCIMIENTOS"/>
      </sharedItems>
    </cacheField>
    <cacheField name="Debito" numFmtId="0">
      <sharedItems containsSemiMixedTypes="0" containsString="0" containsNumber="1" minValue="0" maxValue="48000" count="1883">
        <n v="14.86"/>
        <n v="28.99"/>
        <n v="159.63"/>
        <n v="27.42"/>
        <n v="37.57"/>
        <n v="38.03"/>
        <n v="34.630000000000003"/>
        <n v="30.38"/>
        <n v="35.85"/>
        <n v="67.34"/>
        <n v="72.31"/>
        <n v="16.78"/>
        <n v="65.59"/>
        <n v="34.770000000000003"/>
        <n v="12.59"/>
        <n v="23.39"/>
        <n v="60.62"/>
        <n v="61"/>
        <n v="447.12"/>
        <n v="341.28"/>
        <n v="642.38"/>
        <n v="128.72"/>
        <n v="138.13"/>
        <n v="733.55"/>
        <n v="665.62"/>
        <n v="969.56"/>
        <n v="646.41"/>
        <n v="1181.26"/>
        <n v="471.73"/>
        <n v="484.74"/>
        <n v="618.82000000000005"/>
        <n v="681.89"/>
        <n v="637.09"/>
        <n v="860.35"/>
        <n v="879.61"/>
        <n v="839.9"/>
        <n v="873.5"/>
        <n v="32.01"/>
        <n v="48.99"/>
        <n v="31.77"/>
        <n v="23.73"/>
        <n v="13.14"/>
        <n v="96.22"/>
        <n v="38.090000000000003"/>
        <n v="7.26"/>
        <n v="81.55"/>
        <n v="13.32"/>
        <n v="21.92"/>
        <n v="9.5"/>
        <n v="66.95"/>
        <n v="458.67"/>
        <n v="414.52"/>
        <n v="307.33999999999997"/>
        <n v="371.65"/>
        <n v="59.91"/>
        <n v="488.85"/>
        <n v="298.99"/>
        <n v="290.17"/>
        <n v="360.46"/>
        <n v="473.77"/>
        <n v="307.27999999999997"/>
        <n v="351.43"/>
        <n v="475.27"/>
        <n v="11.08"/>
        <n v="48.03"/>
        <n v="29.15"/>
        <n v="27.99"/>
        <n v="45.08"/>
        <n v="43.11"/>
        <n v="81.08"/>
        <n v="47.78"/>
        <n v="83.57"/>
        <n v="723.12"/>
        <n v="544.92999999999995"/>
        <n v="714.31"/>
        <n v="739.91"/>
        <n v="75.819999999999993"/>
        <n v="1090.04"/>
        <n v="906.64"/>
        <n v="745.21"/>
        <n v="504.84"/>
        <n v="597.71"/>
        <n v="1045.49"/>
        <n v="1177.53"/>
        <n v="1192.95"/>
        <n v="757.32"/>
        <n v="566.5"/>
        <n v="52.04"/>
        <n v="27.18"/>
        <n v="27.72"/>
        <n v="38.9"/>
        <n v="64.92"/>
        <n v="48.4"/>
        <n v="27.47"/>
        <n v="29.05"/>
        <n v="19.899999999999999"/>
        <n v="60.7"/>
        <n v="43.5"/>
        <n v="18.510000000000002"/>
        <n v="37.36"/>
        <n v="31.9"/>
        <n v="29.64"/>
        <n v="16.88"/>
        <n v="24.81"/>
        <n v="70.28"/>
        <n v="44.6"/>
        <n v="47.09"/>
        <n v="29.99"/>
        <n v="88.26"/>
        <n v="527.12"/>
        <n v="296.87"/>
        <n v="200.77"/>
        <n v="162.05000000000001"/>
        <n v="256.25"/>
        <n v="238"/>
        <n v="349.69"/>
        <n v="486.85"/>
        <n v="368.43"/>
        <n v="250.08"/>
        <n v="518.83000000000004"/>
        <n v="635.95000000000005"/>
        <n v="453.9"/>
        <n v="423.51"/>
        <n v="14.18"/>
        <n v="14.12"/>
        <n v="44.01"/>
        <n v="44.84"/>
        <n v="48.33"/>
        <n v="1470.44"/>
        <n v="1046.49"/>
        <n v="859.78"/>
        <n v="717.11"/>
        <n v="976.58"/>
        <n v="523.55999999999995"/>
        <n v="743.95"/>
        <n v="430.92"/>
        <n v="1143.8499999999999"/>
        <n v="1334.36"/>
        <n v="1708.41"/>
        <n v="1424.84"/>
        <n v="1660.09"/>
        <n v="1098.96"/>
        <n v="34.21"/>
        <n v="77.290000000000006"/>
        <n v="21.76"/>
        <n v="26.84"/>
        <n v="82.95"/>
        <n v="98.4"/>
        <n v="60.14"/>
        <n v="150.13"/>
        <n v="48.98"/>
        <n v="122.52"/>
        <n v="85.88"/>
        <n v="112.16"/>
        <n v="135.44"/>
        <n v="112.93"/>
        <n v="9.8000000000000007"/>
        <n v="26.33"/>
        <n v="409.39"/>
        <n v="1011.2"/>
        <n v="947.29"/>
        <n v="812.98"/>
        <n v="287.85000000000002"/>
        <n v="371.73"/>
        <n v="523.57000000000005"/>
        <n v="409.61"/>
        <n v="384.42"/>
        <n v="571.58000000000004"/>
        <n v="703.22"/>
        <n v="1072.24"/>
        <n v="684.15"/>
        <n v="339.11"/>
        <n v="492.39"/>
        <n v="6.74"/>
        <n v="13.79"/>
        <n v="33.229999999999997"/>
        <n v="199.9"/>
        <n v="61.08"/>
        <n v="25.32"/>
        <n v="105.95"/>
        <n v="42.15"/>
        <n v="73.2"/>
        <n v="481.58"/>
        <n v="256.69"/>
        <n v="414.19"/>
        <n v="308.57"/>
        <n v="261.7"/>
        <n v="260.81"/>
        <n v="454.53"/>
        <n v="427.96"/>
        <n v="440.66"/>
        <n v="554.16"/>
        <n v="695.86"/>
        <n v="507.4"/>
        <n v="706.08"/>
        <n v="635.51"/>
        <n v="19.25"/>
        <n v="26.38"/>
        <n v="27.06"/>
        <n v="58.42"/>
        <n v="19.38"/>
        <n v="110.17"/>
        <n v="21.27"/>
        <n v="74.62"/>
        <n v="627.95000000000005"/>
        <n v="351.07"/>
        <n v="478.22"/>
        <n v="395.45"/>
        <n v="199.74"/>
        <n v="294.52"/>
        <n v="684.66"/>
        <n v="644.11"/>
        <n v="365.42"/>
        <n v="808.05"/>
        <n v="336.32"/>
        <n v="583.38"/>
        <n v="575.63"/>
        <n v="430.45"/>
        <n v="14.14"/>
        <n v="26.35"/>
        <n v="25.11"/>
        <n v="42.8"/>
        <n v="28.31"/>
        <n v="15.46"/>
        <n v="13.43"/>
        <n v="132.22"/>
        <n v="10.29"/>
        <n v="31.65"/>
        <n v="14.46"/>
        <n v="37.47"/>
        <n v="45.85"/>
        <n v="19.39"/>
        <n v="12.27"/>
        <n v="6.79"/>
        <n v="13.64"/>
        <n v="28.12"/>
        <n v="10.27"/>
        <n v="20.25"/>
        <n v="61.93"/>
        <n v="147.4"/>
        <n v="77.08"/>
        <n v="127.17"/>
        <n v="69.34"/>
        <n v="30.08"/>
        <n v="52.97"/>
        <n v="101.66"/>
        <n v="27.65"/>
        <n v="68.180000000000007"/>
        <n v="792.61"/>
        <n v="1065.3599999999999"/>
        <n v="983.14"/>
        <n v="536.64"/>
        <n v="708.43"/>
        <n v="369.72"/>
        <n v="560.6"/>
        <n v="59.78"/>
        <n v="396.19"/>
        <n v="597.52"/>
        <n v="936.65"/>
        <n v="683.32"/>
        <n v="478.91"/>
        <n v="551.41"/>
        <n v="402.95"/>
        <n v="12.8"/>
        <n v="10.6"/>
        <n v="17.7"/>
        <n v="72.849999999999994"/>
        <n v="22.19"/>
        <n v="136.5"/>
        <n v="130.29"/>
        <n v="50.37"/>
        <n v="17.510000000000002"/>
        <n v="59.16"/>
        <n v="23.57"/>
        <n v="30.67"/>
        <n v="21.09"/>
        <n v="67.13"/>
        <n v="91.9"/>
        <n v="27.14"/>
        <n v="20.86"/>
        <n v="303.73"/>
        <n v="263.83999999999997"/>
        <n v="387.82"/>
        <n v="231.33"/>
        <n v="480.58"/>
        <n v="456.32"/>
        <n v="443.45"/>
        <n v="379.26"/>
        <n v="355.04"/>
        <n v="365.4"/>
        <n v="513.57000000000005"/>
        <n v="617.16"/>
        <n v="531.46"/>
        <n v="540.30999999999995"/>
        <n v="34.229999999999997"/>
        <n v="45.54"/>
        <n v="46.57"/>
        <n v="143.35"/>
        <n v="76.97"/>
        <n v="55.92"/>
        <n v="50.33"/>
        <n v="17.600000000000001"/>
        <n v="63.64"/>
        <n v="28.72"/>
        <n v="32.130000000000003"/>
        <n v="77.209999999999994"/>
        <n v="103.76"/>
        <n v="84.8"/>
        <n v="99.42"/>
        <n v="131.81"/>
        <n v="82.59"/>
        <n v="152.47999999999999"/>
        <n v="20.72"/>
        <n v="56.89"/>
        <n v="88.69"/>
        <n v="122.35"/>
        <n v="203.87"/>
        <n v="123.55"/>
        <n v="132.77000000000001"/>
        <n v="173.93"/>
        <n v="77.61"/>
        <n v="12.49"/>
        <n v="25.48"/>
        <n v="39.479999999999997"/>
        <n v="60.19"/>
        <n v="558.33000000000004"/>
        <n v="456.75"/>
        <n v="123.44"/>
        <n v="140.37"/>
        <n v="277.94"/>
        <n v="165.12"/>
        <n v="277.35000000000002"/>
        <n v="138.5"/>
        <n v="125.81"/>
        <n v="250.17"/>
        <n v="391.96"/>
        <n v="414.36"/>
        <n v="277.51"/>
        <n v="253.81"/>
        <n v="40.99"/>
        <n v="61.62"/>
        <n v="15.73"/>
        <n v="64.510000000000005"/>
        <n v="61.3"/>
        <n v="37.83"/>
        <n v="125.74"/>
        <n v="30.68"/>
        <n v="20.170000000000002"/>
        <n v="107.83"/>
        <n v="17.45"/>
        <n v="193.97"/>
        <n v="324.77"/>
        <n v="41.31"/>
        <n v="138.09"/>
        <n v="85.85"/>
        <n v="567.08000000000004"/>
        <n v="246.08"/>
        <n v="209.59"/>
        <n v="319.01"/>
        <n v="258.82"/>
        <n v="231.75"/>
        <n v="247.25"/>
        <n v="330.37"/>
        <n v="114.74"/>
        <n v="252.32"/>
        <n v="213.47"/>
        <n v="292.72000000000003"/>
        <n v="318.88"/>
        <n v="16.68"/>
        <n v="250.81"/>
        <n v="108.28"/>
        <n v="77.64"/>
        <n v="30.16"/>
        <n v="32.380000000000003"/>
        <n v="22.88"/>
        <n v="119.39"/>
        <n v="54.25"/>
        <n v="46.01"/>
        <n v="58.94"/>
        <n v="384.96"/>
        <n v="397.34"/>
        <n v="295.97000000000003"/>
        <n v="127.85"/>
        <n v="297.5"/>
        <n v="87.89"/>
        <n v="214.42"/>
        <n v="149.43"/>
        <n v="215.34"/>
        <n v="305.62"/>
        <n v="329.75"/>
        <n v="330.73"/>
        <n v="170.64"/>
        <n v="246.93"/>
        <n v="90.79"/>
        <n v="21.74"/>
        <n v="37.630000000000003"/>
        <n v="25.63"/>
        <n v="38.42"/>
        <n v="40"/>
        <n v="91.09"/>
        <n v="95.62"/>
        <n v="52.96"/>
        <n v="386.75"/>
        <n v="455.83"/>
        <n v="264.37"/>
        <n v="215.46"/>
        <n v="181.12"/>
        <n v="242.02"/>
        <n v="322.91000000000003"/>
        <n v="321.02999999999997"/>
        <n v="259.92"/>
        <n v="486.39"/>
        <n v="216.64"/>
        <n v="318.58999999999997"/>
        <n v="217.88"/>
        <n v="257.58"/>
        <n v="26.94"/>
        <n v="25.26"/>
        <n v="15.93"/>
        <n v="39.42"/>
        <n v="69.680000000000007"/>
        <n v="40.04"/>
        <n v="73.849999999999994"/>
        <n v="24.18"/>
        <n v="33.020000000000003"/>
        <n v="80.47"/>
        <n v="63.58"/>
        <n v="80.37"/>
        <n v="35.520000000000003"/>
        <n v="449.4"/>
        <n v="95.48"/>
        <n v="39.020000000000003"/>
        <n v="132.91"/>
        <n v="155.74"/>
        <n v="226.17"/>
        <n v="168.11"/>
        <n v="183.98"/>
        <n v="226.28"/>
        <n v="208.07"/>
        <n v="241.12"/>
        <n v="477.64"/>
        <n v="812.13"/>
        <n v="18.760000000000002"/>
        <n v="10.71"/>
        <n v="31.22"/>
        <n v="29.77"/>
        <n v="36.82"/>
        <n v="42.17"/>
        <n v="85.06"/>
        <n v="514.46"/>
        <n v="65.680000000000007"/>
        <n v="212.88"/>
        <n v="243.25"/>
        <n v="247.68"/>
        <n v="397.66"/>
        <n v="163.58000000000001"/>
        <n v="204.36"/>
        <n v="303.57"/>
        <n v="210.56"/>
        <n v="306.8"/>
        <n v="402.87"/>
        <n v="392.27"/>
        <n v="287.68"/>
        <n v="55.12"/>
        <n v="49.31"/>
        <n v="24.36"/>
        <n v="77.55"/>
        <n v="108.33"/>
        <n v="107.54"/>
        <n v="83.96"/>
        <n v="12.91"/>
        <n v="12.15"/>
        <n v="26.03"/>
        <n v="5.6"/>
        <n v="39.33"/>
        <n v="13.8"/>
        <n v="85.58"/>
        <n v="50.11"/>
        <n v="24.96"/>
        <n v="75.709999999999994"/>
        <n v="29.29"/>
        <n v="13.04"/>
        <n v="45.01"/>
        <n v="79.08"/>
        <n v="37.64"/>
        <n v="18.420000000000002"/>
        <n v="20.75"/>
        <n v="9.89"/>
        <n v="34.840000000000003"/>
        <n v="93.66"/>
        <n v="63.22"/>
        <n v="51.37"/>
        <n v="28.57"/>
        <n v="41.44"/>
        <n v="50.49"/>
        <n v="83.32"/>
        <n v="88.18"/>
        <n v="86.68"/>
        <n v="62.72"/>
        <n v="57.16"/>
        <n v="1342.37"/>
        <n v="1172.44"/>
        <n v="725.25"/>
        <n v="639.91999999999996"/>
        <n v="827.43"/>
        <n v="562.41"/>
        <n v="557.19000000000005"/>
        <n v="539.51"/>
        <n v="671.12"/>
        <n v="980.37"/>
        <n v="985.64"/>
        <n v="1352.47"/>
        <n v="828.89"/>
        <n v="834.96"/>
        <n v="57.39"/>
        <n v="114.95"/>
        <n v="60.58"/>
        <n v="61.2"/>
        <n v="72.62"/>
        <n v="123.33"/>
        <n v="130.63999999999999"/>
        <n v="108.19"/>
        <n v="269.23"/>
        <n v="137.13"/>
        <n v="275.07"/>
        <n v="117.15"/>
        <n v="410.35"/>
        <n v="27.34"/>
        <n v="26.83"/>
        <n v="19.329999999999998"/>
        <n v="39.01"/>
        <n v="45.98"/>
        <n v="9.67"/>
        <n v="17.62"/>
        <n v="103.86"/>
        <n v="166.93"/>
        <n v="83.16"/>
        <n v="10.050000000000001"/>
        <n v="29.34"/>
        <n v="45.5"/>
        <n v="13.77"/>
        <n v="28.02"/>
        <n v="23.72"/>
        <n v="23.89"/>
        <n v="25.31"/>
        <n v="14.35"/>
        <n v="254.22"/>
        <n v="134.93"/>
        <n v="85.49"/>
        <n v="101.38"/>
        <n v="105.88"/>
        <n v="105.12"/>
        <n v="229.69"/>
        <n v="82.01"/>
        <n v="132.81"/>
        <n v="159.69999999999999"/>
        <n v="140"/>
        <n v="149.97999999999999"/>
        <n v="121.62"/>
        <n v="83.18"/>
        <n v="42.78"/>
        <n v="87.46"/>
        <n v="13.02"/>
        <n v="38.590000000000003"/>
        <n v="68.19"/>
        <n v="105.16"/>
        <n v="318.22000000000003"/>
        <n v="259.77"/>
        <n v="1189.81"/>
        <n v="518.6"/>
        <n v="542.38"/>
        <n v="328.77"/>
        <n v="312.97000000000003"/>
        <n v="683.57"/>
        <n v="254.94"/>
        <n v="249.64"/>
        <n v="344.62"/>
        <n v="616.58000000000004"/>
        <n v="111.49"/>
        <n v="7.31"/>
        <n v="767.82"/>
        <n v="10767.85"/>
        <n v="691.7"/>
        <n v="2484.4899999999998"/>
        <n v="519.55999999999995"/>
        <n v="25.14"/>
        <n v="1499.58"/>
        <n v="273.02999999999997"/>
        <n v="26.43"/>
        <n v="51.85"/>
        <n v="90.45"/>
        <n v="147.93"/>
        <n v="49.9"/>
        <n v="22.38"/>
        <n v="24.26"/>
        <n v="94.12"/>
        <n v="132.47"/>
        <n v="9.9600000000000009"/>
        <n v="20.9"/>
        <n v="123.3"/>
        <n v="138.41"/>
        <n v="327.85"/>
        <n v="164.7"/>
        <n v="150.58000000000001"/>
        <n v="99.97"/>
        <n v="18.37"/>
        <n v="13.97"/>
        <n v="23.05"/>
        <n v="30.39"/>
        <n v="50.79"/>
        <n v="2823.18"/>
        <n v="838"/>
        <n v="4.68"/>
        <n v="5620.07"/>
        <n v="983.17"/>
        <n v="1232.6199999999999"/>
        <n v="1283.31"/>
        <n v="2980.22"/>
        <n v="61.81"/>
        <n v="1738.68"/>
        <n v="1065.6300000000001"/>
        <n v="2.27"/>
        <n v="653.96"/>
        <n v="3294.23"/>
        <n v="944.15"/>
        <n v="804.21"/>
        <n v="1408.96"/>
        <n v="1290.4100000000001"/>
        <n v="27.2"/>
        <n v="516.86"/>
        <n v="83.12"/>
        <n v="673.32"/>
        <n v="151.41"/>
        <n v="506.95"/>
        <n v="156.97"/>
        <n v="444.29"/>
        <n v="16088.95"/>
        <n v="2256.5"/>
        <n v="2309.17"/>
        <n v="11432.58"/>
        <n v="537.59"/>
        <n v="910.15"/>
        <n v="930.71"/>
        <n v="1142.21"/>
        <n v="123.45"/>
        <n v="1127.55"/>
        <n v="191.12"/>
        <n v="305.36"/>
        <n v="158.78"/>
        <n v="519.46"/>
        <n v="537.95000000000005"/>
        <n v="1368.34"/>
        <n v="329.69"/>
        <n v="1553.8"/>
        <n v="163.72"/>
        <n v="39.43"/>
        <n v="271.64999999999998"/>
        <n v="86.5"/>
        <n v="37.49"/>
        <n v="181.36"/>
        <n v="29.16"/>
        <n v="47.61"/>
        <n v="111.83"/>
        <n v="13.68"/>
        <n v="50.38"/>
        <n v="42.39"/>
        <n v="159.55000000000001"/>
        <n v="173.16"/>
        <n v="219.83"/>
        <n v="129.44999999999999"/>
        <n v="98.19"/>
        <n v="142.01"/>
        <n v="206.84"/>
        <n v="233.45"/>
        <n v="365.3"/>
        <n v="9.5500000000000007"/>
        <n v="32.5"/>
        <n v="173.81"/>
        <n v="42.2"/>
        <n v="50.62"/>
        <n v="29.42"/>
        <n v="24.4"/>
        <n v="56.43"/>
        <n v="29.35"/>
        <n v="12.62"/>
        <n v="51.31"/>
        <n v="81.11"/>
        <n v="32.450000000000003"/>
        <n v="64.22"/>
        <n v="65.63"/>
        <n v="543.25"/>
        <n v="358.78"/>
        <n v="411.2"/>
        <n v="486.58"/>
        <n v="474.74"/>
        <n v="516.62"/>
        <n v="414.01"/>
        <n v="391.03"/>
        <n v="448.2"/>
        <n v="522.20000000000005"/>
        <n v="401.95"/>
        <n v="594.01"/>
        <n v="562.02"/>
        <n v="481.35"/>
        <n v="31.75"/>
        <n v="6.56"/>
        <n v="412.97"/>
        <n v="71.099999999999994"/>
        <n v="59.35"/>
        <n v="16.690000000000001"/>
        <n v="7.42"/>
        <n v="9.66"/>
        <n v="334.93"/>
        <n v="83.6"/>
        <n v="22.42"/>
        <n v="37.5"/>
        <n v="20.239999999999998"/>
        <n v="106.5"/>
        <n v="182.59"/>
        <n v="186.05"/>
        <n v="262.45"/>
        <n v="36.630000000000003"/>
        <n v="17.670000000000002"/>
        <n v="57.69"/>
        <n v="144.43"/>
        <n v="28.91"/>
        <n v="27.71"/>
        <n v="80.13"/>
        <n v="26.02"/>
        <n v="31.11"/>
        <n v="44.13"/>
        <n v="100.79"/>
        <n v="23.25"/>
        <n v="11.3"/>
        <n v="5"/>
        <n v="10"/>
        <n v="2.25"/>
        <n v="3"/>
        <n v="2"/>
        <n v="2.5"/>
        <n v="20.5"/>
        <n v="10.25"/>
        <n v="6.85"/>
        <n v="4.5"/>
        <n v="9.1999999999999993"/>
        <n v="4.75"/>
        <n v="2.7"/>
        <n v="2.4"/>
        <n v="8.35"/>
        <n v="1.8"/>
        <n v="5.55"/>
        <n v="7.15"/>
        <n v="6"/>
        <n v="18.399999999999999"/>
        <n v="4.8"/>
        <n v="6.75"/>
        <n v="7.6"/>
        <n v="14.7"/>
        <n v="7.35"/>
        <n v="3.95"/>
        <n v="4.2"/>
        <n v="2.1"/>
        <n v="3.7"/>
        <n v="130"/>
        <n v="18"/>
        <n v="137.5"/>
        <n v="100"/>
        <n v="122"/>
        <n v="46.4"/>
        <n v="44.4"/>
        <n v="25.9"/>
        <n v="16.399999999999999"/>
        <n v="9"/>
        <n v="8.4"/>
        <n v="126"/>
        <n v="19"/>
        <n v="25"/>
        <n v="12"/>
        <n v="10.5"/>
        <n v="12.08"/>
        <n v="5.25"/>
        <n v="3.15"/>
        <n v="7.45"/>
        <n v="51.2"/>
        <n v="12.65"/>
        <n v="3.6"/>
        <n v="21.6"/>
        <n v="3.5"/>
        <n v="14"/>
        <n v="70"/>
        <n v="359"/>
        <n v="6.6"/>
        <n v="143"/>
        <n v="6.5"/>
        <n v="6.4"/>
        <n v="51.6"/>
        <n v="42"/>
        <n v="41.6"/>
        <n v="43.4"/>
        <n v="32"/>
        <n v="46"/>
        <n v="64"/>
        <n v="11.15"/>
        <n v="9.65"/>
        <n v="19.489999999999998"/>
        <n v="536.4"/>
        <n v="29.33"/>
        <n v="132"/>
        <n v="33.65"/>
        <n v="172"/>
        <n v="30.77"/>
        <n v="0"/>
        <n v="20"/>
        <n v="96"/>
        <n v="31.3"/>
        <n v="16.350000000000001"/>
        <n v="26"/>
        <n v="34"/>
        <n v="60"/>
        <n v="52"/>
        <n v="120"/>
        <n v="676"/>
        <n v="338"/>
        <n v="432"/>
        <n v="572"/>
        <n v="221"/>
        <n v="50"/>
        <n v="15"/>
        <n v="22.5"/>
        <n v="110.5"/>
        <n v="2.75"/>
        <n v="4"/>
        <n v="306"/>
        <n v="234"/>
        <n v="216"/>
        <n v="149.5"/>
        <n v="17.399999999999999"/>
        <n v="52.2"/>
        <n v="34.799999999999997"/>
        <n v="139.19999999999999"/>
        <n v="147.9"/>
        <n v="95.7"/>
        <n v="69.599999999999994"/>
        <n v="7"/>
        <n v="28"/>
        <n v="144"/>
        <n v="131"/>
        <n v="312"/>
        <n v="114"/>
        <n v="182"/>
        <n v="77"/>
        <n v="98"/>
        <n v="84"/>
        <n v="168"/>
        <n v="91"/>
        <n v="266"/>
        <n v="16"/>
        <n v="242"/>
        <n v="183.93"/>
        <n v="359.78"/>
        <n v="22"/>
        <n v="193"/>
        <n v="44"/>
        <n v="88"/>
        <n v="171.6"/>
        <n v="187.2"/>
        <n v="6.3"/>
        <n v="8.9499999999999993"/>
        <n v="5.4"/>
        <n v="36"/>
        <n v="11.5"/>
        <n v="3.25"/>
        <n v="30"/>
        <n v="162.5"/>
        <n v="8"/>
        <n v="24"/>
        <n v="76"/>
        <n v="126.5"/>
        <n v="39"/>
        <n v="59.3"/>
        <n v="7.4"/>
        <n v="16.7"/>
        <n v="2.9"/>
        <n v="14.55"/>
        <n v="7.65"/>
        <n v="380"/>
        <n v="152"/>
        <n v="117"/>
        <n v="4.05"/>
        <n v="22.05"/>
        <n v="8.6999999999999993"/>
        <n v="2.65"/>
        <n v="7.2"/>
        <n v="0.3"/>
        <n v="1.1000000000000001"/>
        <n v="23.85"/>
        <n v="23"/>
        <n v="32.200000000000003"/>
        <n v="14.95"/>
        <n v="383.94"/>
        <n v="7.28"/>
        <n v="36.799999999999997"/>
        <n v="4.5999999999999996"/>
        <n v="6.9"/>
        <n v="93.15"/>
        <n v="180"/>
        <n v="4902.58"/>
        <n v="77.650000000000006"/>
        <n v="114.25"/>
        <n v="102.8"/>
        <n v="121.75"/>
        <n v="184.2"/>
        <n v="150.44999999999999"/>
        <n v="86.05"/>
        <n v="73"/>
        <n v="1539.2"/>
        <n v="353.6"/>
        <n v="20.8"/>
        <n v="74.400000000000006"/>
        <n v="35"/>
        <n v="1451.8"/>
        <n v="56"/>
        <n v="63.2"/>
        <n v="22.17"/>
        <n v="205.8"/>
        <n v="11"/>
        <n v="9.6"/>
        <n v="28.95"/>
        <n v="796.6"/>
        <n v="9.43"/>
        <n v="412.62"/>
        <n v="20.67"/>
        <n v="190"/>
        <n v="220"/>
        <n v="303.89999999999998"/>
        <n v="796.5"/>
        <n v="382.02"/>
        <n v="120.6"/>
        <n v="675.9"/>
        <n v="140.46"/>
        <n v="40.4"/>
        <n v="139.03"/>
        <n v="2549.17"/>
        <n v="2322.9"/>
        <n v="719.83"/>
        <n v="1578.84"/>
        <n v="150"/>
        <n v="29.4"/>
        <n v="85"/>
        <n v="1050.5999999999999"/>
        <n v="39.9"/>
        <n v="21"/>
        <n v="1026.1199999999999"/>
        <n v="366.01"/>
        <n v="56.9"/>
        <n v="195.57"/>
        <n v="136"/>
        <n v="293.3"/>
        <n v="90.01"/>
        <n v="235.9"/>
        <n v="1083.51"/>
        <n v="70.23"/>
        <n v="107"/>
        <n v="19.399999999999999"/>
        <n v="919"/>
        <n v="1322.7"/>
        <n v="30.26"/>
        <n v="235"/>
        <n v="167.3"/>
        <n v="59"/>
        <n v="90"/>
        <n v="4.28"/>
        <n v="263.01"/>
        <n v="38"/>
        <n v="1059.9000000000001"/>
        <n v="1170"/>
        <n v="104"/>
        <n v="1086.1400000000001"/>
        <n v="224"/>
        <n v="450"/>
        <n v="106"/>
        <n v="245.24"/>
        <n v="47.45"/>
        <n v="260"/>
        <n v="1872.76"/>
        <n v="882.45"/>
        <n v="24.65"/>
        <n v="609"/>
        <n v="1789.9"/>
        <n v="2723.68"/>
        <n v="261"/>
        <n v="172.7"/>
        <n v="37.479999999999997"/>
        <n v="21.4"/>
        <n v="418.1"/>
        <n v="200.88"/>
        <n v="26.2"/>
        <n v="475"/>
        <n v="2023.13"/>
        <n v="14.6"/>
        <n v="247"/>
        <n v="27.4"/>
        <n v="123"/>
        <n v="130.18"/>
        <n v="13.91"/>
        <n v="75.599999999999994"/>
        <n v="442"/>
        <n v="448.15"/>
        <n v="444.3"/>
        <n v="17.12"/>
        <n v="51.99"/>
        <n v="26.13"/>
        <n v="349.8"/>
        <n v="10.7"/>
        <n v="684.6"/>
        <n v="12.75"/>
        <n v="16.05"/>
        <n v="395.2"/>
        <n v="37.450000000000003"/>
        <n v="344.25"/>
        <n v="27"/>
        <n v="102.06"/>
        <n v="269.14999999999998"/>
        <n v="12.3"/>
        <n v="51.5"/>
        <n v="14.3"/>
        <n v="193.8"/>
        <n v="22.3"/>
        <n v="147.19999999999999"/>
        <n v="34.6"/>
        <n v="7.7"/>
        <n v="4.78"/>
        <n v="14.05"/>
        <n v="17.68"/>
        <n v="20.22"/>
        <n v="383.8"/>
        <n v="30.35"/>
        <n v="15.35"/>
        <n v="73.53"/>
        <n v="187.45"/>
        <n v="37"/>
        <n v="9.9"/>
        <n v="223.1"/>
        <n v="96.05"/>
        <n v="109"/>
        <n v="603.04999999999995"/>
        <n v="524.4"/>
        <n v="552.95000000000005"/>
        <n v="571.54999999999995"/>
        <n v="1228.8"/>
        <n v="1227.23"/>
        <n v="743.3"/>
        <n v="771.1"/>
        <n v="246.2"/>
        <n v="517.79"/>
        <n v="12.9"/>
        <n v="128"/>
        <n v="48"/>
        <n v="9.85"/>
        <n v="42.5"/>
        <n v="436"/>
        <n v="33.25"/>
        <n v="32.65"/>
        <n v="16.3"/>
        <n v="393.11"/>
        <n v="662.4"/>
        <n v="435"/>
        <n v="26.78"/>
        <n v="20.85"/>
        <n v="265"/>
        <n v="532.04999999999995"/>
        <n v="622.45000000000005"/>
        <n v="157.69999999999999"/>
        <n v="386.65"/>
        <n v="19.420000000000002"/>
        <n v="297.27999999999997"/>
        <n v="95.6"/>
        <n v="170"/>
        <n v="125.68"/>
        <n v="18.68"/>
        <n v="2100"/>
        <n v="43.86"/>
        <n v="10.07"/>
        <n v="88.61"/>
        <n v="21.1"/>
        <n v="6.25"/>
        <n v="37.14"/>
        <n v="2250"/>
        <n v="10.57"/>
        <n v="20.51"/>
        <n v="154.85"/>
        <n v="20.69"/>
        <n v="5.96"/>
        <n v="293"/>
        <n v="1950"/>
        <n v="21.24"/>
        <n v="5.22"/>
        <n v="17.27"/>
        <n v="11.36"/>
        <n v="10.54"/>
        <n v="24.93"/>
        <n v="53.35"/>
        <n v="10.58"/>
        <n v="7.62"/>
        <n v="29.3"/>
        <n v="23.86"/>
        <n v="21.05"/>
        <n v="55"/>
        <n v="7.78"/>
        <n v="4.93"/>
        <n v="1957.19"/>
        <n v="8.82"/>
        <n v="71.489999999999995"/>
        <n v="3.13"/>
        <n v="4.25"/>
        <n v="125"/>
        <n v="9.3800000000000008"/>
        <n v="8.52"/>
        <n v="2017"/>
        <n v="205.5"/>
        <n v="425"/>
        <n v="81"/>
        <n v="13.15"/>
        <n v="95.9"/>
        <n v="93"/>
        <n v="53"/>
        <n v="513.4"/>
        <n v="103.5"/>
        <n v="25.2"/>
        <n v="50.5"/>
        <n v="1320"/>
        <n v="26.56"/>
        <n v="8.92"/>
        <n v="46.1"/>
        <n v="18.149999999999999"/>
        <n v="152.36000000000001"/>
        <n v="49"/>
        <n v="64.33"/>
        <n v="17.28"/>
        <n v="35.1"/>
        <n v="31.5"/>
        <n v="63.75"/>
        <n v="60.95"/>
        <n v="54.2"/>
        <n v="51.8"/>
        <n v="1.2"/>
        <n v="62.73"/>
        <n v="649.29999999999995"/>
        <n v="225.46"/>
        <n v="419.77"/>
        <n v="175.85"/>
        <n v="91.18"/>
        <n v="259.26"/>
        <n v="85.51"/>
        <n v="584.82000000000005"/>
        <n v="1496"/>
        <n v="1060.6500000000001"/>
        <n v="187.8"/>
        <n v="41"/>
        <n v="1418.66"/>
        <n v="888.12"/>
        <n v="228"/>
        <n v="1330.46"/>
        <n v="197.95"/>
        <n v="514.4"/>
        <n v="120.41"/>
        <n v="57.25"/>
        <n v="1304.44"/>
        <n v="174.78"/>
        <n v="349.6"/>
        <n v="97.37"/>
        <n v="130.16999999999999"/>
        <n v="606.51"/>
        <n v="1363.47"/>
        <n v="544.79999999999995"/>
        <n v="79"/>
        <n v="522.36"/>
        <n v="190.52"/>
        <n v="869.85"/>
        <n v="179.24"/>
        <n v="149.46"/>
        <n v="367.45"/>
        <n v="47.11"/>
        <n v="631.71"/>
        <n v="204.35"/>
        <n v="37.270000000000003"/>
        <n v="484.22"/>
        <n v="87"/>
        <n v="94.85"/>
        <n v="398.73"/>
        <n v="127.12"/>
        <n v="67"/>
        <n v="12.39"/>
        <n v="270.98"/>
        <n v="56.55"/>
        <n v="58.3"/>
        <n v="68.680000000000007"/>
        <n v="855.52"/>
        <n v="138"/>
        <n v="87.75"/>
        <n v="33"/>
        <n v="56.25"/>
        <n v="196.4"/>
        <n v="93.11"/>
        <n v="60.85"/>
        <n v="83"/>
        <n v="70.239999999999995"/>
        <n v="46.02"/>
        <n v="72"/>
        <n v="138.07"/>
        <n v="117.7"/>
        <n v="44.22"/>
        <n v="379.7"/>
        <n v="76.349999999999994"/>
        <n v="82"/>
        <n v="212.87"/>
        <n v="136.99"/>
        <n v="72.989999999999995"/>
        <n v="187.65"/>
        <n v="80.849999999999994"/>
        <n v="54.29"/>
        <n v="82.6"/>
        <n v="181.33"/>
        <n v="98.86"/>
        <n v="112.22"/>
        <n v="117.85"/>
        <n v="334.41"/>
        <n v="47.6"/>
        <n v="156.4"/>
        <n v="232.86"/>
        <n v="161.44999999999999"/>
        <n v="98.1"/>
        <n v="100.15"/>
        <n v="115.25"/>
        <n v="61.92"/>
        <n v="166.26"/>
        <n v="47.1"/>
        <n v="145.25"/>
        <n v="43.34"/>
        <n v="31.93"/>
        <n v="160.51"/>
        <n v="50.6"/>
        <n v="38.200000000000003"/>
        <n v="213.19"/>
        <n v="360.16"/>
        <n v="55.75"/>
        <n v="226.93"/>
        <n v="112.6"/>
        <n v="295.16000000000003"/>
        <n v="59.6"/>
        <n v="13.4"/>
        <n v="56.16"/>
        <n v="368.12"/>
        <n v="34.65"/>
        <n v="42.6"/>
        <n v="213.7"/>
        <n v="70.3"/>
        <n v="66.569999999999993"/>
        <n v="99.66"/>
        <n v="343.33"/>
        <n v="1.03"/>
        <n v="393.28"/>
        <n v="401"/>
        <n v="50.25"/>
        <n v="1436.31"/>
        <n v="421.36"/>
        <n v="72.48"/>
        <n v="261.10000000000002"/>
        <n v="417.29"/>
        <n v="831.18"/>
        <n v="258.66000000000003"/>
        <n v="66.900000000000006"/>
        <n v="32.549999999999997"/>
        <n v="51.55"/>
        <n v="17"/>
        <n v="119"/>
        <n v="407"/>
        <n v="256.42"/>
        <n v="28.17"/>
        <n v="181"/>
        <n v="176"/>
        <n v="71"/>
        <n v="101"/>
        <n v="27.1"/>
        <n v="477.97"/>
        <n v="12.07"/>
        <n v="163.91"/>
        <n v="1350"/>
        <n v="11.2"/>
        <n v="14.9"/>
        <n v="9.75"/>
        <n v="14.25"/>
        <n v="80"/>
        <n v="516"/>
        <n v="18.75"/>
        <n v="110.45"/>
        <n v="16.95"/>
        <n v="21.9"/>
        <n v="115.77"/>
        <n v="23.99"/>
        <n v="83.03"/>
        <n v="71.97"/>
        <n v="157.56"/>
        <n v="118.89"/>
        <n v="100.96"/>
        <n v="25.25"/>
        <n v="9.99"/>
        <n v="10.199999999999999"/>
        <n v="7.47"/>
        <n v="45.02"/>
        <n v="272"/>
        <n v="56.66"/>
        <n v="112"/>
        <n v="35.979999999999997"/>
        <n v="30.95"/>
        <n v="32.799999999999997"/>
        <n v="149.80000000000001"/>
        <n v="148"/>
        <n v="116"/>
        <n v="55.64"/>
        <n v="47.98"/>
        <n v="67.16"/>
        <n v="57.27"/>
        <n v="24.07"/>
        <n v="40.75"/>
        <n v="15.66"/>
        <n v="53.96"/>
        <n v="115.45"/>
        <n v="124.33"/>
        <n v="160.66"/>
        <n v="12.99"/>
        <n v="61.6"/>
        <n v="16.21"/>
        <n v="83.24"/>
        <n v="25.99"/>
        <n v="17.989999999999998"/>
        <n v="26.91"/>
        <n v="138.56"/>
        <n v="41.3"/>
        <n v="25.66"/>
        <n v="30.25"/>
        <n v="64.95"/>
        <n v="147.55000000000001"/>
        <n v="25.98"/>
        <n v="14.03"/>
        <n v="23.95"/>
        <n v="46.2"/>
        <n v="12.55"/>
        <n v="86.16"/>
        <n v="89.6"/>
        <n v="27.75"/>
        <n v="158.94999999999999"/>
        <n v="74.099999999999994"/>
        <n v="46.25"/>
        <n v="7.44"/>
        <n v="27.57"/>
        <n v="15.75"/>
        <n v="98.88"/>
        <n v="45.13"/>
        <n v="32.96"/>
        <n v="12.5"/>
        <n v="18.190000000000001"/>
        <n v="62.39"/>
        <n v="7.33"/>
        <n v="70.09"/>
        <n v="21.06"/>
        <n v="9.08"/>
        <n v="294.75"/>
        <n v="58.5"/>
        <n v="574.17999999999995"/>
        <n v="139.08000000000001"/>
        <n v="25.6"/>
        <n v="41.19"/>
        <n v="23.61"/>
        <n v="66.59"/>
        <n v="136.85"/>
        <n v="46.28"/>
        <n v="522.97"/>
        <n v="80.02"/>
        <n v="45"/>
        <n v="29.5"/>
        <n v="64.650000000000006"/>
        <n v="17.5"/>
        <n v="94.5"/>
        <n v="57.86"/>
        <n v="105.34"/>
        <n v="13.76"/>
        <n v="16.75"/>
        <n v="68"/>
        <n v="24.16"/>
        <n v="10.1"/>
        <n v="339.18"/>
        <n v="131.61000000000001"/>
        <n v="96.2"/>
        <n v="299"/>
        <n v="68.53"/>
        <n v="12.48"/>
        <n v="49.79"/>
        <n v="138.59"/>
        <n v="159.80000000000001"/>
        <n v="54.57"/>
        <n v="39.950000000000003"/>
        <n v="145.74"/>
        <n v="119.9"/>
        <n v="39.619999999999997"/>
        <n v="325.32"/>
        <n v="103.6"/>
        <n v="62.65"/>
        <n v="75.5"/>
        <n v="94.21"/>
        <n v="22.1"/>
        <n v="81.349999999999994"/>
        <n v="159.9"/>
        <n v="14.5"/>
        <n v="728.97"/>
        <n v="264.39999999999998"/>
        <n v="104.05"/>
        <n v="29.56"/>
        <n v="77.97"/>
        <n v="75.48"/>
        <n v="19.45"/>
        <n v="59.8"/>
        <n v="66.099999999999994"/>
        <n v="158.16999999999999"/>
        <n v="41.16"/>
        <n v="129.9"/>
        <n v="142.87"/>
        <n v="12.64"/>
        <n v="80.489999999999995"/>
        <n v="38.159999999999997"/>
        <n v="18.690000000000001"/>
        <n v="153.85"/>
        <n v="28.5"/>
        <n v="117.45"/>
        <n v="84.12"/>
        <n v="297.3"/>
        <n v="64.86"/>
        <n v="173.06"/>
        <n v="22.86"/>
        <n v="27.5"/>
        <n v="39.96"/>
        <n v="49.97"/>
        <n v="51.51"/>
        <n v="98.08"/>
        <n v="34.24"/>
        <n v="38.96"/>
        <n v="73.75"/>
        <n v="5.16"/>
        <n v="91.6"/>
        <n v="65.12"/>
        <n v="137.63"/>
        <n v="45.75"/>
        <n v="158.47999999999999"/>
        <n v="121.95"/>
        <n v="62.75"/>
        <n v="21.58"/>
        <n v="103"/>
        <n v="153.63999999999999"/>
        <n v="113.39"/>
        <n v="50.36"/>
        <n v="144.99"/>
        <n v="16.260000000000002"/>
        <n v="171.21"/>
        <n v="57.09"/>
        <n v="52.95"/>
        <n v="8.5"/>
        <n v="49.5"/>
        <n v="87.63"/>
        <n v="14.75"/>
        <n v="47.25"/>
        <n v="67.5"/>
        <n v="22.07"/>
        <n v="15.91"/>
        <n v="15.08"/>
        <n v="40.5"/>
        <n v="37.979999999999997"/>
        <n v="40.49"/>
        <n v="73.319999999999993"/>
        <n v="22.26"/>
        <n v="41.84"/>
        <n v="13.08"/>
        <n v="35.950000000000003"/>
        <n v="24.2"/>
        <n v="10.91"/>
        <n v="38.340000000000003"/>
        <n v="56.18"/>
        <n v="39.25"/>
        <n v="40.229999999999997"/>
        <n v="9.7799999999999994"/>
        <n v="52.99"/>
        <n v="32.1"/>
        <n v="17.11"/>
        <n v="117.49"/>
        <n v="18.600000000000001"/>
        <n v="127.57"/>
        <n v="1396.4"/>
        <n v="1000"/>
        <n v="67.95"/>
        <n v="49.1"/>
        <n v="48000"/>
        <n v="13570"/>
        <n v="4850"/>
        <n v="20320"/>
        <n v="15.5"/>
        <n v="81.84"/>
        <n v="53.73"/>
        <n v="132.72"/>
        <n v="19.75"/>
        <n v="281.52999999999997"/>
        <n v="90.05"/>
        <n v="4413.76"/>
        <n v="84.53"/>
        <n v="63.57"/>
        <n v="175"/>
        <n v="21.98"/>
        <n v="12.83"/>
        <n v="44.99"/>
        <n v="63.01"/>
        <n v="42.45"/>
        <n v="53.37"/>
        <n v="47.15"/>
        <n v="121.01"/>
        <n v="187.5"/>
        <n v="10.49"/>
        <n v="37.68"/>
        <n v="41.83"/>
        <n v="221.05"/>
        <n v="160"/>
        <n v="71.94"/>
        <n v="137.11000000000001"/>
        <n v="78.95"/>
        <n v="38.520000000000003"/>
        <n v="15.95"/>
        <n v="55.52"/>
        <n v="13.99"/>
        <n v="35.5"/>
        <n v="82.83"/>
        <n v="34.86"/>
        <n v="24.08"/>
        <n v="19.350000000000001"/>
        <n v="354.12"/>
        <n v="60.87"/>
        <n v="51.46"/>
        <n v="84.51"/>
        <n v="142.96"/>
        <n v="188.88"/>
        <n v="73.5"/>
        <n v="82.55"/>
        <n v="95.71"/>
        <n v="236.39"/>
        <n v="140.03"/>
        <n v="107.29"/>
        <n v="102.77"/>
        <n v="65.94"/>
        <n v="59.15"/>
        <n v="50.45"/>
        <n v="128.6"/>
        <n v="94.69"/>
        <n v="116.42"/>
        <n v="170.2"/>
        <n v="96.89"/>
        <n v="31.71"/>
        <n v="71.84"/>
        <n v="71.5"/>
        <n v="33.86"/>
        <n v="142.61000000000001"/>
        <n v="79.55"/>
        <n v="42.92"/>
        <n v="26.75"/>
        <n v="65.099999999999994"/>
        <n v="31.14"/>
        <n v="41.97"/>
        <n v="73.510000000000005"/>
        <n v="57.78"/>
        <n v="100.68"/>
        <n v="62.27"/>
        <n v="31.03"/>
        <n v="43.73"/>
        <n v="31.38"/>
        <n v="35.06"/>
        <n v="297.8"/>
        <n v="76.81"/>
        <n v="79.86"/>
        <n v="213.44"/>
        <n v="52.02"/>
        <n v="80.03"/>
        <n v="0.27"/>
        <n v="102.76"/>
        <n v="19.95"/>
        <n v="30.04"/>
        <n v="53.9"/>
        <n v="155"/>
        <n v="189.2"/>
        <n v="114.05"/>
        <n v="245.96"/>
        <n v="85.13"/>
        <n v="86.12"/>
        <n v="89.56"/>
        <n v="66.81"/>
        <n v="93.56"/>
        <n v="94.23"/>
        <n v="101.68"/>
        <n v="36.590000000000003"/>
        <n v="84.3"/>
        <n v="94.47"/>
        <n v="250"/>
        <n v="75.75"/>
        <n v="59.88"/>
        <n v="58.85"/>
        <n v="34.76"/>
        <n v="63.7"/>
        <n v="13.38"/>
        <n v="85.82"/>
        <n v="73.05"/>
        <n v="41.2"/>
        <n v="37.159999999999997"/>
        <n v="63.06"/>
        <n v="78"/>
        <n v="32.049999999999997"/>
        <n v="107.63"/>
        <n v="34.880000000000003"/>
        <n v="27.76"/>
        <n v="21.3"/>
        <n v="110"/>
        <n v="10.69"/>
        <n v="97.75"/>
        <n v="37.520000000000003"/>
        <n v="24.5"/>
        <n v="10.99"/>
        <n v="17.190000000000001"/>
        <n v="21.88"/>
        <n v="35.47"/>
        <n v="17.02"/>
        <n v="237"/>
        <n v="182.25"/>
        <n v="22.27"/>
        <n v="112.85"/>
        <n v="33.44"/>
        <n v="129.52000000000001"/>
        <n v="23.98"/>
        <n v="21.2"/>
        <n v="29.65"/>
        <n v="22.65"/>
        <n v="46.97"/>
        <n v="25.95"/>
        <n v="75.97"/>
        <n v="40.130000000000003"/>
        <n v="69.55"/>
        <n v="72.760000000000005"/>
        <n v="67.3"/>
        <n v="66.45"/>
        <n v="43.39"/>
        <n v="49.83"/>
        <n v="66.959999999999994"/>
        <n v="64.31"/>
        <n v="56.62"/>
        <n v="82.21"/>
        <n v="31.13"/>
        <n v="26.15"/>
        <n v="32.75"/>
        <n v="2.95"/>
        <n v="29.98"/>
        <n v="24.25"/>
        <n v="72.459999999999994"/>
        <n v="52.06"/>
        <n v="36.950000000000003"/>
        <n v="13.5"/>
        <n v="23.55"/>
        <n v="95"/>
        <n v="81.069999999999993"/>
        <n v="50.97"/>
        <n v="35.409999999999997"/>
        <n v="26.08"/>
        <n v="25.97"/>
        <n v="65.44"/>
        <n v="44.15"/>
        <n v="67.069999999999993"/>
        <n v="45.28"/>
        <n v="60.45"/>
        <n v="47"/>
        <n v="200.79"/>
        <n v="36.450000000000003"/>
        <n v="46.18"/>
        <n v="48.62"/>
        <n v="48.16"/>
        <n v="60.5"/>
        <n v="42.03"/>
        <n v="17.66"/>
        <n v="39.86"/>
        <n v="32.82"/>
        <n v="81.83"/>
        <n v="82.43"/>
        <n v="31.72"/>
        <n v="28.75"/>
        <n v="15.92"/>
        <n v="24.7"/>
        <n v="21.95"/>
        <n v="27.81"/>
        <n v="77.98"/>
        <n v="99.5"/>
        <n v="52.73"/>
        <n v="122.34"/>
        <n v="75.739999999999995"/>
        <n v="39.19"/>
        <n v="41.14"/>
        <n v="42.14"/>
        <n v="40.26"/>
        <n v="36.659999999999997"/>
        <n v="7.1"/>
        <n v="29.24"/>
        <n v="15.36"/>
        <n v="10.43"/>
        <n v="97.25"/>
        <n v="103.25"/>
        <n v="88.8"/>
        <n v="98.66"/>
        <n v="24.57"/>
        <n v="75"/>
        <n v="34.56"/>
        <n v="24.82"/>
        <n v="27.08"/>
        <n v="23.4"/>
        <n v="13.12"/>
        <n v="28.07"/>
        <n v="18.88"/>
        <n v="19.29"/>
        <n v="28.39"/>
        <n v="23.32"/>
        <n v="38.1"/>
        <n v="81.03"/>
        <n v="20.45"/>
        <n v="29.69"/>
        <n v="23.29"/>
        <n v="65"/>
        <n v="15.25"/>
        <n v="92"/>
        <n v="85.7"/>
        <n v="186.42"/>
        <n v="148.85"/>
        <n v="500"/>
        <n v="3909"/>
        <n v="147.5"/>
        <n v="131.35"/>
        <n v="29.96"/>
        <n v="56.75"/>
        <n v="26.25"/>
        <n v="3.35"/>
        <n v="23.26"/>
        <n v="23.19"/>
        <n v="65.75"/>
        <n v="32.68"/>
        <n v="11.26"/>
        <n v="29.95"/>
        <n v="91.5"/>
        <n v="5100"/>
        <n v="141.36000000000001"/>
        <n v="34.22"/>
        <n v="282.70999999999998"/>
        <n v="2544.39"/>
        <n v="29.86"/>
        <n v="983.06"/>
        <n v="462.62"/>
        <n v="505.25"/>
        <n v="1379.52"/>
        <n v="249.75"/>
        <n v="571.85"/>
        <n v="2550"/>
        <n v="600"/>
        <n v="111.79"/>
        <n v="4047.41"/>
        <n v="990"/>
        <n v="20.100000000000001"/>
        <n v="58.47"/>
        <n v="19.559999999999999"/>
        <n v="69.45"/>
        <n v="185.06"/>
        <n v="68.41"/>
        <n v="764.79"/>
        <n v="5.08"/>
        <n v="59.68"/>
        <n v="129.75"/>
        <n v="195.78"/>
        <n v="96.45"/>
        <n v="136.80000000000001"/>
        <n v="106.93"/>
        <n v="91.91"/>
        <n v="126.3"/>
        <n v="57.94"/>
        <n v="41.95"/>
        <n v="400.7"/>
        <n v="40.74"/>
        <n v="46.13"/>
        <n v="181.06"/>
        <n v="44.94"/>
        <n v="69.900000000000006"/>
        <n v="74.849999999999994"/>
        <n v="70.42"/>
        <n v="96.25"/>
        <n v="30.75"/>
        <n v="156.19999999999999"/>
        <n v="101.25"/>
        <n v="70.900000000000006"/>
        <n v="63.46"/>
        <n v="225.98"/>
        <n v="59.38"/>
        <n v="157.21"/>
        <n v="256.23"/>
        <n v="8.8000000000000007"/>
        <n v="182.15"/>
        <n v="47.99"/>
        <n v="113.89"/>
        <n v="47.52"/>
        <n v="167.84"/>
        <n v="12.95"/>
        <n v="294.31"/>
        <n v="36.85"/>
        <n v="112.92"/>
        <n v="81.73"/>
        <n v="183.19"/>
        <n v="318.62"/>
        <n v="66"/>
        <n v="101.65"/>
        <n v="5.0599999999999996"/>
        <n v="526.63"/>
        <n v="77.95"/>
        <n v="625"/>
        <n v="1024.77"/>
        <n v="1076.46"/>
        <n v="1501.66"/>
        <n v="297.89"/>
        <n v="262.48"/>
        <n v="255.93"/>
        <n v="347.34"/>
        <n v="292.12"/>
        <n v="342.22"/>
        <n v="455.09"/>
        <n v="104.61"/>
        <n v="152.85"/>
        <n v="23.76"/>
        <n v="92.79"/>
        <n v="99.22"/>
        <n v="61.5"/>
        <n v="72.489999999999995"/>
        <n v="163.47999999999999"/>
        <n v="66.55"/>
        <n v="66.849999999999994"/>
        <n v="41.59"/>
        <n v="39.44"/>
        <n v="87.91"/>
        <n v="49.11"/>
        <n v="32.61"/>
        <n v="52.5"/>
        <n v="36.979999999999997"/>
        <n v="25.06"/>
        <n v="75.12"/>
        <n v="18.95"/>
        <n v="23.62"/>
        <n v="27.85"/>
        <n v="24.15"/>
        <n v="99.51"/>
        <n v="19.02"/>
        <n v="14.51"/>
        <n v="25.57"/>
        <n v="27.45"/>
        <n v="16.59"/>
        <n v="31.99"/>
        <n v="37.31"/>
        <n v="46.99"/>
        <n v="71.349999999999994"/>
        <n v="130.54"/>
        <n v="17.55"/>
        <n v="17.07"/>
        <n v="11.49"/>
        <n v="40.92"/>
        <n v="23.78"/>
        <n v="27.6"/>
        <n v="44.91"/>
        <n v="35.369999999999997"/>
        <n v="35.75"/>
        <n v="38.64"/>
        <n v="31.55"/>
        <n v="43.38"/>
        <n v="25.47"/>
      </sharedItems>
    </cacheField>
    <cacheField name="Credito" numFmtId="0">
      <sharedItems containsSemiMixedTypes="0" containsString="0" containsNumber="1" minValue="0" maxValue="13600" count="48">
        <n v="0"/>
        <n v="30.77"/>
        <n v="25.5"/>
        <n v="36"/>
        <n v="40"/>
        <n v="220"/>
        <n v="183.93"/>
        <n v="57"/>
        <n v="23"/>
        <n v="92.1"/>
        <n v="2.4"/>
        <n v="9.1999999999999993"/>
        <n v="382.02"/>
        <n v="2723.68"/>
        <n v="342.3"/>
        <n v="25"/>
        <n v="191.9"/>
        <n v="614.4"/>
        <n v="26.78"/>
        <n v="24"/>
        <n v="0.6"/>
        <n v="719.44"/>
        <n v="14"/>
        <n v="8"/>
        <n v="136"/>
        <n v="297.8"/>
        <n v="61.6"/>
        <n v="32"/>
        <n v="64"/>
        <n v="80"/>
        <n v="93.15"/>
        <n v="10"/>
        <n v="33.36"/>
        <n v="119.9"/>
        <n v="30"/>
        <n v="129.9"/>
        <n v="20.25"/>
        <n v="21.98"/>
        <n v="68.680000000000007"/>
        <n v="16"/>
        <n v="13600"/>
        <n v="6000"/>
        <n v="10400"/>
        <n v="0.17"/>
        <n v="5"/>
        <n v="2550"/>
        <n v="990"/>
        <n v="16.59"/>
      </sharedItems>
    </cacheField>
    <cacheField name="Sucursal"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790">
  <r>
    <x v="0"/>
    <x v="0"/>
    <x v="0"/>
    <x v="0"/>
    <x v="0"/>
    <x v="0"/>
    <x v="0"/>
    <s v="CASA MATRIZ"/>
  </r>
  <r>
    <x v="0"/>
    <x v="1"/>
    <x v="1"/>
    <x v="1"/>
    <x v="1"/>
    <x v="1"/>
    <x v="0"/>
    <s v="CASA MATRIZ"/>
  </r>
  <r>
    <x v="0"/>
    <x v="2"/>
    <x v="1"/>
    <x v="2"/>
    <x v="2"/>
    <x v="2"/>
    <x v="0"/>
    <s v="CASA MATRIZ"/>
  </r>
  <r>
    <x v="0"/>
    <x v="3"/>
    <x v="1"/>
    <x v="3"/>
    <x v="3"/>
    <x v="3"/>
    <x v="0"/>
    <s v="CASA MATRIZ"/>
  </r>
  <r>
    <x v="1"/>
    <x v="4"/>
    <x v="2"/>
    <x v="4"/>
    <x v="4"/>
    <x v="4"/>
    <x v="0"/>
    <s v="PAITILLA"/>
  </r>
  <r>
    <x v="1"/>
    <x v="5"/>
    <x v="2"/>
    <x v="5"/>
    <x v="5"/>
    <x v="5"/>
    <x v="0"/>
    <s v="PAITILLA"/>
  </r>
  <r>
    <x v="1"/>
    <x v="6"/>
    <x v="2"/>
    <x v="6"/>
    <x v="6"/>
    <x v="5"/>
    <x v="0"/>
    <s v="PAITILLA"/>
  </r>
  <r>
    <x v="1"/>
    <x v="0"/>
    <x v="0"/>
    <x v="0"/>
    <x v="0"/>
    <x v="6"/>
    <x v="0"/>
    <s v="PAITILLA"/>
  </r>
  <r>
    <x v="1"/>
    <x v="7"/>
    <x v="0"/>
    <x v="7"/>
    <x v="7"/>
    <x v="7"/>
    <x v="0"/>
    <s v="PAITILLA"/>
  </r>
  <r>
    <x v="2"/>
    <x v="8"/>
    <x v="0"/>
    <x v="8"/>
    <x v="8"/>
    <x v="8"/>
    <x v="0"/>
    <s v="EL DORADO"/>
  </r>
  <r>
    <x v="2"/>
    <x v="9"/>
    <x v="0"/>
    <x v="9"/>
    <x v="9"/>
    <x v="9"/>
    <x v="0"/>
    <s v="EL DORADO"/>
  </r>
  <r>
    <x v="2"/>
    <x v="5"/>
    <x v="0"/>
    <x v="5"/>
    <x v="5"/>
    <x v="10"/>
    <x v="0"/>
    <s v="EL DORADO"/>
  </r>
  <r>
    <x v="2"/>
    <x v="3"/>
    <x v="0"/>
    <x v="3"/>
    <x v="3"/>
    <x v="11"/>
    <x v="0"/>
    <s v="EL DORADO"/>
  </r>
  <r>
    <x v="2"/>
    <x v="3"/>
    <x v="1"/>
    <x v="3"/>
    <x v="3"/>
    <x v="12"/>
    <x v="0"/>
    <s v="EL DORADO"/>
  </r>
  <r>
    <x v="3"/>
    <x v="9"/>
    <x v="2"/>
    <x v="9"/>
    <x v="9"/>
    <x v="13"/>
    <x v="0"/>
    <s v="VIA ARGENTINA"/>
  </r>
  <r>
    <x v="3"/>
    <x v="2"/>
    <x v="0"/>
    <x v="2"/>
    <x v="2"/>
    <x v="14"/>
    <x v="0"/>
    <s v="VIA ARGENTINA"/>
  </r>
  <r>
    <x v="3"/>
    <x v="5"/>
    <x v="0"/>
    <x v="5"/>
    <x v="5"/>
    <x v="15"/>
    <x v="0"/>
    <s v="VIA ARGENTINA"/>
  </r>
  <r>
    <x v="3"/>
    <x v="10"/>
    <x v="0"/>
    <x v="10"/>
    <x v="10"/>
    <x v="16"/>
    <x v="0"/>
    <s v="VIA ARGENTINA"/>
  </r>
  <r>
    <x v="4"/>
    <x v="1"/>
    <x v="2"/>
    <x v="1"/>
    <x v="1"/>
    <x v="17"/>
    <x v="0"/>
    <s v="VIA PORRAS"/>
  </r>
  <r>
    <x v="4"/>
    <x v="7"/>
    <x v="2"/>
    <x v="7"/>
    <x v="7"/>
    <x v="18"/>
    <x v="0"/>
    <s v="VIA PORRAS"/>
  </r>
  <r>
    <x v="4"/>
    <x v="10"/>
    <x v="2"/>
    <x v="10"/>
    <x v="10"/>
    <x v="19"/>
    <x v="0"/>
    <s v="VIA PORRAS"/>
  </r>
  <r>
    <x v="4"/>
    <x v="11"/>
    <x v="2"/>
    <x v="11"/>
    <x v="11"/>
    <x v="20"/>
    <x v="0"/>
    <s v="VIA PORRAS"/>
  </r>
  <r>
    <x v="4"/>
    <x v="12"/>
    <x v="2"/>
    <x v="12"/>
    <x v="12"/>
    <x v="21"/>
    <x v="0"/>
    <s v="VIA PORRAS"/>
  </r>
  <r>
    <x v="4"/>
    <x v="13"/>
    <x v="2"/>
    <x v="13"/>
    <x v="13"/>
    <x v="22"/>
    <x v="0"/>
    <s v="VIA PORRAS"/>
  </r>
  <r>
    <x v="4"/>
    <x v="8"/>
    <x v="0"/>
    <x v="8"/>
    <x v="8"/>
    <x v="23"/>
    <x v="0"/>
    <s v="VIA PORRAS"/>
  </r>
  <r>
    <x v="4"/>
    <x v="0"/>
    <x v="0"/>
    <x v="0"/>
    <x v="0"/>
    <x v="24"/>
    <x v="0"/>
    <s v="VIA PORRAS"/>
  </r>
  <r>
    <x v="4"/>
    <x v="1"/>
    <x v="0"/>
    <x v="1"/>
    <x v="1"/>
    <x v="25"/>
    <x v="0"/>
    <s v="VIA PORRAS"/>
  </r>
  <r>
    <x v="4"/>
    <x v="2"/>
    <x v="0"/>
    <x v="2"/>
    <x v="2"/>
    <x v="26"/>
    <x v="0"/>
    <s v="VIA PORRAS"/>
  </r>
  <r>
    <x v="4"/>
    <x v="4"/>
    <x v="0"/>
    <x v="4"/>
    <x v="4"/>
    <x v="27"/>
    <x v="0"/>
    <s v="VIA PORRAS"/>
  </r>
  <r>
    <x v="4"/>
    <x v="7"/>
    <x v="0"/>
    <x v="7"/>
    <x v="7"/>
    <x v="28"/>
    <x v="0"/>
    <s v="VIA PORRAS"/>
  </r>
  <r>
    <x v="4"/>
    <x v="9"/>
    <x v="0"/>
    <x v="9"/>
    <x v="9"/>
    <x v="29"/>
    <x v="0"/>
    <s v="VIA PORRAS"/>
  </r>
  <r>
    <x v="4"/>
    <x v="5"/>
    <x v="0"/>
    <x v="5"/>
    <x v="5"/>
    <x v="30"/>
    <x v="0"/>
    <s v="VIA PORRAS"/>
  </r>
  <r>
    <x v="4"/>
    <x v="6"/>
    <x v="0"/>
    <x v="6"/>
    <x v="6"/>
    <x v="31"/>
    <x v="0"/>
    <s v="VIA PORRAS"/>
  </r>
  <r>
    <x v="4"/>
    <x v="10"/>
    <x v="0"/>
    <x v="10"/>
    <x v="10"/>
    <x v="32"/>
    <x v="0"/>
    <s v="VIA PORRAS"/>
  </r>
  <r>
    <x v="4"/>
    <x v="11"/>
    <x v="0"/>
    <x v="11"/>
    <x v="11"/>
    <x v="33"/>
    <x v="0"/>
    <s v="VIA PORRAS"/>
  </r>
  <r>
    <x v="4"/>
    <x v="12"/>
    <x v="0"/>
    <x v="12"/>
    <x v="12"/>
    <x v="34"/>
    <x v="0"/>
    <s v="VIA PORRAS"/>
  </r>
  <r>
    <x v="4"/>
    <x v="13"/>
    <x v="0"/>
    <x v="13"/>
    <x v="13"/>
    <x v="35"/>
    <x v="0"/>
    <s v="VIA PORRAS"/>
  </r>
  <r>
    <x v="4"/>
    <x v="3"/>
    <x v="0"/>
    <x v="3"/>
    <x v="3"/>
    <x v="36"/>
    <x v="0"/>
    <s v="VIA PORRAS"/>
  </r>
  <r>
    <x v="4"/>
    <x v="6"/>
    <x v="1"/>
    <x v="6"/>
    <x v="6"/>
    <x v="37"/>
    <x v="0"/>
    <s v="VIA PORRAS"/>
  </r>
  <r>
    <x v="4"/>
    <x v="11"/>
    <x v="1"/>
    <x v="11"/>
    <x v="11"/>
    <x v="38"/>
    <x v="0"/>
    <s v="VIA PORRAS"/>
  </r>
  <r>
    <x v="4"/>
    <x v="13"/>
    <x v="1"/>
    <x v="13"/>
    <x v="13"/>
    <x v="39"/>
    <x v="0"/>
    <s v="VIA PORRAS"/>
  </r>
  <r>
    <x v="4"/>
    <x v="3"/>
    <x v="1"/>
    <x v="3"/>
    <x v="3"/>
    <x v="40"/>
    <x v="0"/>
    <s v="VIA PORRAS"/>
  </r>
  <r>
    <x v="5"/>
    <x v="8"/>
    <x v="0"/>
    <x v="8"/>
    <x v="8"/>
    <x v="41"/>
    <x v="0"/>
    <s v="EL INGENIO"/>
  </r>
  <r>
    <x v="5"/>
    <x v="0"/>
    <x v="0"/>
    <x v="0"/>
    <x v="0"/>
    <x v="42"/>
    <x v="0"/>
    <s v="EL INGENIO"/>
  </r>
  <r>
    <x v="5"/>
    <x v="10"/>
    <x v="1"/>
    <x v="10"/>
    <x v="10"/>
    <x v="43"/>
    <x v="0"/>
    <s v="EL INGENIO"/>
  </r>
  <r>
    <x v="5"/>
    <x v="13"/>
    <x v="1"/>
    <x v="13"/>
    <x v="13"/>
    <x v="44"/>
    <x v="0"/>
    <s v="EL INGENIO"/>
  </r>
  <r>
    <x v="6"/>
    <x v="9"/>
    <x v="0"/>
    <x v="9"/>
    <x v="9"/>
    <x v="45"/>
    <x v="0"/>
    <s v="CHANIS"/>
  </r>
  <r>
    <x v="6"/>
    <x v="5"/>
    <x v="0"/>
    <x v="5"/>
    <x v="5"/>
    <x v="46"/>
    <x v="0"/>
    <s v="CHANIS"/>
  </r>
  <r>
    <x v="7"/>
    <x v="5"/>
    <x v="1"/>
    <x v="5"/>
    <x v="5"/>
    <x v="47"/>
    <x v="0"/>
    <s v="PLAZA TOCUMEN"/>
  </r>
  <r>
    <x v="8"/>
    <x v="4"/>
    <x v="0"/>
    <x v="4"/>
    <x v="4"/>
    <x v="48"/>
    <x v="0"/>
    <s v="SANTIAGO"/>
  </r>
  <r>
    <x v="9"/>
    <x v="1"/>
    <x v="2"/>
    <x v="1"/>
    <x v="1"/>
    <x v="49"/>
    <x v="0"/>
    <s v="OBARRIO"/>
  </r>
  <r>
    <x v="9"/>
    <x v="8"/>
    <x v="0"/>
    <x v="8"/>
    <x v="8"/>
    <x v="50"/>
    <x v="0"/>
    <s v="OBARRIO"/>
  </r>
  <r>
    <x v="9"/>
    <x v="0"/>
    <x v="0"/>
    <x v="0"/>
    <x v="0"/>
    <x v="51"/>
    <x v="0"/>
    <s v="OBARRIO"/>
  </r>
  <r>
    <x v="9"/>
    <x v="1"/>
    <x v="0"/>
    <x v="1"/>
    <x v="1"/>
    <x v="52"/>
    <x v="0"/>
    <s v="OBARRIO"/>
  </r>
  <r>
    <x v="9"/>
    <x v="2"/>
    <x v="0"/>
    <x v="2"/>
    <x v="2"/>
    <x v="53"/>
    <x v="0"/>
    <s v="OBARRIO"/>
  </r>
  <r>
    <x v="9"/>
    <x v="4"/>
    <x v="0"/>
    <x v="4"/>
    <x v="4"/>
    <x v="54"/>
    <x v="0"/>
    <s v="OBARRIO"/>
  </r>
  <r>
    <x v="9"/>
    <x v="7"/>
    <x v="0"/>
    <x v="7"/>
    <x v="7"/>
    <x v="55"/>
    <x v="0"/>
    <s v="OBARRIO"/>
  </r>
  <r>
    <x v="9"/>
    <x v="9"/>
    <x v="0"/>
    <x v="9"/>
    <x v="9"/>
    <x v="56"/>
    <x v="0"/>
    <s v="OBARRIO"/>
  </r>
  <r>
    <x v="9"/>
    <x v="5"/>
    <x v="0"/>
    <x v="5"/>
    <x v="5"/>
    <x v="57"/>
    <x v="0"/>
    <s v="OBARRIO"/>
  </r>
  <r>
    <x v="9"/>
    <x v="6"/>
    <x v="0"/>
    <x v="6"/>
    <x v="6"/>
    <x v="58"/>
    <x v="0"/>
    <s v="OBARRIO"/>
  </r>
  <r>
    <x v="9"/>
    <x v="10"/>
    <x v="0"/>
    <x v="10"/>
    <x v="10"/>
    <x v="59"/>
    <x v="0"/>
    <s v="OBARRIO"/>
  </r>
  <r>
    <x v="9"/>
    <x v="11"/>
    <x v="0"/>
    <x v="11"/>
    <x v="11"/>
    <x v="60"/>
    <x v="0"/>
    <s v="OBARRIO"/>
  </r>
  <r>
    <x v="9"/>
    <x v="12"/>
    <x v="0"/>
    <x v="12"/>
    <x v="12"/>
    <x v="61"/>
    <x v="0"/>
    <s v="OBARRIO"/>
  </r>
  <r>
    <x v="9"/>
    <x v="3"/>
    <x v="0"/>
    <x v="3"/>
    <x v="3"/>
    <x v="62"/>
    <x v="0"/>
    <s v="OBARRIO"/>
  </r>
  <r>
    <x v="9"/>
    <x v="2"/>
    <x v="1"/>
    <x v="2"/>
    <x v="2"/>
    <x v="63"/>
    <x v="0"/>
    <s v="OBARRIO"/>
  </r>
  <r>
    <x v="9"/>
    <x v="4"/>
    <x v="1"/>
    <x v="4"/>
    <x v="4"/>
    <x v="64"/>
    <x v="0"/>
    <s v="OBARRIO"/>
  </r>
  <r>
    <x v="9"/>
    <x v="10"/>
    <x v="1"/>
    <x v="10"/>
    <x v="10"/>
    <x v="63"/>
    <x v="0"/>
    <s v="OBARRIO"/>
  </r>
  <r>
    <x v="9"/>
    <x v="12"/>
    <x v="1"/>
    <x v="12"/>
    <x v="12"/>
    <x v="65"/>
    <x v="0"/>
    <s v="OBARRIO"/>
  </r>
  <r>
    <x v="9"/>
    <x v="13"/>
    <x v="1"/>
    <x v="13"/>
    <x v="13"/>
    <x v="66"/>
    <x v="0"/>
    <s v="OBARRIO"/>
  </r>
  <r>
    <x v="9"/>
    <x v="3"/>
    <x v="1"/>
    <x v="3"/>
    <x v="3"/>
    <x v="38"/>
    <x v="0"/>
    <s v="OBARRIO"/>
  </r>
  <r>
    <x v="10"/>
    <x v="8"/>
    <x v="2"/>
    <x v="8"/>
    <x v="8"/>
    <x v="67"/>
    <x v="0"/>
    <s v="HATO PINTADO"/>
  </r>
  <r>
    <x v="10"/>
    <x v="1"/>
    <x v="2"/>
    <x v="1"/>
    <x v="1"/>
    <x v="68"/>
    <x v="0"/>
    <s v="HATO PINTADO"/>
  </r>
  <r>
    <x v="10"/>
    <x v="9"/>
    <x v="2"/>
    <x v="9"/>
    <x v="9"/>
    <x v="69"/>
    <x v="0"/>
    <s v="HATO PINTADO"/>
  </r>
  <r>
    <x v="10"/>
    <x v="5"/>
    <x v="2"/>
    <x v="5"/>
    <x v="5"/>
    <x v="70"/>
    <x v="0"/>
    <s v="HATO PINTADO"/>
  </r>
  <r>
    <x v="10"/>
    <x v="6"/>
    <x v="2"/>
    <x v="6"/>
    <x v="6"/>
    <x v="71"/>
    <x v="0"/>
    <s v="HATO PINTADO"/>
  </r>
  <r>
    <x v="10"/>
    <x v="8"/>
    <x v="0"/>
    <x v="8"/>
    <x v="8"/>
    <x v="72"/>
    <x v="0"/>
    <s v="HATO PINTADO"/>
  </r>
  <r>
    <x v="10"/>
    <x v="0"/>
    <x v="0"/>
    <x v="0"/>
    <x v="0"/>
    <x v="73"/>
    <x v="0"/>
    <s v="HATO PINTADO"/>
  </r>
  <r>
    <x v="10"/>
    <x v="1"/>
    <x v="0"/>
    <x v="1"/>
    <x v="1"/>
    <x v="74"/>
    <x v="0"/>
    <s v="HATO PINTADO"/>
  </r>
  <r>
    <x v="10"/>
    <x v="2"/>
    <x v="0"/>
    <x v="2"/>
    <x v="2"/>
    <x v="75"/>
    <x v="0"/>
    <s v="HATO PINTADO"/>
  </r>
  <r>
    <x v="10"/>
    <x v="14"/>
    <x v="0"/>
    <x v="14"/>
    <x v="14"/>
    <x v="76"/>
    <x v="0"/>
    <s v="HATO PINTADO"/>
  </r>
  <r>
    <x v="10"/>
    <x v="4"/>
    <x v="0"/>
    <x v="4"/>
    <x v="4"/>
    <x v="77"/>
    <x v="0"/>
    <s v="HATO PINTADO"/>
  </r>
  <r>
    <x v="10"/>
    <x v="7"/>
    <x v="0"/>
    <x v="7"/>
    <x v="7"/>
    <x v="78"/>
    <x v="0"/>
    <s v="HATO PINTADO"/>
  </r>
  <r>
    <x v="10"/>
    <x v="9"/>
    <x v="0"/>
    <x v="9"/>
    <x v="9"/>
    <x v="79"/>
    <x v="0"/>
    <s v="HATO PINTADO"/>
  </r>
  <r>
    <x v="10"/>
    <x v="5"/>
    <x v="0"/>
    <x v="5"/>
    <x v="5"/>
    <x v="80"/>
    <x v="0"/>
    <s v="HATO PINTADO"/>
  </r>
  <r>
    <x v="10"/>
    <x v="6"/>
    <x v="0"/>
    <x v="6"/>
    <x v="6"/>
    <x v="81"/>
    <x v="0"/>
    <s v="HATO PINTADO"/>
  </r>
  <r>
    <x v="10"/>
    <x v="10"/>
    <x v="0"/>
    <x v="10"/>
    <x v="10"/>
    <x v="82"/>
    <x v="0"/>
    <s v="HATO PINTADO"/>
  </r>
  <r>
    <x v="10"/>
    <x v="11"/>
    <x v="0"/>
    <x v="11"/>
    <x v="11"/>
    <x v="83"/>
    <x v="0"/>
    <s v="HATO PINTADO"/>
  </r>
  <r>
    <x v="10"/>
    <x v="12"/>
    <x v="0"/>
    <x v="12"/>
    <x v="12"/>
    <x v="84"/>
    <x v="0"/>
    <s v="HATO PINTADO"/>
  </r>
  <r>
    <x v="10"/>
    <x v="13"/>
    <x v="0"/>
    <x v="13"/>
    <x v="13"/>
    <x v="85"/>
    <x v="0"/>
    <s v="HATO PINTADO"/>
  </r>
  <r>
    <x v="10"/>
    <x v="3"/>
    <x v="0"/>
    <x v="3"/>
    <x v="3"/>
    <x v="86"/>
    <x v="0"/>
    <s v="HATO PINTADO"/>
  </r>
  <r>
    <x v="10"/>
    <x v="8"/>
    <x v="1"/>
    <x v="8"/>
    <x v="8"/>
    <x v="87"/>
    <x v="0"/>
    <s v="HATO PINTADO"/>
  </r>
  <r>
    <x v="10"/>
    <x v="1"/>
    <x v="1"/>
    <x v="1"/>
    <x v="1"/>
    <x v="88"/>
    <x v="0"/>
    <s v="HATO PINTADO"/>
  </r>
  <r>
    <x v="10"/>
    <x v="2"/>
    <x v="1"/>
    <x v="2"/>
    <x v="2"/>
    <x v="89"/>
    <x v="0"/>
    <s v="HATO PINTADO"/>
  </r>
  <r>
    <x v="10"/>
    <x v="4"/>
    <x v="1"/>
    <x v="4"/>
    <x v="4"/>
    <x v="90"/>
    <x v="0"/>
    <s v="HATO PINTADO"/>
  </r>
  <r>
    <x v="10"/>
    <x v="9"/>
    <x v="1"/>
    <x v="9"/>
    <x v="9"/>
    <x v="91"/>
    <x v="0"/>
    <s v="HATO PINTADO"/>
  </r>
  <r>
    <x v="10"/>
    <x v="5"/>
    <x v="1"/>
    <x v="5"/>
    <x v="5"/>
    <x v="92"/>
    <x v="0"/>
    <s v="HATO PINTADO"/>
  </r>
  <r>
    <x v="10"/>
    <x v="6"/>
    <x v="1"/>
    <x v="6"/>
    <x v="6"/>
    <x v="93"/>
    <x v="0"/>
    <s v="HATO PINTADO"/>
  </r>
  <r>
    <x v="10"/>
    <x v="12"/>
    <x v="1"/>
    <x v="12"/>
    <x v="12"/>
    <x v="94"/>
    <x v="0"/>
    <s v="HATO PINTADO"/>
  </r>
  <r>
    <x v="10"/>
    <x v="13"/>
    <x v="1"/>
    <x v="13"/>
    <x v="13"/>
    <x v="95"/>
    <x v="0"/>
    <s v="HATO PINTADO"/>
  </r>
  <r>
    <x v="10"/>
    <x v="3"/>
    <x v="1"/>
    <x v="3"/>
    <x v="3"/>
    <x v="96"/>
    <x v="0"/>
    <s v="HATO PINTADO"/>
  </r>
  <r>
    <x v="11"/>
    <x v="0"/>
    <x v="2"/>
    <x v="0"/>
    <x v="0"/>
    <x v="97"/>
    <x v="0"/>
    <s v="LA CHORRERA"/>
  </r>
  <r>
    <x v="11"/>
    <x v="1"/>
    <x v="2"/>
    <x v="1"/>
    <x v="1"/>
    <x v="97"/>
    <x v="0"/>
    <s v="LA CHORRERA"/>
  </r>
  <r>
    <x v="11"/>
    <x v="2"/>
    <x v="2"/>
    <x v="2"/>
    <x v="2"/>
    <x v="97"/>
    <x v="0"/>
    <s v="LA CHORRERA"/>
  </r>
  <r>
    <x v="11"/>
    <x v="8"/>
    <x v="0"/>
    <x v="8"/>
    <x v="8"/>
    <x v="98"/>
    <x v="0"/>
    <s v="LA CHORRERA"/>
  </r>
  <r>
    <x v="11"/>
    <x v="0"/>
    <x v="0"/>
    <x v="0"/>
    <x v="0"/>
    <x v="99"/>
    <x v="0"/>
    <s v="LA CHORRERA"/>
  </r>
  <r>
    <x v="11"/>
    <x v="11"/>
    <x v="0"/>
    <x v="11"/>
    <x v="11"/>
    <x v="100"/>
    <x v="0"/>
    <s v="LA CHORRERA"/>
  </r>
  <r>
    <x v="11"/>
    <x v="13"/>
    <x v="0"/>
    <x v="13"/>
    <x v="13"/>
    <x v="101"/>
    <x v="0"/>
    <s v="LA CHORRERA"/>
  </r>
  <r>
    <x v="11"/>
    <x v="5"/>
    <x v="1"/>
    <x v="5"/>
    <x v="5"/>
    <x v="102"/>
    <x v="0"/>
    <s v="LA CHORRERA"/>
  </r>
  <r>
    <x v="12"/>
    <x v="0"/>
    <x v="0"/>
    <x v="0"/>
    <x v="0"/>
    <x v="103"/>
    <x v="0"/>
    <s v="AVENIDA CENTRAL"/>
  </r>
  <r>
    <x v="13"/>
    <x v="9"/>
    <x v="2"/>
    <x v="9"/>
    <x v="9"/>
    <x v="104"/>
    <x v="0"/>
    <s v="LOS ANGELES"/>
  </r>
  <r>
    <x v="13"/>
    <x v="0"/>
    <x v="0"/>
    <x v="0"/>
    <x v="0"/>
    <x v="105"/>
    <x v="0"/>
    <s v="LOS ANGELES"/>
  </r>
  <r>
    <x v="13"/>
    <x v="2"/>
    <x v="0"/>
    <x v="2"/>
    <x v="2"/>
    <x v="106"/>
    <x v="0"/>
    <s v="LOS ANGELES"/>
  </r>
  <r>
    <x v="13"/>
    <x v="4"/>
    <x v="0"/>
    <x v="4"/>
    <x v="4"/>
    <x v="107"/>
    <x v="0"/>
    <s v="LOS ANGELES"/>
  </r>
  <r>
    <x v="14"/>
    <x v="4"/>
    <x v="2"/>
    <x v="4"/>
    <x v="4"/>
    <x v="108"/>
    <x v="0"/>
    <s v="VILLA LUCRE"/>
  </r>
  <r>
    <x v="14"/>
    <x v="8"/>
    <x v="0"/>
    <x v="8"/>
    <x v="8"/>
    <x v="109"/>
    <x v="0"/>
    <s v="VILLA LUCRE"/>
  </r>
  <r>
    <x v="14"/>
    <x v="0"/>
    <x v="0"/>
    <x v="0"/>
    <x v="0"/>
    <x v="110"/>
    <x v="0"/>
    <s v="VILLA LUCRE"/>
  </r>
  <r>
    <x v="14"/>
    <x v="1"/>
    <x v="0"/>
    <x v="1"/>
    <x v="1"/>
    <x v="111"/>
    <x v="0"/>
    <s v="VILLA LUCRE"/>
  </r>
  <r>
    <x v="14"/>
    <x v="2"/>
    <x v="0"/>
    <x v="2"/>
    <x v="2"/>
    <x v="112"/>
    <x v="0"/>
    <s v="VILLA LUCRE"/>
  </r>
  <r>
    <x v="14"/>
    <x v="4"/>
    <x v="0"/>
    <x v="4"/>
    <x v="4"/>
    <x v="113"/>
    <x v="0"/>
    <s v="VILLA LUCRE"/>
  </r>
  <r>
    <x v="14"/>
    <x v="7"/>
    <x v="0"/>
    <x v="7"/>
    <x v="7"/>
    <x v="114"/>
    <x v="0"/>
    <s v="VILLA LUCRE"/>
  </r>
  <r>
    <x v="14"/>
    <x v="9"/>
    <x v="0"/>
    <x v="9"/>
    <x v="9"/>
    <x v="115"/>
    <x v="0"/>
    <s v="VILLA LUCRE"/>
  </r>
  <r>
    <x v="14"/>
    <x v="5"/>
    <x v="0"/>
    <x v="5"/>
    <x v="5"/>
    <x v="116"/>
    <x v="0"/>
    <s v="VILLA LUCRE"/>
  </r>
  <r>
    <x v="14"/>
    <x v="6"/>
    <x v="0"/>
    <x v="6"/>
    <x v="6"/>
    <x v="117"/>
    <x v="0"/>
    <s v="VILLA LUCRE"/>
  </r>
  <r>
    <x v="14"/>
    <x v="10"/>
    <x v="0"/>
    <x v="10"/>
    <x v="10"/>
    <x v="118"/>
    <x v="0"/>
    <s v="VILLA LUCRE"/>
  </r>
  <r>
    <x v="14"/>
    <x v="11"/>
    <x v="0"/>
    <x v="11"/>
    <x v="11"/>
    <x v="119"/>
    <x v="0"/>
    <s v="VILLA LUCRE"/>
  </r>
  <r>
    <x v="14"/>
    <x v="12"/>
    <x v="0"/>
    <x v="12"/>
    <x v="12"/>
    <x v="120"/>
    <x v="0"/>
    <s v="VILLA LUCRE"/>
  </r>
  <r>
    <x v="14"/>
    <x v="13"/>
    <x v="0"/>
    <x v="13"/>
    <x v="13"/>
    <x v="121"/>
    <x v="0"/>
    <s v="VILLA LUCRE"/>
  </r>
  <r>
    <x v="14"/>
    <x v="3"/>
    <x v="0"/>
    <x v="3"/>
    <x v="3"/>
    <x v="122"/>
    <x v="0"/>
    <s v="VILLA LUCRE"/>
  </r>
  <r>
    <x v="14"/>
    <x v="6"/>
    <x v="1"/>
    <x v="6"/>
    <x v="6"/>
    <x v="123"/>
    <x v="0"/>
    <s v="VILLA LUCRE"/>
  </r>
  <r>
    <x v="14"/>
    <x v="3"/>
    <x v="1"/>
    <x v="3"/>
    <x v="3"/>
    <x v="124"/>
    <x v="0"/>
    <s v="VILLA LUCRE"/>
  </r>
  <r>
    <x v="15"/>
    <x v="1"/>
    <x v="2"/>
    <x v="1"/>
    <x v="1"/>
    <x v="125"/>
    <x v="0"/>
    <s v="LOS ANDES"/>
  </r>
  <r>
    <x v="15"/>
    <x v="2"/>
    <x v="2"/>
    <x v="2"/>
    <x v="2"/>
    <x v="126"/>
    <x v="0"/>
    <s v="LOS ANDES"/>
  </r>
  <r>
    <x v="15"/>
    <x v="3"/>
    <x v="2"/>
    <x v="3"/>
    <x v="3"/>
    <x v="127"/>
    <x v="0"/>
    <s v="LOS ANDES"/>
  </r>
  <r>
    <x v="15"/>
    <x v="8"/>
    <x v="0"/>
    <x v="8"/>
    <x v="8"/>
    <x v="128"/>
    <x v="0"/>
    <s v="LOS ANDES"/>
  </r>
  <r>
    <x v="15"/>
    <x v="0"/>
    <x v="0"/>
    <x v="0"/>
    <x v="0"/>
    <x v="129"/>
    <x v="0"/>
    <s v="LOS ANDES"/>
  </r>
  <r>
    <x v="15"/>
    <x v="1"/>
    <x v="0"/>
    <x v="1"/>
    <x v="1"/>
    <x v="130"/>
    <x v="0"/>
    <s v="LOS ANDES"/>
  </r>
  <r>
    <x v="15"/>
    <x v="2"/>
    <x v="0"/>
    <x v="2"/>
    <x v="2"/>
    <x v="131"/>
    <x v="0"/>
    <s v="LOS ANDES"/>
  </r>
  <r>
    <x v="15"/>
    <x v="4"/>
    <x v="0"/>
    <x v="4"/>
    <x v="4"/>
    <x v="132"/>
    <x v="0"/>
    <s v="LOS ANDES"/>
  </r>
  <r>
    <x v="15"/>
    <x v="7"/>
    <x v="0"/>
    <x v="7"/>
    <x v="7"/>
    <x v="133"/>
    <x v="0"/>
    <s v="LOS ANDES"/>
  </r>
  <r>
    <x v="15"/>
    <x v="9"/>
    <x v="0"/>
    <x v="9"/>
    <x v="9"/>
    <x v="134"/>
    <x v="0"/>
    <s v="LOS ANDES"/>
  </r>
  <r>
    <x v="15"/>
    <x v="5"/>
    <x v="0"/>
    <x v="5"/>
    <x v="5"/>
    <x v="135"/>
    <x v="0"/>
    <s v="LOS ANDES"/>
  </r>
  <r>
    <x v="15"/>
    <x v="6"/>
    <x v="0"/>
    <x v="6"/>
    <x v="6"/>
    <x v="136"/>
    <x v="0"/>
    <s v="LOS ANDES"/>
  </r>
  <r>
    <x v="15"/>
    <x v="10"/>
    <x v="0"/>
    <x v="10"/>
    <x v="10"/>
    <x v="137"/>
    <x v="0"/>
    <s v="LOS ANDES"/>
  </r>
  <r>
    <x v="15"/>
    <x v="11"/>
    <x v="0"/>
    <x v="11"/>
    <x v="11"/>
    <x v="138"/>
    <x v="0"/>
    <s v="LOS ANDES"/>
  </r>
  <r>
    <x v="15"/>
    <x v="12"/>
    <x v="0"/>
    <x v="12"/>
    <x v="12"/>
    <x v="139"/>
    <x v="0"/>
    <s v="LOS ANDES"/>
  </r>
  <r>
    <x v="15"/>
    <x v="13"/>
    <x v="0"/>
    <x v="13"/>
    <x v="13"/>
    <x v="140"/>
    <x v="0"/>
    <s v="LOS ANDES"/>
  </r>
  <r>
    <x v="15"/>
    <x v="3"/>
    <x v="0"/>
    <x v="3"/>
    <x v="3"/>
    <x v="141"/>
    <x v="0"/>
    <s v="LOS ANDES"/>
  </r>
  <r>
    <x v="15"/>
    <x v="8"/>
    <x v="1"/>
    <x v="8"/>
    <x v="8"/>
    <x v="142"/>
    <x v="0"/>
    <s v="LOS ANDES"/>
  </r>
  <r>
    <x v="15"/>
    <x v="0"/>
    <x v="1"/>
    <x v="0"/>
    <x v="0"/>
    <x v="143"/>
    <x v="0"/>
    <s v="LOS ANDES"/>
  </r>
  <r>
    <x v="15"/>
    <x v="2"/>
    <x v="1"/>
    <x v="2"/>
    <x v="2"/>
    <x v="144"/>
    <x v="0"/>
    <s v="LOS ANDES"/>
  </r>
  <r>
    <x v="15"/>
    <x v="4"/>
    <x v="1"/>
    <x v="4"/>
    <x v="4"/>
    <x v="145"/>
    <x v="0"/>
    <s v="LOS ANDES"/>
  </r>
  <r>
    <x v="15"/>
    <x v="7"/>
    <x v="1"/>
    <x v="7"/>
    <x v="7"/>
    <x v="146"/>
    <x v="0"/>
    <s v="LOS ANDES"/>
  </r>
  <r>
    <x v="15"/>
    <x v="9"/>
    <x v="1"/>
    <x v="9"/>
    <x v="9"/>
    <x v="147"/>
    <x v="0"/>
    <s v="LOS ANDES"/>
  </r>
  <r>
    <x v="15"/>
    <x v="6"/>
    <x v="1"/>
    <x v="6"/>
    <x v="6"/>
    <x v="148"/>
    <x v="0"/>
    <s v="LOS ANDES"/>
  </r>
  <r>
    <x v="15"/>
    <x v="10"/>
    <x v="1"/>
    <x v="10"/>
    <x v="10"/>
    <x v="149"/>
    <x v="0"/>
    <s v="LOS ANDES"/>
  </r>
  <r>
    <x v="15"/>
    <x v="11"/>
    <x v="1"/>
    <x v="11"/>
    <x v="11"/>
    <x v="150"/>
    <x v="0"/>
    <s v="LOS ANDES"/>
  </r>
  <r>
    <x v="15"/>
    <x v="13"/>
    <x v="1"/>
    <x v="13"/>
    <x v="13"/>
    <x v="151"/>
    <x v="0"/>
    <s v="LOS ANDES"/>
  </r>
  <r>
    <x v="15"/>
    <x v="3"/>
    <x v="1"/>
    <x v="3"/>
    <x v="3"/>
    <x v="152"/>
    <x v="0"/>
    <s v="LOS ANDES"/>
  </r>
  <r>
    <x v="16"/>
    <x v="0"/>
    <x v="0"/>
    <x v="0"/>
    <x v="0"/>
    <x v="153"/>
    <x v="0"/>
    <s v="VIA ESPANA"/>
  </r>
  <r>
    <x v="16"/>
    <x v="9"/>
    <x v="0"/>
    <x v="9"/>
    <x v="9"/>
    <x v="154"/>
    <x v="0"/>
    <s v="VIA ESPANA"/>
  </r>
  <r>
    <x v="16"/>
    <x v="5"/>
    <x v="0"/>
    <x v="5"/>
    <x v="5"/>
    <x v="155"/>
    <x v="0"/>
    <s v="VIA ESPANA"/>
  </r>
  <r>
    <x v="16"/>
    <x v="11"/>
    <x v="0"/>
    <x v="11"/>
    <x v="11"/>
    <x v="156"/>
    <x v="0"/>
    <s v="VIA ESPANA"/>
  </r>
  <r>
    <x v="17"/>
    <x v="0"/>
    <x v="0"/>
    <x v="0"/>
    <x v="0"/>
    <x v="157"/>
    <x v="0"/>
    <s v="AVENIDA CUBA"/>
  </r>
  <r>
    <x v="18"/>
    <x v="6"/>
    <x v="2"/>
    <x v="6"/>
    <x v="6"/>
    <x v="158"/>
    <x v="0"/>
    <s v="CHITRE"/>
  </r>
  <r>
    <x v="18"/>
    <x v="8"/>
    <x v="0"/>
    <x v="8"/>
    <x v="8"/>
    <x v="159"/>
    <x v="0"/>
    <s v="CHITRE"/>
  </r>
  <r>
    <x v="18"/>
    <x v="0"/>
    <x v="0"/>
    <x v="0"/>
    <x v="0"/>
    <x v="160"/>
    <x v="0"/>
    <s v="CHITRE"/>
  </r>
  <r>
    <x v="18"/>
    <x v="1"/>
    <x v="0"/>
    <x v="1"/>
    <x v="1"/>
    <x v="161"/>
    <x v="0"/>
    <s v="CHITRE"/>
  </r>
  <r>
    <x v="18"/>
    <x v="2"/>
    <x v="0"/>
    <x v="2"/>
    <x v="2"/>
    <x v="162"/>
    <x v="0"/>
    <s v="CHITRE"/>
  </r>
  <r>
    <x v="18"/>
    <x v="4"/>
    <x v="0"/>
    <x v="4"/>
    <x v="4"/>
    <x v="163"/>
    <x v="0"/>
    <s v="CHITRE"/>
  </r>
  <r>
    <x v="18"/>
    <x v="7"/>
    <x v="0"/>
    <x v="7"/>
    <x v="7"/>
    <x v="164"/>
    <x v="0"/>
    <s v="CHITRE"/>
  </r>
  <r>
    <x v="18"/>
    <x v="9"/>
    <x v="0"/>
    <x v="9"/>
    <x v="9"/>
    <x v="165"/>
    <x v="0"/>
    <s v="CHITRE"/>
  </r>
  <r>
    <x v="18"/>
    <x v="5"/>
    <x v="0"/>
    <x v="5"/>
    <x v="5"/>
    <x v="166"/>
    <x v="0"/>
    <s v="CHITRE"/>
  </r>
  <r>
    <x v="18"/>
    <x v="6"/>
    <x v="0"/>
    <x v="6"/>
    <x v="6"/>
    <x v="167"/>
    <x v="0"/>
    <s v="CHITRE"/>
  </r>
  <r>
    <x v="18"/>
    <x v="10"/>
    <x v="0"/>
    <x v="10"/>
    <x v="10"/>
    <x v="168"/>
    <x v="0"/>
    <s v="CHITRE"/>
  </r>
  <r>
    <x v="18"/>
    <x v="11"/>
    <x v="0"/>
    <x v="11"/>
    <x v="11"/>
    <x v="169"/>
    <x v="0"/>
    <s v="CHITRE"/>
  </r>
  <r>
    <x v="18"/>
    <x v="12"/>
    <x v="0"/>
    <x v="12"/>
    <x v="12"/>
    <x v="170"/>
    <x v="0"/>
    <s v="CHITRE"/>
  </r>
  <r>
    <x v="18"/>
    <x v="13"/>
    <x v="0"/>
    <x v="13"/>
    <x v="13"/>
    <x v="171"/>
    <x v="0"/>
    <s v="CHITRE"/>
  </r>
  <r>
    <x v="18"/>
    <x v="3"/>
    <x v="0"/>
    <x v="3"/>
    <x v="3"/>
    <x v="172"/>
    <x v="0"/>
    <s v="CHITRE"/>
  </r>
  <r>
    <x v="18"/>
    <x v="0"/>
    <x v="1"/>
    <x v="0"/>
    <x v="0"/>
    <x v="173"/>
    <x v="0"/>
    <s v="CHITRE"/>
  </r>
  <r>
    <x v="18"/>
    <x v="9"/>
    <x v="1"/>
    <x v="9"/>
    <x v="9"/>
    <x v="174"/>
    <x v="0"/>
    <s v="CHITRE"/>
  </r>
  <r>
    <x v="18"/>
    <x v="5"/>
    <x v="1"/>
    <x v="5"/>
    <x v="5"/>
    <x v="175"/>
    <x v="0"/>
    <s v="CHITRE"/>
  </r>
  <r>
    <x v="18"/>
    <x v="10"/>
    <x v="1"/>
    <x v="10"/>
    <x v="10"/>
    <x v="176"/>
    <x v="0"/>
    <s v="CHITRE"/>
  </r>
  <r>
    <x v="19"/>
    <x v="8"/>
    <x v="2"/>
    <x v="8"/>
    <x v="8"/>
    <x v="177"/>
    <x v="0"/>
    <s v="LOS PUEBLOS"/>
  </r>
  <r>
    <x v="19"/>
    <x v="11"/>
    <x v="2"/>
    <x v="11"/>
    <x v="11"/>
    <x v="178"/>
    <x v="0"/>
    <s v="LOS PUEBLOS"/>
  </r>
  <r>
    <x v="19"/>
    <x v="12"/>
    <x v="2"/>
    <x v="12"/>
    <x v="12"/>
    <x v="179"/>
    <x v="0"/>
    <s v="LOS PUEBLOS"/>
  </r>
  <r>
    <x v="19"/>
    <x v="13"/>
    <x v="2"/>
    <x v="13"/>
    <x v="13"/>
    <x v="180"/>
    <x v="0"/>
    <s v="LOS PUEBLOS"/>
  </r>
  <r>
    <x v="19"/>
    <x v="3"/>
    <x v="2"/>
    <x v="3"/>
    <x v="3"/>
    <x v="181"/>
    <x v="0"/>
    <s v="LOS PUEBLOS"/>
  </r>
  <r>
    <x v="19"/>
    <x v="8"/>
    <x v="0"/>
    <x v="8"/>
    <x v="8"/>
    <x v="182"/>
    <x v="0"/>
    <s v="LOS PUEBLOS"/>
  </r>
  <r>
    <x v="19"/>
    <x v="0"/>
    <x v="0"/>
    <x v="0"/>
    <x v="0"/>
    <x v="183"/>
    <x v="0"/>
    <s v="LOS PUEBLOS"/>
  </r>
  <r>
    <x v="19"/>
    <x v="1"/>
    <x v="0"/>
    <x v="1"/>
    <x v="1"/>
    <x v="184"/>
    <x v="0"/>
    <s v="LOS PUEBLOS"/>
  </r>
  <r>
    <x v="19"/>
    <x v="2"/>
    <x v="0"/>
    <x v="2"/>
    <x v="2"/>
    <x v="185"/>
    <x v="0"/>
    <s v="LOS PUEBLOS"/>
  </r>
  <r>
    <x v="19"/>
    <x v="4"/>
    <x v="0"/>
    <x v="4"/>
    <x v="4"/>
    <x v="186"/>
    <x v="0"/>
    <s v="LOS PUEBLOS"/>
  </r>
  <r>
    <x v="19"/>
    <x v="7"/>
    <x v="0"/>
    <x v="7"/>
    <x v="7"/>
    <x v="187"/>
    <x v="0"/>
    <s v="LOS PUEBLOS"/>
  </r>
  <r>
    <x v="19"/>
    <x v="9"/>
    <x v="0"/>
    <x v="9"/>
    <x v="9"/>
    <x v="188"/>
    <x v="0"/>
    <s v="LOS PUEBLOS"/>
  </r>
  <r>
    <x v="19"/>
    <x v="5"/>
    <x v="0"/>
    <x v="5"/>
    <x v="5"/>
    <x v="189"/>
    <x v="0"/>
    <s v="LOS PUEBLOS"/>
  </r>
  <r>
    <x v="19"/>
    <x v="6"/>
    <x v="0"/>
    <x v="6"/>
    <x v="6"/>
    <x v="190"/>
    <x v="0"/>
    <s v="LOS PUEBLOS"/>
  </r>
  <r>
    <x v="19"/>
    <x v="10"/>
    <x v="0"/>
    <x v="10"/>
    <x v="10"/>
    <x v="191"/>
    <x v="0"/>
    <s v="LOS PUEBLOS"/>
  </r>
  <r>
    <x v="19"/>
    <x v="11"/>
    <x v="0"/>
    <x v="11"/>
    <x v="11"/>
    <x v="192"/>
    <x v="0"/>
    <s v="LOS PUEBLOS"/>
  </r>
  <r>
    <x v="19"/>
    <x v="12"/>
    <x v="0"/>
    <x v="12"/>
    <x v="12"/>
    <x v="193"/>
    <x v="0"/>
    <s v="LOS PUEBLOS"/>
  </r>
  <r>
    <x v="19"/>
    <x v="13"/>
    <x v="0"/>
    <x v="13"/>
    <x v="13"/>
    <x v="194"/>
    <x v="0"/>
    <s v="LOS PUEBLOS"/>
  </r>
  <r>
    <x v="19"/>
    <x v="3"/>
    <x v="0"/>
    <x v="3"/>
    <x v="3"/>
    <x v="195"/>
    <x v="0"/>
    <s v="LOS PUEBLOS"/>
  </r>
  <r>
    <x v="19"/>
    <x v="8"/>
    <x v="1"/>
    <x v="8"/>
    <x v="8"/>
    <x v="196"/>
    <x v="0"/>
    <s v="LOS PUEBLOS"/>
  </r>
  <r>
    <x v="19"/>
    <x v="5"/>
    <x v="1"/>
    <x v="5"/>
    <x v="5"/>
    <x v="197"/>
    <x v="0"/>
    <s v="LOS PUEBLOS"/>
  </r>
  <r>
    <x v="19"/>
    <x v="6"/>
    <x v="1"/>
    <x v="6"/>
    <x v="6"/>
    <x v="198"/>
    <x v="0"/>
    <s v="LOS PUEBLOS"/>
  </r>
  <r>
    <x v="19"/>
    <x v="12"/>
    <x v="1"/>
    <x v="12"/>
    <x v="12"/>
    <x v="199"/>
    <x v="0"/>
    <s v="LOS PUEBLOS"/>
  </r>
  <r>
    <x v="19"/>
    <x v="3"/>
    <x v="1"/>
    <x v="3"/>
    <x v="3"/>
    <x v="200"/>
    <x v="0"/>
    <s v="LOS PUEBLOS"/>
  </r>
  <r>
    <x v="20"/>
    <x v="1"/>
    <x v="2"/>
    <x v="1"/>
    <x v="1"/>
    <x v="201"/>
    <x v="0"/>
    <s v="TRANSISTMICA"/>
  </r>
  <r>
    <x v="20"/>
    <x v="4"/>
    <x v="2"/>
    <x v="4"/>
    <x v="4"/>
    <x v="202"/>
    <x v="0"/>
    <s v="TRANSISTMICA"/>
  </r>
  <r>
    <x v="20"/>
    <x v="6"/>
    <x v="2"/>
    <x v="6"/>
    <x v="6"/>
    <x v="203"/>
    <x v="0"/>
    <s v="TRANSISTMICA"/>
  </r>
  <r>
    <x v="20"/>
    <x v="8"/>
    <x v="0"/>
    <x v="8"/>
    <x v="8"/>
    <x v="204"/>
    <x v="0"/>
    <s v="TRANSISTMICA"/>
  </r>
  <r>
    <x v="20"/>
    <x v="0"/>
    <x v="0"/>
    <x v="0"/>
    <x v="0"/>
    <x v="205"/>
    <x v="0"/>
    <s v="TRANSISTMICA"/>
  </r>
  <r>
    <x v="20"/>
    <x v="1"/>
    <x v="0"/>
    <x v="1"/>
    <x v="1"/>
    <x v="206"/>
    <x v="0"/>
    <s v="TRANSISTMICA"/>
  </r>
  <r>
    <x v="20"/>
    <x v="2"/>
    <x v="0"/>
    <x v="2"/>
    <x v="2"/>
    <x v="207"/>
    <x v="0"/>
    <s v="TRANSISTMICA"/>
  </r>
  <r>
    <x v="20"/>
    <x v="4"/>
    <x v="0"/>
    <x v="4"/>
    <x v="4"/>
    <x v="208"/>
    <x v="0"/>
    <s v="TRANSISTMICA"/>
  </r>
  <r>
    <x v="20"/>
    <x v="7"/>
    <x v="0"/>
    <x v="7"/>
    <x v="7"/>
    <x v="209"/>
    <x v="0"/>
    <s v="TRANSISTMICA"/>
  </r>
  <r>
    <x v="20"/>
    <x v="9"/>
    <x v="0"/>
    <x v="9"/>
    <x v="9"/>
    <x v="210"/>
    <x v="0"/>
    <s v="TRANSISTMICA"/>
  </r>
  <r>
    <x v="20"/>
    <x v="5"/>
    <x v="0"/>
    <x v="5"/>
    <x v="5"/>
    <x v="211"/>
    <x v="0"/>
    <s v="TRANSISTMICA"/>
  </r>
  <r>
    <x v="20"/>
    <x v="6"/>
    <x v="0"/>
    <x v="6"/>
    <x v="6"/>
    <x v="212"/>
    <x v="0"/>
    <s v="TRANSISTMICA"/>
  </r>
  <r>
    <x v="20"/>
    <x v="10"/>
    <x v="0"/>
    <x v="10"/>
    <x v="10"/>
    <x v="213"/>
    <x v="0"/>
    <s v="TRANSISTMICA"/>
  </r>
  <r>
    <x v="20"/>
    <x v="11"/>
    <x v="0"/>
    <x v="11"/>
    <x v="11"/>
    <x v="214"/>
    <x v="0"/>
    <s v="TRANSISTMICA"/>
  </r>
  <r>
    <x v="20"/>
    <x v="12"/>
    <x v="0"/>
    <x v="12"/>
    <x v="12"/>
    <x v="215"/>
    <x v="0"/>
    <s v="TRANSISTMICA"/>
  </r>
  <r>
    <x v="20"/>
    <x v="13"/>
    <x v="0"/>
    <x v="13"/>
    <x v="13"/>
    <x v="216"/>
    <x v="0"/>
    <s v="TRANSISTMICA"/>
  </r>
  <r>
    <x v="20"/>
    <x v="3"/>
    <x v="0"/>
    <x v="3"/>
    <x v="3"/>
    <x v="217"/>
    <x v="0"/>
    <s v="TRANSISTMICA"/>
  </r>
  <r>
    <x v="20"/>
    <x v="4"/>
    <x v="1"/>
    <x v="4"/>
    <x v="4"/>
    <x v="218"/>
    <x v="0"/>
    <s v="TRANSISTMICA"/>
  </r>
  <r>
    <x v="20"/>
    <x v="9"/>
    <x v="1"/>
    <x v="9"/>
    <x v="9"/>
    <x v="219"/>
    <x v="0"/>
    <s v="TRANSISTMICA"/>
  </r>
  <r>
    <x v="20"/>
    <x v="5"/>
    <x v="1"/>
    <x v="5"/>
    <x v="5"/>
    <x v="220"/>
    <x v="0"/>
    <s v="TRANSISTMICA"/>
  </r>
  <r>
    <x v="20"/>
    <x v="6"/>
    <x v="1"/>
    <x v="6"/>
    <x v="6"/>
    <x v="221"/>
    <x v="0"/>
    <s v="TRANSISTMICA"/>
  </r>
  <r>
    <x v="20"/>
    <x v="11"/>
    <x v="1"/>
    <x v="11"/>
    <x v="11"/>
    <x v="222"/>
    <x v="0"/>
    <s v="TRANSISTMICA"/>
  </r>
  <r>
    <x v="20"/>
    <x v="12"/>
    <x v="1"/>
    <x v="12"/>
    <x v="12"/>
    <x v="223"/>
    <x v="0"/>
    <s v="TRANSISTMICA"/>
  </r>
  <r>
    <x v="20"/>
    <x v="13"/>
    <x v="1"/>
    <x v="13"/>
    <x v="13"/>
    <x v="224"/>
    <x v="0"/>
    <s v="TRANSISTMICA"/>
  </r>
  <r>
    <x v="20"/>
    <x v="3"/>
    <x v="1"/>
    <x v="3"/>
    <x v="3"/>
    <x v="225"/>
    <x v="0"/>
    <s v="TRANSISTMICA"/>
  </r>
  <r>
    <x v="21"/>
    <x v="2"/>
    <x v="0"/>
    <x v="2"/>
    <x v="2"/>
    <x v="226"/>
    <x v="0"/>
    <s v="PLAZA GALAPAGO"/>
  </r>
  <r>
    <x v="21"/>
    <x v="10"/>
    <x v="0"/>
    <x v="10"/>
    <x v="10"/>
    <x v="227"/>
    <x v="0"/>
    <s v="PLAZA GALAPAGO"/>
  </r>
  <r>
    <x v="21"/>
    <x v="3"/>
    <x v="0"/>
    <x v="3"/>
    <x v="3"/>
    <x v="228"/>
    <x v="0"/>
    <s v="PLAZA GALAPAGO"/>
  </r>
  <r>
    <x v="22"/>
    <x v="8"/>
    <x v="0"/>
    <x v="8"/>
    <x v="8"/>
    <x v="229"/>
    <x v="0"/>
    <s v="PARQUE LEFEVRE"/>
  </r>
  <r>
    <x v="22"/>
    <x v="2"/>
    <x v="0"/>
    <x v="2"/>
    <x v="2"/>
    <x v="230"/>
    <x v="0"/>
    <s v="PARQUE LEFEVRE"/>
  </r>
  <r>
    <x v="22"/>
    <x v="10"/>
    <x v="0"/>
    <x v="10"/>
    <x v="10"/>
    <x v="231"/>
    <x v="0"/>
    <s v="PARQUE LEFEVRE"/>
  </r>
  <r>
    <x v="22"/>
    <x v="11"/>
    <x v="0"/>
    <x v="11"/>
    <x v="11"/>
    <x v="232"/>
    <x v="0"/>
    <s v="PARQUE LEFEVRE"/>
  </r>
  <r>
    <x v="22"/>
    <x v="12"/>
    <x v="0"/>
    <x v="12"/>
    <x v="12"/>
    <x v="233"/>
    <x v="0"/>
    <s v="PARQUE LEFEVRE"/>
  </r>
  <r>
    <x v="22"/>
    <x v="3"/>
    <x v="0"/>
    <x v="3"/>
    <x v="3"/>
    <x v="234"/>
    <x v="0"/>
    <s v="PARQUE LEFEVRE"/>
  </r>
  <r>
    <x v="22"/>
    <x v="4"/>
    <x v="1"/>
    <x v="4"/>
    <x v="4"/>
    <x v="235"/>
    <x v="0"/>
    <s v="PARQUE LEFEVRE"/>
  </r>
  <r>
    <x v="22"/>
    <x v="10"/>
    <x v="1"/>
    <x v="10"/>
    <x v="10"/>
    <x v="236"/>
    <x v="0"/>
    <s v="PARQUE LEFEVRE"/>
  </r>
  <r>
    <x v="22"/>
    <x v="3"/>
    <x v="1"/>
    <x v="3"/>
    <x v="3"/>
    <x v="237"/>
    <x v="0"/>
    <s v="PARQUE LEFEVRE"/>
  </r>
  <r>
    <x v="23"/>
    <x v="8"/>
    <x v="2"/>
    <x v="8"/>
    <x v="8"/>
    <x v="238"/>
    <x v="0"/>
    <s v="DAVID"/>
  </r>
  <r>
    <x v="23"/>
    <x v="0"/>
    <x v="2"/>
    <x v="0"/>
    <x v="0"/>
    <x v="239"/>
    <x v="0"/>
    <s v="DAVID"/>
  </r>
  <r>
    <x v="23"/>
    <x v="1"/>
    <x v="2"/>
    <x v="1"/>
    <x v="1"/>
    <x v="240"/>
    <x v="0"/>
    <s v="DAVID"/>
  </r>
  <r>
    <x v="23"/>
    <x v="4"/>
    <x v="2"/>
    <x v="4"/>
    <x v="4"/>
    <x v="241"/>
    <x v="0"/>
    <s v="DAVID"/>
  </r>
  <r>
    <x v="23"/>
    <x v="9"/>
    <x v="2"/>
    <x v="9"/>
    <x v="9"/>
    <x v="242"/>
    <x v="0"/>
    <s v="DAVID"/>
  </r>
  <r>
    <x v="23"/>
    <x v="5"/>
    <x v="2"/>
    <x v="5"/>
    <x v="5"/>
    <x v="243"/>
    <x v="0"/>
    <s v="DAVID"/>
  </r>
  <r>
    <x v="23"/>
    <x v="6"/>
    <x v="2"/>
    <x v="6"/>
    <x v="6"/>
    <x v="244"/>
    <x v="0"/>
    <s v="DAVID"/>
  </r>
  <r>
    <x v="23"/>
    <x v="10"/>
    <x v="2"/>
    <x v="10"/>
    <x v="10"/>
    <x v="245"/>
    <x v="0"/>
    <s v="DAVID"/>
  </r>
  <r>
    <x v="23"/>
    <x v="11"/>
    <x v="2"/>
    <x v="11"/>
    <x v="11"/>
    <x v="246"/>
    <x v="0"/>
    <s v="DAVID"/>
  </r>
  <r>
    <x v="23"/>
    <x v="3"/>
    <x v="2"/>
    <x v="3"/>
    <x v="3"/>
    <x v="247"/>
    <x v="0"/>
    <s v="DAVID"/>
  </r>
  <r>
    <x v="23"/>
    <x v="8"/>
    <x v="0"/>
    <x v="8"/>
    <x v="8"/>
    <x v="248"/>
    <x v="0"/>
    <s v="DAVID"/>
  </r>
  <r>
    <x v="23"/>
    <x v="0"/>
    <x v="0"/>
    <x v="0"/>
    <x v="0"/>
    <x v="249"/>
    <x v="0"/>
    <s v="DAVID"/>
  </r>
  <r>
    <x v="23"/>
    <x v="1"/>
    <x v="0"/>
    <x v="1"/>
    <x v="1"/>
    <x v="250"/>
    <x v="0"/>
    <s v="DAVID"/>
  </r>
  <r>
    <x v="23"/>
    <x v="2"/>
    <x v="0"/>
    <x v="2"/>
    <x v="2"/>
    <x v="251"/>
    <x v="0"/>
    <s v="DAVID"/>
  </r>
  <r>
    <x v="23"/>
    <x v="4"/>
    <x v="0"/>
    <x v="4"/>
    <x v="4"/>
    <x v="252"/>
    <x v="0"/>
    <s v="DAVID"/>
  </r>
  <r>
    <x v="23"/>
    <x v="7"/>
    <x v="0"/>
    <x v="7"/>
    <x v="7"/>
    <x v="253"/>
    <x v="0"/>
    <s v="DAVID"/>
  </r>
  <r>
    <x v="23"/>
    <x v="9"/>
    <x v="0"/>
    <x v="9"/>
    <x v="9"/>
    <x v="254"/>
    <x v="0"/>
    <s v="DAVID"/>
  </r>
  <r>
    <x v="23"/>
    <x v="15"/>
    <x v="0"/>
    <x v="15"/>
    <x v="15"/>
    <x v="255"/>
    <x v="0"/>
    <s v="DAVID"/>
  </r>
  <r>
    <x v="23"/>
    <x v="5"/>
    <x v="0"/>
    <x v="5"/>
    <x v="5"/>
    <x v="256"/>
    <x v="0"/>
    <s v="DAVID"/>
  </r>
  <r>
    <x v="23"/>
    <x v="6"/>
    <x v="0"/>
    <x v="6"/>
    <x v="6"/>
    <x v="257"/>
    <x v="0"/>
    <s v="DAVID"/>
  </r>
  <r>
    <x v="23"/>
    <x v="10"/>
    <x v="0"/>
    <x v="10"/>
    <x v="10"/>
    <x v="258"/>
    <x v="0"/>
    <s v="DAVID"/>
  </r>
  <r>
    <x v="23"/>
    <x v="11"/>
    <x v="0"/>
    <x v="11"/>
    <x v="11"/>
    <x v="259"/>
    <x v="0"/>
    <s v="DAVID"/>
  </r>
  <r>
    <x v="23"/>
    <x v="12"/>
    <x v="0"/>
    <x v="12"/>
    <x v="12"/>
    <x v="260"/>
    <x v="0"/>
    <s v="DAVID"/>
  </r>
  <r>
    <x v="23"/>
    <x v="13"/>
    <x v="0"/>
    <x v="13"/>
    <x v="13"/>
    <x v="261"/>
    <x v="0"/>
    <s v="DAVID"/>
  </r>
  <r>
    <x v="23"/>
    <x v="3"/>
    <x v="0"/>
    <x v="3"/>
    <x v="3"/>
    <x v="262"/>
    <x v="0"/>
    <s v="DAVID"/>
  </r>
  <r>
    <x v="23"/>
    <x v="8"/>
    <x v="1"/>
    <x v="8"/>
    <x v="8"/>
    <x v="263"/>
    <x v="0"/>
    <s v="DAVID"/>
  </r>
  <r>
    <x v="23"/>
    <x v="2"/>
    <x v="1"/>
    <x v="2"/>
    <x v="2"/>
    <x v="264"/>
    <x v="0"/>
    <s v="DAVID"/>
  </r>
  <r>
    <x v="23"/>
    <x v="4"/>
    <x v="1"/>
    <x v="4"/>
    <x v="4"/>
    <x v="265"/>
    <x v="0"/>
    <s v="DAVID"/>
  </r>
  <r>
    <x v="23"/>
    <x v="11"/>
    <x v="1"/>
    <x v="11"/>
    <x v="11"/>
    <x v="266"/>
    <x v="0"/>
    <s v="DAVID"/>
  </r>
  <r>
    <x v="23"/>
    <x v="12"/>
    <x v="1"/>
    <x v="12"/>
    <x v="12"/>
    <x v="267"/>
    <x v="0"/>
    <s v="DAVID"/>
  </r>
  <r>
    <x v="23"/>
    <x v="13"/>
    <x v="1"/>
    <x v="13"/>
    <x v="13"/>
    <x v="268"/>
    <x v="0"/>
    <s v="DAVID"/>
  </r>
  <r>
    <x v="23"/>
    <x v="3"/>
    <x v="1"/>
    <x v="3"/>
    <x v="3"/>
    <x v="269"/>
    <x v="0"/>
    <s v="DAVID"/>
  </r>
  <r>
    <x v="24"/>
    <x v="0"/>
    <x v="0"/>
    <x v="0"/>
    <x v="0"/>
    <x v="270"/>
    <x v="0"/>
    <s v="PLAZA LAS AMERICAS"/>
  </r>
  <r>
    <x v="24"/>
    <x v="2"/>
    <x v="1"/>
    <x v="2"/>
    <x v="2"/>
    <x v="271"/>
    <x v="0"/>
    <s v="PLAZA LAS AMERICAS"/>
  </r>
  <r>
    <x v="25"/>
    <x v="10"/>
    <x v="0"/>
    <x v="10"/>
    <x v="10"/>
    <x v="272"/>
    <x v="0"/>
    <s v="CORONADO"/>
  </r>
  <r>
    <x v="25"/>
    <x v="3"/>
    <x v="0"/>
    <x v="3"/>
    <x v="3"/>
    <x v="273"/>
    <x v="0"/>
    <s v="CORONADO"/>
  </r>
  <r>
    <x v="25"/>
    <x v="8"/>
    <x v="1"/>
    <x v="8"/>
    <x v="8"/>
    <x v="274"/>
    <x v="0"/>
    <s v="CORONADO"/>
  </r>
  <r>
    <x v="26"/>
    <x v="2"/>
    <x v="2"/>
    <x v="2"/>
    <x v="2"/>
    <x v="275"/>
    <x v="0"/>
    <s v="ALBROOK MALL"/>
  </r>
  <r>
    <x v="26"/>
    <x v="6"/>
    <x v="2"/>
    <x v="6"/>
    <x v="6"/>
    <x v="276"/>
    <x v="0"/>
    <s v="ALBROOK MALL"/>
  </r>
  <r>
    <x v="26"/>
    <x v="10"/>
    <x v="2"/>
    <x v="10"/>
    <x v="10"/>
    <x v="277"/>
    <x v="0"/>
    <s v="ALBROOK MALL"/>
  </r>
  <r>
    <x v="26"/>
    <x v="11"/>
    <x v="2"/>
    <x v="11"/>
    <x v="11"/>
    <x v="278"/>
    <x v="0"/>
    <s v="ALBROOK MALL"/>
  </r>
  <r>
    <x v="26"/>
    <x v="12"/>
    <x v="2"/>
    <x v="12"/>
    <x v="12"/>
    <x v="279"/>
    <x v="0"/>
    <s v="ALBROOK MALL"/>
  </r>
  <r>
    <x v="26"/>
    <x v="8"/>
    <x v="0"/>
    <x v="8"/>
    <x v="8"/>
    <x v="280"/>
    <x v="0"/>
    <s v="ALBROOK MALL"/>
  </r>
  <r>
    <x v="26"/>
    <x v="0"/>
    <x v="0"/>
    <x v="0"/>
    <x v="0"/>
    <x v="281"/>
    <x v="0"/>
    <s v="ALBROOK MALL"/>
  </r>
  <r>
    <x v="26"/>
    <x v="1"/>
    <x v="0"/>
    <x v="1"/>
    <x v="1"/>
    <x v="282"/>
    <x v="0"/>
    <s v="ALBROOK MALL"/>
  </r>
  <r>
    <x v="26"/>
    <x v="2"/>
    <x v="0"/>
    <x v="2"/>
    <x v="2"/>
    <x v="283"/>
    <x v="0"/>
    <s v="ALBROOK MALL"/>
  </r>
  <r>
    <x v="26"/>
    <x v="4"/>
    <x v="0"/>
    <x v="4"/>
    <x v="4"/>
    <x v="284"/>
    <x v="0"/>
    <s v="ALBROOK MALL"/>
  </r>
  <r>
    <x v="26"/>
    <x v="7"/>
    <x v="0"/>
    <x v="7"/>
    <x v="7"/>
    <x v="285"/>
    <x v="0"/>
    <s v="ALBROOK MALL"/>
  </r>
  <r>
    <x v="26"/>
    <x v="9"/>
    <x v="0"/>
    <x v="9"/>
    <x v="9"/>
    <x v="286"/>
    <x v="0"/>
    <s v="ALBROOK MALL"/>
  </r>
  <r>
    <x v="26"/>
    <x v="5"/>
    <x v="0"/>
    <x v="5"/>
    <x v="5"/>
    <x v="287"/>
    <x v="0"/>
    <s v="ALBROOK MALL"/>
  </r>
  <r>
    <x v="26"/>
    <x v="6"/>
    <x v="0"/>
    <x v="6"/>
    <x v="6"/>
    <x v="288"/>
    <x v="0"/>
    <s v="ALBROOK MALL"/>
  </r>
  <r>
    <x v="26"/>
    <x v="10"/>
    <x v="0"/>
    <x v="10"/>
    <x v="10"/>
    <x v="289"/>
    <x v="0"/>
    <s v="ALBROOK MALL"/>
  </r>
  <r>
    <x v="26"/>
    <x v="11"/>
    <x v="0"/>
    <x v="11"/>
    <x v="11"/>
    <x v="290"/>
    <x v="0"/>
    <s v="ALBROOK MALL"/>
  </r>
  <r>
    <x v="26"/>
    <x v="12"/>
    <x v="0"/>
    <x v="12"/>
    <x v="12"/>
    <x v="291"/>
    <x v="0"/>
    <s v="ALBROOK MALL"/>
  </r>
  <r>
    <x v="26"/>
    <x v="13"/>
    <x v="0"/>
    <x v="13"/>
    <x v="13"/>
    <x v="292"/>
    <x v="0"/>
    <s v="ALBROOK MALL"/>
  </r>
  <r>
    <x v="26"/>
    <x v="3"/>
    <x v="0"/>
    <x v="3"/>
    <x v="3"/>
    <x v="293"/>
    <x v="0"/>
    <s v="ALBROOK MALL"/>
  </r>
  <r>
    <x v="26"/>
    <x v="8"/>
    <x v="1"/>
    <x v="8"/>
    <x v="8"/>
    <x v="294"/>
    <x v="0"/>
    <s v="ALBROOK MALL"/>
  </r>
  <r>
    <x v="26"/>
    <x v="9"/>
    <x v="1"/>
    <x v="9"/>
    <x v="9"/>
    <x v="295"/>
    <x v="0"/>
    <s v="ALBROOK MALL"/>
  </r>
  <r>
    <x v="26"/>
    <x v="5"/>
    <x v="1"/>
    <x v="5"/>
    <x v="5"/>
    <x v="296"/>
    <x v="0"/>
    <s v="ALBROOK MALL"/>
  </r>
  <r>
    <x v="26"/>
    <x v="6"/>
    <x v="1"/>
    <x v="6"/>
    <x v="6"/>
    <x v="297"/>
    <x v="0"/>
    <s v="ALBROOK MALL"/>
  </r>
  <r>
    <x v="26"/>
    <x v="10"/>
    <x v="1"/>
    <x v="10"/>
    <x v="10"/>
    <x v="298"/>
    <x v="0"/>
    <s v="ALBROOK MALL"/>
  </r>
  <r>
    <x v="26"/>
    <x v="11"/>
    <x v="1"/>
    <x v="11"/>
    <x v="11"/>
    <x v="299"/>
    <x v="0"/>
    <s v="ALBROOK MALL"/>
  </r>
  <r>
    <x v="26"/>
    <x v="12"/>
    <x v="1"/>
    <x v="12"/>
    <x v="12"/>
    <x v="300"/>
    <x v="0"/>
    <s v="ALBROOK MALL"/>
  </r>
  <r>
    <x v="26"/>
    <x v="13"/>
    <x v="1"/>
    <x v="13"/>
    <x v="13"/>
    <x v="301"/>
    <x v="0"/>
    <s v="ALBROOK MALL"/>
  </r>
  <r>
    <x v="26"/>
    <x v="3"/>
    <x v="1"/>
    <x v="3"/>
    <x v="3"/>
    <x v="302"/>
    <x v="0"/>
    <s v="ALBROOK MALL"/>
  </r>
  <r>
    <x v="27"/>
    <x v="10"/>
    <x v="0"/>
    <x v="10"/>
    <x v="10"/>
    <x v="303"/>
    <x v="0"/>
    <s v="PANAMA PACIFICO"/>
  </r>
  <r>
    <x v="27"/>
    <x v="10"/>
    <x v="1"/>
    <x v="10"/>
    <x v="10"/>
    <x v="304"/>
    <x v="0"/>
    <s v="PANAMA PACIFICO"/>
  </r>
  <r>
    <x v="28"/>
    <x v="8"/>
    <x v="0"/>
    <x v="8"/>
    <x v="8"/>
    <x v="305"/>
    <x v="0"/>
    <s v="ALBROOK"/>
  </r>
  <r>
    <x v="28"/>
    <x v="0"/>
    <x v="0"/>
    <x v="0"/>
    <x v="0"/>
    <x v="306"/>
    <x v="0"/>
    <s v="ALBROOK"/>
  </r>
  <r>
    <x v="28"/>
    <x v="1"/>
    <x v="0"/>
    <x v="1"/>
    <x v="1"/>
    <x v="307"/>
    <x v="0"/>
    <s v="ALBROOK"/>
  </r>
  <r>
    <x v="28"/>
    <x v="2"/>
    <x v="0"/>
    <x v="2"/>
    <x v="2"/>
    <x v="308"/>
    <x v="0"/>
    <s v="ALBROOK"/>
  </r>
  <r>
    <x v="28"/>
    <x v="4"/>
    <x v="0"/>
    <x v="4"/>
    <x v="4"/>
    <x v="309"/>
    <x v="0"/>
    <s v="ALBROOK"/>
  </r>
  <r>
    <x v="28"/>
    <x v="7"/>
    <x v="0"/>
    <x v="7"/>
    <x v="7"/>
    <x v="310"/>
    <x v="0"/>
    <s v="ALBROOK"/>
  </r>
  <r>
    <x v="28"/>
    <x v="9"/>
    <x v="0"/>
    <x v="9"/>
    <x v="9"/>
    <x v="311"/>
    <x v="0"/>
    <s v="ALBROOK"/>
  </r>
  <r>
    <x v="28"/>
    <x v="15"/>
    <x v="0"/>
    <x v="15"/>
    <x v="15"/>
    <x v="312"/>
    <x v="0"/>
    <s v="ALBROOK"/>
  </r>
  <r>
    <x v="28"/>
    <x v="5"/>
    <x v="0"/>
    <x v="5"/>
    <x v="5"/>
    <x v="313"/>
    <x v="0"/>
    <s v="ALBROOK"/>
  </r>
  <r>
    <x v="28"/>
    <x v="6"/>
    <x v="0"/>
    <x v="6"/>
    <x v="6"/>
    <x v="314"/>
    <x v="0"/>
    <s v="ALBROOK"/>
  </r>
  <r>
    <x v="28"/>
    <x v="10"/>
    <x v="0"/>
    <x v="10"/>
    <x v="10"/>
    <x v="315"/>
    <x v="0"/>
    <s v="ALBROOK"/>
  </r>
  <r>
    <x v="28"/>
    <x v="11"/>
    <x v="0"/>
    <x v="11"/>
    <x v="11"/>
    <x v="316"/>
    <x v="0"/>
    <s v="ALBROOK"/>
  </r>
  <r>
    <x v="28"/>
    <x v="12"/>
    <x v="0"/>
    <x v="12"/>
    <x v="12"/>
    <x v="317"/>
    <x v="0"/>
    <s v="ALBROOK"/>
  </r>
  <r>
    <x v="28"/>
    <x v="13"/>
    <x v="0"/>
    <x v="13"/>
    <x v="13"/>
    <x v="318"/>
    <x v="0"/>
    <s v="ALBROOK"/>
  </r>
  <r>
    <x v="28"/>
    <x v="3"/>
    <x v="0"/>
    <x v="3"/>
    <x v="3"/>
    <x v="319"/>
    <x v="0"/>
    <s v="ALBROOK"/>
  </r>
  <r>
    <x v="28"/>
    <x v="1"/>
    <x v="1"/>
    <x v="1"/>
    <x v="1"/>
    <x v="320"/>
    <x v="0"/>
    <s v="ALBROOK"/>
  </r>
  <r>
    <x v="28"/>
    <x v="4"/>
    <x v="1"/>
    <x v="4"/>
    <x v="4"/>
    <x v="321"/>
    <x v="0"/>
    <s v="ALBROOK"/>
  </r>
  <r>
    <x v="28"/>
    <x v="6"/>
    <x v="1"/>
    <x v="6"/>
    <x v="6"/>
    <x v="322"/>
    <x v="0"/>
    <s v="ALBROOK"/>
  </r>
  <r>
    <x v="28"/>
    <x v="3"/>
    <x v="1"/>
    <x v="3"/>
    <x v="3"/>
    <x v="15"/>
    <x v="0"/>
    <s v="ALBROOK"/>
  </r>
  <r>
    <x v="29"/>
    <x v="10"/>
    <x v="2"/>
    <x v="10"/>
    <x v="10"/>
    <x v="323"/>
    <x v="0"/>
    <s v="SUCURSAL DE VISTA ALEGRE"/>
  </r>
  <r>
    <x v="29"/>
    <x v="13"/>
    <x v="2"/>
    <x v="13"/>
    <x v="13"/>
    <x v="324"/>
    <x v="0"/>
    <s v="SUCURSAL DE VISTA ALEGRE"/>
  </r>
  <r>
    <x v="29"/>
    <x v="8"/>
    <x v="0"/>
    <x v="8"/>
    <x v="8"/>
    <x v="325"/>
    <x v="0"/>
    <s v="SUCURSAL DE VISTA ALEGRE"/>
  </r>
  <r>
    <x v="29"/>
    <x v="0"/>
    <x v="0"/>
    <x v="0"/>
    <x v="0"/>
    <x v="326"/>
    <x v="0"/>
    <s v="SUCURSAL DE VISTA ALEGRE"/>
  </r>
  <r>
    <x v="29"/>
    <x v="1"/>
    <x v="0"/>
    <x v="1"/>
    <x v="1"/>
    <x v="327"/>
    <x v="0"/>
    <s v="SUCURSAL DE VISTA ALEGRE"/>
  </r>
  <r>
    <x v="29"/>
    <x v="2"/>
    <x v="0"/>
    <x v="2"/>
    <x v="2"/>
    <x v="328"/>
    <x v="0"/>
    <s v="SUCURSAL DE VISTA ALEGRE"/>
  </r>
  <r>
    <x v="29"/>
    <x v="4"/>
    <x v="0"/>
    <x v="4"/>
    <x v="4"/>
    <x v="329"/>
    <x v="0"/>
    <s v="SUCURSAL DE VISTA ALEGRE"/>
  </r>
  <r>
    <x v="29"/>
    <x v="7"/>
    <x v="0"/>
    <x v="7"/>
    <x v="7"/>
    <x v="330"/>
    <x v="0"/>
    <s v="SUCURSAL DE VISTA ALEGRE"/>
  </r>
  <r>
    <x v="29"/>
    <x v="9"/>
    <x v="0"/>
    <x v="9"/>
    <x v="9"/>
    <x v="331"/>
    <x v="0"/>
    <s v="SUCURSAL DE VISTA ALEGRE"/>
  </r>
  <r>
    <x v="29"/>
    <x v="5"/>
    <x v="0"/>
    <x v="5"/>
    <x v="5"/>
    <x v="332"/>
    <x v="0"/>
    <s v="SUCURSAL DE VISTA ALEGRE"/>
  </r>
  <r>
    <x v="29"/>
    <x v="6"/>
    <x v="0"/>
    <x v="6"/>
    <x v="6"/>
    <x v="333"/>
    <x v="0"/>
    <s v="SUCURSAL DE VISTA ALEGRE"/>
  </r>
  <r>
    <x v="29"/>
    <x v="10"/>
    <x v="0"/>
    <x v="10"/>
    <x v="10"/>
    <x v="334"/>
    <x v="0"/>
    <s v="SUCURSAL DE VISTA ALEGRE"/>
  </r>
  <r>
    <x v="29"/>
    <x v="11"/>
    <x v="0"/>
    <x v="11"/>
    <x v="11"/>
    <x v="335"/>
    <x v="0"/>
    <s v="SUCURSAL DE VISTA ALEGRE"/>
  </r>
  <r>
    <x v="29"/>
    <x v="12"/>
    <x v="0"/>
    <x v="12"/>
    <x v="12"/>
    <x v="336"/>
    <x v="0"/>
    <s v="SUCURSAL DE VISTA ALEGRE"/>
  </r>
  <r>
    <x v="29"/>
    <x v="13"/>
    <x v="0"/>
    <x v="13"/>
    <x v="13"/>
    <x v="337"/>
    <x v="0"/>
    <s v="SUCURSAL DE VISTA ALEGRE"/>
  </r>
  <r>
    <x v="29"/>
    <x v="3"/>
    <x v="0"/>
    <x v="3"/>
    <x v="3"/>
    <x v="338"/>
    <x v="0"/>
    <s v="SUCURSAL DE VISTA ALEGRE"/>
  </r>
  <r>
    <x v="29"/>
    <x v="8"/>
    <x v="1"/>
    <x v="8"/>
    <x v="8"/>
    <x v="339"/>
    <x v="0"/>
    <s v="SUCURSAL DE VISTA ALEGRE"/>
  </r>
  <r>
    <x v="29"/>
    <x v="2"/>
    <x v="1"/>
    <x v="2"/>
    <x v="2"/>
    <x v="340"/>
    <x v="0"/>
    <s v="SUCURSAL DE VISTA ALEGRE"/>
  </r>
  <r>
    <x v="29"/>
    <x v="7"/>
    <x v="1"/>
    <x v="7"/>
    <x v="7"/>
    <x v="341"/>
    <x v="0"/>
    <s v="SUCURSAL DE VISTA ALEGRE"/>
  </r>
  <r>
    <x v="29"/>
    <x v="9"/>
    <x v="1"/>
    <x v="9"/>
    <x v="9"/>
    <x v="342"/>
    <x v="0"/>
    <s v="SUCURSAL DE VISTA ALEGRE"/>
  </r>
  <r>
    <x v="29"/>
    <x v="5"/>
    <x v="1"/>
    <x v="5"/>
    <x v="5"/>
    <x v="343"/>
    <x v="0"/>
    <s v="SUCURSAL DE VISTA ALEGRE"/>
  </r>
  <r>
    <x v="29"/>
    <x v="6"/>
    <x v="1"/>
    <x v="6"/>
    <x v="6"/>
    <x v="344"/>
    <x v="0"/>
    <s v="SUCURSAL DE VISTA ALEGRE"/>
  </r>
  <r>
    <x v="29"/>
    <x v="10"/>
    <x v="1"/>
    <x v="10"/>
    <x v="10"/>
    <x v="345"/>
    <x v="0"/>
    <s v="SUCURSAL DE VISTA ALEGRE"/>
  </r>
  <r>
    <x v="29"/>
    <x v="12"/>
    <x v="1"/>
    <x v="12"/>
    <x v="12"/>
    <x v="346"/>
    <x v="0"/>
    <s v="SUCURSAL DE VISTA ALEGRE"/>
  </r>
  <r>
    <x v="29"/>
    <x v="13"/>
    <x v="1"/>
    <x v="13"/>
    <x v="13"/>
    <x v="347"/>
    <x v="0"/>
    <s v="SUCURSAL DE VISTA ALEGRE"/>
  </r>
  <r>
    <x v="29"/>
    <x v="3"/>
    <x v="1"/>
    <x v="3"/>
    <x v="3"/>
    <x v="348"/>
    <x v="0"/>
    <s v="SUCURSAL DE VISTA ALEGRE"/>
  </r>
  <r>
    <x v="30"/>
    <x v="0"/>
    <x v="0"/>
    <x v="0"/>
    <x v="0"/>
    <x v="349"/>
    <x v="0"/>
    <s v="LAS TABLAS"/>
  </r>
  <r>
    <x v="30"/>
    <x v="5"/>
    <x v="1"/>
    <x v="5"/>
    <x v="5"/>
    <x v="350"/>
    <x v="0"/>
    <s v="LAS TABLAS"/>
  </r>
  <r>
    <x v="30"/>
    <x v="6"/>
    <x v="1"/>
    <x v="6"/>
    <x v="6"/>
    <x v="351"/>
    <x v="0"/>
    <s v="LAS TABLAS"/>
  </r>
  <r>
    <x v="31"/>
    <x v="0"/>
    <x v="0"/>
    <x v="0"/>
    <x v="0"/>
    <x v="352"/>
    <x v="0"/>
    <s v="24 DE DICIEMBRE"/>
  </r>
  <r>
    <x v="32"/>
    <x v="5"/>
    <x v="2"/>
    <x v="5"/>
    <x v="5"/>
    <x v="353"/>
    <x v="0"/>
    <s v="DAVID - TERRONAL"/>
  </r>
  <r>
    <x v="32"/>
    <x v="3"/>
    <x v="0"/>
    <x v="3"/>
    <x v="3"/>
    <x v="354"/>
    <x v="0"/>
    <s v="DAVID - TERRONAL"/>
  </r>
  <r>
    <x v="33"/>
    <x v="8"/>
    <x v="0"/>
    <x v="8"/>
    <x v="8"/>
    <x v="355"/>
    <x v="0"/>
    <s v="COSTA DEL ESTE"/>
  </r>
  <r>
    <x v="33"/>
    <x v="0"/>
    <x v="0"/>
    <x v="0"/>
    <x v="0"/>
    <x v="356"/>
    <x v="0"/>
    <s v="COSTA DEL ESTE"/>
  </r>
  <r>
    <x v="33"/>
    <x v="1"/>
    <x v="0"/>
    <x v="1"/>
    <x v="1"/>
    <x v="357"/>
    <x v="0"/>
    <s v="COSTA DEL ESTE"/>
  </r>
  <r>
    <x v="33"/>
    <x v="2"/>
    <x v="0"/>
    <x v="2"/>
    <x v="2"/>
    <x v="358"/>
    <x v="0"/>
    <s v="COSTA DEL ESTE"/>
  </r>
  <r>
    <x v="33"/>
    <x v="4"/>
    <x v="0"/>
    <x v="4"/>
    <x v="4"/>
    <x v="359"/>
    <x v="0"/>
    <s v="COSTA DEL ESTE"/>
  </r>
  <r>
    <x v="33"/>
    <x v="7"/>
    <x v="0"/>
    <x v="7"/>
    <x v="7"/>
    <x v="360"/>
    <x v="0"/>
    <s v="COSTA DEL ESTE"/>
  </r>
  <r>
    <x v="33"/>
    <x v="9"/>
    <x v="0"/>
    <x v="9"/>
    <x v="9"/>
    <x v="361"/>
    <x v="0"/>
    <s v="COSTA DEL ESTE"/>
  </r>
  <r>
    <x v="33"/>
    <x v="5"/>
    <x v="0"/>
    <x v="5"/>
    <x v="5"/>
    <x v="362"/>
    <x v="0"/>
    <s v="COSTA DEL ESTE"/>
  </r>
  <r>
    <x v="33"/>
    <x v="16"/>
    <x v="0"/>
    <x v="16"/>
    <x v="16"/>
    <x v="363"/>
    <x v="0"/>
    <s v="COSTA DEL ESTE"/>
  </r>
  <r>
    <x v="33"/>
    <x v="6"/>
    <x v="0"/>
    <x v="6"/>
    <x v="6"/>
    <x v="364"/>
    <x v="0"/>
    <s v="COSTA DEL ESTE"/>
  </r>
  <r>
    <x v="33"/>
    <x v="10"/>
    <x v="0"/>
    <x v="10"/>
    <x v="10"/>
    <x v="365"/>
    <x v="0"/>
    <s v="COSTA DEL ESTE"/>
  </r>
  <r>
    <x v="33"/>
    <x v="11"/>
    <x v="0"/>
    <x v="11"/>
    <x v="11"/>
    <x v="366"/>
    <x v="0"/>
    <s v="COSTA DEL ESTE"/>
  </r>
  <r>
    <x v="33"/>
    <x v="12"/>
    <x v="0"/>
    <x v="12"/>
    <x v="12"/>
    <x v="367"/>
    <x v="0"/>
    <s v="COSTA DEL ESTE"/>
  </r>
  <r>
    <x v="33"/>
    <x v="13"/>
    <x v="0"/>
    <x v="13"/>
    <x v="13"/>
    <x v="319"/>
    <x v="0"/>
    <s v="COSTA DEL ESTE"/>
  </r>
  <r>
    <x v="33"/>
    <x v="17"/>
    <x v="0"/>
    <x v="17"/>
    <x v="17"/>
    <x v="368"/>
    <x v="0"/>
    <s v="COSTA DEL ESTE"/>
  </r>
  <r>
    <x v="33"/>
    <x v="3"/>
    <x v="0"/>
    <x v="3"/>
    <x v="3"/>
    <x v="369"/>
    <x v="0"/>
    <s v="COSTA DEL ESTE"/>
  </r>
  <r>
    <x v="33"/>
    <x v="8"/>
    <x v="1"/>
    <x v="8"/>
    <x v="8"/>
    <x v="370"/>
    <x v="0"/>
    <s v="COSTA DEL ESTE"/>
  </r>
  <r>
    <x v="33"/>
    <x v="4"/>
    <x v="1"/>
    <x v="4"/>
    <x v="4"/>
    <x v="232"/>
    <x v="0"/>
    <s v="COSTA DEL ESTE"/>
  </r>
  <r>
    <x v="33"/>
    <x v="7"/>
    <x v="1"/>
    <x v="7"/>
    <x v="7"/>
    <x v="371"/>
    <x v="0"/>
    <s v="COSTA DEL ESTE"/>
  </r>
  <r>
    <x v="33"/>
    <x v="9"/>
    <x v="1"/>
    <x v="9"/>
    <x v="9"/>
    <x v="372"/>
    <x v="0"/>
    <s v="COSTA DEL ESTE"/>
  </r>
  <r>
    <x v="33"/>
    <x v="6"/>
    <x v="1"/>
    <x v="6"/>
    <x v="6"/>
    <x v="373"/>
    <x v="0"/>
    <s v="COSTA DEL ESTE"/>
  </r>
  <r>
    <x v="33"/>
    <x v="11"/>
    <x v="1"/>
    <x v="11"/>
    <x v="11"/>
    <x v="374"/>
    <x v="0"/>
    <s v="COSTA DEL ESTE"/>
  </r>
  <r>
    <x v="33"/>
    <x v="12"/>
    <x v="1"/>
    <x v="12"/>
    <x v="12"/>
    <x v="375"/>
    <x v="0"/>
    <s v="COSTA DEL ESTE"/>
  </r>
  <r>
    <x v="33"/>
    <x v="13"/>
    <x v="1"/>
    <x v="13"/>
    <x v="13"/>
    <x v="376"/>
    <x v="0"/>
    <s v="COSTA DEL ESTE"/>
  </r>
  <r>
    <x v="33"/>
    <x v="3"/>
    <x v="1"/>
    <x v="3"/>
    <x v="3"/>
    <x v="377"/>
    <x v="0"/>
    <s v="COSTA DEL ESTE"/>
  </r>
  <r>
    <x v="34"/>
    <x v="10"/>
    <x v="2"/>
    <x v="10"/>
    <x v="10"/>
    <x v="378"/>
    <x v="0"/>
    <s v="MULTI PLAZA"/>
  </r>
  <r>
    <x v="34"/>
    <x v="8"/>
    <x v="0"/>
    <x v="8"/>
    <x v="8"/>
    <x v="379"/>
    <x v="0"/>
    <s v="MULTI PLAZA"/>
  </r>
  <r>
    <x v="34"/>
    <x v="0"/>
    <x v="0"/>
    <x v="0"/>
    <x v="0"/>
    <x v="380"/>
    <x v="0"/>
    <s v="MULTI PLAZA"/>
  </r>
  <r>
    <x v="34"/>
    <x v="1"/>
    <x v="0"/>
    <x v="1"/>
    <x v="1"/>
    <x v="381"/>
    <x v="0"/>
    <s v="MULTI PLAZA"/>
  </r>
  <r>
    <x v="34"/>
    <x v="2"/>
    <x v="0"/>
    <x v="2"/>
    <x v="2"/>
    <x v="382"/>
    <x v="0"/>
    <s v="MULTI PLAZA"/>
  </r>
  <r>
    <x v="34"/>
    <x v="4"/>
    <x v="0"/>
    <x v="4"/>
    <x v="4"/>
    <x v="383"/>
    <x v="0"/>
    <s v="MULTI PLAZA"/>
  </r>
  <r>
    <x v="34"/>
    <x v="7"/>
    <x v="0"/>
    <x v="7"/>
    <x v="7"/>
    <x v="384"/>
    <x v="0"/>
    <s v="MULTI PLAZA"/>
  </r>
  <r>
    <x v="34"/>
    <x v="9"/>
    <x v="0"/>
    <x v="9"/>
    <x v="9"/>
    <x v="385"/>
    <x v="0"/>
    <s v="MULTI PLAZA"/>
  </r>
  <r>
    <x v="34"/>
    <x v="5"/>
    <x v="0"/>
    <x v="5"/>
    <x v="5"/>
    <x v="386"/>
    <x v="0"/>
    <s v="MULTI PLAZA"/>
  </r>
  <r>
    <x v="34"/>
    <x v="6"/>
    <x v="0"/>
    <x v="6"/>
    <x v="6"/>
    <x v="387"/>
    <x v="0"/>
    <s v="MULTI PLAZA"/>
  </r>
  <r>
    <x v="34"/>
    <x v="10"/>
    <x v="0"/>
    <x v="10"/>
    <x v="10"/>
    <x v="388"/>
    <x v="0"/>
    <s v="MULTI PLAZA"/>
  </r>
  <r>
    <x v="34"/>
    <x v="11"/>
    <x v="0"/>
    <x v="11"/>
    <x v="11"/>
    <x v="389"/>
    <x v="0"/>
    <s v="MULTI PLAZA"/>
  </r>
  <r>
    <x v="34"/>
    <x v="12"/>
    <x v="0"/>
    <x v="12"/>
    <x v="12"/>
    <x v="390"/>
    <x v="0"/>
    <s v="MULTI PLAZA"/>
  </r>
  <r>
    <x v="34"/>
    <x v="13"/>
    <x v="0"/>
    <x v="13"/>
    <x v="13"/>
    <x v="391"/>
    <x v="0"/>
    <s v="MULTI PLAZA"/>
  </r>
  <r>
    <x v="34"/>
    <x v="3"/>
    <x v="0"/>
    <x v="3"/>
    <x v="3"/>
    <x v="392"/>
    <x v="0"/>
    <s v="MULTI PLAZA"/>
  </r>
  <r>
    <x v="34"/>
    <x v="1"/>
    <x v="1"/>
    <x v="1"/>
    <x v="1"/>
    <x v="393"/>
    <x v="0"/>
    <s v="MULTI PLAZA"/>
  </r>
  <r>
    <x v="34"/>
    <x v="9"/>
    <x v="1"/>
    <x v="9"/>
    <x v="9"/>
    <x v="394"/>
    <x v="0"/>
    <s v="MULTI PLAZA"/>
  </r>
  <r>
    <x v="34"/>
    <x v="10"/>
    <x v="1"/>
    <x v="10"/>
    <x v="10"/>
    <x v="395"/>
    <x v="0"/>
    <s v="MULTI PLAZA"/>
  </r>
  <r>
    <x v="34"/>
    <x v="3"/>
    <x v="1"/>
    <x v="3"/>
    <x v="3"/>
    <x v="396"/>
    <x v="0"/>
    <s v="MULTI PLAZA"/>
  </r>
  <r>
    <x v="35"/>
    <x v="0"/>
    <x v="0"/>
    <x v="0"/>
    <x v="0"/>
    <x v="397"/>
    <x v="0"/>
    <s v="HOSPITAL PUNTA PACIFICA"/>
  </r>
  <r>
    <x v="35"/>
    <x v="3"/>
    <x v="0"/>
    <x v="3"/>
    <x v="3"/>
    <x v="398"/>
    <x v="0"/>
    <s v="HOSPITAL PUNTA PACIFICA"/>
  </r>
  <r>
    <x v="36"/>
    <x v="7"/>
    <x v="2"/>
    <x v="7"/>
    <x v="7"/>
    <x v="399"/>
    <x v="0"/>
    <s v="TERMINAL DE ALBROOK"/>
  </r>
  <r>
    <x v="36"/>
    <x v="11"/>
    <x v="2"/>
    <x v="11"/>
    <x v="11"/>
    <x v="400"/>
    <x v="0"/>
    <s v="TERMINAL DE ALBROOK"/>
  </r>
  <r>
    <x v="36"/>
    <x v="3"/>
    <x v="2"/>
    <x v="3"/>
    <x v="3"/>
    <x v="401"/>
    <x v="0"/>
    <s v="TERMINAL DE ALBROOK"/>
  </r>
  <r>
    <x v="36"/>
    <x v="8"/>
    <x v="0"/>
    <x v="8"/>
    <x v="8"/>
    <x v="402"/>
    <x v="0"/>
    <s v="TERMINAL DE ALBROOK"/>
  </r>
  <r>
    <x v="36"/>
    <x v="0"/>
    <x v="0"/>
    <x v="0"/>
    <x v="0"/>
    <x v="403"/>
    <x v="0"/>
    <s v="TERMINAL DE ALBROOK"/>
  </r>
  <r>
    <x v="36"/>
    <x v="1"/>
    <x v="0"/>
    <x v="1"/>
    <x v="1"/>
    <x v="404"/>
    <x v="0"/>
    <s v="TERMINAL DE ALBROOK"/>
  </r>
  <r>
    <x v="36"/>
    <x v="2"/>
    <x v="0"/>
    <x v="2"/>
    <x v="2"/>
    <x v="405"/>
    <x v="0"/>
    <s v="TERMINAL DE ALBROOK"/>
  </r>
  <r>
    <x v="36"/>
    <x v="4"/>
    <x v="0"/>
    <x v="4"/>
    <x v="4"/>
    <x v="406"/>
    <x v="0"/>
    <s v="TERMINAL DE ALBROOK"/>
  </r>
  <r>
    <x v="36"/>
    <x v="7"/>
    <x v="0"/>
    <x v="7"/>
    <x v="7"/>
    <x v="407"/>
    <x v="0"/>
    <s v="TERMINAL DE ALBROOK"/>
  </r>
  <r>
    <x v="36"/>
    <x v="9"/>
    <x v="0"/>
    <x v="9"/>
    <x v="9"/>
    <x v="408"/>
    <x v="0"/>
    <s v="TERMINAL DE ALBROOK"/>
  </r>
  <r>
    <x v="36"/>
    <x v="5"/>
    <x v="0"/>
    <x v="5"/>
    <x v="5"/>
    <x v="409"/>
    <x v="0"/>
    <s v="TERMINAL DE ALBROOK"/>
  </r>
  <r>
    <x v="36"/>
    <x v="6"/>
    <x v="0"/>
    <x v="6"/>
    <x v="6"/>
    <x v="410"/>
    <x v="0"/>
    <s v="TERMINAL DE ALBROOK"/>
  </r>
  <r>
    <x v="36"/>
    <x v="10"/>
    <x v="0"/>
    <x v="10"/>
    <x v="10"/>
    <x v="411"/>
    <x v="0"/>
    <s v="TERMINAL DE ALBROOK"/>
  </r>
  <r>
    <x v="36"/>
    <x v="11"/>
    <x v="0"/>
    <x v="11"/>
    <x v="11"/>
    <x v="412"/>
    <x v="0"/>
    <s v="TERMINAL DE ALBROOK"/>
  </r>
  <r>
    <x v="36"/>
    <x v="12"/>
    <x v="0"/>
    <x v="12"/>
    <x v="12"/>
    <x v="413"/>
    <x v="0"/>
    <s v="TERMINAL DE ALBROOK"/>
  </r>
  <r>
    <x v="36"/>
    <x v="13"/>
    <x v="0"/>
    <x v="13"/>
    <x v="13"/>
    <x v="414"/>
    <x v="0"/>
    <s v="TERMINAL DE ALBROOK"/>
  </r>
  <r>
    <x v="36"/>
    <x v="3"/>
    <x v="0"/>
    <x v="3"/>
    <x v="3"/>
    <x v="415"/>
    <x v="0"/>
    <s v="TERMINAL DE ALBROOK"/>
  </r>
  <r>
    <x v="36"/>
    <x v="0"/>
    <x v="1"/>
    <x v="0"/>
    <x v="0"/>
    <x v="416"/>
    <x v="0"/>
    <s v="TERMINAL DE ALBROOK"/>
  </r>
  <r>
    <x v="36"/>
    <x v="1"/>
    <x v="1"/>
    <x v="1"/>
    <x v="1"/>
    <x v="417"/>
    <x v="0"/>
    <s v="TERMINAL DE ALBROOK"/>
  </r>
  <r>
    <x v="36"/>
    <x v="4"/>
    <x v="1"/>
    <x v="4"/>
    <x v="4"/>
    <x v="418"/>
    <x v="0"/>
    <s v="TERMINAL DE ALBROOK"/>
  </r>
  <r>
    <x v="36"/>
    <x v="7"/>
    <x v="1"/>
    <x v="7"/>
    <x v="7"/>
    <x v="419"/>
    <x v="0"/>
    <s v="TERMINAL DE ALBROOK"/>
  </r>
  <r>
    <x v="36"/>
    <x v="9"/>
    <x v="1"/>
    <x v="9"/>
    <x v="9"/>
    <x v="420"/>
    <x v="0"/>
    <s v="TERMINAL DE ALBROOK"/>
  </r>
  <r>
    <x v="36"/>
    <x v="6"/>
    <x v="1"/>
    <x v="6"/>
    <x v="6"/>
    <x v="421"/>
    <x v="0"/>
    <s v="TERMINAL DE ALBROOK"/>
  </r>
  <r>
    <x v="36"/>
    <x v="10"/>
    <x v="1"/>
    <x v="10"/>
    <x v="10"/>
    <x v="422"/>
    <x v="0"/>
    <s v="TERMINAL DE ALBROOK"/>
  </r>
  <r>
    <x v="36"/>
    <x v="12"/>
    <x v="1"/>
    <x v="12"/>
    <x v="12"/>
    <x v="423"/>
    <x v="0"/>
    <s v="TERMINAL DE ALBROOK"/>
  </r>
  <r>
    <x v="36"/>
    <x v="13"/>
    <x v="1"/>
    <x v="13"/>
    <x v="13"/>
    <x v="424"/>
    <x v="0"/>
    <s v="TERMINAL DE ALBROOK"/>
  </r>
  <r>
    <x v="36"/>
    <x v="3"/>
    <x v="1"/>
    <x v="3"/>
    <x v="3"/>
    <x v="425"/>
    <x v="0"/>
    <s v="TERMINAL DE ALBROOK"/>
  </r>
  <r>
    <x v="37"/>
    <x v="3"/>
    <x v="2"/>
    <x v="3"/>
    <x v="3"/>
    <x v="426"/>
    <x v="0"/>
    <s v="CONCEPCION"/>
  </r>
  <r>
    <x v="37"/>
    <x v="0"/>
    <x v="0"/>
    <x v="0"/>
    <x v="0"/>
    <x v="427"/>
    <x v="0"/>
    <s v="CONCEPCION"/>
  </r>
  <r>
    <x v="38"/>
    <x v="8"/>
    <x v="2"/>
    <x v="8"/>
    <x v="8"/>
    <x v="428"/>
    <x v="0"/>
    <s v="BRISAS DEL GOLF"/>
  </r>
  <r>
    <x v="38"/>
    <x v="8"/>
    <x v="0"/>
    <x v="8"/>
    <x v="8"/>
    <x v="429"/>
    <x v="0"/>
    <s v="BRISAS DEL GOLF"/>
  </r>
  <r>
    <x v="38"/>
    <x v="0"/>
    <x v="0"/>
    <x v="0"/>
    <x v="0"/>
    <x v="430"/>
    <x v="0"/>
    <s v="BRISAS DEL GOLF"/>
  </r>
  <r>
    <x v="38"/>
    <x v="1"/>
    <x v="0"/>
    <x v="1"/>
    <x v="1"/>
    <x v="431"/>
    <x v="0"/>
    <s v="BRISAS DEL GOLF"/>
  </r>
  <r>
    <x v="38"/>
    <x v="4"/>
    <x v="0"/>
    <x v="4"/>
    <x v="4"/>
    <x v="432"/>
    <x v="0"/>
    <s v="BRISAS DEL GOLF"/>
  </r>
  <r>
    <x v="38"/>
    <x v="7"/>
    <x v="0"/>
    <x v="7"/>
    <x v="7"/>
    <x v="433"/>
    <x v="0"/>
    <s v="BRISAS DEL GOLF"/>
  </r>
  <r>
    <x v="38"/>
    <x v="9"/>
    <x v="0"/>
    <x v="9"/>
    <x v="9"/>
    <x v="434"/>
    <x v="0"/>
    <s v="BRISAS DEL GOLF"/>
  </r>
  <r>
    <x v="38"/>
    <x v="5"/>
    <x v="0"/>
    <x v="5"/>
    <x v="5"/>
    <x v="435"/>
    <x v="0"/>
    <s v="BRISAS DEL GOLF"/>
  </r>
  <r>
    <x v="38"/>
    <x v="6"/>
    <x v="0"/>
    <x v="6"/>
    <x v="6"/>
    <x v="436"/>
    <x v="0"/>
    <s v="BRISAS DEL GOLF"/>
  </r>
  <r>
    <x v="38"/>
    <x v="10"/>
    <x v="0"/>
    <x v="10"/>
    <x v="10"/>
    <x v="437"/>
    <x v="0"/>
    <s v="BRISAS DEL GOLF"/>
  </r>
  <r>
    <x v="38"/>
    <x v="11"/>
    <x v="0"/>
    <x v="11"/>
    <x v="11"/>
    <x v="438"/>
    <x v="0"/>
    <s v="BRISAS DEL GOLF"/>
  </r>
  <r>
    <x v="38"/>
    <x v="12"/>
    <x v="0"/>
    <x v="12"/>
    <x v="12"/>
    <x v="439"/>
    <x v="0"/>
    <s v="BRISAS DEL GOLF"/>
  </r>
  <r>
    <x v="38"/>
    <x v="13"/>
    <x v="0"/>
    <x v="13"/>
    <x v="13"/>
    <x v="440"/>
    <x v="0"/>
    <s v="BRISAS DEL GOLF"/>
  </r>
  <r>
    <x v="38"/>
    <x v="3"/>
    <x v="0"/>
    <x v="3"/>
    <x v="3"/>
    <x v="441"/>
    <x v="0"/>
    <s v="BRISAS DEL GOLF"/>
  </r>
  <r>
    <x v="38"/>
    <x v="8"/>
    <x v="1"/>
    <x v="8"/>
    <x v="8"/>
    <x v="442"/>
    <x v="0"/>
    <s v="BRISAS DEL GOLF"/>
  </r>
  <r>
    <x v="38"/>
    <x v="2"/>
    <x v="1"/>
    <x v="2"/>
    <x v="2"/>
    <x v="443"/>
    <x v="0"/>
    <s v="BRISAS DEL GOLF"/>
  </r>
  <r>
    <x v="38"/>
    <x v="10"/>
    <x v="1"/>
    <x v="10"/>
    <x v="10"/>
    <x v="444"/>
    <x v="0"/>
    <s v="BRISAS DEL GOLF"/>
  </r>
  <r>
    <x v="38"/>
    <x v="13"/>
    <x v="1"/>
    <x v="13"/>
    <x v="13"/>
    <x v="445"/>
    <x v="0"/>
    <s v="BRISAS DEL GOLF"/>
  </r>
  <r>
    <x v="39"/>
    <x v="0"/>
    <x v="2"/>
    <x v="0"/>
    <x v="0"/>
    <x v="446"/>
    <x v="0"/>
    <s v="PUENTE CENTENARIO"/>
  </r>
  <r>
    <x v="39"/>
    <x v="4"/>
    <x v="2"/>
    <x v="4"/>
    <x v="4"/>
    <x v="447"/>
    <x v="0"/>
    <s v="PUENTE CENTENARIO"/>
  </r>
  <r>
    <x v="39"/>
    <x v="6"/>
    <x v="2"/>
    <x v="6"/>
    <x v="6"/>
    <x v="448"/>
    <x v="0"/>
    <s v="PUENTE CENTENARIO"/>
  </r>
  <r>
    <x v="39"/>
    <x v="8"/>
    <x v="0"/>
    <x v="8"/>
    <x v="8"/>
    <x v="449"/>
    <x v="0"/>
    <s v="PUENTE CENTENARIO"/>
  </r>
  <r>
    <x v="39"/>
    <x v="0"/>
    <x v="0"/>
    <x v="0"/>
    <x v="0"/>
    <x v="450"/>
    <x v="0"/>
    <s v="PUENTE CENTENARIO"/>
  </r>
  <r>
    <x v="39"/>
    <x v="1"/>
    <x v="0"/>
    <x v="1"/>
    <x v="1"/>
    <x v="451"/>
    <x v="0"/>
    <s v="PUENTE CENTENARIO"/>
  </r>
  <r>
    <x v="39"/>
    <x v="2"/>
    <x v="0"/>
    <x v="2"/>
    <x v="2"/>
    <x v="452"/>
    <x v="0"/>
    <s v="PUENTE CENTENARIO"/>
  </r>
  <r>
    <x v="39"/>
    <x v="4"/>
    <x v="0"/>
    <x v="4"/>
    <x v="4"/>
    <x v="453"/>
    <x v="0"/>
    <s v="PUENTE CENTENARIO"/>
  </r>
  <r>
    <x v="39"/>
    <x v="7"/>
    <x v="0"/>
    <x v="7"/>
    <x v="7"/>
    <x v="454"/>
    <x v="0"/>
    <s v="PUENTE CENTENARIO"/>
  </r>
  <r>
    <x v="39"/>
    <x v="9"/>
    <x v="0"/>
    <x v="9"/>
    <x v="9"/>
    <x v="455"/>
    <x v="0"/>
    <s v="PUENTE CENTENARIO"/>
  </r>
  <r>
    <x v="39"/>
    <x v="5"/>
    <x v="0"/>
    <x v="5"/>
    <x v="5"/>
    <x v="456"/>
    <x v="0"/>
    <s v="PUENTE CENTENARIO"/>
  </r>
  <r>
    <x v="39"/>
    <x v="6"/>
    <x v="0"/>
    <x v="6"/>
    <x v="6"/>
    <x v="457"/>
    <x v="0"/>
    <s v="PUENTE CENTENARIO"/>
  </r>
  <r>
    <x v="39"/>
    <x v="10"/>
    <x v="0"/>
    <x v="10"/>
    <x v="10"/>
    <x v="458"/>
    <x v="0"/>
    <s v="PUENTE CENTENARIO"/>
  </r>
  <r>
    <x v="39"/>
    <x v="11"/>
    <x v="0"/>
    <x v="11"/>
    <x v="11"/>
    <x v="459"/>
    <x v="0"/>
    <s v="PUENTE CENTENARIO"/>
  </r>
  <r>
    <x v="39"/>
    <x v="12"/>
    <x v="0"/>
    <x v="12"/>
    <x v="12"/>
    <x v="460"/>
    <x v="0"/>
    <s v="PUENTE CENTENARIO"/>
  </r>
  <r>
    <x v="39"/>
    <x v="13"/>
    <x v="0"/>
    <x v="13"/>
    <x v="13"/>
    <x v="461"/>
    <x v="0"/>
    <s v="PUENTE CENTENARIO"/>
  </r>
  <r>
    <x v="39"/>
    <x v="3"/>
    <x v="0"/>
    <x v="3"/>
    <x v="3"/>
    <x v="462"/>
    <x v="0"/>
    <s v="PUENTE CENTENARIO"/>
  </r>
  <r>
    <x v="39"/>
    <x v="2"/>
    <x v="1"/>
    <x v="2"/>
    <x v="2"/>
    <x v="463"/>
    <x v="0"/>
    <s v="PUENTE CENTENARIO"/>
  </r>
  <r>
    <x v="39"/>
    <x v="4"/>
    <x v="1"/>
    <x v="4"/>
    <x v="4"/>
    <x v="464"/>
    <x v="0"/>
    <s v="PUENTE CENTENARIO"/>
  </r>
  <r>
    <x v="39"/>
    <x v="7"/>
    <x v="1"/>
    <x v="7"/>
    <x v="7"/>
    <x v="465"/>
    <x v="0"/>
    <s v="PUENTE CENTENARIO"/>
  </r>
  <r>
    <x v="39"/>
    <x v="9"/>
    <x v="1"/>
    <x v="9"/>
    <x v="9"/>
    <x v="466"/>
    <x v="0"/>
    <s v="PUENTE CENTENARIO"/>
  </r>
  <r>
    <x v="39"/>
    <x v="5"/>
    <x v="1"/>
    <x v="5"/>
    <x v="5"/>
    <x v="467"/>
    <x v="0"/>
    <s v="PUENTE CENTENARIO"/>
  </r>
  <r>
    <x v="39"/>
    <x v="6"/>
    <x v="1"/>
    <x v="6"/>
    <x v="6"/>
    <x v="468"/>
    <x v="0"/>
    <s v="PUENTE CENTENARIO"/>
  </r>
  <r>
    <x v="39"/>
    <x v="10"/>
    <x v="1"/>
    <x v="10"/>
    <x v="10"/>
    <x v="469"/>
    <x v="0"/>
    <s v="PUENTE CENTENARIO"/>
  </r>
  <r>
    <x v="39"/>
    <x v="11"/>
    <x v="1"/>
    <x v="11"/>
    <x v="11"/>
    <x v="470"/>
    <x v="0"/>
    <s v="PUENTE CENTENARIO"/>
  </r>
  <r>
    <x v="39"/>
    <x v="12"/>
    <x v="1"/>
    <x v="12"/>
    <x v="12"/>
    <x v="471"/>
    <x v="0"/>
    <s v="PUENTE CENTENARIO"/>
  </r>
  <r>
    <x v="39"/>
    <x v="13"/>
    <x v="1"/>
    <x v="13"/>
    <x v="13"/>
    <x v="472"/>
    <x v="0"/>
    <s v="PUENTE CENTENARIO"/>
  </r>
  <r>
    <x v="39"/>
    <x v="3"/>
    <x v="1"/>
    <x v="3"/>
    <x v="3"/>
    <x v="473"/>
    <x v="0"/>
    <s v="PUENTE CENTENARIO"/>
  </r>
  <r>
    <x v="40"/>
    <x v="0"/>
    <x v="0"/>
    <x v="0"/>
    <x v="0"/>
    <x v="474"/>
    <x v="0"/>
    <s v="METROMALL"/>
  </r>
  <r>
    <x v="41"/>
    <x v="0"/>
    <x v="0"/>
    <x v="0"/>
    <x v="0"/>
    <x v="475"/>
    <x v="0"/>
    <s v="VERSALLES"/>
  </r>
  <r>
    <x v="41"/>
    <x v="9"/>
    <x v="0"/>
    <x v="9"/>
    <x v="9"/>
    <x v="476"/>
    <x v="0"/>
    <s v="VERSALLES"/>
  </r>
  <r>
    <x v="41"/>
    <x v="5"/>
    <x v="0"/>
    <x v="5"/>
    <x v="5"/>
    <x v="477"/>
    <x v="0"/>
    <s v="VERSALLES"/>
  </r>
  <r>
    <x v="41"/>
    <x v="6"/>
    <x v="0"/>
    <x v="6"/>
    <x v="6"/>
    <x v="478"/>
    <x v="0"/>
    <s v="VERSALLES"/>
  </r>
  <r>
    <x v="41"/>
    <x v="11"/>
    <x v="0"/>
    <x v="11"/>
    <x v="11"/>
    <x v="479"/>
    <x v="0"/>
    <s v="VERSALLES"/>
  </r>
  <r>
    <x v="42"/>
    <x v="13"/>
    <x v="1"/>
    <x v="13"/>
    <x v="13"/>
    <x v="480"/>
    <x v="0"/>
    <s v="BUSINESS PARK"/>
  </r>
  <r>
    <x v="43"/>
    <x v="0"/>
    <x v="0"/>
    <x v="0"/>
    <x v="0"/>
    <x v="481"/>
    <x v="0"/>
    <s v="SAN FRANCISCO"/>
  </r>
  <r>
    <x v="43"/>
    <x v="2"/>
    <x v="0"/>
    <x v="2"/>
    <x v="2"/>
    <x v="482"/>
    <x v="0"/>
    <s v="SAN FRANCISCO"/>
  </r>
  <r>
    <x v="43"/>
    <x v="7"/>
    <x v="0"/>
    <x v="7"/>
    <x v="7"/>
    <x v="483"/>
    <x v="0"/>
    <s v="SAN FRANCISCO"/>
  </r>
  <r>
    <x v="43"/>
    <x v="9"/>
    <x v="0"/>
    <x v="9"/>
    <x v="9"/>
    <x v="484"/>
    <x v="0"/>
    <s v="SAN FRANCISCO"/>
  </r>
  <r>
    <x v="43"/>
    <x v="1"/>
    <x v="1"/>
    <x v="1"/>
    <x v="1"/>
    <x v="485"/>
    <x v="0"/>
    <s v="SAN FRANCISCO"/>
  </r>
  <r>
    <x v="43"/>
    <x v="4"/>
    <x v="1"/>
    <x v="4"/>
    <x v="4"/>
    <x v="486"/>
    <x v="0"/>
    <s v="SAN FRANCISCO"/>
  </r>
  <r>
    <x v="43"/>
    <x v="9"/>
    <x v="1"/>
    <x v="9"/>
    <x v="9"/>
    <x v="144"/>
    <x v="0"/>
    <s v="SAN FRANCISCO"/>
  </r>
  <r>
    <x v="43"/>
    <x v="5"/>
    <x v="1"/>
    <x v="5"/>
    <x v="5"/>
    <x v="487"/>
    <x v="0"/>
    <s v="SAN FRANCISCO"/>
  </r>
  <r>
    <x v="43"/>
    <x v="12"/>
    <x v="1"/>
    <x v="12"/>
    <x v="12"/>
    <x v="488"/>
    <x v="0"/>
    <s v="SAN FRANCISCO"/>
  </r>
  <r>
    <x v="44"/>
    <x v="9"/>
    <x v="0"/>
    <x v="9"/>
    <x v="9"/>
    <x v="489"/>
    <x v="0"/>
    <s v="PLAZA BANCO GENERAL"/>
  </r>
  <r>
    <x v="44"/>
    <x v="5"/>
    <x v="0"/>
    <x v="5"/>
    <x v="5"/>
    <x v="490"/>
    <x v="0"/>
    <s v="PLAZA BANCO GENERAL"/>
  </r>
  <r>
    <x v="44"/>
    <x v="1"/>
    <x v="1"/>
    <x v="1"/>
    <x v="1"/>
    <x v="491"/>
    <x v="0"/>
    <s v="PLAZA BANCO GENERAL"/>
  </r>
  <r>
    <x v="44"/>
    <x v="2"/>
    <x v="1"/>
    <x v="2"/>
    <x v="2"/>
    <x v="492"/>
    <x v="0"/>
    <s v="PLAZA BANCO GENERAL"/>
  </r>
  <r>
    <x v="45"/>
    <x v="4"/>
    <x v="2"/>
    <x v="4"/>
    <x v="4"/>
    <x v="493"/>
    <x v="0"/>
    <s v="LA CHORRERA - PARQUE 10 DE NOV."/>
  </r>
  <r>
    <x v="45"/>
    <x v="7"/>
    <x v="2"/>
    <x v="7"/>
    <x v="7"/>
    <x v="494"/>
    <x v="0"/>
    <s v="LA CHORRERA - PARQUE 10 DE NOV."/>
  </r>
  <r>
    <x v="45"/>
    <x v="9"/>
    <x v="2"/>
    <x v="9"/>
    <x v="9"/>
    <x v="495"/>
    <x v="0"/>
    <s v="LA CHORRERA - PARQUE 10 DE NOV."/>
  </r>
  <r>
    <x v="45"/>
    <x v="5"/>
    <x v="2"/>
    <x v="5"/>
    <x v="5"/>
    <x v="496"/>
    <x v="0"/>
    <s v="LA CHORRERA - PARQUE 10 DE NOV."/>
  </r>
  <r>
    <x v="45"/>
    <x v="6"/>
    <x v="2"/>
    <x v="6"/>
    <x v="6"/>
    <x v="497"/>
    <x v="0"/>
    <s v="LA CHORRERA - PARQUE 10 DE NOV."/>
  </r>
  <r>
    <x v="45"/>
    <x v="12"/>
    <x v="2"/>
    <x v="12"/>
    <x v="12"/>
    <x v="498"/>
    <x v="0"/>
    <s v="LA CHORRERA - PARQUE 10 DE NOV."/>
  </r>
  <r>
    <x v="45"/>
    <x v="13"/>
    <x v="2"/>
    <x v="13"/>
    <x v="13"/>
    <x v="499"/>
    <x v="0"/>
    <s v="LA CHORRERA - PARQUE 10 DE NOV."/>
  </r>
  <r>
    <x v="45"/>
    <x v="3"/>
    <x v="2"/>
    <x v="3"/>
    <x v="3"/>
    <x v="491"/>
    <x v="0"/>
    <s v="LA CHORRERA - PARQUE 10 DE NOV."/>
  </r>
  <r>
    <x v="45"/>
    <x v="8"/>
    <x v="0"/>
    <x v="8"/>
    <x v="8"/>
    <x v="500"/>
    <x v="0"/>
    <s v="LA CHORRERA - PARQUE 10 DE NOV."/>
  </r>
  <r>
    <x v="45"/>
    <x v="0"/>
    <x v="0"/>
    <x v="0"/>
    <x v="0"/>
    <x v="501"/>
    <x v="0"/>
    <s v="LA CHORRERA - PARQUE 10 DE NOV."/>
  </r>
  <r>
    <x v="45"/>
    <x v="1"/>
    <x v="0"/>
    <x v="1"/>
    <x v="1"/>
    <x v="502"/>
    <x v="0"/>
    <s v="LA CHORRERA - PARQUE 10 DE NOV."/>
  </r>
  <r>
    <x v="45"/>
    <x v="2"/>
    <x v="0"/>
    <x v="2"/>
    <x v="2"/>
    <x v="503"/>
    <x v="0"/>
    <s v="LA CHORRERA - PARQUE 10 DE NOV."/>
  </r>
  <r>
    <x v="45"/>
    <x v="4"/>
    <x v="0"/>
    <x v="4"/>
    <x v="4"/>
    <x v="504"/>
    <x v="0"/>
    <s v="LA CHORRERA - PARQUE 10 DE NOV."/>
  </r>
  <r>
    <x v="45"/>
    <x v="7"/>
    <x v="0"/>
    <x v="7"/>
    <x v="7"/>
    <x v="505"/>
    <x v="0"/>
    <s v="LA CHORRERA - PARQUE 10 DE NOV."/>
  </r>
  <r>
    <x v="45"/>
    <x v="9"/>
    <x v="0"/>
    <x v="9"/>
    <x v="9"/>
    <x v="506"/>
    <x v="0"/>
    <s v="LA CHORRERA - PARQUE 10 DE NOV."/>
  </r>
  <r>
    <x v="45"/>
    <x v="5"/>
    <x v="0"/>
    <x v="5"/>
    <x v="5"/>
    <x v="507"/>
    <x v="0"/>
    <s v="LA CHORRERA - PARQUE 10 DE NOV."/>
  </r>
  <r>
    <x v="45"/>
    <x v="6"/>
    <x v="0"/>
    <x v="6"/>
    <x v="6"/>
    <x v="508"/>
    <x v="0"/>
    <s v="LA CHORRERA - PARQUE 10 DE NOV."/>
  </r>
  <r>
    <x v="45"/>
    <x v="10"/>
    <x v="0"/>
    <x v="10"/>
    <x v="10"/>
    <x v="509"/>
    <x v="0"/>
    <s v="LA CHORRERA - PARQUE 10 DE NOV."/>
  </r>
  <r>
    <x v="45"/>
    <x v="11"/>
    <x v="0"/>
    <x v="11"/>
    <x v="11"/>
    <x v="510"/>
    <x v="0"/>
    <s v="LA CHORRERA - PARQUE 10 DE NOV."/>
  </r>
  <r>
    <x v="45"/>
    <x v="12"/>
    <x v="0"/>
    <x v="12"/>
    <x v="12"/>
    <x v="511"/>
    <x v="0"/>
    <s v="LA CHORRERA - PARQUE 10 DE NOV."/>
  </r>
  <r>
    <x v="45"/>
    <x v="13"/>
    <x v="0"/>
    <x v="13"/>
    <x v="13"/>
    <x v="512"/>
    <x v="0"/>
    <s v="LA CHORRERA - PARQUE 10 DE NOV."/>
  </r>
  <r>
    <x v="45"/>
    <x v="3"/>
    <x v="0"/>
    <x v="3"/>
    <x v="3"/>
    <x v="513"/>
    <x v="0"/>
    <s v="LA CHORRERA - PARQUE 10 DE NOV."/>
  </r>
  <r>
    <x v="45"/>
    <x v="0"/>
    <x v="1"/>
    <x v="0"/>
    <x v="0"/>
    <x v="514"/>
    <x v="0"/>
    <s v="LA CHORRERA - PARQUE 10 DE NOV."/>
  </r>
  <r>
    <x v="45"/>
    <x v="1"/>
    <x v="1"/>
    <x v="1"/>
    <x v="1"/>
    <x v="515"/>
    <x v="0"/>
    <s v="LA CHORRERA - PARQUE 10 DE NOV."/>
  </r>
  <r>
    <x v="45"/>
    <x v="2"/>
    <x v="1"/>
    <x v="2"/>
    <x v="2"/>
    <x v="516"/>
    <x v="0"/>
    <s v="LA CHORRERA - PARQUE 10 DE NOV."/>
  </r>
  <r>
    <x v="45"/>
    <x v="4"/>
    <x v="1"/>
    <x v="4"/>
    <x v="4"/>
    <x v="517"/>
    <x v="0"/>
    <s v="LA CHORRERA - PARQUE 10 DE NOV."/>
  </r>
  <r>
    <x v="45"/>
    <x v="7"/>
    <x v="1"/>
    <x v="7"/>
    <x v="7"/>
    <x v="518"/>
    <x v="0"/>
    <s v="LA CHORRERA - PARQUE 10 DE NOV."/>
  </r>
  <r>
    <x v="45"/>
    <x v="9"/>
    <x v="1"/>
    <x v="9"/>
    <x v="9"/>
    <x v="519"/>
    <x v="0"/>
    <s v="LA CHORRERA - PARQUE 10 DE NOV."/>
  </r>
  <r>
    <x v="45"/>
    <x v="5"/>
    <x v="1"/>
    <x v="5"/>
    <x v="5"/>
    <x v="520"/>
    <x v="0"/>
    <s v="LA CHORRERA - PARQUE 10 DE NOV."/>
  </r>
  <r>
    <x v="45"/>
    <x v="6"/>
    <x v="1"/>
    <x v="6"/>
    <x v="6"/>
    <x v="521"/>
    <x v="0"/>
    <s v="LA CHORRERA - PARQUE 10 DE NOV."/>
  </r>
  <r>
    <x v="45"/>
    <x v="10"/>
    <x v="1"/>
    <x v="10"/>
    <x v="10"/>
    <x v="522"/>
    <x v="0"/>
    <s v="LA CHORRERA - PARQUE 10 DE NOV."/>
  </r>
  <r>
    <x v="45"/>
    <x v="11"/>
    <x v="1"/>
    <x v="11"/>
    <x v="11"/>
    <x v="523"/>
    <x v="0"/>
    <s v="LA CHORRERA - PARQUE 10 DE NOV."/>
  </r>
  <r>
    <x v="45"/>
    <x v="12"/>
    <x v="1"/>
    <x v="12"/>
    <x v="12"/>
    <x v="524"/>
    <x v="0"/>
    <s v="LA CHORRERA - PARQUE 10 DE NOV."/>
  </r>
  <r>
    <x v="45"/>
    <x v="13"/>
    <x v="1"/>
    <x v="13"/>
    <x v="13"/>
    <x v="525"/>
    <x v="0"/>
    <s v="LA CHORRERA - PARQUE 10 DE NOV."/>
  </r>
  <r>
    <x v="45"/>
    <x v="3"/>
    <x v="1"/>
    <x v="3"/>
    <x v="3"/>
    <x v="526"/>
    <x v="0"/>
    <s v="LA CHORRERA - PARQUE 10 DE NOV."/>
  </r>
  <r>
    <x v="46"/>
    <x v="0"/>
    <x v="0"/>
    <x v="0"/>
    <x v="0"/>
    <x v="527"/>
    <x v="0"/>
    <s v="COSTA DEL ESTE - CENTENARIO"/>
  </r>
  <r>
    <x v="46"/>
    <x v="7"/>
    <x v="1"/>
    <x v="7"/>
    <x v="7"/>
    <x v="528"/>
    <x v="0"/>
    <s v="COSTA DEL ESTE - CENTENARIO"/>
  </r>
  <r>
    <x v="46"/>
    <x v="10"/>
    <x v="1"/>
    <x v="10"/>
    <x v="10"/>
    <x v="529"/>
    <x v="0"/>
    <s v="COSTA DEL ESTE - CENTENARIO"/>
  </r>
  <r>
    <x v="47"/>
    <x v="4"/>
    <x v="0"/>
    <x v="4"/>
    <x v="4"/>
    <x v="103"/>
    <x v="0"/>
    <s v="CLAYTON"/>
  </r>
  <r>
    <x v="47"/>
    <x v="9"/>
    <x v="0"/>
    <x v="9"/>
    <x v="9"/>
    <x v="530"/>
    <x v="0"/>
    <s v="CLAYTON"/>
  </r>
  <r>
    <x v="47"/>
    <x v="5"/>
    <x v="0"/>
    <x v="5"/>
    <x v="5"/>
    <x v="531"/>
    <x v="0"/>
    <s v="CLAYTON"/>
  </r>
  <r>
    <x v="47"/>
    <x v="6"/>
    <x v="1"/>
    <x v="6"/>
    <x v="6"/>
    <x v="532"/>
    <x v="0"/>
    <s v="CLAYTON"/>
  </r>
  <r>
    <x v="48"/>
    <x v="8"/>
    <x v="0"/>
    <x v="8"/>
    <x v="8"/>
    <x v="533"/>
    <x v="0"/>
    <s v="MARBELLA"/>
  </r>
  <r>
    <x v="48"/>
    <x v="0"/>
    <x v="0"/>
    <x v="0"/>
    <x v="0"/>
    <x v="534"/>
    <x v="0"/>
    <s v="MARBELLA"/>
  </r>
  <r>
    <x v="48"/>
    <x v="9"/>
    <x v="0"/>
    <x v="9"/>
    <x v="9"/>
    <x v="535"/>
    <x v="0"/>
    <s v="MARBELLA"/>
  </r>
  <r>
    <x v="48"/>
    <x v="5"/>
    <x v="0"/>
    <x v="5"/>
    <x v="5"/>
    <x v="536"/>
    <x v="0"/>
    <s v="MARBELLA"/>
  </r>
  <r>
    <x v="48"/>
    <x v="6"/>
    <x v="0"/>
    <x v="6"/>
    <x v="6"/>
    <x v="537"/>
    <x v="0"/>
    <s v="MARBELLA"/>
  </r>
  <r>
    <x v="49"/>
    <x v="7"/>
    <x v="2"/>
    <x v="7"/>
    <x v="7"/>
    <x v="538"/>
    <x v="0"/>
    <s v="PLAZA CAROLINA"/>
  </r>
  <r>
    <x v="49"/>
    <x v="9"/>
    <x v="0"/>
    <x v="9"/>
    <x v="9"/>
    <x v="539"/>
    <x v="0"/>
    <s v="PLAZA CAROLINA"/>
  </r>
  <r>
    <x v="49"/>
    <x v="5"/>
    <x v="0"/>
    <x v="5"/>
    <x v="5"/>
    <x v="540"/>
    <x v="0"/>
    <s v="PLAZA CAROLINA"/>
  </r>
  <r>
    <x v="49"/>
    <x v="13"/>
    <x v="0"/>
    <x v="13"/>
    <x v="13"/>
    <x v="541"/>
    <x v="0"/>
    <s v="PLAZA CAROLINA"/>
  </r>
  <r>
    <x v="49"/>
    <x v="13"/>
    <x v="1"/>
    <x v="13"/>
    <x v="13"/>
    <x v="542"/>
    <x v="0"/>
    <s v="PLAZA CAROLINA"/>
  </r>
  <r>
    <x v="50"/>
    <x v="0"/>
    <x v="0"/>
    <x v="0"/>
    <x v="0"/>
    <x v="543"/>
    <x v="0"/>
    <s v="PLAZA CORDOBA"/>
  </r>
  <r>
    <x v="50"/>
    <x v="10"/>
    <x v="0"/>
    <x v="10"/>
    <x v="10"/>
    <x v="544"/>
    <x v="0"/>
    <s v="PLAZA CORDOBA"/>
  </r>
  <r>
    <x v="50"/>
    <x v="3"/>
    <x v="0"/>
    <x v="3"/>
    <x v="3"/>
    <x v="545"/>
    <x v="0"/>
    <s v="PLAZA CORDOBA"/>
  </r>
  <r>
    <x v="51"/>
    <x v="8"/>
    <x v="0"/>
    <x v="8"/>
    <x v="8"/>
    <x v="546"/>
    <x v="0"/>
    <s v="VIA SIMON BOLIVAR"/>
  </r>
  <r>
    <x v="51"/>
    <x v="0"/>
    <x v="0"/>
    <x v="0"/>
    <x v="0"/>
    <x v="547"/>
    <x v="0"/>
    <s v="VIA SIMON BOLIVAR"/>
  </r>
  <r>
    <x v="51"/>
    <x v="1"/>
    <x v="0"/>
    <x v="1"/>
    <x v="1"/>
    <x v="548"/>
    <x v="0"/>
    <s v="VIA SIMON BOLIVAR"/>
  </r>
  <r>
    <x v="51"/>
    <x v="2"/>
    <x v="0"/>
    <x v="2"/>
    <x v="2"/>
    <x v="549"/>
    <x v="0"/>
    <s v="VIA SIMON BOLIVAR"/>
  </r>
  <r>
    <x v="51"/>
    <x v="4"/>
    <x v="0"/>
    <x v="4"/>
    <x v="4"/>
    <x v="550"/>
    <x v="0"/>
    <s v="VIA SIMON BOLIVAR"/>
  </r>
  <r>
    <x v="51"/>
    <x v="7"/>
    <x v="0"/>
    <x v="7"/>
    <x v="7"/>
    <x v="551"/>
    <x v="0"/>
    <s v="VIA SIMON BOLIVAR"/>
  </r>
  <r>
    <x v="51"/>
    <x v="9"/>
    <x v="0"/>
    <x v="9"/>
    <x v="9"/>
    <x v="552"/>
    <x v="0"/>
    <s v="VIA SIMON BOLIVAR"/>
  </r>
  <r>
    <x v="51"/>
    <x v="5"/>
    <x v="0"/>
    <x v="5"/>
    <x v="5"/>
    <x v="553"/>
    <x v="0"/>
    <s v="VIA SIMON BOLIVAR"/>
  </r>
  <r>
    <x v="51"/>
    <x v="6"/>
    <x v="0"/>
    <x v="6"/>
    <x v="6"/>
    <x v="554"/>
    <x v="0"/>
    <s v="VIA SIMON BOLIVAR"/>
  </r>
  <r>
    <x v="51"/>
    <x v="10"/>
    <x v="0"/>
    <x v="10"/>
    <x v="10"/>
    <x v="555"/>
    <x v="0"/>
    <s v="VIA SIMON BOLIVAR"/>
  </r>
  <r>
    <x v="51"/>
    <x v="11"/>
    <x v="0"/>
    <x v="11"/>
    <x v="11"/>
    <x v="556"/>
    <x v="0"/>
    <s v="VIA SIMON BOLIVAR"/>
  </r>
  <r>
    <x v="51"/>
    <x v="12"/>
    <x v="0"/>
    <x v="12"/>
    <x v="12"/>
    <x v="557"/>
    <x v="0"/>
    <s v="VIA SIMON BOLIVAR"/>
  </r>
  <r>
    <x v="51"/>
    <x v="13"/>
    <x v="0"/>
    <x v="13"/>
    <x v="13"/>
    <x v="558"/>
    <x v="0"/>
    <s v="VIA SIMON BOLIVAR"/>
  </r>
  <r>
    <x v="51"/>
    <x v="3"/>
    <x v="0"/>
    <x v="3"/>
    <x v="3"/>
    <x v="559"/>
    <x v="0"/>
    <s v="VIA SIMON BOLIVAR"/>
  </r>
  <r>
    <x v="52"/>
    <x v="1"/>
    <x v="2"/>
    <x v="1"/>
    <x v="1"/>
    <x v="560"/>
    <x v="0"/>
    <s v="JUSTO AROSEMENA"/>
  </r>
  <r>
    <x v="52"/>
    <x v="0"/>
    <x v="0"/>
    <x v="0"/>
    <x v="0"/>
    <x v="561"/>
    <x v="0"/>
    <s v="JUSTO AROSEMENA"/>
  </r>
  <r>
    <x v="53"/>
    <x v="5"/>
    <x v="3"/>
    <x v="5"/>
    <x v="5"/>
    <x v="562"/>
    <x v="0"/>
    <s v="NEGOCIOS"/>
  </r>
  <r>
    <x v="53"/>
    <x v="6"/>
    <x v="3"/>
    <x v="6"/>
    <x v="6"/>
    <x v="563"/>
    <x v="0"/>
    <s v="NEGOCIOS"/>
  </r>
  <r>
    <x v="53"/>
    <x v="8"/>
    <x v="4"/>
    <x v="8"/>
    <x v="8"/>
    <x v="564"/>
    <x v="0"/>
    <s v="NEGOCIOS"/>
  </r>
  <r>
    <x v="53"/>
    <x v="0"/>
    <x v="4"/>
    <x v="0"/>
    <x v="0"/>
    <x v="565"/>
    <x v="0"/>
    <s v="NEGOCIOS"/>
  </r>
  <r>
    <x v="53"/>
    <x v="1"/>
    <x v="4"/>
    <x v="1"/>
    <x v="1"/>
    <x v="566"/>
    <x v="0"/>
    <s v="NEGOCIOS"/>
  </r>
  <r>
    <x v="53"/>
    <x v="4"/>
    <x v="4"/>
    <x v="4"/>
    <x v="4"/>
    <x v="567"/>
    <x v="0"/>
    <s v="NEGOCIOS"/>
  </r>
  <r>
    <x v="53"/>
    <x v="7"/>
    <x v="4"/>
    <x v="7"/>
    <x v="7"/>
    <x v="568"/>
    <x v="0"/>
    <s v="NEGOCIOS"/>
  </r>
  <r>
    <x v="53"/>
    <x v="5"/>
    <x v="4"/>
    <x v="5"/>
    <x v="5"/>
    <x v="569"/>
    <x v="0"/>
    <s v="NEGOCIOS"/>
  </r>
  <r>
    <x v="53"/>
    <x v="6"/>
    <x v="4"/>
    <x v="6"/>
    <x v="6"/>
    <x v="570"/>
    <x v="0"/>
    <s v="NEGOCIOS"/>
  </r>
  <r>
    <x v="53"/>
    <x v="10"/>
    <x v="4"/>
    <x v="10"/>
    <x v="10"/>
    <x v="571"/>
    <x v="0"/>
    <s v="NEGOCIOS"/>
  </r>
  <r>
    <x v="53"/>
    <x v="11"/>
    <x v="4"/>
    <x v="11"/>
    <x v="11"/>
    <x v="572"/>
    <x v="0"/>
    <s v="NEGOCIOS"/>
  </r>
  <r>
    <x v="53"/>
    <x v="12"/>
    <x v="4"/>
    <x v="12"/>
    <x v="12"/>
    <x v="573"/>
    <x v="0"/>
    <s v="NEGOCIOS"/>
  </r>
  <r>
    <x v="53"/>
    <x v="13"/>
    <x v="4"/>
    <x v="13"/>
    <x v="13"/>
    <x v="574"/>
    <x v="0"/>
    <s v="NEGOCIOS"/>
  </r>
  <r>
    <x v="53"/>
    <x v="3"/>
    <x v="4"/>
    <x v="3"/>
    <x v="3"/>
    <x v="575"/>
    <x v="0"/>
    <s v="NEGOCIOS"/>
  </r>
  <r>
    <x v="53"/>
    <x v="6"/>
    <x v="5"/>
    <x v="6"/>
    <x v="6"/>
    <x v="576"/>
    <x v="0"/>
    <s v="NEGOCIOS"/>
  </r>
  <r>
    <x v="53"/>
    <x v="0"/>
    <x v="6"/>
    <x v="0"/>
    <x v="0"/>
    <x v="577"/>
    <x v="0"/>
    <s v="NEGOCIOS"/>
  </r>
  <r>
    <x v="53"/>
    <x v="1"/>
    <x v="6"/>
    <x v="1"/>
    <x v="1"/>
    <x v="578"/>
    <x v="0"/>
    <s v="NEGOCIOS"/>
  </r>
  <r>
    <x v="53"/>
    <x v="7"/>
    <x v="6"/>
    <x v="7"/>
    <x v="7"/>
    <x v="579"/>
    <x v="0"/>
    <s v="NEGOCIOS"/>
  </r>
  <r>
    <x v="53"/>
    <x v="9"/>
    <x v="6"/>
    <x v="9"/>
    <x v="9"/>
    <x v="580"/>
    <x v="0"/>
    <s v="NEGOCIOS"/>
  </r>
  <r>
    <x v="53"/>
    <x v="5"/>
    <x v="6"/>
    <x v="5"/>
    <x v="5"/>
    <x v="581"/>
    <x v="0"/>
    <s v="NEGOCIOS"/>
  </r>
  <r>
    <x v="53"/>
    <x v="18"/>
    <x v="6"/>
    <x v="15"/>
    <x v="18"/>
    <x v="582"/>
    <x v="0"/>
    <s v="NEGOCIOS"/>
  </r>
  <r>
    <x v="53"/>
    <x v="6"/>
    <x v="6"/>
    <x v="6"/>
    <x v="6"/>
    <x v="583"/>
    <x v="0"/>
    <s v="NEGOCIOS"/>
  </r>
  <r>
    <x v="53"/>
    <x v="12"/>
    <x v="6"/>
    <x v="12"/>
    <x v="12"/>
    <x v="584"/>
    <x v="0"/>
    <s v="NEGOCIOS"/>
  </r>
  <r>
    <x v="53"/>
    <x v="13"/>
    <x v="6"/>
    <x v="13"/>
    <x v="13"/>
    <x v="585"/>
    <x v="0"/>
    <s v="NEGOCIOS"/>
  </r>
  <r>
    <x v="53"/>
    <x v="3"/>
    <x v="6"/>
    <x v="3"/>
    <x v="3"/>
    <x v="586"/>
    <x v="0"/>
    <s v="NEGOCIOS"/>
  </r>
  <r>
    <x v="53"/>
    <x v="8"/>
    <x v="7"/>
    <x v="8"/>
    <x v="8"/>
    <x v="587"/>
    <x v="0"/>
    <s v="NEGOCIOS"/>
  </r>
  <r>
    <x v="53"/>
    <x v="0"/>
    <x v="7"/>
    <x v="0"/>
    <x v="0"/>
    <x v="588"/>
    <x v="0"/>
    <s v="NEGOCIOS"/>
  </r>
  <r>
    <x v="53"/>
    <x v="1"/>
    <x v="7"/>
    <x v="1"/>
    <x v="1"/>
    <x v="589"/>
    <x v="0"/>
    <s v="NEGOCIOS"/>
  </r>
  <r>
    <x v="53"/>
    <x v="2"/>
    <x v="7"/>
    <x v="2"/>
    <x v="2"/>
    <x v="590"/>
    <x v="0"/>
    <s v="NEGOCIOS"/>
  </r>
  <r>
    <x v="53"/>
    <x v="9"/>
    <x v="7"/>
    <x v="9"/>
    <x v="9"/>
    <x v="591"/>
    <x v="0"/>
    <s v="NEGOCIOS"/>
  </r>
  <r>
    <x v="53"/>
    <x v="5"/>
    <x v="7"/>
    <x v="5"/>
    <x v="5"/>
    <x v="592"/>
    <x v="0"/>
    <s v="NEGOCIOS"/>
  </r>
  <r>
    <x v="53"/>
    <x v="6"/>
    <x v="7"/>
    <x v="6"/>
    <x v="6"/>
    <x v="593"/>
    <x v="0"/>
    <s v="NEGOCIOS"/>
  </r>
  <r>
    <x v="53"/>
    <x v="11"/>
    <x v="7"/>
    <x v="11"/>
    <x v="11"/>
    <x v="594"/>
    <x v="0"/>
    <s v="NEGOCIOS"/>
  </r>
  <r>
    <x v="53"/>
    <x v="9"/>
    <x v="8"/>
    <x v="9"/>
    <x v="9"/>
    <x v="595"/>
    <x v="0"/>
    <s v="NEGOCIOS"/>
  </r>
  <r>
    <x v="53"/>
    <x v="11"/>
    <x v="8"/>
    <x v="11"/>
    <x v="11"/>
    <x v="596"/>
    <x v="0"/>
    <s v="NEGOCIOS"/>
  </r>
  <r>
    <x v="53"/>
    <x v="13"/>
    <x v="8"/>
    <x v="13"/>
    <x v="13"/>
    <x v="597"/>
    <x v="0"/>
    <s v="NEGOCIOS"/>
  </r>
  <r>
    <x v="53"/>
    <x v="3"/>
    <x v="8"/>
    <x v="3"/>
    <x v="3"/>
    <x v="598"/>
    <x v="0"/>
    <s v="NEGOCIOS"/>
  </r>
  <r>
    <x v="53"/>
    <x v="19"/>
    <x v="8"/>
    <x v="17"/>
    <x v="19"/>
    <x v="599"/>
    <x v="0"/>
    <s v="NEGOCIOS"/>
  </r>
  <r>
    <x v="53"/>
    <x v="20"/>
    <x v="8"/>
    <x v="17"/>
    <x v="20"/>
    <x v="600"/>
    <x v="0"/>
    <s v="NEGOCIOS"/>
  </r>
  <r>
    <x v="53"/>
    <x v="2"/>
    <x v="9"/>
    <x v="2"/>
    <x v="2"/>
    <x v="601"/>
    <x v="0"/>
    <s v="NEGOCIOS"/>
  </r>
  <r>
    <x v="53"/>
    <x v="8"/>
    <x v="10"/>
    <x v="8"/>
    <x v="8"/>
    <x v="602"/>
    <x v="0"/>
    <s v="NEGOCIOS"/>
  </r>
  <r>
    <x v="53"/>
    <x v="1"/>
    <x v="10"/>
    <x v="1"/>
    <x v="1"/>
    <x v="603"/>
    <x v="0"/>
    <s v="NEGOCIOS"/>
  </r>
  <r>
    <x v="53"/>
    <x v="2"/>
    <x v="10"/>
    <x v="2"/>
    <x v="2"/>
    <x v="604"/>
    <x v="0"/>
    <s v="NEGOCIOS"/>
  </r>
  <r>
    <x v="53"/>
    <x v="9"/>
    <x v="10"/>
    <x v="9"/>
    <x v="9"/>
    <x v="482"/>
    <x v="0"/>
    <s v="NEGOCIOS"/>
  </r>
  <r>
    <x v="53"/>
    <x v="6"/>
    <x v="10"/>
    <x v="6"/>
    <x v="6"/>
    <x v="605"/>
    <x v="0"/>
    <s v="NEGOCIOS"/>
  </r>
  <r>
    <x v="53"/>
    <x v="10"/>
    <x v="10"/>
    <x v="10"/>
    <x v="10"/>
    <x v="606"/>
    <x v="0"/>
    <s v="NEGOCIOS"/>
  </r>
  <r>
    <x v="53"/>
    <x v="12"/>
    <x v="10"/>
    <x v="12"/>
    <x v="12"/>
    <x v="607"/>
    <x v="0"/>
    <s v="NEGOCIOS"/>
  </r>
  <r>
    <x v="53"/>
    <x v="13"/>
    <x v="10"/>
    <x v="13"/>
    <x v="13"/>
    <x v="608"/>
    <x v="0"/>
    <s v="NEGOCIOS"/>
  </r>
  <r>
    <x v="53"/>
    <x v="3"/>
    <x v="10"/>
    <x v="3"/>
    <x v="3"/>
    <x v="609"/>
    <x v="0"/>
    <s v="NEGOCIOS"/>
  </r>
  <r>
    <x v="53"/>
    <x v="8"/>
    <x v="11"/>
    <x v="8"/>
    <x v="8"/>
    <x v="610"/>
    <x v="0"/>
    <s v="NEGOCIOS"/>
  </r>
  <r>
    <x v="53"/>
    <x v="0"/>
    <x v="11"/>
    <x v="0"/>
    <x v="0"/>
    <x v="611"/>
    <x v="0"/>
    <s v="NEGOCIOS"/>
  </r>
  <r>
    <x v="53"/>
    <x v="21"/>
    <x v="11"/>
    <x v="14"/>
    <x v="21"/>
    <x v="612"/>
    <x v="0"/>
    <s v="NEGOCIOS"/>
  </r>
  <r>
    <x v="53"/>
    <x v="1"/>
    <x v="11"/>
    <x v="1"/>
    <x v="1"/>
    <x v="613"/>
    <x v="0"/>
    <s v="NEGOCIOS"/>
  </r>
  <r>
    <x v="53"/>
    <x v="2"/>
    <x v="11"/>
    <x v="2"/>
    <x v="2"/>
    <x v="614"/>
    <x v="0"/>
    <s v="NEGOCIOS"/>
  </r>
  <r>
    <x v="53"/>
    <x v="4"/>
    <x v="11"/>
    <x v="4"/>
    <x v="4"/>
    <x v="615"/>
    <x v="0"/>
    <s v="NEGOCIOS"/>
  </r>
  <r>
    <x v="53"/>
    <x v="7"/>
    <x v="11"/>
    <x v="7"/>
    <x v="7"/>
    <x v="616"/>
    <x v="0"/>
    <s v="NEGOCIOS"/>
  </r>
  <r>
    <x v="53"/>
    <x v="9"/>
    <x v="11"/>
    <x v="9"/>
    <x v="9"/>
    <x v="617"/>
    <x v="0"/>
    <s v="NEGOCIOS"/>
  </r>
  <r>
    <x v="53"/>
    <x v="15"/>
    <x v="11"/>
    <x v="15"/>
    <x v="15"/>
    <x v="618"/>
    <x v="0"/>
    <s v="NEGOCIOS"/>
  </r>
  <r>
    <x v="53"/>
    <x v="5"/>
    <x v="11"/>
    <x v="5"/>
    <x v="5"/>
    <x v="619"/>
    <x v="0"/>
    <s v="NEGOCIOS"/>
  </r>
  <r>
    <x v="53"/>
    <x v="6"/>
    <x v="11"/>
    <x v="6"/>
    <x v="6"/>
    <x v="620"/>
    <x v="0"/>
    <s v="NEGOCIOS"/>
  </r>
  <r>
    <x v="53"/>
    <x v="22"/>
    <x v="11"/>
    <x v="16"/>
    <x v="22"/>
    <x v="621"/>
    <x v="0"/>
    <s v="NEGOCIOS"/>
  </r>
  <r>
    <x v="53"/>
    <x v="10"/>
    <x v="11"/>
    <x v="10"/>
    <x v="10"/>
    <x v="622"/>
    <x v="0"/>
    <s v="NEGOCIOS"/>
  </r>
  <r>
    <x v="53"/>
    <x v="11"/>
    <x v="11"/>
    <x v="11"/>
    <x v="11"/>
    <x v="623"/>
    <x v="0"/>
    <s v="NEGOCIOS"/>
  </r>
  <r>
    <x v="53"/>
    <x v="12"/>
    <x v="11"/>
    <x v="12"/>
    <x v="12"/>
    <x v="624"/>
    <x v="0"/>
    <s v="NEGOCIOS"/>
  </r>
  <r>
    <x v="53"/>
    <x v="13"/>
    <x v="11"/>
    <x v="13"/>
    <x v="13"/>
    <x v="625"/>
    <x v="0"/>
    <s v="NEGOCIOS"/>
  </r>
  <r>
    <x v="53"/>
    <x v="3"/>
    <x v="11"/>
    <x v="3"/>
    <x v="3"/>
    <x v="626"/>
    <x v="0"/>
    <s v="NEGOCIOS"/>
  </r>
  <r>
    <x v="53"/>
    <x v="7"/>
    <x v="12"/>
    <x v="7"/>
    <x v="7"/>
    <x v="627"/>
    <x v="0"/>
    <s v="NEGOCIOS"/>
  </r>
  <r>
    <x v="53"/>
    <x v="9"/>
    <x v="12"/>
    <x v="9"/>
    <x v="9"/>
    <x v="628"/>
    <x v="0"/>
    <s v="NEGOCIOS"/>
  </r>
  <r>
    <x v="53"/>
    <x v="10"/>
    <x v="12"/>
    <x v="10"/>
    <x v="10"/>
    <x v="629"/>
    <x v="0"/>
    <s v="NEGOCIOS"/>
  </r>
  <r>
    <x v="53"/>
    <x v="12"/>
    <x v="12"/>
    <x v="12"/>
    <x v="12"/>
    <x v="630"/>
    <x v="0"/>
    <s v="NEGOCIOS"/>
  </r>
  <r>
    <x v="53"/>
    <x v="8"/>
    <x v="13"/>
    <x v="8"/>
    <x v="8"/>
    <x v="631"/>
    <x v="0"/>
    <s v="NEGOCIOS"/>
  </r>
  <r>
    <x v="53"/>
    <x v="0"/>
    <x v="13"/>
    <x v="0"/>
    <x v="0"/>
    <x v="632"/>
    <x v="0"/>
    <s v="NEGOCIOS"/>
  </r>
  <r>
    <x v="53"/>
    <x v="1"/>
    <x v="13"/>
    <x v="1"/>
    <x v="1"/>
    <x v="633"/>
    <x v="0"/>
    <s v="NEGOCIOS"/>
  </r>
  <r>
    <x v="53"/>
    <x v="2"/>
    <x v="13"/>
    <x v="2"/>
    <x v="2"/>
    <x v="634"/>
    <x v="0"/>
    <s v="NEGOCIOS"/>
  </r>
  <r>
    <x v="53"/>
    <x v="4"/>
    <x v="13"/>
    <x v="4"/>
    <x v="4"/>
    <x v="635"/>
    <x v="0"/>
    <s v="NEGOCIOS"/>
  </r>
  <r>
    <x v="53"/>
    <x v="7"/>
    <x v="13"/>
    <x v="7"/>
    <x v="7"/>
    <x v="636"/>
    <x v="0"/>
    <s v="NEGOCIOS"/>
  </r>
  <r>
    <x v="53"/>
    <x v="9"/>
    <x v="13"/>
    <x v="9"/>
    <x v="9"/>
    <x v="556"/>
    <x v="0"/>
    <s v="NEGOCIOS"/>
  </r>
  <r>
    <x v="53"/>
    <x v="5"/>
    <x v="13"/>
    <x v="5"/>
    <x v="5"/>
    <x v="637"/>
    <x v="0"/>
    <s v="NEGOCIOS"/>
  </r>
  <r>
    <x v="53"/>
    <x v="6"/>
    <x v="13"/>
    <x v="6"/>
    <x v="6"/>
    <x v="638"/>
    <x v="0"/>
    <s v="NEGOCIOS"/>
  </r>
  <r>
    <x v="53"/>
    <x v="10"/>
    <x v="13"/>
    <x v="10"/>
    <x v="10"/>
    <x v="639"/>
    <x v="0"/>
    <s v="NEGOCIOS"/>
  </r>
  <r>
    <x v="53"/>
    <x v="11"/>
    <x v="13"/>
    <x v="11"/>
    <x v="11"/>
    <x v="640"/>
    <x v="0"/>
    <s v="NEGOCIOS"/>
  </r>
  <r>
    <x v="53"/>
    <x v="12"/>
    <x v="13"/>
    <x v="12"/>
    <x v="12"/>
    <x v="641"/>
    <x v="0"/>
    <s v="NEGOCIOS"/>
  </r>
  <r>
    <x v="53"/>
    <x v="13"/>
    <x v="13"/>
    <x v="13"/>
    <x v="13"/>
    <x v="642"/>
    <x v="0"/>
    <s v="NEGOCIOS"/>
  </r>
  <r>
    <x v="53"/>
    <x v="3"/>
    <x v="13"/>
    <x v="3"/>
    <x v="3"/>
    <x v="643"/>
    <x v="0"/>
    <s v="NEGOCIOS"/>
  </r>
  <r>
    <x v="53"/>
    <x v="8"/>
    <x v="14"/>
    <x v="8"/>
    <x v="8"/>
    <x v="644"/>
    <x v="0"/>
    <s v="NEGOCIOS"/>
  </r>
  <r>
    <x v="53"/>
    <x v="1"/>
    <x v="14"/>
    <x v="1"/>
    <x v="1"/>
    <x v="645"/>
    <x v="0"/>
    <s v="NEGOCIOS"/>
  </r>
  <r>
    <x v="53"/>
    <x v="2"/>
    <x v="14"/>
    <x v="2"/>
    <x v="2"/>
    <x v="646"/>
    <x v="0"/>
    <s v="NEGOCIOS"/>
  </r>
  <r>
    <x v="53"/>
    <x v="4"/>
    <x v="14"/>
    <x v="4"/>
    <x v="4"/>
    <x v="647"/>
    <x v="0"/>
    <s v="NEGOCIOS"/>
  </r>
  <r>
    <x v="53"/>
    <x v="23"/>
    <x v="14"/>
    <x v="18"/>
    <x v="23"/>
    <x v="648"/>
    <x v="0"/>
    <s v="NEGOCIOS"/>
  </r>
  <r>
    <x v="53"/>
    <x v="9"/>
    <x v="14"/>
    <x v="9"/>
    <x v="9"/>
    <x v="649"/>
    <x v="0"/>
    <s v="NEGOCIOS"/>
  </r>
  <r>
    <x v="53"/>
    <x v="5"/>
    <x v="14"/>
    <x v="5"/>
    <x v="5"/>
    <x v="650"/>
    <x v="0"/>
    <s v="NEGOCIOS"/>
  </r>
  <r>
    <x v="53"/>
    <x v="6"/>
    <x v="14"/>
    <x v="6"/>
    <x v="6"/>
    <x v="651"/>
    <x v="0"/>
    <s v="NEGOCIOS"/>
  </r>
  <r>
    <x v="53"/>
    <x v="11"/>
    <x v="14"/>
    <x v="11"/>
    <x v="11"/>
    <x v="652"/>
    <x v="0"/>
    <s v="NEGOCIOS"/>
  </r>
  <r>
    <x v="53"/>
    <x v="12"/>
    <x v="14"/>
    <x v="12"/>
    <x v="12"/>
    <x v="653"/>
    <x v="0"/>
    <s v="NEGOCIOS"/>
  </r>
  <r>
    <x v="53"/>
    <x v="13"/>
    <x v="14"/>
    <x v="13"/>
    <x v="13"/>
    <x v="654"/>
    <x v="0"/>
    <s v="NEGOCIOS"/>
  </r>
  <r>
    <x v="53"/>
    <x v="8"/>
    <x v="15"/>
    <x v="8"/>
    <x v="8"/>
    <x v="655"/>
    <x v="0"/>
    <s v="NEGOCIOS"/>
  </r>
  <r>
    <x v="53"/>
    <x v="1"/>
    <x v="15"/>
    <x v="1"/>
    <x v="1"/>
    <x v="656"/>
    <x v="0"/>
    <s v="NEGOCIOS"/>
  </r>
  <r>
    <x v="53"/>
    <x v="4"/>
    <x v="15"/>
    <x v="4"/>
    <x v="4"/>
    <x v="657"/>
    <x v="0"/>
    <s v="NEGOCIOS"/>
  </r>
  <r>
    <x v="53"/>
    <x v="7"/>
    <x v="15"/>
    <x v="7"/>
    <x v="7"/>
    <x v="658"/>
    <x v="0"/>
    <s v="NEGOCIOS"/>
  </r>
  <r>
    <x v="53"/>
    <x v="5"/>
    <x v="15"/>
    <x v="5"/>
    <x v="5"/>
    <x v="659"/>
    <x v="0"/>
    <s v="NEGOCIOS"/>
  </r>
  <r>
    <x v="53"/>
    <x v="11"/>
    <x v="15"/>
    <x v="11"/>
    <x v="11"/>
    <x v="660"/>
    <x v="0"/>
    <s v="NEGOCIOS"/>
  </r>
  <r>
    <x v="54"/>
    <x v="0"/>
    <x v="2"/>
    <x v="0"/>
    <x v="0"/>
    <x v="661"/>
    <x v="0"/>
    <s v="BOULEVARD EL DORADO"/>
  </r>
  <r>
    <x v="54"/>
    <x v="1"/>
    <x v="2"/>
    <x v="1"/>
    <x v="1"/>
    <x v="662"/>
    <x v="0"/>
    <s v="BOULEVARD EL DORADO"/>
  </r>
  <r>
    <x v="54"/>
    <x v="9"/>
    <x v="2"/>
    <x v="9"/>
    <x v="9"/>
    <x v="663"/>
    <x v="0"/>
    <s v="BOULEVARD EL DORADO"/>
  </r>
  <r>
    <x v="54"/>
    <x v="10"/>
    <x v="2"/>
    <x v="10"/>
    <x v="10"/>
    <x v="664"/>
    <x v="0"/>
    <s v="BOULEVARD EL DORADO"/>
  </r>
  <r>
    <x v="54"/>
    <x v="11"/>
    <x v="2"/>
    <x v="11"/>
    <x v="11"/>
    <x v="665"/>
    <x v="0"/>
    <s v="BOULEVARD EL DORADO"/>
  </r>
  <r>
    <x v="54"/>
    <x v="8"/>
    <x v="0"/>
    <x v="8"/>
    <x v="8"/>
    <x v="666"/>
    <x v="0"/>
    <s v="BOULEVARD EL DORADO"/>
  </r>
  <r>
    <x v="54"/>
    <x v="0"/>
    <x v="0"/>
    <x v="0"/>
    <x v="0"/>
    <x v="667"/>
    <x v="0"/>
    <s v="BOULEVARD EL DORADO"/>
  </r>
  <r>
    <x v="54"/>
    <x v="1"/>
    <x v="0"/>
    <x v="1"/>
    <x v="1"/>
    <x v="668"/>
    <x v="0"/>
    <s v="BOULEVARD EL DORADO"/>
  </r>
  <r>
    <x v="54"/>
    <x v="2"/>
    <x v="0"/>
    <x v="2"/>
    <x v="2"/>
    <x v="669"/>
    <x v="0"/>
    <s v="BOULEVARD EL DORADO"/>
  </r>
  <r>
    <x v="54"/>
    <x v="4"/>
    <x v="0"/>
    <x v="4"/>
    <x v="4"/>
    <x v="670"/>
    <x v="0"/>
    <s v="BOULEVARD EL DORADO"/>
  </r>
  <r>
    <x v="54"/>
    <x v="7"/>
    <x v="0"/>
    <x v="7"/>
    <x v="7"/>
    <x v="671"/>
    <x v="0"/>
    <s v="BOULEVARD EL DORADO"/>
  </r>
  <r>
    <x v="54"/>
    <x v="9"/>
    <x v="0"/>
    <x v="9"/>
    <x v="9"/>
    <x v="672"/>
    <x v="0"/>
    <s v="BOULEVARD EL DORADO"/>
  </r>
  <r>
    <x v="54"/>
    <x v="5"/>
    <x v="0"/>
    <x v="5"/>
    <x v="5"/>
    <x v="673"/>
    <x v="0"/>
    <s v="BOULEVARD EL DORADO"/>
  </r>
  <r>
    <x v="54"/>
    <x v="6"/>
    <x v="0"/>
    <x v="6"/>
    <x v="6"/>
    <x v="674"/>
    <x v="0"/>
    <s v="BOULEVARD EL DORADO"/>
  </r>
  <r>
    <x v="54"/>
    <x v="10"/>
    <x v="0"/>
    <x v="10"/>
    <x v="10"/>
    <x v="337"/>
    <x v="0"/>
    <s v="BOULEVARD EL DORADO"/>
  </r>
  <r>
    <x v="54"/>
    <x v="11"/>
    <x v="0"/>
    <x v="11"/>
    <x v="11"/>
    <x v="675"/>
    <x v="0"/>
    <s v="BOULEVARD EL DORADO"/>
  </r>
  <r>
    <x v="54"/>
    <x v="12"/>
    <x v="0"/>
    <x v="12"/>
    <x v="12"/>
    <x v="676"/>
    <x v="0"/>
    <s v="BOULEVARD EL DORADO"/>
  </r>
  <r>
    <x v="54"/>
    <x v="13"/>
    <x v="0"/>
    <x v="13"/>
    <x v="13"/>
    <x v="677"/>
    <x v="0"/>
    <s v="BOULEVARD EL DORADO"/>
  </r>
  <r>
    <x v="54"/>
    <x v="3"/>
    <x v="0"/>
    <x v="3"/>
    <x v="3"/>
    <x v="678"/>
    <x v="0"/>
    <s v="BOULEVARD EL DORADO"/>
  </r>
  <r>
    <x v="54"/>
    <x v="8"/>
    <x v="1"/>
    <x v="8"/>
    <x v="8"/>
    <x v="679"/>
    <x v="0"/>
    <s v="BOULEVARD EL DORADO"/>
  </r>
  <r>
    <x v="54"/>
    <x v="0"/>
    <x v="1"/>
    <x v="0"/>
    <x v="0"/>
    <x v="680"/>
    <x v="0"/>
    <s v="BOULEVARD EL DORADO"/>
  </r>
  <r>
    <x v="54"/>
    <x v="1"/>
    <x v="1"/>
    <x v="1"/>
    <x v="1"/>
    <x v="681"/>
    <x v="0"/>
    <s v="BOULEVARD EL DORADO"/>
  </r>
  <r>
    <x v="54"/>
    <x v="2"/>
    <x v="1"/>
    <x v="2"/>
    <x v="2"/>
    <x v="682"/>
    <x v="0"/>
    <s v="BOULEVARD EL DORADO"/>
  </r>
  <r>
    <x v="54"/>
    <x v="5"/>
    <x v="1"/>
    <x v="5"/>
    <x v="5"/>
    <x v="683"/>
    <x v="0"/>
    <s v="BOULEVARD EL DORADO"/>
  </r>
  <r>
    <x v="54"/>
    <x v="6"/>
    <x v="1"/>
    <x v="6"/>
    <x v="6"/>
    <x v="684"/>
    <x v="0"/>
    <s v="BOULEVARD EL DORADO"/>
  </r>
  <r>
    <x v="54"/>
    <x v="10"/>
    <x v="1"/>
    <x v="10"/>
    <x v="10"/>
    <x v="685"/>
    <x v="0"/>
    <s v="BOULEVARD EL DORADO"/>
  </r>
  <r>
    <x v="54"/>
    <x v="12"/>
    <x v="1"/>
    <x v="12"/>
    <x v="12"/>
    <x v="686"/>
    <x v="0"/>
    <s v="BOULEVARD EL DORADO"/>
  </r>
  <r>
    <x v="55"/>
    <x v="4"/>
    <x v="2"/>
    <x v="4"/>
    <x v="4"/>
    <x v="687"/>
    <x v="0"/>
    <s v="SAN SEBASTIAN"/>
  </r>
  <r>
    <x v="55"/>
    <x v="11"/>
    <x v="2"/>
    <x v="11"/>
    <x v="11"/>
    <x v="688"/>
    <x v="0"/>
    <s v="SAN SEBASTIAN"/>
  </r>
  <r>
    <x v="55"/>
    <x v="12"/>
    <x v="2"/>
    <x v="12"/>
    <x v="12"/>
    <x v="689"/>
    <x v="0"/>
    <s v="SAN SEBASTIAN"/>
  </r>
  <r>
    <x v="55"/>
    <x v="8"/>
    <x v="0"/>
    <x v="8"/>
    <x v="8"/>
    <x v="690"/>
    <x v="0"/>
    <s v="SAN SEBASTIAN"/>
  </r>
  <r>
    <x v="55"/>
    <x v="0"/>
    <x v="0"/>
    <x v="0"/>
    <x v="0"/>
    <x v="691"/>
    <x v="0"/>
    <s v="SAN SEBASTIAN"/>
  </r>
  <r>
    <x v="55"/>
    <x v="1"/>
    <x v="0"/>
    <x v="1"/>
    <x v="1"/>
    <x v="692"/>
    <x v="0"/>
    <s v="SAN SEBASTIAN"/>
  </r>
  <r>
    <x v="55"/>
    <x v="2"/>
    <x v="0"/>
    <x v="2"/>
    <x v="2"/>
    <x v="693"/>
    <x v="0"/>
    <s v="SAN SEBASTIAN"/>
  </r>
  <r>
    <x v="55"/>
    <x v="4"/>
    <x v="0"/>
    <x v="4"/>
    <x v="4"/>
    <x v="694"/>
    <x v="0"/>
    <s v="SAN SEBASTIAN"/>
  </r>
  <r>
    <x v="55"/>
    <x v="7"/>
    <x v="0"/>
    <x v="7"/>
    <x v="7"/>
    <x v="695"/>
    <x v="0"/>
    <s v="SAN SEBASTIAN"/>
  </r>
  <r>
    <x v="55"/>
    <x v="9"/>
    <x v="0"/>
    <x v="9"/>
    <x v="9"/>
    <x v="696"/>
    <x v="0"/>
    <s v="SAN SEBASTIAN"/>
  </r>
  <r>
    <x v="55"/>
    <x v="5"/>
    <x v="0"/>
    <x v="5"/>
    <x v="5"/>
    <x v="697"/>
    <x v="0"/>
    <s v="SAN SEBASTIAN"/>
  </r>
  <r>
    <x v="55"/>
    <x v="6"/>
    <x v="0"/>
    <x v="6"/>
    <x v="6"/>
    <x v="698"/>
    <x v="0"/>
    <s v="SAN SEBASTIAN"/>
  </r>
  <r>
    <x v="55"/>
    <x v="10"/>
    <x v="0"/>
    <x v="10"/>
    <x v="10"/>
    <x v="699"/>
    <x v="0"/>
    <s v="SAN SEBASTIAN"/>
  </r>
  <r>
    <x v="55"/>
    <x v="11"/>
    <x v="0"/>
    <x v="11"/>
    <x v="11"/>
    <x v="700"/>
    <x v="0"/>
    <s v="SAN SEBASTIAN"/>
  </r>
  <r>
    <x v="55"/>
    <x v="12"/>
    <x v="0"/>
    <x v="12"/>
    <x v="12"/>
    <x v="701"/>
    <x v="0"/>
    <s v="SAN SEBASTIAN"/>
  </r>
  <r>
    <x v="55"/>
    <x v="13"/>
    <x v="0"/>
    <x v="13"/>
    <x v="13"/>
    <x v="702"/>
    <x v="0"/>
    <s v="SAN SEBASTIAN"/>
  </r>
  <r>
    <x v="55"/>
    <x v="3"/>
    <x v="0"/>
    <x v="3"/>
    <x v="3"/>
    <x v="703"/>
    <x v="0"/>
    <s v="SAN SEBASTIAN"/>
  </r>
  <r>
    <x v="55"/>
    <x v="11"/>
    <x v="1"/>
    <x v="11"/>
    <x v="11"/>
    <x v="704"/>
    <x v="0"/>
    <s v="SAN SEBASTIAN"/>
  </r>
  <r>
    <x v="56"/>
    <x v="4"/>
    <x v="0"/>
    <x v="4"/>
    <x v="4"/>
    <x v="705"/>
    <x v="0"/>
    <s v="SANTIAGO INTERAMERICANA"/>
  </r>
  <r>
    <x v="57"/>
    <x v="8"/>
    <x v="0"/>
    <x v="8"/>
    <x v="8"/>
    <x v="527"/>
    <x v="0"/>
    <s v="VILLA ZAITA"/>
  </r>
  <r>
    <x v="57"/>
    <x v="0"/>
    <x v="0"/>
    <x v="0"/>
    <x v="0"/>
    <x v="706"/>
    <x v="0"/>
    <s v="VILLA ZAITA"/>
  </r>
  <r>
    <x v="57"/>
    <x v="9"/>
    <x v="0"/>
    <x v="9"/>
    <x v="9"/>
    <x v="707"/>
    <x v="0"/>
    <s v="VILLA ZAITA"/>
  </r>
  <r>
    <x v="57"/>
    <x v="5"/>
    <x v="0"/>
    <x v="5"/>
    <x v="5"/>
    <x v="708"/>
    <x v="0"/>
    <s v="VILLA ZAITA"/>
  </r>
  <r>
    <x v="58"/>
    <x v="1"/>
    <x v="0"/>
    <x v="1"/>
    <x v="1"/>
    <x v="709"/>
    <x v="0"/>
    <s v="AZUERO TERMINAL PLAZA"/>
  </r>
  <r>
    <x v="58"/>
    <x v="5"/>
    <x v="0"/>
    <x v="5"/>
    <x v="5"/>
    <x v="710"/>
    <x v="0"/>
    <s v="AZUERO TERMINAL PLAZA"/>
  </r>
  <r>
    <x v="58"/>
    <x v="6"/>
    <x v="0"/>
    <x v="6"/>
    <x v="6"/>
    <x v="711"/>
    <x v="0"/>
    <s v="AZUERO TERMINAL PLAZA"/>
  </r>
  <r>
    <x v="58"/>
    <x v="6"/>
    <x v="1"/>
    <x v="6"/>
    <x v="6"/>
    <x v="712"/>
    <x v="0"/>
    <s v="AZUERO TERMINAL PLAZA"/>
  </r>
  <r>
    <x v="59"/>
    <x v="0"/>
    <x v="0"/>
    <x v="0"/>
    <x v="0"/>
    <x v="713"/>
    <x v="0"/>
    <s v="COSTA VERDE"/>
  </r>
  <r>
    <x v="59"/>
    <x v="1"/>
    <x v="0"/>
    <x v="1"/>
    <x v="1"/>
    <x v="714"/>
    <x v="0"/>
    <s v="COSTA VERDE"/>
  </r>
  <r>
    <x v="59"/>
    <x v="9"/>
    <x v="0"/>
    <x v="9"/>
    <x v="9"/>
    <x v="715"/>
    <x v="0"/>
    <s v="COSTA VERDE"/>
  </r>
  <r>
    <x v="59"/>
    <x v="5"/>
    <x v="0"/>
    <x v="5"/>
    <x v="5"/>
    <x v="716"/>
    <x v="0"/>
    <s v="COSTA VERDE"/>
  </r>
  <r>
    <x v="59"/>
    <x v="11"/>
    <x v="0"/>
    <x v="11"/>
    <x v="11"/>
    <x v="717"/>
    <x v="0"/>
    <s v="COSTA VERDE"/>
  </r>
  <r>
    <x v="59"/>
    <x v="12"/>
    <x v="0"/>
    <x v="12"/>
    <x v="12"/>
    <x v="718"/>
    <x v="0"/>
    <s v="COSTA VERDE"/>
  </r>
  <r>
    <x v="59"/>
    <x v="13"/>
    <x v="0"/>
    <x v="13"/>
    <x v="13"/>
    <x v="719"/>
    <x v="0"/>
    <s v="COSTA VERDE"/>
  </r>
  <r>
    <x v="59"/>
    <x v="3"/>
    <x v="0"/>
    <x v="3"/>
    <x v="3"/>
    <x v="720"/>
    <x v="0"/>
    <s v="COSTA VERDE"/>
  </r>
  <r>
    <x v="59"/>
    <x v="1"/>
    <x v="1"/>
    <x v="1"/>
    <x v="1"/>
    <x v="721"/>
    <x v="0"/>
    <s v="COSTA VERDE"/>
  </r>
  <r>
    <x v="59"/>
    <x v="7"/>
    <x v="1"/>
    <x v="7"/>
    <x v="7"/>
    <x v="722"/>
    <x v="0"/>
    <s v="COSTA VERDE"/>
  </r>
  <r>
    <x v="59"/>
    <x v="13"/>
    <x v="1"/>
    <x v="13"/>
    <x v="13"/>
    <x v="723"/>
    <x v="0"/>
    <s v="COSTA VERDE"/>
  </r>
  <r>
    <x v="59"/>
    <x v="3"/>
    <x v="1"/>
    <x v="3"/>
    <x v="3"/>
    <x v="724"/>
    <x v="0"/>
    <s v="COSTA VERDE"/>
  </r>
  <r>
    <x v="60"/>
    <x v="12"/>
    <x v="0"/>
    <x v="12"/>
    <x v="12"/>
    <x v="725"/>
    <x v="0"/>
    <s v="CASCO VIEJO"/>
  </r>
  <r>
    <x v="61"/>
    <x v="0"/>
    <x v="0"/>
    <x v="0"/>
    <x v="0"/>
    <x v="726"/>
    <x v="0"/>
    <s v="PASEO ARRAIJAN"/>
  </r>
  <r>
    <x v="61"/>
    <x v="5"/>
    <x v="0"/>
    <x v="5"/>
    <x v="5"/>
    <x v="727"/>
    <x v="0"/>
    <s v="PASEO ARRAIJAN"/>
  </r>
  <r>
    <x v="61"/>
    <x v="3"/>
    <x v="0"/>
    <x v="3"/>
    <x v="3"/>
    <x v="728"/>
    <x v="0"/>
    <s v="PASEO ARRAIJAN"/>
  </r>
  <r>
    <x v="61"/>
    <x v="9"/>
    <x v="1"/>
    <x v="9"/>
    <x v="9"/>
    <x v="729"/>
    <x v="0"/>
    <s v="PASEO ARRAIJAN"/>
  </r>
  <r>
    <x v="62"/>
    <x v="3"/>
    <x v="1"/>
    <x v="3"/>
    <x v="3"/>
    <x v="730"/>
    <x v="0"/>
    <s v="PLAZA NUEVO TOCUMEN"/>
  </r>
  <r>
    <x v="63"/>
    <x v="0"/>
    <x v="0"/>
    <x v="0"/>
    <x v="0"/>
    <x v="731"/>
    <x v="0"/>
    <s v="SANTA MARIA"/>
  </r>
  <r>
    <x v="63"/>
    <x v="1"/>
    <x v="1"/>
    <x v="1"/>
    <x v="1"/>
    <x v="732"/>
    <x v="0"/>
    <s v="SANTA MARIA"/>
  </r>
  <r>
    <x v="0"/>
    <x v="24"/>
    <x v="2"/>
    <x v="19"/>
    <x v="24"/>
    <x v="733"/>
    <x v="0"/>
    <s v="CASA MATRIZ"/>
  </r>
  <r>
    <x v="0"/>
    <x v="25"/>
    <x v="2"/>
    <x v="19"/>
    <x v="24"/>
    <x v="734"/>
    <x v="0"/>
    <s v="CASA MATRIZ"/>
  </r>
  <r>
    <x v="0"/>
    <x v="26"/>
    <x v="2"/>
    <x v="19"/>
    <x v="24"/>
    <x v="734"/>
    <x v="0"/>
    <s v="CASA MATRIZ"/>
  </r>
  <r>
    <x v="0"/>
    <x v="27"/>
    <x v="2"/>
    <x v="19"/>
    <x v="24"/>
    <x v="735"/>
    <x v="0"/>
    <s v="CASA MATRIZ"/>
  </r>
  <r>
    <x v="0"/>
    <x v="28"/>
    <x v="2"/>
    <x v="19"/>
    <x v="24"/>
    <x v="734"/>
    <x v="0"/>
    <s v="CASA MATRIZ"/>
  </r>
  <r>
    <x v="0"/>
    <x v="29"/>
    <x v="2"/>
    <x v="19"/>
    <x v="24"/>
    <x v="736"/>
    <x v="0"/>
    <s v="CASA MATRIZ"/>
  </r>
  <r>
    <x v="0"/>
    <x v="30"/>
    <x v="2"/>
    <x v="19"/>
    <x v="24"/>
    <x v="737"/>
    <x v="0"/>
    <s v="CASA MATRIZ"/>
  </r>
  <r>
    <x v="0"/>
    <x v="31"/>
    <x v="2"/>
    <x v="19"/>
    <x v="24"/>
    <x v="738"/>
    <x v="0"/>
    <s v="CASA MATRIZ"/>
  </r>
  <r>
    <x v="0"/>
    <x v="32"/>
    <x v="2"/>
    <x v="19"/>
    <x v="24"/>
    <x v="739"/>
    <x v="0"/>
    <s v="CASA MATRIZ"/>
  </r>
  <r>
    <x v="0"/>
    <x v="33"/>
    <x v="2"/>
    <x v="19"/>
    <x v="24"/>
    <x v="734"/>
    <x v="0"/>
    <s v="CASA MATRIZ"/>
  </r>
  <r>
    <x v="1"/>
    <x v="34"/>
    <x v="2"/>
    <x v="19"/>
    <x v="25"/>
    <x v="737"/>
    <x v="0"/>
    <s v="PAITILLA"/>
  </r>
  <r>
    <x v="1"/>
    <x v="35"/>
    <x v="2"/>
    <x v="19"/>
    <x v="25"/>
    <x v="737"/>
    <x v="0"/>
    <s v="PAITILLA"/>
  </r>
  <r>
    <x v="1"/>
    <x v="36"/>
    <x v="2"/>
    <x v="19"/>
    <x v="25"/>
    <x v="740"/>
    <x v="0"/>
    <s v="PAITILLA"/>
  </r>
  <r>
    <x v="1"/>
    <x v="37"/>
    <x v="2"/>
    <x v="19"/>
    <x v="25"/>
    <x v="741"/>
    <x v="0"/>
    <s v="PAITILLA"/>
  </r>
  <r>
    <x v="1"/>
    <x v="11"/>
    <x v="2"/>
    <x v="19"/>
    <x v="25"/>
    <x v="737"/>
    <x v="0"/>
    <s v="PAITILLA"/>
  </r>
  <r>
    <x v="2"/>
    <x v="8"/>
    <x v="2"/>
    <x v="19"/>
    <x v="26"/>
    <x v="742"/>
    <x v="0"/>
    <s v="EL DORADO"/>
  </r>
  <r>
    <x v="2"/>
    <x v="38"/>
    <x v="2"/>
    <x v="19"/>
    <x v="26"/>
    <x v="743"/>
    <x v="0"/>
    <s v="EL DORADO"/>
  </r>
  <r>
    <x v="2"/>
    <x v="39"/>
    <x v="2"/>
    <x v="19"/>
    <x v="26"/>
    <x v="744"/>
    <x v="0"/>
    <s v="EL DORADO"/>
  </r>
  <r>
    <x v="2"/>
    <x v="40"/>
    <x v="2"/>
    <x v="19"/>
    <x v="26"/>
    <x v="742"/>
    <x v="0"/>
    <s v="EL DORADO"/>
  </r>
  <r>
    <x v="2"/>
    <x v="41"/>
    <x v="2"/>
    <x v="19"/>
    <x v="26"/>
    <x v="745"/>
    <x v="0"/>
    <s v="EL DORADO"/>
  </r>
  <r>
    <x v="2"/>
    <x v="42"/>
    <x v="2"/>
    <x v="19"/>
    <x v="26"/>
    <x v="737"/>
    <x v="0"/>
    <s v="EL DORADO"/>
  </r>
  <r>
    <x v="2"/>
    <x v="43"/>
    <x v="2"/>
    <x v="19"/>
    <x v="26"/>
    <x v="746"/>
    <x v="0"/>
    <s v="EL DORADO"/>
  </r>
  <r>
    <x v="2"/>
    <x v="44"/>
    <x v="2"/>
    <x v="19"/>
    <x v="26"/>
    <x v="747"/>
    <x v="0"/>
    <s v="EL DORADO"/>
  </r>
  <r>
    <x v="2"/>
    <x v="45"/>
    <x v="2"/>
    <x v="19"/>
    <x v="26"/>
    <x v="748"/>
    <x v="0"/>
    <s v="EL DORADO"/>
  </r>
  <r>
    <x v="2"/>
    <x v="46"/>
    <x v="2"/>
    <x v="19"/>
    <x v="26"/>
    <x v="744"/>
    <x v="0"/>
    <s v="EL DORADO"/>
  </r>
  <r>
    <x v="2"/>
    <x v="47"/>
    <x v="2"/>
    <x v="19"/>
    <x v="26"/>
    <x v="749"/>
    <x v="0"/>
    <s v="EL DORADO"/>
  </r>
  <r>
    <x v="2"/>
    <x v="19"/>
    <x v="2"/>
    <x v="19"/>
    <x v="26"/>
    <x v="749"/>
    <x v="0"/>
    <s v="EL DORADO"/>
  </r>
  <r>
    <x v="3"/>
    <x v="48"/>
    <x v="2"/>
    <x v="19"/>
    <x v="27"/>
    <x v="750"/>
    <x v="0"/>
    <s v="VIA ARGENTINA"/>
  </r>
  <r>
    <x v="3"/>
    <x v="49"/>
    <x v="2"/>
    <x v="19"/>
    <x v="27"/>
    <x v="749"/>
    <x v="0"/>
    <s v="VIA ARGENTINA"/>
  </r>
  <r>
    <x v="3"/>
    <x v="31"/>
    <x v="2"/>
    <x v="19"/>
    <x v="27"/>
    <x v="741"/>
    <x v="0"/>
    <s v="VIA ARGENTINA"/>
  </r>
  <r>
    <x v="3"/>
    <x v="50"/>
    <x v="2"/>
    <x v="19"/>
    <x v="27"/>
    <x v="747"/>
    <x v="0"/>
    <s v="VIA ARGENTINA"/>
  </r>
  <r>
    <x v="3"/>
    <x v="51"/>
    <x v="2"/>
    <x v="19"/>
    <x v="27"/>
    <x v="737"/>
    <x v="0"/>
    <s v="VIA ARGENTINA"/>
  </r>
  <r>
    <x v="3"/>
    <x v="52"/>
    <x v="2"/>
    <x v="19"/>
    <x v="27"/>
    <x v="747"/>
    <x v="0"/>
    <s v="VIA ARGENTINA"/>
  </r>
  <r>
    <x v="3"/>
    <x v="53"/>
    <x v="2"/>
    <x v="19"/>
    <x v="27"/>
    <x v="736"/>
    <x v="0"/>
    <s v="VIA ARGENTINA"/>
  </r>
  <r>
    <x v="3"/>
    <x v="33"/>
    <x v="2"/>
    <x v="19"/>
    <x v="27"/>
    <x v="749"/>
    <x v="0"/>
    <s v="VIA ARGENTINA"/>
  </r>
  <r>
    <x v="3"/>
    <x v="20"/>
    <x v="2"/>
    <x v="19"/>
    <x v="27"/>
    <x v="741"/>
    <x v="0"/>
    <s v="VIA ARGENTINA"/>
  </r>
  <r>
    <x v="4"/>
    <x v="8"/>
    <x v="2"/>
    <x v="19"/>
    <x v="28"/>
    <x v="749"/>
    <x v="0"/>
    <s v="VIA PORRAS"/>
  </r>
  <r>
    <x v="4"/>
    <x v="54"/>
    <x v="2"/>
    <x v="19"/>
    <x v="28"/>
    <x v="749"/>
    <x v="0"/>
    <s v="VIA PORRAS"/>
  </r>
  <r>
    <x v="4"/>
    <x v="35"/>
    <x v="2"/>
    <x v="19"/>
    <x v="28"/>
    <x v="745"/>
    <x v="0"/>
    <s v="VIA PORRAS"/>
  </r>
  <r>
    <x v="4"/>
    <x v="25"/>
    <x v="2"/>
    <x v="19"/>
    <x v="28"/>
    <x v="744"/>
    <x v="0"/>
    <s v="VIA PORRAS"/>
  </r>
  <r>
    <x v="4"/>
    <x v="55"/>
    <x v="2"/>
    <x v="19"/>
    <x v="28"/>
    <x v="751"/>
    <x v="0"/>
    <s v="VIA PORRAS"/>
  </r>
  <r>
    <x v="4"/>
    <x v="37"/>
    <x v="2"/>
    <x v="19"/>
    <x v="28"/>
    <x v="744"/>
    <x v="0"/>
    <s v="VIA PORRAS"/>
  </r>
  <r>
    <x v="4"/>
    <x v="56"/>
    <x v="2"/>
    <x v="19"/>
    <x v="28"/>
    <x v="737"/>
    <x v="0"/>
    <s v="VIA PORRAS"/>
  </r>
  <r>
    <x v="4"/>
    <x v="23"/>
    <x v="2"/>
    <x v="19"/>
    <x v="28"/>
    <x v="749"/>
    <x v="0"/>
    <s v="VIA PORRAS"/>
  </r>
  <r>
    <x v="4"/>
    <x v="57"/>
    <x v="2"/>
    <x v="19"/>
    <x v="28"/>
    <x v="747"/>
    <x v="0"/>
    <s v="VIA PORRAS"/>
  </r>
  <r>
    <x v="4"/>
    <x v="58"/>
    <x v="2"/>
    <x v="20"/>
    <x v="29"/>
    <x v="749"/>
    <x v="0"/>
    <s v="VIA PORRAS"/>
  </r>
  <r>
    <x v="4"/>
    <x v="3"/>
    <x v="0"/>
    <x v="20"/>
    <x v="30"/>
    <x v="749"/>
    <x v="0"/>
    <s v="VIA PORRAS"/>
  </r>
  <r>
    <x v="4"/>
    <x v="58"/>
    <x v="0"/>
    <x v="20"/>
    <x v="29"/>
    <x v="752"/>
    <x v="0"/>
    <s v="VIA PORRAS"/>
  </r>
  <r>
    <x v="4"/>
    <x v="59"/>
    <x v="1"/>
    <x v="20"/>
    <x v="31"/>
    <x v="744"/>
    <x v="0"/>
    <s v="VIA PORRAS"/>
  </r>
  <r>
    <x v="5"/>
    <x v="55"/>
    <x v="2"/>
    <x v="19"/>
    <x v="32"/>
    <x v="753"/>
    <x v="0"/>
    <s v="EL INGENIO"/>
  </r>
  <r>
    <x v="5"/>
    <x v="27"/>
    <x v="2"/>
    <x v="19"/>
    <x v="32"/>
    <x v="746"/>
    <x v="0"/>
    <s v="EL INGENIO"/>
  </r>
  <r>
    <x v="5"/>
    <x v="60"/>
    <x v="2"/>
    <x v="19"/>
    <x v="32"/>
    <x v="754"/>
    <x v="0"/>
    <s v="EL INGENIO"/>
  </r>
  <r>
    <x v="5"/>
    <x v="61"/>
    <x v="2"/>
    <x v="19"/>
    <x v="32"/>
    <x v="736"/>
    <x v="0"/>
    <s v="EL INGENIO"/>
  </r>
  <r>
    <x v="5"/>
    <x v="15"/>
    <x v="2"/>
    <x v="19"/>
    <x v="32"/>
    <x v="736"/>
    <x v="0"/>
    <s v="EL INGENIO"/>
  </r>
  <r>
    <x v="5"/>
    <x v="62"/>
    <x v="2"/>
    <x v="19"/>
    <x v="32"/>
    <x v="744"/>
    <x v="0"/>
    <s v="EL INGENIO"/>
  </r>
  <r>
    <x v="5"/>
    <x v="5"/>
    <x v="2"/>
    <x v="19"/>
    <x v="32"/>
    <x v="746"/>
    <x v="0"/>
    <s v="EL INGENIO"/>
  </r>
  <r>
    <x v="5"/>
    <x v="63"/>
    <x v="2"/>
    <x v="19"/>
    <x v="32"/>
    <x v="755"/>
    <x v="0"/>
    <s v="EL INGENIO"/>
  </r>
  <r>
    <x v="5"/>
    <x v="52"/>
    <x v="2"/>
    <x v="19"/>
    <x v="32"/>
    <x v="756"/>
    <x v="0"/>
    <s v="EL INGENIO"/>
  </r>
  <r>
    <x v="5"/>
    <x v="64"/>
    <x v="2"/>
    <x v="19"/>
    <x v="32"/>
    <x v="745"/>
    <x v="0"/>
    <s v="EL INGENIO"/>
  </r>
  <r>
    <x v="5"/>
    <x v="65"/>
    <x v="2"/>
    <x v="19"/>
    <x v="32"/>
    <x v="736"/>
    <x v="0"/>
    <s v="EL INGENIO"/>
  </r>
  <r>
    <x v="5"/>
    <x v="3"/>
    <x v="2"/>
    <x v="19"/>
    <x v="32"/>
    <x v="736"/>
    <x v="0"/>
    <s v="EL INGENIO"/>
  </r>
  <r>
    <x v="6"/>
    <x v="66"/>
    <x v="2"/>
    <x v="19"/>
    <x v="33"/>
    <x v="757"/>
    <x v="0"/>
    <s v="CHANIS"/>
  </r>
  <r>
    <x v="6"/>
    <x v="25"/>
    <x v="2"/>
    <x v="19"/>
    <x v="33"/>
    <x v="758"/>
    <x v="0"/>
    <s v="CHANIS"/>
  </r>
  <r>
    <x v="6"/>
    <x v="67"/>
    <x v="2"/>
    <x v="19"/>
    <x v="33"/>
    <x v="759"/>
    <x v="0"/>
    <s v="CHANIS"/>
  </r>
  <r>
    <x v="6"/>
    <x v="26"/>
    <x v="2"/>
    <x v="19"/>
    <x v="33"/>
    <x v="759"/>
    <x v="0"/>
    <s v="CHANIS"/>
  </r>
  <r>
    <x v="6"/>
    <x v="68"/>
    <x v="2"/>
    <x v="19"/>
    <x v="33"/>
    <x v="737"/>
    <x v="0"/>
    <s v="CHANIS"/>
  </r>
  <r>
    <x v="6"/>
    <x v="69"/>
    <x v="2"/>
    <x v="19"/>
    <x v="33"/>
    <x v="760"/>
    <x v="0"/>
    <s v="CHANIS"/>
  </r>
  <r>
    <x v="6"/>
    <x v="53"/>
    <x v="2"/>
    <x v="19"/>
    <x v="33"/>
    <x v="749"/>
    <x v="0"/>
    <s v="CHANIS"/>
  </r>
  <r>
    <x v="6"/>
    <x v="70"/>
    <x v="2"/>
    <x v="19"/>
    <x v="33"/>
    <x v="758"/>
    <x v="0"/>
    <s v="CHANIS"/>
  </r>
  <r>
    <x v="7"/>
    <x v="71"/>
    <x v="2"/>
    <x v="19"/>
    <x v="34"/>
    <x v="758"/>
    <x v="0"/>
    <s v="PLAZA TOCUMEN"/>
  </r>
  <r>
    <x v="7"/>
    <x v="72"/>
    <x v="2"/>
    <x v="19"/>
    <x v="34"/>
    <x v="761"/>
    <x v="0"/>
    <s v="PLAZA TOCUMEN"/>
  </r>
  <r>
    <x v="7"/>
    <x v="73"/>
    <x v="2"/>
    <x v="19"/>
    <x v="34"/>
    <x v="762"/>
    <x v="0"/>
    <s v="PLAZA TOCUMEN"/>
  </r>
  <r>
    <x v="7"/>
    <x v="28"/>
    <x v="2"/>
    <x v="19"/>
    <x v="34"/>
    <x v="744"/>
    <x v="0"/>
    <s v="PLAZA TOCUMEN"/>
  </r>
  <r>
    <x v="8"/>
    <x v="35"/>
    <x v="2"/>
    <x v="21"/>
    <x v="35"/>
    <x v="763"/>
    <x v="0"/>
    <s v="SANTIAGO"/>
  </r>
  <r>
    <x v="8"/>
    <x v="74"/>
    <x v="2"/>
    <x v="19"/>
    <x v="36"/>
    <x v="764"/>
    <x v="0"/>
    <s v="SANTIAGO"/>
  </r>
  <r>
    <x v="8"/>
    <x v="74"/>
    <x v="2"/>
    <x v="21"/>
    <x v="37"/>
    <x v="765"/>
    <x v="0"/>
    <s v="SANTIAGO"/>
  </r>
  <r>
    <x v="8"/>
    <x v="40"/>
    <x v="2"/>
    <x v="20"/>
    <x v="38"/>
    <x v="763"/>
    <x v="0"/>
    <s v="SANTIAGO"/>
  </r>
  <r>
    <x v="8"/>
    <x v="75"/>
    <x v="2"/>
    <x v="20"/>
    <x v="39"/>
    <x v="766"/>
    <x v="0"/>
    <s v="SANTIAGO"/>
  </r>
  <r>
    <x v="8"/>
    <x v="32"/>
    <x v="2"/>
    <x v="20"/>
    <x v="40"/>
    <x v="767"/>
    <x v="0"/>
    <s v="SANTIAGO"/>
  </r>
  <r>
    <x v="9"/>
    <x v="36"/>
    <x v="2"/>
    <x v="19"/>
    <x v="41"/>
    <x v="741"/>
    <x v="0"/>
    <s v="OBARRIO"/>
  </r>
  <r>
    <x v="9"/>
    <x v="25"/>
    <x v="2"/>
    <x v="19"/>
    <x v="41"/>
    <x v="741"/>
    <x v="0"/>
    <s v="OBARRIO"/>
  </r>
  <r>
    <x v="64"/>
    <x v="76"/>
    <x v="2"/>
    <x v="21"/>
    <x v="42"/>
    <x v="768"/>
    <x v="0"/>
    <s v="COLON"/>
  </r>
  <r>
    <x v="64"/>
    <x v="61"/>
    <x v="2"/>
    <x v="20"/>
    <x v="43"/>
    <x v="769"/>
    <x v="0"/>
    <s v="COLON"/>
  </r>
  <r>
    <x v="10"/>
    <x v="36"/>
    <x v="2"/>
    <x v="19"/>
    <x v="44"/>
    <x v="770"/>
    <x v="0"/>
    <s v="HATO PINTADO"/>
  </r>
  <r>
    <x v="10"/>
    <x v="77"/>
    <x v="2"/>
    <x v="19"/>
    <x v="44"/>
    <x v="771"/>
    <x v="0"/>
    <s v="HATO PINTADO"/>
  </r>
  <r>
    <x v="10"/>
    <x v="78"/>
    <x v="2"/>
    <x v="19"/>
    <x v="44"/>
    <x v="737"/>
    <x v="0"/>
    <s v="HATO PINTADO"/>
  </r>
  <r>
    <x v="10"/>
    <x v="79"/>
    <x v="2"/>
    <x v="19"/>
    <x v="44"/>
    <x v="772"/>
    <x v="0"/>
    <s v="HATO PINTADO"/>
  </r>
  <r>
    <x v="65"/>
    <x v="58"/>
    <x v="2"/>
    <x v="19"/>
    <x v="45"/>
    <x v="773"/>
    <x v="0"/>
    <s v="RIO ABAJO"/>
  </r>
  <r>
    <x v="65"/>
    <x v="80"/>
    <x v="0"/>
    <x v="21"/>
    <x v="46"/>
    <x v="774"/>
    <x v="0"/>
    <s v="RIO ABAJO"/>
  </r>
  <r>
    <x v="11"/>
    <x v="81"/>
    <x v="2"/>
    <x v="19"/>
    <x v="47"/>
    <x v="764"/>
    <x v="0"/>
    <s v="LA CHORRERA"/>
  </r>
  <r>
    <x v="11"/>
    <x v="82"/>
    <x v="2"/>
    <x v="21"/>
    <x v="48"/>
    <x v="775"/>
    <x v="0"/>
    <s v="LA CHORRERA"/>
  </r>
  <r>
    <x v="11"/>
    <x v="39"/>
    <x v="2"/>
    <x v="19"/>
    <x v="47"/>
    <x v="772"/>
    <x v="0"/>
    <s v="LA CHORRERA"/>
  </r>
  <r>
    <x v="11"/>
    <x v="83"/>
    <x v="2"/>
    <x v="19"/>
    <x v="47"/>
    <x v="736"/>
    <x v="0"/>
    <s v="LA CHORRERA"/>
  </r>
  <r>
    <x v="11"/>
    <x v="36"/>
    <x v="2"/>
    <x v="19"/>
    <x v="47"/>
    <x v="776"/>
    <x v="0"/>
    <s v="LA CHORRERA"/>
  </r>
  <r>
    <x v="11"/>
    <x v="2"/>
    <x v="2"/>
    <x v="19"/>
    <x v="47"/>
    <x v="776"/>
    <x v="0"/>
    <s v="LA CHORRERA"/>
  </r>
  <r>
    <x v="11"/>
    <x v="7"/>
    <x v="2"/>
    <x v="19"/>
    <x v="47"/>
    <x v="736"/>
    <x v="0"/>
    <s v="LA CHORRERA"/>
  </r>
  <r>
    <x v="11"/>
    <x v="84"/>
    <x v="2"/>
    <x v="20"/>
    <x v="49"/>
    <x v="775"/>
    <x v="0"/>
    <s v="LA CHORRERA"/>
  </r>
  <r>
    <x v="11"/>
    <x v="85"/>
    <x v="2"/>
    <x v="20"/>
    <x v="50"/>
    <x v="775"/>
    <x v="0"/>
    <s v="LA CHORRERA"/>
  </r>
  <r>
    <x v="11"/>
    <x v="86"/>
    <x v="2"/>
    <x v="19"/>
    <x v="47"/>
    <x v="777"/>
    <x v="0"/>
    <s v="LA CHORRERA"/>
  </r>
  <r>
    <x v="11"/>
    <x v="32"/>
    <x v="2"/>
    <x v="19"/>
    <x v="47"/>
    <x v="778"/>
    <x v="0"/>
    <s v="LA CHORRERA"/>
  </r>
  <r>
    <x v="12"/>
    <x v="74"/>
    <x v="2"/>
    <x v="19"/>
    <x v="51"/>
    <x v="779"/>
    <x v="0"/>
    <s v="AVENIDA CENTRAL"/>
  </r>
  <r>
    <x v="12"/>
    <x v="3"/>
    <x v="2"/>
    <x v="19"/>
    <x v="51"/>
    <x v="779"/>
    <x v="0"/>
    <s v="AVENIDA CENTRAL"/>
  </r>
  <r>
    <x v="13"/>
    <x v="87"/>
    <x v="2"/>
    <x v="19"/>
    <x v="52"/>
    <x v="747"/>
    <x v="0"/>
    <s v="LOS ANGELES"/>
  </r>
  <r>
    <x v="13"/>
    <x v="88"/>
    <x v="2"/>
    <x v="19"/>
    <x v="52"/>
    <x v="737"/>
    <x v="0"/>
    <s v="LOS ANGELES"/>
  </r>
  <r>
    <x v="13"/>
    <x v="89"/>
    <x v="2"/>
    <x v="19"/>
    <x v="52"/>
    <x v="780"/>
    <x v="0"/>
    <s v="LOS ANGELES"/>
  </r>
  <r>
    <x v="13"/>
    <x v="90"/>
    <x v="2"/>
    <x v="19"/>
    <x v="52"/>
    <x v="747"/>
    <x v="0"/>
    <s v="LOS ANGELES"/>
  </r>
  <r>
    <x v="13"/>
    <x v="25"/>
    <x v="2"/>
    <x v="19"/>
    <x v="52"/>
    <x v="744"/>
    <x v="0"/>
    <s v="LOS ANGELES"/>
  </r>
  <r>
    <x v="13"/>
    <x v="56"/>
    <x v="2"/>
    <x v="19"/>
    <x v="52"/>
    <x v="781"/>
    <x v="0"/>
    <s v="LOS ANGELES"/>
  </r>
  <r>
    <x v="13"/>
    <x v="67"/>
    <x v="2"/>
    <x v="19"/>
    <x v="52"/>
    <x v="745"/>
    <x v="0"/>
    <s v="LOS ANGELES"/>
  </r>
  <r>
    <x v="13"/>
    <x v="26"/>
    <x v="2"/>
    <x v="19"/>
    <x v="52"/>
    <x v="737"/>
    <x v="0"/>
    <s v="LOS ANGELES"/>
  </r>
  <r>
    <x v="13"/>
    <x v="71"/>
    <x v="2"/>
    <x v="19"/>
    <x v="52"/>
    <x v="737"/>
    <x v="0"/>
    <s v="LOS ANGELES"/>
  </r>
  <r>
    <x v="13"/>
    <x v="91"/>
    <x v="2"/>
    <x v="19"/>
    <x v="52"/>
    <x v="742"/>
    <x v="0"/>
    <s v="LOS ANGELES"/>
  </r>
  <r>
    <x v="13"/>
    <x v="84"/>
    <x v="2"/>
    <x v="19"/>
    <x v="52"/>
    <x v="781"/>
    <x v="0"/>
    <s v="LOS ANGELES"/>
  </r>
  <r>
    <x v="13"/>
    <x v="5"/>
    <x v="2"/>
    <x v="19"/>
    <x v="52"/>
    <x v="747"/>
    <x v="0"/>
    <s v="LOS ANGELES"/>
  </r>
  <r>
    <x v="13"/>
    <x v="52"/>
    <x v="2"/>
    <x v="19"/>
    <x v="52"/>
    <x v="737"/>
    <x v="0"/>
    <s v="LOS ANGELES"/>
  </r>
  <r>
    <x v="13"/>
    <x v="3"/>
    <x v="2"/>
    <x v="19"/>
    <x v="52"/>
    <x v="744"/>
    <x v="0"/>
    <s v="LOS ANGELES"/>
  </r>
  <r>
    <x v="14"/>
    <x v="39"/>
    <x v="2"/>
    <x v="19"/>
    <x v="53"/>
    <x v="734"/>
    <x v="0"/>
    <s v="VILLA LUCRE"/>
  </r>
  <r>
    <x v="14"/>
    <x v="24"/>
    <x v="2"/>
    <x v="19"/>
    <x v="53"/>
    <x v="782"/>
    <x v="0"/>
    <s v="VILLA LUCRE"/>
  </r>
  <r>
    <x v="14"/>
    <x v="55"/>
    <x v="2"/>
    <x v="19"/>
    <x v="53"/>
    <x v="782"/>
    <x v="0"/>
    <s v="VILLA LUCRE"/>
  </r>
  <r>
    <x v="14"/>
    <x v="92"/>
    <x v="2"/>
    <x v="19"/>
    <x v="53"/>
    <x v="545"/>
    <x v="0"/>
    <s v="VILLA LUCRE"/>
  </r>
  <r>
    <x v="14"/>
    <x v="9"/>
    <x v="2"/>
    <x v="19"/>
    <x v="53"/>
    <x v="761"/>
    <x v="0"/>
    <s v="VILLA LUCRE"/>
  </r>
  <r>
    <x v="14"/>
    <x v="93"/>
    <x v="2"/>
    <x v="19"/>
    <x v="53"/>
    <x v="745"/>
    <x v="0"/>
    <s v="VILLA LUCRE"/>
  </r>
  <r>
    <x v="14"/>
    <x v="94"/>
    <x v="2"/>
    <x v="19"/>
    <x v="53"/>
    <x v="762"/>
    <x v="0"/>
    <s v="VILLA LUCRE"/>
  </r>
  <r>
    <x v="14"/>
    <x v="95"/>
    <x v="2"/>
    <x v="19"/>
    <x v="53"/>
    <x v="750"/>
    <x v="0"/>
    <s v="VILLA LUCRE"/>
  </r>
  <r>
    <x v="14"/>
    <x v="32"/>
    <x v="2"/>
    <x v="19"/>
    <x v="53"/>
    <x v="745"/>
    <x v="0"/>
    <s v="VILLA LUCRE"/>
  </r>
  <r>
    <x v="14"/>
    <x v="58"/>
    <x v="2"/>
    <x v="19"/>
    <x v="53"/>
    <x v="545"/>
    <x v="0"/>
    <s v="VILLA LUCRE"/>
  </r>
  <r>
    <x v="15"/>
    <x v="96"/>
    <x v="2"/>
    <x v="19"/>
    <x v="54"/>
    <x v="778"/>
    <x v="0"/>
    <s v="LOS ANDES"/>
  </r>
  <r>
    <x v="15"/>
    <x v="49"/>
    <x v="2"/>
    <x v="19"/>
    <x v="54"/>
    <x v="750"/>
    <x v="0"/>
    <s v="LOS ANDES"/>
  </r>
  <r>
    <x v="15"/>
    <x v="47"/>
    <x v="2"/>
    <x v="19"/>
    <x v="54"/>
    <x v="783"/>
    <x v="0"/>
    <s v="LOS ANDES"/>
  </r>
  <r>
    <x v="16"/>
    <x v="37"/>
    <x v="2"/>
    <x v="19"/>
    <x v="55"/>
    <x v="784"/>
    <x v="0"/>
    <s v="VIA ESPANA"/>
  </r>
  <r>
    <x v="16"/>
    <x v="84"/>
    <x v="2"/>
    <x v="19"/>
    <x v="55"/>
    <x v="736"/>
    <x v="0"/>
    <s v="VIA ESPANA"/>
  </r>
  <r>
    <x v="16"/>
    <x v="60"/>
    <x v="2"/>
    <x v="19"/>
    <x v="55"/>
    <x v="747"/>
    <x v="0"/>
    <s v="VIA ESPANA"/>
  </r>
  <r>
    <x v="16"/>
    <x v="9"/>
    <x v="2"/>
    <x v="19"/>
    <x v="55"/>
    <x v="747"/>
    <x v="0"/>
    <s v="VIA ESPANA"/>
  </r>
  <r>
    <x v="16"/>
    <x v="97"/>
    <x v="2"/>
    <x v="19"/>
    <x v="55"/>
    <x v="747"/>
    <x v="0"/>
    <s v="VIA ESPANA"/>
  </r>
  <r>
    <x v="16"/>
    <x v="98"/>
    <x v="2"/>
    <x v="19"/>
    <x v="55"/>
    <x v="735"/>
    <x v="0"/>
    <s v="VIA ESPANA"/>
  </r>
  <r>
    <x v="16"/>
    <x v="99"/>
    <x v="2"/>
    <x v="19"/>
    <x v="55"/>
    <x v="741"/>
    <x v="0"/>
    <s v="VIA ESPANA"/>
  </r>
  <r>
    <x v="16"/>
    <x v="45"/>
    <x v="2"/>
    <x v="19"/>
    <x v="55"/>
    <x v="747"/>
    <x v="0"/>
    <s v="VIA ESPANA"/>
  </r>
  <r>
    <x v="16"/>
    <x v="75"/>
    <x v="2"/>
    <x v="19"/>
    <x v="55"/>
    <x v="741"/>
    <x v="0"/>
    <s v="VIA ESPANA"/>
  </r>
  <r>
    <x v="16"/>
    <x v="100"/>
    <x v="2"/>
    <x v="19"/>
    <x v="55"/>
    <x v="785"/>
    <x v="0"/>
    <s v="VIA ESPANA"/>
  </r>
  <r>
    <x v="17"/>
    <x v="55"/>
    <x v="2"/>
    <x v="19"/>
    <x v="56"/>
    <x v="737"/>
    <x v="0"/>
    <s v="AVENIDA CUBA"/>
  </r>
  <r>
    <x v="17"/>
    <x v="101"/>
    <x v="2"/>
    <x v="19"/>
    <x v="56"/>
    <x v="785"/>
    <x v="0"/>
    <s v="AVENIDA CUBA"/>
  </r>
  <r>
    <x v="17"/>
    <x v="102"/>
    <x v="2"/>
    <x v="19"/>
    <x v="56"/>
    <x v="786"/>
    <x v="0"/>
    <s v="AVENIDA CUBA"/>
  </r>
  <r>
    <x v="17"/>
    <x v="103"/>
    <x v="2"/>
    <x v="19"/>
    <x v="56"/>
    <x v="743"/>
    <x v="0"/>
    <s v="AVENIDA CUBA"/>
  </r>
  <r>
    <x v="17"/>
    <x v="104"/>
    <x v="2"/>
    <x v="19"/>
    <x v="56"/>
    <x v="743"/>
    <x v="0"/>
    <s v="AVENIDA CUBA"/>
  </r>
  <r>
    <x v="17"/>
    <x v="105"/>
    <x v="2"/>
    <x v="19"/>
    <x v="56"/>
    <x v="787"/>
    <x v="0"/>
    <s v="AVENIDA CUBA"/>
  </r>
  <r>
    <x v="18"/>
    <x v="106"/>
    <x v="2"/>
    <x v="19"/>
    <x v="57"/>
    <x v="788"/>
    <x v="0"/>
    <s v="CHITRE"/>
  </r>
  <r>
    <x v="18"/>
    <x v="107"/>
    <x v="2"/>
    <x v="19"/>
    <x v="57"/>
    <x v="789"/>
    <x v="0"/>
    <s v="CHITRE"/>
  </r>
  <r>
    <x v="18"/>
    <x v="108"/>
    <x v="2"/>
    <x v="19"/>
    <x v="57"/>
    <x v="788"/>
    <x v="0"/>
    <s v="CHITRE"/>
  </r>
  <r>
    <x v="18"/>
    <x v="109"/>
    <x v="2"/>
    <x v="20"/>
    <x v="58"/>
    <x v="790"/>
    <x v="0"/>
    <s v="CHITRE"/>
  </r>
  <r>
    <x v="18"/>
    <x v="64"/>
    <x v="2"/>
    <x v="19"/>
    <x v="57"/>
    <x v="788"/>
    <x v="0"/>
    <s v="CHITRE"/>
  </r>
  <r>
    <x v="18"/>
    <x v="110"/>
    <x v="2"/>
    <x v="19"/>
    <x v="57"/>
    <x v="791"/>
    <x v="0"/>
    <s v="CHITRE"/>
  </r>
  <r>
    <x v="18"/>
    <x v="84"/>
    <x v="1"/>
    <x v="20"/>
    <x v="49"/>
    <x v="792"/>
    <x v="0"/>
    <s v="CHITRE"/>
  </r>
  <r>
    <x v="19"/>
    <x v="35"/>
    <x v="2"/>
    <x v="19"/>
    <x v="59"/>
    <x v="264"/>
    <x v="0"/>
    <s v="LOS PUEBLOS"/>
  </r>
  <r>
    <x v="19"/>
    <x v="108"/>
    <x v="2"/>
    <x v="19"/>
    <x v="59"/>
    <x v="793"/>
    <x v="0"/>
    <s v="LOS PUEBLOS"/>
  </r>
  <r>
    <x v="19"/>
    <x v="21"/>
    <x v="2"/>
    <x v="19"/>
    <x v="59"/>
    <x v="794"/>
    <x v="0"/>
    <s v="LOS PUEBLOS"/>
  </r>
  <r>
    <x v="19"/>
    <x v="76"/>
    <x v="2"/>
    <x v="19"/>
    <x v="59"/>
    <x v="794"/>
    <x v="0"/>
    <s v="LOS PUEBLOS"/>
  </r>
  <r>
    <x v="19"/>
    <x v="91"/>
    <x v="2"/>
    <x v="19"/>
    <x v="59"/>
    <x v="793"/>
    <x v="0"/>
    <s v="LOS PUEBLOS"/>
  </r>
  <r>
    <x v="19"/>
    <x v="92"/>
    <x v="2"/>
    <x v="19"/>
    <x v="59"/>
    <x v="794"/>
    <x v="0"/>
    <s v="LOS PUEBLOS"/>
  </r>
  <r>
    <x v="19"/>
    <x v="111"/>
    <x v="2"/>
    <x v="19"/>
    <x v="59"/>
    <x v="737"/>
    <x v="0"/>
    <s v="LOS PUEBLOS"/>
  </r>
  <r>
    <x v="19"/>
    <x v="112"/>
    <x v="2"/>
    <x v="19"/>
    <x v="59"/>
    <x v="794"/>
    <x v="0"/>
    <s v="LOS PUEBLOS"/>
  </r>
  <r>
    <x v="19"/>
    <x v="113"/>
    <x v="2"/>
    <x v="19"/>
    <x v="59"/>
    <x v="762"/>
    <x v="0"/>
    <s v="LOS PUEBLOS"/>
  </r>
  <r>
    <x v="19"/>
    <x v="99"/>
    <x v="2"/>
    <x v="19"/>
    <x v="59"/>
    <x v="781"/>
    <x v="0"/>
    <s v="LOS PUEBLOS"/>
  </r>
  <r>
    <x v="19"/>
    <x v="86"/>
    <x v="2"/>
    <x v="19"/>
    <x v="59"/>
    <x v="781"/>
    <x v="0"/>
    <s v="LOS PUEBLOS"/>
  </r>
  <r>
    <x v="19"/>
    <x v="114"/>
    <x v="2"/>
    <x v="19"/>
    <x v="59"/>
    <x v="762"/>
    <x v="0"/>
    <s v="LOS PUEBLOS"/>
  </r>
  <r>
    <x v="20"/>
    <x v="24"/>
    <x v="2"/>
    <x v="19"/>
    <x v="60"/>
    <x v="744"/>
    <x v="0"/>
    <s v="TRANSISTMICA"/>
  </r>
  <r>
    <x v="20"/>
    <x v="27"/>
    <x v="2"/>
    <x v="19"/>
    <x v="60"/>
    <x v="747"/>
    <x v="0"/>
    <s v="TRANSISTMICA"/>
  </r>
  <r>
    <x v="20"/>
    <x v="19"/>
    <x v="2"/>
    <x v="19"/>
    <x v="60"/>
    <x v="744"/>
    <x v="0"/>
    <s v="TRANSISTMICA"/>
  </r>
  <r>
    <x v="66"/>
    <x v="14"/>
    <x v="2"/>
    <x v="21"/>
    <x v="61"/>
    <x v="795"/>
    <x v="0"/>
    <s v="ZONA LIBRE"/>
  </r>
  <r>
    <x v="66"/>
    <x v="59"/>
    <x v="2"/>
    <x v="20"/>
    <x v="31"/>
    <x v="796"/>
    <x v="0"/>
    <s v="ZONA LIBRE"/>
  </r>
  <r>
    <x v="66"/>
    <x v="115"/>
    <x v="2"/>
    <x v="20"/>
    <x v="62"/>
    <x v="797"/>
    <x v="0"/>
    <s v="ZONA LIBRE"/>
  </r>
  <r>
    <x v="66"/>
    <x v="28"/>
    <x v="2"/>
    <x v="20"/>
    <x v="63"/>
    <x v="798"/>
    <x v="0"/>
    <s v="ZONA LIBRE"/>
  </r>
  <r>
    <x v="66"/>
    <x v="75"/>
    <x v="2"/>
    <x v="20"/>
    <x v="39"/>
    <x v="799"/>
    <x v="0"/>
    <s v="ZONA LIBRE"/>
  </r>
  <r>
    <x v="66"/>
    <x v="58"/>
    <x v="2"/>
    <x v="20"/>
    <x v="29"/>
    <x v="800"/>
    <x v="0"/>
    <s v="ZONA LIBRE"/>
  </r>
  <r>
    <x v="66"/>
    <x v="75"/>
    <x v="0"/>
    <x v="20"/>
    <x v="39"/>
    <x v="799"/>
    <x v="0"/>
    <s v="ZONA LIBRE"/>
  </r>
  <r>
    <x v="66"/>
    <x v="75"/>
    <x v="1"/>
    <x v="20"/>
    <x v="39"/>
    <x v="801"/>
    <x v="0"/>
    <s v="ZONA LIBRE"/>
  </r>
  <r>
    <x v="21"/>
    <x v="74"/>
    <x v="2"/>
    <x v="19"/>
    <x v="64"/>
    <x v="782"/>
    <x v="0"/>
    <s v="PLAZA GALAPAGO"/>
  </r>
  <r>
    <x v="21"/>
    <x v="116"/>
    <x v="2"/>
    <x v="19"/>
    <x v="64"/>
    <x v="745"/>
    <x v="0"/>
    <s v="PLAZA GALAPAGO"/>
  </r>
  <r>
    <x v="21"/>
    <x v="46"/>
    <x v="2"/>
    <x v="19"/>
    <x v="64"/>
    <x v="802"/>
    <x v="0"/>
    <s v="PLAZA GALAPAGO"/>
  </r>
  <r>
    <x v="22"/>
    <x v="117"/>
    <x v="2"/>
    <x v="19"/>
    <x v="65"/>
    <x v="803"/>
    <x v="0"/>
    <s v="PARQUE LEFEVRE"/>
  </r>
  <r>
    <x v="22"/>
    <x v="21"/>
    <x v="2"/>
    <x v="19"/>
    <x v="65"/>
    <x v="747"/>
    <x v="0"/>
    <s v="PARQUE LEFEVRE"/>
  </r>
  <r>
    <x v="22"/>
    <x v="55"/>
    <x v="2"/>
    <x v="19"/>
    <x v="65"/>
    <x v="747"/>
    <x v="0"/>
    <s v="PARQUE LEFEVRE"/>
  </r>
  <r>
    <x v="22"/>
    <x v="13"/>
    <x v="2"/>
    <x v="19"/>
    <x v="65"/>
    <x v="747"/>
    <x v="0"/>
    <s v="PARQUE LEFEVRE"/>
  </r>
  <r>
    <x v="23"/>
    <x v="34"/>
    <x v="2"/>
    <x v="21"/>
    <x v="66"/>
    <x v="804"/>
    <x v="0"/>
    <s v="DAVID"/>
  </r>
  <r>
    <x v="23"/>
    <x v="21"/>
    <x v="2"/>
    <x v="21"/>
    <x v="67"/>
    <x v="805"/>
    <x v="0"/>
    <s v="DAVID"/>
  </r>
  <r>
    <x v="23"/>
    <x v="118"/>
    <x v="2"/>
    <x v="21"/>
    <x v="68"/>
    <x v="776"/>
    <x v="0"/>
    <s v="DAVID"/>
  </r>
  <r>
    <x v="23"/>
    <x v="74"/>
    <x v="2"/>
    <x v="21"/>
    <x v="37"/>
    <x v="806"/>
    <x v="0"/>
    <s v="DAVID"/>
  </r>
  <r>
    <x v="23"/>
    <x v="119"/>
    <x v="2"/>
    <x v="20"/>
    <x v="69"/>
    <x v="807"/>
    <x v="0"/>
    <s v="DAVID"/>
  </r>
  <r>
    <x v="23"/>
    <x v="120"/>
    <x v="2"/>
    <x v="20"/>
    <x v="70"/>
    <x v="808"/>
    <x v="0"/>
    <s v="DAVID"/>
  </r>
  <r>
    <x v="23"/>
    <x v="77"/>
    <x v="2"/>
    <x v="20"/>
    <x v="71"/>
    <x v="809"/>
    <x v="0"/>
    <s v="DAVID"/>
  </r>
  <r>
    <x v="23"/>
    <x v="31"/>
    <x v="2"/>
    <x v="20"/>
    <x v="72"/>
    <x v="810"/>
    <x v="0"/>
    <s v="DAVID"/>
  </r>
  <r>
    <x v="23"/>
    <x v="43"/>
    <x v="2"/>
    <x v="20"/>
    <x v="73"/>
    <x v="810"/>
    <x v="0"/>
    <s v="DAVID"/>
  </r>
  <r>
    <x v="23"/>
    <x v="104"/>
    <x v="2"/>
    <x v="22"/>
    <x v="74"/>
    <x v="811"/>
    <x v="1"/>
    <s v="DAVID"/>
  </r>
  <r>
    <x v="23"/>
    <x v="75"/>
    <x v="0"/>
    <x v="20"/>
    <x v="39"/>
    <x v="812"/>
    <x v="0"/>
    <s v="DAVID"/>
  </r>
  <r>
    <x v="23"/>
    <x v="119"/>
    <x v="1"/>
    <x v="20"/>
    <x v="69"/>
    <x v="813"/>
    <x v="0"/>
    <s v="DAVID"/>
  </r>
  <r>
    <x v="24"/>
    <x v="80"/>
    <x v="2"/>
    <x v="19"/>
    <x v="75"/>
    <x v="814"/>
    <x v="0"/>
    <s v="PLAZA LAS AMERICAS"/>
  </r>
  <r>
    <x v="24"/>
    <x v="101"/>
    <x v="2"/>
    <x v="19"/>
    <x v="75"/>
    <x v="815"/>
    <x v="0"/>
    <s v="PLAZA LAS AMERICAS"/>
  </r>
  <r>
    <x v="24"/>
    <x v="102"/>
    <x v="2"/>
    <x v="19"/>
    <x v="75"/>
    <x v="771"/>
    <x v="0"/>
    <s v="PLAZA LAS AMERICAS"/>
  </r>
  <r>
    <x v="25"/>
    <x v="90"/>
    <x v="2"/>
    <x v="19"/>
    <x v="76"/>
    <x v="772"/>
    <x v="0"/>
    <s v="CORONADO"/>
  </r>
  <r>
    <x v="25"/>
    <x v="74"/>
    <x v="2"/>
    <x v="19"/>
    <x v="76"/>
    <x v="816"/>
    <x v="0"/>
    <s v="CORONADO"/>
  </r>
  <r>
    <x v="25"/>
    <x v="121"/>
    <x v="2"/>
    <x v="19"/>
    <x v="76"/>
    <x v="816"/>
    <x v="0"/>
    <s v="CORONADO"/>
  </r>
  <r>
    <x v="25"/>
    <x v="122"/>
    <x v="2"/>
    <x v="19"/>
    <x v="76"/>
    <x v="816"/>
    <x v="0"/>
    <s v="CORONADO"/>
  </r>
  <r>
    <x v="25"/>
    <x v="91"/>
    <x v="2"/>
    <x v="19"/>
    <x v="76"/>
    <x v="816"/>
    <x v="0"/>
    <s v="CORONADO"/>
  </r>
  <r>
    <x v="25"/>
    <x v="48"/>
    <x v="2"/>
    <x v="20"/>
    <x v="77"/>
    <x v="817"/>
    <x v="0"/>
    <s v="CORONADO"/>
  </r>
  <r>
    <x v="25"/>
    <x v="84"/>
    <x v="2"/>
    <x v="19"/>
    <x v="76"/>
    <x v="816"/>
    <x v="0"/>
    <s v="CORONADO"/>
  </r>
  <r>
    <x v="25"/>
    <x v="77"/>
    <x v="2"/>
    <x v="19"/>
    <x v="76"/>
    <x v="816"/>
    <x v="0"/>
    <s v="CORONADO"/>
  </r>
  <r>
    <x v="25"/>
    <x v="73"/>
    <x v="2"/>
    <x v="19"/>
    <x v="76"/>
    <x v="816"/>
    <x v="0"/>
    <s v="CORONADO"/>
  </r>
  <r>
    <x v="25"/>
    <x v="116"/>
    <x v="2"/>
    <x v="19"/>
    <x v="76"/>
    <x v="816"/>
    <x v="0"/>
    <s v="CORONADO"/>
  </r>
  <r>
    <x v="25"/>
    <x v="49"/>
    <x v="2"/>
    <x v="20"/>
    <x v="78"/>
    <x v="818"/>
    <x v="0"/>
    <s v="CORONADO"/>
  </r>
  <r>
    <x v="25"/>
    <x v="30"/>
    <x v="2"/>
    <x v="19"/>
    <x v="76"/>
    <x v="816"/>
    <x v="0"/>
    <s v="CORONADO"/>
  </r>
  <r>
    <x v="25"/>
    <x v="42"/>
    <x v="2"/>
    <x v="19"/>
    <x v="76"/>
    <x v="816"/>
    <x v="0"/>
    <s v="CORONADO"/>
  </r>
  <r>
    <x v="25"/>
    <x v="104"/>
    <x v="2"/>
    <x v="19"/>
    <x v="76"/>
    <x v="772"/>
    <x v="0"/>
    <s v="CORONADO"/>
  </r>
  <r>
    <x v="25"/>
    <x v="123"/>
    <x v="2"/>
    <x v="19"/>
    <x v="76"/>
    <x v="772"/>
    <x v="0"/>
    <s v="CORONADO"/>
  </r>
  <r>
    <x v="25"/>
    <x v="124"/>
    <x v="2"/>
    <x v="20"/>
    <x v="79"/>
    <x v="816"/>
    <x v="0"/>
    <s v="CORONADO"/>
  </r>
  <r>
    <x v="25"/>
    <x v="105"/>
    <x v="2"/>
    <x v="19"/>
    <x v="76"/>
    <x v="819"/>
    <x v="0"/>
    <s v="CORONADO"/>
  </r>
  <r>
    <x v="25"/>
    <x v="93"/>
    <x v="2"/>
    <x v="20"/>
    <x v="80"/>
    <x v="820"/>
    <x v="0"/>
    <s v="CORONADO"/>
  </r>
  <r>
    <x v="25"/>
    <x v="125"/>
    <x v="2"/>
    <x v="20"/>
    <x v="81"/>
    <x v="816"/>
    <x v="0"/>
    <s v="CORONADO"/>
  </r>
  <r>
    <x v="25"/>
    <x v="33"/>
    <x v="2"/>
    <x v="19"/>
    <x v="76"/>
    <x v="816"/>
    <x v="0"/>
    <s v="CORONADO"/>
  </r>
  <r>
    <x v="25"/>
    <x v="126"/>
    <x v="2"/>
    <x v="20"/>
    <x v="82"/>
    <x v="817"/>
    <x v="0"/>
    <s v="CORONADO"/>
  </r>
  <r>
    <x v="25"/>
    <x v="127"/>
    <x v="0"/>
    <x v="20"/>
    <x v="83"/>
    <x v="821"/>
    <x v="0"/>
    <s v="CORONADO"/>
  </r>
  <r>
    <x v="25"/>
    <x v="128"/>
    <x v="0"/>
    <x v="20"/>
    <x v="84"/>
    <x v="821"/>
    <x v="0"/>
    <s v="CORONADO"/>
  </r>
  <r>
    <x v="25"/>
    <x v="129"/>
    <x v="0"/>
    <x v="20"/>
    <x v="85"/>
    <x v="822"/>
    <x v="0"/>
    <s v="CORONADO"/>
  </r>
  <r>
    <x v="25"/>
    <x v="109"/>
    <x v="0"/>
    <x v="20"/>
    <x v="58"/>
    <x v="823"/>
    <x v="0"/>
    <s v="CORONADO"/>
  </r>
  <r>
    <x v="25"/>
    <x v="93"/>
    <x v="0"/>
    <x v="20"/>
    <x v="80"/>
    <x v="822"/>
    <x v="0"/>
    <s v="CORONADO"/>
  </r>
  <r>
    <x v="25"/>
    <x v="33"/>
    <x v="0"/>
    <x v="20"/>
    <x v="86"/>
    <x v="822"/>
    <x v="0"/>
    <s v="CORONADO"/>
  </r>
  <r>
    <x v="25"/>
    <x v="20"/>
    <x v="0"/>
    <x v="20"/>
    <x v="87"/>
    <x v="824"/>
    <x v="0"/>
    <s v="CORONADO"/>
  </r>
  <r>
    <x v="25"/>
    <x v="41"/>
    <x v="1"/>
    <x v="20"/>
    <x v="88"/>
    <x v="825"/>
    <x v="0"/>
    <s v="CORONADO"/>
  </r>
  <r>
    <x v="26"/>
    <x v="81"/>
    <x v="2"/>
    <x v="19"/>
    <x v="89"/>
    <x v="737"/>
    <x v="0"/>
    <s v="ALBROOK MALL"/>
  </r>
  <r>
    <x v="26"/>
    <x v="90"/>
    <x v="2"/>
    <x v="21"/>
    <x v="90"/>
    <x v="777"/>
    <x v="0"/>
    <s v="ALBROOK MALL"/>
  </r>
  <r>
    <x v="26"/>
    <x v="15"/>
    <x v="2"/>
    <x v="20"/>
    <x v="91"/>
    <x v="777"/>
    <x v="0"/>
    <s v="ALBROOK MALL"/>
  </r>
  <r>
    <x v="27"/>
    <x v="36"/>
    <x v="2"/>
    <x v="19"/>
    <x v="92"/>
    <x v="398"/>
    <x v="0"/>
    <s v="PANAMA PACIFICO"/>
  </r>
  <r>
    <x v="27"/>
    <x v="5"/>
    <x v="2"/>
    <x v="19"/>
    <x v="92"/>
    <x v="826"/>
    <x v="0"/>
    <s v="PANAMA PACIFICO"/>
  </r>
  <r>
    <x v="27"/>
    <x v="6"/>
    <x v="2"/>
    <x v="19"/>
    <x v="92"/>
    <x v="827"/>
    <x v="0"/>
    <s v="PANAMA PACIFICO"/>
  </r>
  <r>
    <x v="27"/>
    <x v="52"/>
    <x v="2"/>
    <x v="19"/>
    <x v="92"/>
    <x v="828"/>
    <x v="0"/>
    <s v="PANAMA PACIFICO"/>
  </r>
  <r>
    <x v="27"/>
    <x v="93"/>
    <x v="2"/>
    <x v="19"/>
    <x v="92"/>
    <x v="826"/>
    <x v="0"/>
    <s v="PANAMA PACIFICO"/>
  </r>
  <r>
    <x v="67"/>
    <x v="119"/>
    <x v="2"/>
    <x v="19"/>
    <x v="93"/>
    <x v="736"/>
    <x v="0"/>
    <s v="PENONOME"/>
  </r>
  <r>
    <x v="67"/>
    <x v="128"/>
    <x v="2"/>
    <x v="20"/>
    <x v="84"/>
    <x v="829"/>
    <x v="0"/>
    <s v="PENONOME"/>
  </r>
  <r>
    <x v="67"/>
    <x v="44"/>
    <x v="2"/>
    <x v="22"/>
    <x v="94"/>
    <x v="811"/>
    <x v="2"/>
    <s v="PENONOME"/>
  </r>
  <r>
    <x v="67"/>
    <x v="99"/>
    <x v="2"/>
    <x v="19"/>
    <x v="93"/>
    <x v="830"/>
    <x v="0"/>
    <s v="PENONOME"/>
  </r>
  <r>
    <x v="67"/>
    <x v="46"/>
    <x v="2"/>
    <x v="19"/>
    <x v="93"/>
    <x v="831"/>
    <x v="0"/>
    <s v="PENONOME"/>
  </r>
  <r>
    <x v="67"/>
    <x v="46"/>
    <x v="2"/>
    <x v="20"/>
    <x v="95"/>
    <x v="832"/>
    <x v="0"/>
    <s v="PENONOME"/>
  </r>
  <r>
    <x v="67"/>
    <x v="20"/>
    <x v="2"/>
    <x v="20"/>
    <x v="87"/>
    <x v="829"/>
    <x v="0"/>
    <s v="PENONOME"/>
  </r>
  <r>
    <x v="67"/>
    <x v="127"/>
    <x v="0"/>
    <x v="20"/>
    <x v="83"/>
    <x v="829"/>
    <x v="0"/>
    <s v="PENONOME"/>
  </r>
  <r>
    <x v="67"/>
    <x v="129"/>
    <x v="0"/>
    <x v="20"/>
    <x v="85"/>
    <x v="833"/>
    <x v="0"/>
    <s v="PENONOME"/>
  </r>
  <r>
    <x v="67"/>
    <x v="109"/>
    <x v="0"/>
    <x v="20"/>
    <x v="58"/>
    <x v="834"/>
    <x v="0"/>
    <s v="PENONOME"/>
  </r>
  <r>
    <x v="67"/>
    <x v="46"/>
    <x v="1"/>
    <x v="20"/>
    <x v="95"/>
    <x v="835"/>
    <x v="0"/>
    <s v="PENONOME"/>
  </r>
  <r>
    <x v="28"/>
    <x v="82"/>
    <x v="2"/>
    <x v="19"/>
    <x v="96"/>
    <x v="836"/>
    <x v="0"/>
    <s v="ALBROOK"/>
  </r>
  <r>
    <x v="28"/>
    <x v="74"/>
    <x v="2"/>
    <x v="21"/>
    <x v="37"/>
    <x v="777"/>
    <x v="0"/>
    <s v="ALBROOK"/>
  </r>
  <r>
    <x v="28"/>
    <x v="37"/>
    <x v="2"/>
    <x v="19"/>
    <x v="96"/>
    <x v="607"/>
    <x v="0"/>
    <s v="ALBROOK"/>
  </r>
  <r>
    <x v="28"/>
    <x v="130"/>
    <x v="2"/>
    <x v="19"/>
    <x v="96"/>
    <x v="837"/>
    <x v="0"/>
    <s v="ALBROOK"/>
  </r>
  <r>
    <x v="28"/>
    <x v="84"/>
    <x v="2"/>
    <x v="19"/>
    <x v="96"/>
    <x v="836"/>
    <x v="0"/>
    <s v="ALBROOK"/>
  </r>
  <r>
    <x v="28"/>
    <x v="131"/>
    <x v="2"/>
    <x v="20"/>
    <x v="97"/>
    <x v="777"/>
    <x v="0"/>
    <s v="ALBROOK"/>
  </r>
  <r>
    <x v="28"/>
    <x v="102"/>
    <x v="2"/>
    <x v="19"/>
    <x v="96"/>
    <x v="838"/>
    <x v="0"/>
    <s v="ALBROOK"/>
  </r>
  <r>
    <x v="28"/>
    <x v="106"/>
    <x v="0"/>
    <x v="21"/>
    <x v="98"/>
    <x v="839"/>
    <x v="0"/>
    <s v="ALBROOK"/>
  </r>
  <r>
    <x v="28"/>
    <x v="80"/>
    <x v="0"/>
    <x v="21"/>
    <x v="46"/>
    <x v="764"/>
    <x v="0"/>
    <s v="ALBROOK"/>
  </r>
  <r>
    <x v="28"/>
    <x v="83"/>
    <x v="0"/>
    <x v="21"/>
    <x v="99"/>
    <x v="839"/>
    <x v="0"/>
    <s v="ALBROOK"/>
  </r>
  <r>
    <x v="28"/>
    <x v="132"/>
    <x v="0"/>
    <x v="21"/>
    <x v="100"/>
    <x v="839"/>
    <x v="0"/>
    <s v="ALBROOK"/>
  </r>
  <r>
    <x v="28"/>
    <x v="16"/>
    <x v="0"/>
    <x v="20"/>
    <x v="101"/>
    <x v="840"/>
    <x v="0"/>
    <s v="ALBROOK"/>
  </r>
  <r>
    <x v="28"/>
    <x v="133"/>
    <x v="0"/>
    <x v="20"/>
    <x v="102"/>
    <x v="841"/>
    <x v="0"/>
    <s v="ALBROOK"/>
  </r>
  <r>
    <x v="28"/>
    <x v="12"/>
    <x v="0"/>
    <x v="20"/>
    <x v="103"/>
    <x v="842"/>
    <x v="0"/>
    <s v="ALBROOK"/>
  </r>
  <r>
    <x v="28"/>
    <x v="134"/>
    <x v="0"/>
    <x v="20"/>
    <x v="104"/>
    <x v="839"/>
    <x v="0"/>
    <s v="ALBROOK"/>
  </r>
  <r>
    <x v="28"/>
    <x v="58"/>
    <x v="0"/>
    <x v="20"/>
    <x v="29"/>
    <x v="749"/>
    <x v="0"/>
    <s v="ALBROOK"/>
  </r>
  <r>
    <x v="29"/>
    <x v="106"/>
    <x v="2"/>
    <x v="19"/>
    <x v="105"/>
    <x v="827"/>
    <x v="0"/>
    <s v="SUCURSAL DE VISTA ALEGRE"/>
  </r>
  <r>
    <x v="29"/>
    <x v="84"/>
    <x v="2"/>
    <x v="20"/>
    <x v="49"/>
    <x v="792"/>
    <x v="0"/>
    <s v="SUCURSAL DE VISTA ALEGRE"/>
  </r>
  <r>
    <x v="29"/>
    <x v="27"/>
    <x v="2"/>
    <x v="19"/>
    <x v="105"/>
    <x v="772"/>
    <x v="0"/>
    <s v="SUCURSAL DE VISTA ALEGRE"/>
  </r>
  <r>
    <x v="30"/>
    <x v="81"/>
    <x v="2"/>
    <x v="19"/>
    <x v="106"/>
    <x v="788"/>
    <x v="0"/>
    <s v="LAS TABLAS"/>
  </r>
  <r>
    <x v="30"/>
    <x v="80"/>
    <x v="2"/>
    <x v="19"/>
    <x v="106"/>
    <x v="843"/>
    <x v="0"/>
    <s v="LAS TABLAS"/>
  </r>
  <r>
    <x v="30"/>
    <x v="14"/>
    <x v="2"/>
    <x v="19"/>
    <x v="106"/>
    <x v="844"/>
    <x v="0"/>
    <s v="LAS TABLAS"/>
  </r>
  <r>
    <x v="30"/>
    <x v="135"/>
    <x v="2"/>
    <x v="19"/>
    <x v="106"/>
    <x v="788"/>
    <x v="0"/>
    <s v="LAS TABLAS"/>
  </r>
  <r>
    <x v="30"/>
    <x v="122"/>
    <x v="2"/>
    <x v="19"/>
    <x v="106"/>
    <x v="788"/>
    <x v="0"/>
    <s v="LAS TABLAS"/>
  </r>
  <r>
    <x v="30"/>
    <x v="60"/>
    <x v="2"/>
    <x v="19"/>
    <x v="106"/>
    <x v="788"/>
    <x v="0"/>
    <s v="LAS TABLAS"/>
  </r>
  <r>
    <x v="30"/>
    <x v="129"/>
    <x v="2"/>
    <x v="20"/>
    <x v="85"/>
    <x v="845"/>
    <x v="0"/>
    <s v="LAS TABLAS"/>
  </r>
  <r>
    <x v="30"/>
    <x v="136"/>
    <x v="2"/>
    <x v="19"/>
    <x v="106"/>
    <x v="788"/>
    <x v="0"/>
    <s v="LAS TABLAS"/>
  </r>
  <r>
    <x v="30"/>
    <x v="45"/>
    <x v="2"/>
    <x v="20"/>
    <x v="107"/>
    <x v="846"/>
    <x v="0"/>
    <s v="LAS TABLAS"/>
  </r>
  <r>
    <x v="30"/>
    <x v="109"/>
    <x v="2"/>
    <x v="20"/>
    <x v="58"/>
    <x v="847"/>
    <x v="0"/>
    <s v="LAS TABLAS"/>
  </r>
  <r>
    <x v="30"/>
    <x v="75"/>
    <x v="2"/>
    <x v="20"/>
    <x v="39"/>
    <x v="848"/>
    <x v="0"/>
    <s v="LAS TABLAS"/>
  </r>
  <r>
    <x v="30"/>
    <x v="134"/>
    <x v="2"/>
    <x v="22"/>
    <x v="104"/>
    <x v="811"/>
    <x v="3"/>
    <s v="LAS TABLAS"/>
  </r>
  <r>
    <x v="30"/>
    <x v="32"/>
    <x v="2"/>
    <x v="19"/>
    <x v="106"/>
    <x v="788"/>
    <x v="0"/>
    <s v="LAS TABLAS"/>
  </r>
  <r>
    <x v="30"/>
    <x v="19"/>
    <x v="2"/>
    <x v="19"/>
    <x v="106"/>
    <x v="843"/>
    <x v="0"/>
    <s v="LAS TABLAS"/>
  </r>
  <r>
    <x v="30"/>
    <x v="20"/>
    <x v="2"/>
    <x v="20"/>
    <x v="87"/>
    <x v="849"/>
    <x v="0"/>
    <s v="LAS TABLAS"/>
  </r>
  <r>
    <x v="30"/>
    <x v="137"/>
    <x v="0"/>
    <x v="21"/>
    <x v="108"/>
    <x v="850"/>
    <x v="0"/>
    <s v="LAS TABLAS"/>
  </r>
  <r>
    <x v="30"/>
    <x v="138"/>
    <x v="0"/>
    <x v="21"/>
    <x v="109"/>
    <x v="851"/>
    <x v="0"/>
    <s v="LAS TABLAS"/>
  </r>
  <r>
    <x v="30"/>
    <x v="139"/>
    <x v="0"/>
    <x v="20"/>
    <x v="110"/>
    <x v="852"/>
    <x v="0"/>
    <s v="LAS TABLAS"/>
  </r>
  <r>
    <x v="30"/>
    <x v="127"/>
    <x v="0"/>
    <x v="20"/>
    <x v="83"/>
    <x v="849"/>
    <x v="0"/>
    <s v="LAS TABLAS"/>
  </r>
  <r>
    <x v="30"/>
    <x v="93"/>
    <x v="0"/>
    <x v="20"/>
    <x v="80"/>
    <x v="849"/>
    <x v="0"/>
    <s v="LAS TABLAS"/>
  </r>
  <r>
    <x v="30"/>
    <x v="33"/>
    <x v="0"/>
    <x v="20"/>
    <x v="86"/>
    <x v="849"/>
    <x v="0"/>
    <s v="LAS TABLAS"/>
  </r>
  <r>
    <x v="30"/>
    <x v="135"/>
    <x v="1"/>
    <x v="21"/>
    <x v="111"/>
    <x v="556"/>
    <x v="0"/>
    <s v="LAS TABLAS"/>
  </r>
  <r>
    <x v="30"/>
    <x v="122"/>
    <x v="1"/>
    <x v="21"/>
    <x v="112"/>
    <x v="853"/>
    <x v="0"/>
    <s v="LAS TABLAS"/>
  </r>
  <r>
    <x v="30"/>
    <x v="84"/>
    <x v="1"/>
    <x v="20"/>
    <x v="49"/>
    <x v="833"/>
    <x v="0"/>
    <s v="LAS TABLAS"/>
  </r>
  <r>
    <x v="30"/>
    <x v="27"/>
    <x v="1"/>
    <x v="20"/>
    <x v="113"/>
    <x v="854"/>
    <x v="0"/>
    <s v="LAS TABLAS"/>
  </r>
  <r>
    <x v="30"/>
    <x v="97"/>
    <x v="1"/>
    <x v="20"/>
    <x v="114"/>
    <x v="849"/>
    <x v="0"/>
    <s v="LAS TABLAS"/>
  </r>
  <r>
    <x v="30"/>
    <x v="128"/>
    <x v="1"/>
    <x v="20"/>
    <x v="84"/>
    <x v="849"/>
    <x v="0"/>
    <s v="LAS TABLAS"/>
  </r>
  <r>
    <x v="30"/>
    <x v="129"/>
    <x v="1"/>
    <x v="20"/>
    <x v="85"/>
    <x v="855"/>
    <x v="0"/>
    <s v="LAS TABLAS"/>
  </r>
  <r>
    <x v="31"/>
    <x v="97"/>
    <x v="2"/>
    <x v="19"/>
    <x v="115"/>
    <x v="545"/>
    <x v="0"/>
    <s v="24 DE DICIEMBRE"/>
  </r>
  <r>
    <x v="31"/>
    <x v="28"/>
    <x v="2"/>
    <x v="19"/>
    <x v="115"/>
    <x v="771"/>
    <x v="0"/>
    <s v="24 DE DICIEMBRE"/>
  </r>
  <r>
    <x v="31"/>
    <x v="140"/>
    <x v="2"/>
    <x v="19"/>
    <x v="115"/>
    <x v="771"/>
    <x v="0"/>
    <s v="24 DE DICIEMBRE"/>
  </r>
  <r>
    <x v="31"/>
    <x v="3"/>
    <x v="2"/>
    <x v="19"/>
    <x v="115"/>
    <x v="771"/>
    <x v="0"/>
    <s v="24 DE DICIEMBRE"/>
  </r>
  <r>
    <x v="32"/>
    <x v="141"/>
    <x v="2"/>
    <x v="19"/>
    <x v="116"/>
    <x v="856"/>
    <x v="0"/>
    <s v="DAVID - TERRONAL"/>
  </r>
  <r>
    <x v="32"/>
    <x v="142"/>
    <x v="2"/>
    <x v="20"/>
    <x v="117"/>
    <x v="398"/>
    <x v="0"/>
    <s v="DAVID - TERRONAL"/>
  </r>
  <r>
    <x v="32"/>
    <x v="19"/>
    <x v="2"/>
    <x v="22"/>
    <x v="118"/>
    <x v="811"/>
    <x v="4"/>
    <s v="DAVID - TERRONAL"/>
  </r>
  <r>
    <x v="33"/>
    <x v="38"/>
    <x v="2"/>
    <x v="19"/>
    <x v="119"/>
    <x v="736"/>
    <x v="0"/>
    <s v="COSTA DEL ESTE"/>
  </r>
  <r>
    <x v="33"/>
    <x v="24"/>
    <x v="2"/>
    <x v="19"/>
    <x v="119"/>
    <x v="758"/>
    <x v="0"/>
    <s v="COSTA DEL ESTE"/>
  </r>
  <r>
    <x v="33"/>
    <x v="122"/>
    <x v="2"/>
    <x v="19"/>
    <x v="119"/>
    <x v="758"/>
    <x v="0"/>
    <s v="COSTA DEL ESTE"/>
  </r>
  <r>
    <x v="33"/>
    <x v="9"/>
    <x v="2"/>
    <x v="19"/>
    <x v="119"/>
    <x v="742"/>
    <x v="0"/>
    <s v="COSTA DEL ESTE"/>
  </r>
  <r>
    <x v="33"/>
    <x v="29"/>
    <x v="2"/>
    <x v="19"/>
    <x v="119"/>
    <x v="787"/>
    <x v="0"/>
    <s v="COSTA DEL ESTE"/>
  </r>
  <r>
    <x v="33"/>
    <x v="44"/>
    <x v="2"/>
    <x v="19"/>
    <x v="119"/>
    <x v="758"/>
    <x v="0"/>
    <s v="COSTA DEL ESTE"/>
  </r>
  <r>
    <x v="33"/>
    <x v="143"/>
    <x v="2"/>
    <x v="19"/>
    <x v="119"/>
    <x v="749"/>
    <x v="0"/>
    <s v="COSTA DEL ESTE"/>
  </r>
  <r>
    <x v="33"/>
    <x v="58"/>
    <x v="2"/>
    <x v="19"/>
    <x v="119"/>
    <x v="758"/>
    <x v="0"/>
    <s v="COSTA DEL ESTE"/>
  </r>
  <r>
    <x v="34"/>
    <x v="36"/>
    <x v="2"/>
    <x v="19"/>
    <x v="120"/>
    <x v="744"/>
    <x v="0"/>
    <s v="MULTI PLAZA"/>
  </r>
  <r>
    <x v="34"/>
    <x v="55"/>
    <x v="2"/>
    <x v="19"/>
    <x v="120"/>
    <x v="744"/>
    <x v="0"/>
    <s v="MULTI PLAZA"/>
  </r>
  <r>
    <x v="34"/>
    <x v="144"/>
    <x v="2"/>
    <x v="19"/>
    <x v="120"/>
    <x v="736"/>
    <x v="0"/>
    <s v="MULTI PLAZA"/>
  </r>
  <r>
    <x v="35"/>
    <x v="73"/>
    <x v="2"/>
    <x v="19"/>
    <x v="121"/>
    <x v="747"/>
    <x v="0"/>
    <s v="HOSPITAL PUNTA PACIFICA"/>
  </r>
  <r>
    <x v="36"/>
    <x v="90"/>
    <x v="2"/>
    <x v="21"/>
    <x v="90"/>
    <x v="777"/>
    <x v="0"/>
    <s v="TERMINAL DE ALBROOK"/>
  </r>
  <r>
    <x v="36"/>
    <x v="37"/>
    <x v="2"/>
    <x v="19"/>
    <x v="122"/>
    <x v="737"/>
    <x v="0"/>
    <s v="TERMINAL DE ALBROOK"/>
  </r>
  <r>
    <x v="36"/>
    <x v="62"/>
    <x v="2"/>
    <x v="20"/>
    <x v="123"/>
    <x v="777"/>
    <x v="0"/>
    <s v="TERMINAL DE ALBROOK"/>
  </r>
  <r>
    <x v="36"/>
    <x v="18"/>
    <x v="2"/>
    <x v="20"/>
    <x v="124"/>
    <x v="777"/>
    <x v="0"/>
    <s v="TERMINAL DE ALBROOK"/>
  </r>
  <r>
    <x v="36"/>
    <x v="6"/>
    <x v="2"/>
    <x v="20"/>
    <x v="125"/>
    <x v="777"/>
    <x v="0"/>
    <s v="TERMINAL DE ALBROOK"/>
  </r>
  <r>
    <x v="36"/>
    <x v="50"/>
    <x v="2"/>
    <x v="20"/>
    <x v="126"/>
    <x v="777"/>
    <x v="0"/>
    <s v="TERMINAL DE ALBROOK"/>
  </r>
  <r>
    <x v="36"/>
    <x v="145"/>
    <x v="2"/>
    <x v="20"/>
    <x v="127"/>
    <x v="777"/>
    <x v="0"/>
    <s v="TERMINAL DE ALBROOK"/>
  </r>
  <r>
    <x v="36"/>
    <x v="33"/>
    <x v="2"/>
    <x v="20"/>
    <x v="86"/>
    <x v="777"/>
    <x v="0"/>
    <s v="TERMINAL DE ALBROOK"/>
  </r>
  <r>
    <x v="36"/>
    <x v="58"/>
    <x v="2"/>
    <x v="20"/>
    <x v="29"/>
    <x v="777"/>
    <x v="0"/>
    <s v="TERMINAL DE ALBROOK"/>
  </r>
  <r>
    <x v="37"/>
    <x v="66"/>
    <x v="2"/>
    <x v="19"/>
    <x v="128"/>
    <x v="828"/>
    <x v="0"/>
    <s v="CONCEPCION"/>
  </r>
  <r>
    <x v="37"/>
    <x v="122"/>
    <x v="2"/>
    <x v="19"/>
    <x v="128"/>
    <x v="828"/>
    <x v="0"/>
    <s v="CONCEPCION"/>
  </r>
  <r>
    <x v="37"/>
    <x v="146"/>
    <x v="2"/>
    <x v="19"/>
    <x v="128"/>
    <x v="828"/>
    <x v="0"/>
    <s v="CONCEPCION"/>
  </r>
  <r>
    <x v="37"/>
    <x v="128"/>
    <x v="2"/>
    <x v="19"/>
    <x v="128"/>
    <x v="828"/>
    <x v="0"/>
    <s v="CONCEPCION"/>
  </r>
  <r>
    <x v="37"/>
    <x v="22"/>
    <x v="2"/>
    <x v="19"/>
    <x v="128"/>
    <x v="828"/>
    <x v="0"/>
    <s v="CONCEPCION"/>
  </r>
  <r>
    <x v="37"/>
    <x v="75"/>
    <x v="2"/>
    <x v="20"/>
    <x v="39"/>
    <x v="735"/>
    <x v="0"/>
    <s v="CONCEPCION"/>
  </r>
  <r>
    <x v="68"/>
    <x v="137"/>
    <x v="2"/>
    <x v="21"/>
    <x v="108"/>
    <x v="857"/>
    <x v="0"/>
    <s v="BOQUETE"/>
  </r>
  <r>
    <x v="68"/>
    <x v="87"/>
    <x v="2"/>
    <x v="22"/>
    <x v="129"/>
    <x v="811"/>
    <x v="5"/>
    <s v="BOQUETE"/>
  </r>
  <r>
    <x v="68"/>
    <x v="21"/>
    <x v="2"/>
    <x v="21"/>
    <x v="67"/>
    <x v="858"/>
    <x v="0"/>
    <s v="BOQUETE"/>
  </r>
  <r>
    <x v="68"/>
    <x v="21"/>
    <x v="2"/>
    <x v="22"/>
    <x v="67"/>
    <x v="811"/>
    <x v="6"/>
    <s v="BOQUETE"/>
  </r>
  <r>
    <x v="68"/>
    <x v="76"/>
    <x v="2"/>
    <x v="21"/>
    <x v="42"/>
    <x v="859"/>
    <x v="0"/>
    <s v="BOQUETE"/>
  </r>
  <r>
    <x v="68"/>
    <x v="147"/>
    <x v="2"/>
    <x v="19"/>
    <x v="130"/>
    <x v="860"/>
    <x v="0"/>
    <s v="BOQUETE"/>
  </r>
  <r>
    <x v="68"/>
    <x v="90"/>
    <x v="2"/>
    <x v="19"/>
    <x v="130"/>
    <x v="860"/>
    <x v="0"/>
    <s v="BOQUETE"/>
  </r>
  <r>
    <x v="68"/>
    <x v="148"/>
    <x v="2"/>
    <x v="21"/>
    <x v="131"/>
    <x v="858"/>
    <x v="0"/>
    <s v="BOQUETE"/>
  </r>
  <r>
    <x v="68"/>
    <x v="121"/>
    <x v="2"/>
    <x v="19"/>
    <x v="130"/>
    <x v="787"/>
    <x v="0"/>
    <s v="BOQUETE"/>
  </r>
  <r>
    <x v="68"/>
    <x v="119"/>
    <x v="2"/>
    <x v="19"/>
    <x v="130"/>
    <x v="843"/>
    <x v="0"/>
    <s v="BOQUETE"/>
  </r>
  <r>
    <x v="68"/>
    <x v="40"/>
    <x v="2"/>
    <x v="20"/>
    <x v="38"/>
    <x v="861"/>
    <x v="0"/>
    <s v="BOQUETE"/>
  </r>
  <r>
    <x v="68"/>
    <x v="9"/>
    <x v="2"/>
    <x v="19"/>
    <x v="130"/>
    <x v="862"/>
    <x v="0"/>
    <s v="BOQUETE"/>
  </r>
  <r>
    <x v="68"/>
    <x v="111"/>
    <x v="2"/>
    <x v="19"/>
    <x v="130"/>
    <x v="860"/>
    <x v="0"/>
    <s v="BOQUETE"/>
  </r>
  <r>
    <x v="68"/>
    <x v="16"/>
    <x v="2"/>
    <x v="19"/>
    <x v="130"/>
    <x v="860"/>
    <x v="0"/>
    <s v="BOQUETE"/>
  </r>
  <r>
    <x v="68"/>
    <x v="31"/>
    <x v="2"/>
    <x v="19"/>
    <x v="130"/>
    <x v="860"/>
    <x v="0"/>
    <s v="BOQUETE"/>
  </r>
  <r>
    <x v="68"/>
    <x v="75"/>
    <x v="2"/>
    <x v="19"/>
    <x v="130"/>
    <x v="860"/>
    <x v="0"/>
    <s v="BOQUETE"/>
  </r>
  <r>
    <x v="68"/>
    <x v="100"/>
    <x v="2"/>
    <x v="19"/>
    <x v="130"/>
    <x v="862"/>
    <x v="0"/>
    <s v="BOQUETE"/>
  </r>
  <r>
    <x v="68"/>
    <x v="137"/>
    <x v="0"/>
    <x v="21"/>
    <x v="108"/>
    <x v="857"/>
    <x v="0"/>
    <s v="BOQUETE"/>
  </r>
  <r>
    <x v="68"/>
    <x v="138"/>
    <x v="0"/>
    <x v="21"/>
    <x v="109"/>
    <x v="863"/>
    <x v="0"/>
    <s v="BOQUETE"/>
  </r>
  <r>
    <x v="68"/>
    <x v="135"/>
    <x v="1"/>
    <x v="21"/>
    <x v="111"/>
    <x v="864"/>
    <x v="0"/>
    <s v="BOQUETE"/>
  </r>
  <r>
    <x v="68"/>
    <x v="122"/>
    <x v="1"/>
    <x v="21"/>
    <x v="112"/>
    <x v="865"/>
    <x v="0"/>
    <s v="BOQUETE"/>
  </r>
  <r>
    <x v="38"/>
    <x v="82"/>
    <x v="2"/>
    <x v="21"/>
    <x v="48"/>
    <x v="866"/>
    <x v="0"/>
    <s v="BRISAS DEL GOLF"/>
  </r>
  <r>
    <x v="38"/>
    <x v="29"/>
    <x v="2"/>
    <x v="20"/>
    <x v="132"/>
    <x v="867"/>
    <x v="0"/>
    <s v="BRISAS DEL GOLF"/>
  </r>
  <r>
    <x v="38"/>
    <x v="125"/>
    <x v="2"/>
    <x v="20"/>
    <x v="81"/>
    <x v="867"/>
    <x v="0"/>
    <s v="BRISAS DEL GOLF"/>
  </r>
  <r>
    <x v="38"/>
    <x v="132"/>
    <x v="1"/>
    <x v="21"/>
    <x v="100"/>
    <x v="866"/>
    <x v="0"/>
    <s v="BRISAS DEL GOLF"/>
  </r>
  <r>
    <x v="39"/>
    <x v="119"/>
    <x v="2"/>
    <x v="19"/>
    <x v="133"/>
    <x v="781"/>
    <x v="0"/>
    <s v="PUENTE CENTENARIO"/>
  </r>
  <r>
    <x v="39"/>
    <x v="111"/>
    <x v="2"/>
    <x v="19"/>
    <x v="133"/>
    <x v="781"/>
    <x v="0"/>
    <s v="PUENTE CENTENARIO"/>
  </r>
  <r>
    <x v="39"/>
    <x v="49"/>
    <x v="2"/>
    <x v="20"/>
    <x v="78"/>
    <x v="868"/>
    <x v="0"/>
    <s v="PUENTE CENTENARIO"/>
  </r>
  <r>
    <x v="39"/>
    <x v="75"/>
    <x v="2"/>
    <x v="19"/>
    <x v="133"/>
    <x v="794"/>
    <x v="0"/>
    <s v="PUENTE CENTENARIO"/>
  </r>
  <r>
    <x v="69"/>
    <x v="0"/>
    <x v="2"/>
    <x v="19"/>
    <x v="134"/>
    <x v="869"/>
    <x v="0"/>
    <s v="AGUADULCE"/>
  </r>
  <r>
    <x v="69"/>
    <x v="66"/>
    <x v="2"/>
    <x v="19"/>
    <x v="134"/>
    <x v="870"/>
    <x v="0"/>
    <s v="AGUADULCE"/>
  </r>
  <r>
    <x v="69"/>
    <x v="80"/>
    <x v="2"/>
    <x v="21"/>
    <x v="46"/>
    <x v="829"/>
    <x v="0"/>
    <s v="AGUADULCE"/>
  </r>
  <r>
    <x v="69"/>
    <x v="76"/>
    <x v="2"/>
    <x v="19"/>
    <x v="134"/>
    <x v="764"/>
    <x v="0"/>
    <s v="AGUADULCE"/>
  </r>
  <r>
    <x v="69"/>
    <x v="149"/>
    <x v="2"/>
    <x v="19"/>
    <x v="134"/>
    <x v="764"/>
    <x v="0"/>
    <s v="AGUADULCE"/>
  </r>
  <r>
    <x v="69"/>
    <x v="2"/>
    <x v="2"/>
    <x v="19"/>
    <x v="134"/>
    <x v="871"/>
    <x v="0"/>
    <s v="AGUADULCE"/>
  </r>
  <r>
    <x v="69"/>
    <x v="135"/>
    <x v="2"/>
    <x v="19"/>
    <x v="134"/>
    <x v="764"/>
    <x v="0"/>
    <s v="AGUADULCE"/>
  </r>
  <r>
    <x v="69"/>
    <x v="4"/>
    <x v="2"/>
    <x v="19"/>
    <x v="134"/>
    <x v="764"/>
    <x v="0"/>
    <s v="AGUADULCE"/>
  </r>
  <r>
    <x v="69"/>
    <x v="132"/>
    <x v="2"/>
    <x v="19"/>
    <x v="134"/>
    <x v="764"/>
    <x v="0"/>
    <s v="AGUADULCE"/>
  </r>
  <r>
    <x v="69"/>
    <x v="7"/>
    <x v="2"/>
    <x v="19"/>
    <x v="134"/>
    <x v="872"/>
    <x v="0"/>
    <s v="AGUADULCE"/>
  </r>
  <r>
    <x v="69"/>
    <x v="84"/>
    <x v="2"/>
    <x v="20"/>
    <x v="49"/>
    <x v="873"/>
    <x v="0"/>
    <s v="AGUADULCE"/>
  </r>
  <r>
    <x v="69"/>
    <x v="59"/>
    <x v="2"/>
    <x v="19"/>
    <x v="134"/>
    <x v="874"/>
    <x v="0"/>
    <s v="AGUADULCE"/>
  </r>
  <r>
    <x v="69"/>
    <x v="92"/>
    <x v="2"/>
    <x v="19"/>
    <x v="134"/>
    <x v="772"/>
    <x v="0"/>
    <s v="AGUADULCE"/>
  </r>
  <r>
    <x v="69"/>
    <x v="5"/>
    <x v="2"/>
    <x v="19"/>
    <x v="134"/>
    <x v="874"/>
    <x v="0"/>
    <s v="AGUADULCE"/>
  </r>
  <r>
    <x v="69"/>
    <x v="103"/>
    <x v="2"/>
    <x v="19"/>
    <x v="134"/>
    <x v="875"/>
    <x v="0"/>
    <s v="AGUADULCE"/>
  </r>
  <r>
    <x v="69"/>
    <x v="69"/>
    <x v="2"/>
    <x v="19"/>
    <x v="134"/>
    <x v="764"/>
    <x v="0"/>
    <s v="AGUADULCE"/>
  </r>
  <r>
    <x v="69"/>
    <x v="52"/>
    <x v="2"/>
    <x v="19"/>
    <x v="134"/>
    <x v="875"/>
    <x v="0"/>
    <s v="AGUADULCE"/>
  </r>
  <r>
    <x v="69"/>
    <x v="75"/>
    <x v="2"/>
    <x v="20"/>
    <x v="39"/>
    <x v="876"/>
    <x v="0"/>
    <s v="AGUADULCE"/>
  </r>
  <r>
    <x v="69"/>
    <x v="141"/>
    <x v="2"/>
    <x v="19"/>
    <x v="134"/>
    <x v="764"/>
    <x v="0"/>
    <s v="AGUADULCE"/>
  </r>
  <r>
    <x v="69"/>
    <x v="143"/>
    <x v="2"/>
    <x v="19"/>
    <x v="134"/>
    <x v="734"/>
    <x v="0"/>
    <s v="AGUADULCE"/>
  </r>
  <r>
    <x v="69"/>
    <x v="84"/>
    <x v="0"/>
    <x v="20"/>
    <x v="49"/>
    <x v="833"/>
    <x v="0"/>
    <s v="AGUADULCE"/>
  </r>
  <r>
    <x v="69"/>
    <x v="97"/>
    <x v="0"/>
    <x v="20"/>
    <x v="114"/>
    <x v="833"/>
    <x v="0"/>
    <s v="AGUADULCE"/>
  </r>
  <r>
    <x v="69"/>
    <x v="33"/>
    <x v="0"/>
    <x v="20"/>
    <x v="86"/>
    <x v="835"/>
    <x v="0"/>
    <s v="AGUADULCE"/>
  </r>
  <r>
    <x v="69"/>
    <x v="137"/>
    <x v="1"/>
    <x v="21"/>
    <x v="108"/>
    <x v="877"/>
    <x v="0"/>
    <s v="AGUADULCE"/>
  </r>
  <r>
    <x v="70"/>
    <x v="138"/>
    <x v="2"/>
    <x v="21"/>
    <x v="109"/>
    <x v="819"/>
    <x v="0"/>
    <s v="SABANITAS"/>
  </r>
  <r>
    <x v="70"/>
    <x v="148"/>
    <x v="2"/>
    <x v="21"/>
    <x v="131"/>
    <x v="878"/>
    <x v="0"/>
    <s v="SABANITAS"/>
  </r>
  <r>
    <x v="70"/>
    <x v="121"/>
    <x v="2"/>
    <x v="21"/>
    <x v="135"/>
    <x v="796"/>
    <x v="0"/>
    <s v="SABANITAS"/>
  </r>
  <r>
    <x v="70"/>
    <x v="7"/>
    <x v="2"/>
    <x v="20"/>
    <x v="136"/>
    <x v="878"/>
    <x v="0"/>
    <s v="SABANITAS"/>
  </r>
  <r>
    <x v="70"/>
    <x v="18"/>
    <x v="2"/>
    <x v="20"/>
    <x v="124"/>
    <x v="799"/>
    <x v="0"/>
    <s v="SABANITAS"/>
  </r>
  <r>
    <x v="70"/>
    <x v="102"/>
    <x v="2"/>
    <x v="20"/>
    <x v="137"/>
    <x v="878"/>
    <x v="0"/>
    <s v="SABANITAS"/>
  </r>
  <r>
    <x v="70"/>
    <x v="88"/>
    <x v="0"/>
    <x v="21"/>
    <x v="138"/>
    <x v="879"/>
    <x v="0"/>
    <s v="SABANITAS"/>
  </r>
  <r>
    <x v="40"/>
    <x v="21"/>
    <x v="2"/>
    <x v="19"/>
    <x v="139"/>
    <x v="794"/>
    <x v="0"/>
    <s v="METROMALL"/>
  </r>
  <r>
    <x v="40"/>
    <x v="25"/>
    <x v="2"/>
    <x v="19"/>
    <x v="139"/>
    <x v="880"/>
    <x v="0"/>
    <s v="METROMALL"/>
  </r>
  <r>
    <x v="40"/>
    <x v="73"/>
    <x v="2"/>
    <x v="19"/>
    <x v="139"/>
    <x v="762"/>
    <x v="0"/>
    <s v="METROMALL"/>
  </r>
  <r>
    <x v="40"/>
    <x v="102"/>
    <x v="2"/>
    <x v="19"/>
    <x v="139"/>
    <x v="881"/>
    <x v="0"/>
    <s v="METROMALL"/>
  </r>
  <r>
    <x v="71"/>
    <x v="68"/>
    <x v="2"/>
    <x v="19"/>
    <x v="140"/>
    <x v="745"/>
    <x v="0"/>
    <s v="ALTOS DE PANAMA"/>
  </r>
  <r>
    <x v="71"/>
    <x v="116"/>
    <x v="2"/>
    <x v="19"/>
    <x v="140"/>
    <x v="791"/>
    <x v="0"/>
    <s v="ALTOS DE PANAMA"/>
  </r>
  <r>
    <x v="41"/>
    <x v="23"/>
    <x v="2"/>
    <x v="19"/>
    <x v="141"/>
    <x v="761"/>
    <x v="0"/>
    <s v="VERSALLES"/>
  </r>
  <r>
    <x v="41"/>
    <x v="5"/>
    <x v="2"/>
    <x v="19"/>
    <x v="141"/>
    <x v="773"/>
    <x v="0"/>
    <s v="VERSALLES"/>
  </r>
  <r>
    <x v="41"/>
    <x v="28"/>
    <x v="2"/>
    <x v="19"/>
    <x v="141"/>
    <x v="744"/>
    <x v="0"/>
    <s v="VERSALLES"/>
  </r>
  <r>
    <x v="41"/>
    <x v="102"/>
    <x v="2"/>
    <x v="19"/>
    <x v="141"/>
    <x v="744"/>
    <x v="0"/>
    <s v="VERSALLES"/>
  </r>
  <r>
    <x v="41"/>
    <x v="114"/>
    <x v="2"/>
    <x v="19"/>
    <x v="141"/>
    <x v="762"/>
    <x v="0"/>
    <s v="VERSALLES"/>
  </r>
  <r>
    <x v="41"/>
    <x v="3"/>
    <x v="2"/>
    <x v="19"/>
    <x v="141"/>
    <x v="744"/>
    <x v="0"/>
    <s v="VERSALLES"/>
  </r>
  <r>
    <x v="41"/>
    <x v="20"/>
    <x v="2"/>
    <x v="19"/>
    <x v="141"/>
    <x v="744"/>
    <x v="0"/>
    <s v="VERSALLES"/>
  </r>
  <r>
    <x v="42"/>
    <x v="150"/>
    <x v="2"/>
    <x v="19"/>
    <x v="142"/>
    <x v="736"/>
    <x v="0"/>
    <s v="BUSINESS PARK"/>
  </r>
  <r>
    <x v="42"/>
    <x v="37"/>
    <x v="2"/>
    <x v="19"/>
    <x v="142"/>
    <x v="785"/>
    <x v="0"/>
    <s v="BUSINESS PARK"/>
  </r>
  <r>
    <x v="42"/>
    <x v="15"/>
    <x v="2"/>
    <x v="19"/>
    <x v="142"/>
    <x v="882"/>
    <x v="0"/>
    <s v="BUSINESS PARK"/>
  </r>
  <r>
    <x v="42"/>
    <x v="113"/>
    <x v="2"/>
    <x v="19"/>
    <x v="142"/>
    <x v="749"/>
    <x v="0"/>
    <s v="BUSINESS PARK"/>
  </r>
  <r>
    <x v="42"/>
    <x v="134"/>
    <x v="2"/>
    <x v="19"/>
    <x v="142"/>
    <x v="747"/>
    <x v="0"/>
    <s v="BUSINESS PARK"/>
  </r>
  <r>
    <x v="42"/>
    <x v="143"/>
    <x v="2"/>
    <x v="19"/>
    <x v="142"/>
    <x v="747"/>
    <x v="0"/>
    <s v="BUSINESS PARK"/>
  </r>
  <r>
    <x v="42"/>
    <x v="65"/>
    <x v="2"/>
    <x v="19"/>
    <x v="142"/>
    <x v="749"/>
    <x v="0"/>
    <s v="BUSINESS PARK"/>
  </r>
  <r>
    <x v="42"/>
    <x v="19"/>
    <x v="2"/>
    <x v="19"/>
    <x v="142"/>
    <x v="758"/>
    <x v="0"/>
    <s v="BUSINESS PARK"/>
  </r>
  <r>
    <x v="42"/>
    <x v="20"/>
    <x v="2"/>
    <x v="19"/>
    <x v="142"/>
    <x v="883"/>
    <x v="0"/>
    <s v="BUSINESS PARK"/>
  </r>
  <r>
    <x v="43"/>
    <x v="8"/>
    <x v="2"/>
    <x v="19"/>
    <x v="143"/>
    <x v="737"/>
    <x v="0"/>
    <s v="SAN FRANCISCO"/>
  </r>
  <r>
    <x v="43"/>
    <x v="83"/>
    <x v="2"/>
    <x v="19"/>
    <x v="143"/>
    <x v="747"/>
    <x v="0"/>
    <s v="SAN FRANCISCO"/>
  </r>
  <r>
    <x v="43"/>
    <x v="56"/>
    <x v="2"/>
    <x v="19"/>
    <x v="143"/>
    <x v="749"/>
    <x v="0"/>
    <s v="SAN FRANCISCO"/>
  </r>
  <r>
    <x v="43"/>
    <x v="4"/>
    <x v="2"/>
    <x v="19"/>
    <x v="143"/>
    <x v="747"/>
    <x v="0"/>
    <s v="SAN FRANCISCO"/>
  </r>
  <r>
    <x v="43"/>
    <x v="132"/>
    <x v="2"/>
    <x v="19"/>
    <x v="143"/>
    <x v="749"/>
    <x v="0"/>
    <s v="SAN FRANCISCO"/>
  </r>
  <r>
    <x v="43"/>
    <x v="26"/>
    <x v="2"/>
    <x v="19"/>
    <x v="143"/>
    <x v="749"/>
    <x v="0"/>
    <s v="SAN FRANCISCO"/>
  </r>
  <r>
    <x v="43"/>
    <x v="57"/>
    <x v="2"/>
    <x v="19"/>
    <x v="143"/>
    <x v="749"/>
    <x v="0"/>
    <s v="SAN FRANCISCO"/>
  </r>
  <r>
    <x v="43"/>
    <x v="43"/>
    <x v="2"/>
    <x v="19"/>
    <x v="143"/>
    <x v="747"/>
    <x v="0"/>
    <s v="SAN FRANCISCO"/>
  </r>
  <r>
    <x v="43"/>
    <x v="47"/>
    <x v="2"/>
    <x v="19"/>
    <x v="143"/>
    <x v="749"/>
    <x v="0"/>
    <s v="SAN FRANCISCO"/>
  </r>
  <r>
    <x v="43"/>
    <x v="100"/>
    <x v="2"/>
    <x v="19"/>
    <x v="143"/>
    <x v="749"/>
    <x v="0"/>
    <s v="SAN FRANCISCO"/>
  </r>
  <r>
    <x v="44"/>
    <x v="117"/>
    <x v="2"/>
    <x v="19"/>
    <x v="144"/>
    <x v="749"/>
    <x v="0"/>
    <s v="PLAZA BANCO GENERAL"/>
  </r>
  <r>
    <x v="44"/>
    <x v="87"/>
    <x v="2"/>
    <x v="19"/>
    <x v="144"/>
    <x v="749"/>
    <x v="0"/>
    <s v="PLAZA BANCO GENERAL"/>
  </r>
  <r>
    <x v="44"/>
    <x v="81"/>
    <x v="2"/>
    <x v="19"/>
    <x v="144"/>
    <x v="749"/>
    <x v="0"/>
    <s v="PLAZA BANCO GENERAL"/>
  </r>
  <r>
    <x v="44"/>
    <x v="100"/>
    <x v="2"/>
    <x v="19"/>
    <x v="144"/>
    <x v="884"/>
    <x v="0"/>
    <s v="PLAZA BANCO GENERAL"/>
  </r>
  <r>
    <x v="45"/>
    <x v="35"/>
    <x v="2"/>
    <x v="19"/>
    <x v="145"/>
    <x v="777"/>
    <x v="0"/>
    <s v="LA CHORRERA - PARQUE 10 DE NOV."/>
  </r>
  <r>
    <x v="45"/>
    <x v="151"/>
    <x v="2"/>
    <x v="19"/>
    <x v="145"/>
    <x v="743"/>
    <x v="0"/>
    <s v="LA CHORRERA - PARQUE 10 DE NOV."/>
  </r>
  <r>
    <x v="45"/>
    <x v="118"/>
    <x v="2"/>
    <x v="19"/>
    <x v="145"/>
    <x v="736"/>
    <x v="0"/>
    <s v="LA CHORRERA - PARQUE 10 DE NOV."/>
  </r>
  <r>
    <x v="45"/>
    <x v="149"/>
    <x v="2"/>
    <x v="19"/>
    <x v="145"/>
    <x v="743"/>
    <x v="0"/>
    <s v="LA CHORRERA - PARQUE 10 DE NOV."/>
  </r>
  <r>
    <x v="45"/>
    <x v="132"/>
    <x v="2"/>
    <x v="19"/>
    <x v="145"/>
    <x v="736"/>
    <x v="0"/>
    <s v="LA CHORRERA - PARQUE 10 DE NOV."/>
  </r>
  <r>
    <x v="45"/>
    <x v="119"/>
    <x v="2"/>
    <x v="19"/>
    <x v="145"/>
    <x v="777"/>
    <x v="0"/>
    <s v="LA CHORRERA - PARQUE 10 DE NOV."/>
  </r>
  <r>
    <x v="45"/>
    <x v="67"/>
    <x v="2"/>
    <x v="19"/>
    <x v="145"/>
    <x v="778"/>
    <x v="0"/>
    <s v="LA CHORRERA - PARQUE 10 DE NOV."/>
  </r>
  <r>
    <x v="45"/>
    <x v="128"/>
    <x v="2"/>
    <x v="19"/>
    <x v="145"/>
    <x v="734"/>
    <x v="0"/>
    <s v="LA CHORRERA - PARQUE 10 DE NOV."/>
  </r>
  <r>
    <x v="45"/>
    <x v="43"/>
    <x v="2"/>
    <x v="19"/>
    <x v="145"/>
    <x v="777"/>
    <x v="0"/>
    <s v="LA CHORRERA - PARQUE 10 DE NOV."/>
  </r>
  <r>
    <x v="45"/>
    <x v="104"/>
    <x v="2"/>
    <x v="22"/>
    <x v="74"/>
    <x v="811"/>
    <x v="7"/>
    <s v="LA CHORRERA - PARQUE 10 DE NOV."/>
  </r>
  <r>
    <x v="45"/>
    <x v="111"/>
    <x v="0"/>
    <x v="20"/>
    <x v="146"/>
    <x v="885"/>
    <x v="0"/>
    <s v="LA CHORRERA - PARQUE 10 DE NOV."/>
  </r>
  <r>
    <x v="45"/>
    <x v="78"/>
    <x v="0"/>
    <x v="20"/>
    <x v="147"/>
    <x v="886"/>
    <x v="0"/>
    <s v="LA CHORRERA - PARQUE 10 DE NOV."/>
  </r>
  <r>
    <x v="45"/>
    <x v="84"/>
    <x v="1"/>
    <x v="20"/>
    <x v="49"/>
    <x v="887"/>
    <x v="0"/>
    <s v="LA CHORRERA - PARQUE 10 DE NOV."/>
  </r>
  <r>
    <x v="45"/>
    <x v="97"/>
    <x v="1"/>
    <x v="20"/>
    <x v="114"/>
    <x v="822"/>
    <x v="0"/>
    <s v="LA CHORRERA - PARQUE 10 DE NOV."/>
  </r>
  <r>
    <x v="46"/>
    <x v="152"/>
    <x v="2"/>
    <x v="19"/>
    <x v="148"/>
    <x v="758"/>
    <x v="0"/>
    <s v="COSTA DEL ESTE - CENTENARIO"/>
  </r>
  <r>
    <x v="46"/>
    <x v="25"/>
    <x v="2"/>
    <x v="19"/>
    <x v="148"/>
    <x v="758"/>
    <x v="0"/>
    <s v="COSTA DEL ESTE - CENTENARIO"/>
  </r>
  <r>
    <x v="46"/>
    <x v="37"/>
    <x v="2"/>
    <x v="19"/>
    <x v="148"/>
    <x v="882"/>
    <x v="0"/>
    <s v="COSTA DEL ESTE - CENTENARIO"/>
  </r>
  <r>
    <x v="46"/>
    <x v="2"/>
    <x v="2"/>
    <x v="19"/>
    <x v="148"/>
    <x v="888"/>
    <x v="0"/>
    <s v="COSTA DEL ESTE - CENTENARIO"/>
  </r>
  <r>
    <x v="46"/>
    <x v="73"/>
    <x v="2"/>
    <x v="19"/>
    <x v="148"/>
    <x v="749"/>
    <x v="0"/>
    <s v="COSTA DEL ESTE - CENTENARIO"/>
  </r>
  <r>
    <x v="46"/>
    <x v="153"/>
    <x v="2"/>
    <x v="19"/>
    <x v="148"/>
    <x v="889"/>
    <x v="0"/>
    <s v="COSTA DEL ESTE - CENTENARIO"/>
  </r>
  <r>
    <x v="47"/>
    <x v="24"/>
    <x v="2"/>
    <x v="19"/>
    <x v="149"/>
    <x v="794"/>
    <x v="0"/>
    <s v="CLAYTON"/>
  </r>
  <r>
    <x v="47"/>
    <x v="152"/>
    <x v="2"/>
    <x v="19"/>
    <x v="149"/>
    <x v="890"/>
    <x v="0"/>
    <s v="CLAYTON"/>
  </r>
  <r>
    <x v="47"/>
    <x v="23"/>
    <x v="2"/>
    <x v="19"/>
    <x v="149"/>
    <x v="781"/>
    <x v="0"/>
    <s v="CLAYTON"/>
  </r>
  <r>
    <x v="47"/>
    <x v="61"/>
    <x v="2"/>
    <x v="19"/>
    <x v="149"/>
    <x v="742"/>
    <x v="0"/>
    <s v="CLAYTON"/>
  </r>
  <r>
    <x v="47"/>
    <x v="154"/>
    <x v="2"/>
    <x v="19"/>
    <x v="149"/>
    <x v="891"/>
    <x v="0"/>
    <s v="CLAYTON"/>
  </r>
  <r>
    <x v="47"/>
    <x v="101"/>
    <x v="2"/>
    <x v="20"/>
    <x v="150"/>
    <x v="777"/>
    <x v="0"/>
    <s v="CLAYTON"/>
  </r>
  <r>
    <x v="47"/>
    <x v="42"/>
    <x v="2"/>
    <x v="20"/>
    <x v="151"/>
    <x v="777"/>
    <x v="0"/>
    <s v="CLAYTON"/>
  </r>
  <r>
    <x v="47"/>
    <x v="78"/>
    <x v="2"/>
    <x v="19"/>
    <x v="149"/>
    <x v="890"/>
    <x v="0"/>
    <s v="CLAYTON"/>
  </r>
  <r>
    <x v="47"/>
    <x v="10"/>
    <x v="2"/>
    <x v="19"/>
    <x v="149"/>
    <x v="884"/>
    <x v="0"/>
    <s v="CLAYTON"/>
  </r>
  <r>
    <x v="47"/>
    <x v="10"/>
    <x v="2"/>
    <x v="20"/>
    <x v="152"/>
    <x v="777"/>
    <x v="0"/>
    <s v="CLAYTON"/>
  </r>
  <r>
    <x v="47"/>
    <x v="99"/>
    <x v="2"/>
    <x v="20"/>
    <x v="153"/>
    <x v="777"/>
    <x v="0"/>
    <s v="CLAYTON"/>
  </r>
  <r>
    <x v="47"/>
    <x v="79"/>
    <x v="2"/>
    <x v="19"/>
    <x v="149"/>
    <x v="890"/>
    <x v="0"/>
    <s v="CLAYTON"/>
  </r>
  <r>
    <x v="47"/>
    <x v="126"/>
    <x v="2"/>
    <x v="20"/>
    <x v="82"/>
    <x v="777"/>
    <x v="0"/>
    <s v="CLAYTON"/>
  </r>
  <r>
    <x v="47"/>
    <x v="153"/>
    <x v="2"/>
    <x v="19"/>
    <x v="149"/>
    <x v="748"/>
    <x v="0"/>
    <s v="CLAYTON"/>
  </r>
  <r>
    <x v="48"/>
    <x v="72"/>
    <x v="2"/>
    <x v="19"/>
    <x v="154"/>
    <x v="749"/>
    <x v="0"/>
    <s v="MARBELLA"/>
  </r>
  <r>
    <x v="48"/>
    <x v="145"/>
    <x v="2"/>
    <x v="19"/>
    <x v="154"/>
    <x v="749"/>
    <x v="0"/>
    <s v="MARBELLA"/>
  </r>
  <r>
    <x v="48"/>
    <x v="75"/>
    <x v="2"/>
    <x v="19"/>
    <x v="154"/>
    <x v="749"/>
    <x v="0"/>
    <s v="MARBELLA"/>
  </r>
  <r>
    <x v="49"/>
    <x v="83"/>
    <x v="2"/>
    <x v="19"/>
    <x v="155"/>
    <x v="892"/>
    <x v="0"/>
    <s v="PLAZA CAROLINA"/>
  </r>
  <r>
    <x v="49"/>
    <x v="90"/>
    <x v="2"/>
    <x v="19"/>
    <x v="155"/>
    <x v="736"/>
    <x v="0"/>
    <s v="PLAZA CAROLINA"/>
  </r>
  <r>
    <x v="49"/>
    <x v="152"/>
    <x v="2"/>
    <x v="19"/>
    <x v="155"/>
    <x v="758"/>
    <x v="0"/>
    <s v="PLAZA CAROLINA"/>
  </r>
  <r>
    <x v="49"/>
    <x v="36"/>
    <x v="2"/>
    <x v="19"/>
    <x v="155"/>
    <x v="758"/>
    <x v="0"/>
    <s v="PLAZA CAROLINA"/>
  </r>
  <r>
    <x v="49"/>
    <x v="50"/>
    <x v="2"/>
    <x v="19"/>
    <x v="155"/>
    <x v="793"/>
    <x v="0"/>
    <s v="PLAZA CAROLINA"/>
  </r>
  <r>
    <x v="49"/>
    <x v="99"/>
    <x v="2"/>
    <x v="19"/>
    <x v="155"/>
    <x v="752"/>
    <x v="0"/>
    <s v="PLAZA CAROLINA"/>
  </r>
  <r>
    <x v="49"/>
    <x v="17"/>
    <x v="2"/>
    <x v="19"/>
    <x v="155"/>
    <x v="758"/>
    <x v="0"/>
    <s v="PLAZA CAROLINA"/>
  </r>
  <r>
    <x v="50"/>
    <x v="35"/>
    <x v="2"/>
    <x v="19"/>
    <x v="156"/>
    <x v="893"/>
    <x v="0"/>
    <s v="PLAZA CORDOBA"/>
  </r>
  <r>
    <x v="50"/>
    <x v="66"/>
    <x v="2"/>
    <x v="19"/>
    <x v="156"/>
    <x v="737"/>
    <x v="0"/>
    <s v="PLAZA CORDOBA"/>
  </r>
  <r>
    <x v="50"/>
    <x v="155"/>
    <x v="2"/>
    <x v="19"/>
    <x v="156"/>
    <x v="747"/>
    <x v="0"/>
    <s v="PLAZA CORDOBA"/>
  </r>
  <r>
    <x v="50"/>
    <x v="73"/>
    <x v="2"/>
    <x v="19"/>
    <x v="156"/>
    <x v="737"/>
    <x v="0"/>
    <s v="PLAZA CORDOBA"/>
  </r>
  <r>
    <x v="50"/>
    <x v="63"/>
    <x v="2"/>
    <x v="19"/>
    <x v="156"/>
    <x v="736"/>
    <x v="0"/>
    <s v="PLAZA CORDOBA"/>
  </r>
  <r>
    <x v="51"/>
    <x v="90"/>
    <x v="2"/>
    <x v="19"/>
    <x v="157"/>
    <x v="744"/>
    <x v="0"/>
    <s v="VIA SIMON BOLIVAR"/>
  </r>
  <r>
    <x v="51"/>
    <x v="45"/>
    <x v="2"/>
    <x v="20"/>
    <x v="107"/>
    <x v="777"/>
    <x v="0"/>
    <s v="VIA SIMON BOLIVAR"/>
  </r>
  <r>
    <x v="51"/>
    <x v="125"/>
    <x v="2"/>
    <x v="20"/>
    <x v="81"/>
    <x v="777"/>
    <x v="0"/>
    <s v="VIA SIMON BOLIVAR"/>
  </r>
  <r>
    <x v="51"/>
    <x v="139"/>
    <x v="0"/>
    <x v="20"/>
    <x v="110"/>
    <x v="840"/>
    <x v="0"/>
    <s v="VIA SIMON BOLIVAR"/>
  </r>
  <r>
    <x v="52"/>
    <x v="156"/>
    <x v="2"/>
    <x v="19"/>
    <x v="158"/>
    <x v="894"/>
    <x v="0"/>
    <s v="JUSTO AROSEMENA"/>
  </r>
  <r>
    <x v="52"/>
    <x v="117"/>
    <x v="2"/>
    <x v="19"/>
    <x v="158"/>
    <x v="747"/>
    <x v="0"/>
    <s v="JUSTO AROSEMENA"/>
  </r>
  <r>
    <x v="52"/>
    <x v="89"/>
    <x v="2"/>
    <x v="19"/>
    <x v="158"/>
    <x v="737"/>
    <x v="0"/>
    <s v="JUSTO AROSEMENA"/>
  </r>
  <r>
    <x v="52"/>
    <x v="36"/>
    <x v="2"/>
    <x v="19"/>
    <x v="158"/>
    <x v="733"/>
    <x v="0"/>
    <s v="JUSTO AROSEMENA"/>
  </r>
  <r>
    <x v="52"/>
    <x v="23"/>
    <x v="2"/>
    <x v="19"/>
    <x v="158"/>
    <x v="737"/>
    <x v="0"/>
    <s v="JUSTO AROSEMENA"/>
  </r>
  <r>
    <x v="52"/>
    <x v="119"/>
    <x v="2"/>
    <x v="19"/>
    <x v="158"/>
    <x v="737"/>
    <x v="0"/>
    <s v="JUSTO AROSEMENA"/>
  </r>
  <r>
    <x v="52"/>
    <x v="91"/>
    <x v="2"/>
    <x v="23"/>
    <x v="159"/>
    <x v="733"/>
    <x v="0"/>
    <s v="JUSTO AROSEMENA"/>
  </r>
  <r>
    <x v="52"/>
    <x v="61"/>
    <x v="2"/>
    <x v="20"/>
    <x v="43"/>
    <x v="734"/>
    <x v="0"/>
    <s v="JUSTO AROSEMENA"/>
  </r>
  <r>
    <x v="52"/>
    <x v="3"/>
    <x v="2"/>
    <x v="19"/>
    <x v="158"/>
    <x v="733"/>
    <x v="0"/>
    <s v="JUSTO AROSEMENA"/>
  </r>
  <r>
    <x v="53"/>
    <x v="157"/>
    <x v="16"/>
    <x v="22"/>
    <x v="160"/>
    <x v="895"/>
    <x v="0"/>
    <s v="NEGOCIOS"/>
  </r>
  <r>
    <x v="53"/>
    <x v="152"/>
    <x v="16"/>
    <x v="22"/>
    <x v="161"/>
    <x v="896"/>
    <x v="0"/>
    <s v="NEGOCIOS"/>
  </r>
  <r>
    <x v="53"/>
    <x v="91"/>
    <x v="16"/>
    <x v="22"/>
    <x v="162"/>
    <x v="897"/>
    <x v="0"/>
    <s v="NEGOCIOS"/>
  </r>
  <r>
    <x v="53"/>
    <x v="48"/>
    <x v="16"/>
    <x v="20"/>
    <x v="77"/>
    <x v="898"/>
    <x v="0"/>
    <s v="NEGOCIOS"/>
  </r>
  <r>
    <x v="53"/>
    <x v="84"/>
    <x v="16"/>
    <x v="20"/>
    <x v="49"/>
    <x v="899"/>
    <x v="0"/>
    <s v="NEGOCIOS"/>
  </r>
  <r>
    <x v="53"/>
    <x v="77"/>
    <x v="16"/>
    <x v="20"/>
    <x v="71"/>
    <x v="900"/>
    <x v="0"/>
    <s v="NEGOCIOS"/>
  </r>
  <r>
    <x v="53"/>
    <x v="29"/>
    <x v="16"/>
    <x v="22"/>
    <x v="132"/>
    <x v="901"/>
    <x v="0"/>
    <s v="NEGOCIOS"/>
  </r>
  <r>
    <x v="53"/>
    <x v="128"/>
    <x v="16"/>
    <x v="22"/>
    <x v="84"/>
    <x v="811"/>
    <x v="8"/>
    <s v="NEGOCIOS"/>
  </r>
  <r>
    <x v="53"/>
    <x v="22"/>
    <x v="16"/>
    <x v="22"/>
    <x v="163"/>
    <x v="800"/>
    <x v="0"/>
    <s v="NEGOCIOS"/>
  </r>
  <r>
    <x v="53"/>
    <x v="145"/>
    <x v="16"/>
    <x v="22"/>
    <x v="127"/>
    <x v="902"/>
    <x v="0"/>
    <s v="NEGOCIOS"/>
  </r>
  <r>
    <x v="53"/>
    <x v="95"/>
    <x v="16"/>
    <x v="22"/>
    <x v="164"/>
    <x v="903"/>
    <x v="0"/>
    <s v="NEGOCIOS"/>
  </r>
  <r>
    <x v="53"/>
    <x v="65"/>
    <x v="16"/>
    <x v="22"/>
    <x v="165"/>
    <x v="475"/>
    <x v="0"/>
    <s v="NEGOCIOS"/>
  </r>
  <r>
    <x v="53"/>
    <x v="143"/>
    <x v="17"/>
    <x v="22"/>
    <x v="166"/>
    <x v="904"/>
    <x v="0"/>
    <s v="NEGOCIOS"/>
  </r>
  <r>
    <x v="53"/>
    <x v="44"/>
    <x v="18"/>
    <x v="20"/>
    <x v="94"/>
    <x v="905"/>
    <x v="0"/>
    <s v="NEGOCIOS"/>
  </r>
  <r>
    <x v="53"/>
    <x v="145"/>
    <x v="18"/>
    <x v="22"/>
    <x v="127"/>
    <x v="906"/>
    <x v="0"/>
    <s v="NEGOCIOS"/>
  </r>
  <r>
    <x v="53"/>
    <x v="157"/>
    <x v="19"/>
    <x v="22"/>
    <x v="160"/>
    <x v="907"/>
    <x v="0"/>
    <s v="NEGOCIOS"/>
  </r>
  <r>
    <x v="53"/>
    <x v="152"/>
    <x v="19"/>
    <x v="22"/>
    <x v="161"/>
    <x v="908"/>
    <x v="0"/>
    <s v="NEGOCIOS"/>
  </r>
  <r>
    <x v="53"/>
    <x v="122"/>
    <x v="19"/>
    <x v="21"/>
    <x v="112"/>
    <x v="902"/>
    <x v="0"/>
    <s v="NEGOCIOS"/>
  </r>
  <r>
    <x v="53"/>
    <x v="91"/>
    <x v="19"/>
    <x v="22"/>
    <x v="162"/>
    <x v="909"/>
    <x v="0"/>
    <s v="NEGOCIOS"/>
  </r>
  <r>
    <x v="53"/>
    <x v="28"/>
    <x v="19"/>
    <x v="22"/>
    <x v="63"/>
    <x v="910"/>
    <x v="0"/>
    <s v="NEGOCIOS"/>
  </r>
  <r>
    <x v="53"/>
    <x v="128"/>
    <x v="19"/>
    <x v="22"/>
    <x v="84"/>
    <x v="811"/>
    <x v="9"/>
    <s v="NEGOCIOS"/>
  </r>
  <r>
    <x v="53"/>
    <x v="22"/>
    <x v="19"/>
    <x v="22"/>
    <x v="163"/>
    <x v="911"/>
    <x v="0"/>
    <s v="NEGOCIOS"/>
  </r>
  <r>
    <x v="53"/>
    <x v="145"/>
    <x v="19"/>
    <x v="22"/>
    <x v="127"/>
    <x v="912"/>
    <x v="0"/>
    <s v="NEGOCIOS"/>
  </r>
  <r>
    <x v="53"/>
    <x v="75"/>
    <x v="19"/>
    <x v="20"/>
    <x v="39"/>
    <x v="799"/>
    <x v="0"/>
    <s v="NEGOCIOS"/>
  </r>
  <r>
    <x v="53"/>
    <x v="95"/>
    <x v="19"/>
    <x v="22"/>
    <x v="164"/>
    <x v="913"/>
    <x v="0"/>
    <s v="NEGOCIOS"/>
  </r>
  <r>
    <x v="53"/>
    <x v="88"/>
    <x v="3"/>
    <x v="20"/>
    <x v="138"/>
    <x v="776"/>
    <x v="0"/>
    <s v="NEGOCIOS"/>
  </r>
  <r>
    <x v="53"/>
    <x v="138"/>
    <x v="3"/>
    <x v="21"/>
    <x v="109"/>
    <x v="875"/>
    <x v="0"/>
    <s v="NEGOCIOS"/>
  </r>
  <r>
    <x v="53"/>
    <x v="35"/>
    <x v="3"/>
    <x v="21"/>
    <x v="35"/>
    <x v="812"/>
    <x v="0"/>
    <s v="NEGOCIOS"/>
  </r>
  <r>
    <x v="53"/>
    <x v="83"/>
    <x v="3"/>
    <x v="21"/>
    <x v="99"/>
    <x v="735"/>
    <x v="0"/>
    <s v="NEGOCIOS"/>
  </r>
  <r>
    <x v="53"/>
    <x v="24"/>
    <x v="3"/>
    <x v="21"/>
    <x v="167"/>
    <x v="735"/>
    <x v="0"/>
    <s v="NEGOCIOS"/>
  </r>
  <r>
    <x v="53"/>
    <x v="152"/>
    <x v="3"/>
    <x v="21"/>
    <x v="161"/>
    <x v="914"/>
    <x v="0"/>
    <s v="NEGOCIOS"/>
  </r>
  <r>
    <x v="53"/>
    <x v="36"/>
    <x v="3"/>
    <x v="20"/>
    <x v="168"/>
    <x v="915"/>
    <x v="0"/>
    <s v="NEGOCIOS"/>
  </r>
  <r>
    <x v="53"/>
    <x v="36"/>
    <x v="3"/>
    <x v="21"/>
    <x v="168"/>
    <x v="801"/>
    <x v="0"/>
    <s v="NEGOCIOS"/>
  </r>
  <r>
    <x v="53"/>
    <x v="25"/>
    <x v="3"/>
    <x v="20"/>
    <x v="169"/>
    <x v="916"/>
    <x v="0"/>
    <s v="NEGOCIOS"/>
  </r>
  <r>
    <x v="53"/>
    <x v="25"/>
    <x v="3"/>
    <x v="21"/>
    <x v="169"/>
    <x v="874"/>
    <x v="0"/>
    <s v="NEGOCIOS"/>
  </r>
  <r>
    <x v="53"/>
    <x v="55"/>
    <x v="3"/>
    <x v="22"/>
    <x v="170"/>
    <x v="811"/>
    <x v="10"/>
    <s v="NEGOCIOS"/>
  </r>
  <r>
    <x v="53"/>
    <x v="37"/>
    <x v="3"/>
    <x v="21"/>
    <x v="171"/>
    <x v="917"/>
    <x v="0"/>
    <s v="NEGOCIOS"/>
  </r>
  <r>
    <x v="53"/>
    <x v="2"/>
    <x v="3"/>
    <x v="21"/>
    <x v="172"/>
    <x v="918"/>
    <x v="0"/>
    <s v="NEGOCIOS"/>
  </r>
  <r>
    <x v="53"/>
    <x v="121"/>
    <x v="3"/>
    <x v="21"/>
    <x v="135"/>
    <x v="875"/>
    <x v="0"/>
    <s v="NEGOCIOS"/>
  </r>
  <r>
    <x v="53"/>
    <x v="122"/>
    <x v="3"/>
    <x v="20"/>
    <x v="112"/>
    <x v="919"/>
    <x v="0"/>
    <s v="NEGOCIOS"/>
  </r>
  <r>
    <x v="53"/>
    <x v="67"/>
    <x v="3"/>
    <x v="21"/>
    <x v="173"/>
    <x v="816"/>
    <x v="0"/>
    <s v="NEGOCIOS"/>
  </r>
  <r>
    <x v="53"/>
    <x v="91"/>
    <x v="3"/>
    <x v="21"/>
    <x v="162"/>
    <x v="872"/>
    <x v="0"/>
    <s v="NEGOCIOS"/>
  </r>
  <r>
    <x v="53"/>
    <x v="139"/>
    <x v="3"/>
    <x v="20"/>
    <x v="110"/>
    <x v="776"/>
    <x v="0"/>
    <s v="NEGOCIOS"/>
  </r>
  <r>
    <x v="53"/>
    <x v="158"/>
    <x v="3"/>
    <x v="20"/>
    <x v="174"/>
    <x v="920"/>
    <x v="0"/>
    <s v="NEGOCIOS"/>
  </r>
  <r>
    <x v="53"/>
    <x v="62"/>
    <x v="3"/>
    <x v="20"/>
    <x v="123"/>
    <x v="921"/>
    <x v="0"/>
    <s v="NEGOCIOS"/>
  </r>
  <r>
    <x v="53"/>
    <x v="42"/>
    <x v="3"/>
    <x v="20"/>
    <x v="151"/>
    <x v="776"/>
    <x v="0"/>
    <s v="NEGOCIOS"/>
  </r>
  <r>
    <x v="53"/>
    <x v="22"/>
    <x v="3"/>
    <x v="20"/>
    <x v="163"/>
    <x v="922"/>
    <x v="0"/>
    <s v="NEGOCIOS"/>
  </r>
  <r>
    <x v="53"/>
    <x v="85"/>
    <x v="3"/>
    <x v="22"/>
    <x v="50"/>
    <x v="811"/>
    <x v="11"/>
    <s v="NEGOCIOS"/>
  </r>
  <r>
    <x v="53"/>
    <x v="159"/>
    <x v="3"/>
    <x v="20"/>
    <x v="175"/>
    <x v="735"/>
    <x v="0"/>
    <s v="NEGOCIOS"/>
  </r>
  <r>
    <x v="53"/>
    <x v="10"/>
    <x v="3"/>
    <x v="20"/>
    <x v="152"/>
    <x v="735"/>
    <x v="0"/>
    <s v="NEGOCIOS"/>
  </r>
  <r>
    <x v="53"/>
    <x v="43"/>
    <x v="3"/>
    <x v="20"/>
    <x v="73"/>
    <x v="875"/>
    <x v="0"/>
    <s v="NEGOCIOS"/>
  </r>
  <r>
    <x v="53"/>
    <x v="123"/>
    <x v="3"/>
    <x v="21"/>
    <x v="176"/>
    <x v="812"/>
    <x v="0"/>
    <s v="NEGOCIOS"/>
  </r>
  <r>
    <x v="53"/>
    <x v="113"/>
    <x v="3"/>
    <x v="20"/>
    <x v="177"/>
    <x v="875"/>
    <x v="0"/>
    <s v="NEGOCIOS"/>
  </r>
  <r>
    <x v="53"/>
    <x v="51"/>
    <x v="3"/>
    <x v="20"/>
    <x v="178"/>
    <x v="812"/>
    <x v="0"/>
    <s v="NEGOCIOS"/>
  </r>
  <r>
    <x v="53"/>
    <x v="99"/>
    <x v="3"/>
    <x v="20"/>
    <x v="153"/>
    <x v="923"/>
    <x v="0"/>
    <s v="NEGOCIOS"/>
  </r>
  <r>
    <x v="53"/>
    <x v="105"/>
    <x v="3"/>
    <x v="20"/>
    <x v="179"/>
    <x v="776"/>
    <x v="0"/>
    <s v="NEGOCIOS"/>
  </r>
  <r>
    <x v="53"/>
    <x v="12"/>
    <x v="3"/>
    <x v="20"/>
    <x v="103"/>
    <x v="924"/>
    <x v="0"/>
    <s v="NEGOCIOS"/>
  </r>
  <r>
    <x v="53"/>
    <x v="75"/>
    <x v="3"/>
    <x v="20"/>
    <x v="39"/>
    <x v="776"/>
    <x v="0"/>
    <s v="NEGOCIOS"/>
  </r>
  <r>
    <x v="53"/>
    <x v="46"/>
    <x v="3"/>
    <x v="20"/>
    <x v="95"/>
    <x v="735"/>
    <x v="0"/>
    <s v="NEGOCIOS"/>
  </r>
  <r>
    <x v="53"/>
    <x v="94"/>
    <x v="3"/>
    <x v="20"/>
    <x v="180"/>
    <x v="812"/>
    <x v="0"/>
    <s v="NEGOCIOS"/>
  </r>
  <r>
    <x v="53"/>
    <x v="95"/>
    <x v="3"/>
    <x v="20"/>
    <x v="164"/>
    <x v="776"/>
    <x v="0"/>
    <s v="NEGOCIOS"/>
  </r>
  <r>
    <x v="53"/>
    <x v="20"/>
    <x v="3"/>
    <x v="20"/>
    <x v="87"/>
    <x v="826"/>
    <x v="0"/>
    <s v="NEGOCIOS"/>
  </r>
  <r>
    <x v="53"/>
    <x v="80"/>
    <x v="20"/>
    <x v="21"/>
    <x v="46"/>
    <x v="734"/>
    <x v="0"/>
    <s v="NEGOCIOS"/>
  </r>
  <r>
    <x v="53"/>
    <x v="156"/>
    <x v="4"/>
    <x v="21"/>
    <x v="181"/>
    <x v="875"/>
    <x v="0"/>
    <s v="NEGOCIOS"/>
  </r>
  <r>
    <x v="53"/>
    <x v="35"/>
    <x v="4"/>
    <x v="21"/>
    <x v="35"/>
    <x v="777"/>
    <x v="0"/>
    <s v="NEGOCIOS"/>
  </r>
  <r>
    <x v="53"/>
    <x v="83"/>
    <x v="4"/>
    <x v="21"/>
    <x v="99"/>
    <x v="874"/>
    <x v="0"/>
    <s v="NEGOCIOS"/>
  </r>
  <r>
    <x v="53"/>
    <x v="147"/>
    <x v="4"/>
    <x v="21"/>
    <x v="182"/>
    <x v="875"/>
    <x v="0"/>
    <s v="NEGOCIOS"/>
  </r>
  <r>
    <x v="53"/>
    <x v="25"/>
    <x v="4"/>
    <x v="21"/>
    <x v="169"/>
    <x v="754"/>
    <x v="0"/>
    <s v="NEGOCIOS"/>
  </r>
  <r>
    <x v="53"/>
    <x v="120"/>
    <x v="4"/>
    <x v="20"/>
    <x v="70"/>
    <x v="925"/>
    <x v="0"/>
    <s v="NEGOCIOS"/>
  </r>
  <r>
    <x v="53"/>
    <x v="97"/>
    <x v="4"/>
    <x v="20"/>
    <x v="114"/>
    <x v="926"/>
    <x v="0"/>
    <s v="NEGOCIOS"/>
  </r>
  <r>
    <x v="53"/>
    <x v="49"/>
    <x v="4"/>
    <x v="22"/>
    <x v="78"/>
    <x v="927"/>
    <x v="0"/>
    <s v="NEGOCIOS"/>
  </r>
  <r>
    <x v="53"/>
    <x v="22"/>
    <x v="4"/>
    <x v="20"/>
    <x v="163"/>
    <x v="875"/>
    <x v="0"/>
    <s v="NEGOCIOS"/>
  </r>
  <r>
    <x v="53"/>
    <x v="159"/>
    <x v="4"/>
    <x v="20"/>
    <x v="175"/>
    <x v="928"/>
    <x v="0"/>
    <s v="NEGOCIOS"/>
  </r>
  <r>
    <x v="53"/>
    <x v="113"/>
    <x v="4"/>
    <x v="20"/>
    <x v="177"/>
    <x v="929"/>
    <x v="0"/>
    <s v="NEGOCIOS"/>
  </r>
  <r>
    <x v="53"/>
    <x v="105"/>
    <x v="4"/>
    <x v="20"/>
    <x v="179"/>
    <x v="930"/>
    <x v="0"/>
    <s v="NEGOCIOS"/>
  </r>
  <r>
    <x v="53"/>
    <x v="143"/>
    <x v="4"/>
    <x v="22"/>
    <x v="166"/>
    <x v="735"/>
    <x v="0"/>
    <s v="NEGOCIOS"/>
  </r>
  <r>
    <x v="53"/>
    <x v="95"/>
    <x v="4"/>
    <x v="22"/>
    <x v="164"/>
    <x v="931"/>
    <x v="0"/>
    <s v="NEGOCIOS"/>
  </r>
  <r>
    <x v="53"/>
    <x v="137"/>
    <x v="5"/>
    <x v="21"/>
    <x v="108"/>
    <x v="932"/>
    <x v="0"/>
    <s v="NEGOCIOS"/>
  </r>
  <r>
    <x v="53"/>
    <x v="87"/>
    <x v="5"/>
    <x v="21"/>
    <x v="129"/>
    <x v="933"/>
    <x v="0"/>
    <s v="NEGOCIOS"/>
  </r>
  <r>
    <x v="53"/>
    <x v="21"/>
    <x v="5"/>
    <x v="20"/>
    <x v="67"/>
    <x v="934"/>
    <x v="0"/>
    <s v="NEGOCIOS"/>
  </r>
  <r>
    <x v="53"/>
    <x v="4"/>
    <x v="5"/>
    <x v="22"/>
    <x v="183"/>
    <x v="935"/>
    <x v="0"/>
    <s v="NEGOCIOS"/>
  </r>
  <r>
    <x v="53"/>
    <x v="23"/>
    <x v="5"/>
    <x v="21"/>
    <x v="184"/>
    <x v="936"/>
    <x v="0"/>
    <s v="NEGOCIOS"/>
  </r>
  <r>
    <x v="53"/>
    <x v="40"/>
    <x v="5"/>
    <x v="20"/>
    <x v="38"/>
    <x v="937"/>
    <x v="0"/>
    <s v="NEGOCIOS"/>
  </r>
  <r>
    <x v="53"/>
    <x v="160"/>
    <x v="5"/>
    <x v="20"/>
    <x v="185"/>
    <x v="938"/>
    <x v="0"/>
    <s v="NEGOCIOS"/>
  </r>
  <r>
    <x v="53"/>
    <x v="84"/>
    <x v="5"/>
    <x v="21"/>
    <x v="49"/>
    <x v="939"/>
    <x v="0"/>
    <s v="NEGOCIOS"/>
  </r>
  <r>
    <x v="53"/>
    <x v="77"/>
    <x v="5"/>
    <x v="20"/>
    <x v="71"/>
    <x v="940"/>
    <x v="0"/>
    <s v="NEGOCIOS"/>
  </r>
  <r>
    <x v="53"/>
    <x v="62"/>
    <x v="5"/>
    <x v="21"/>
    <x v="123"/>
    <x v="941"/>
    <x v="0"/>
    <s v="NEGOCIOS"/>
  </r>
  <r>
    <x v="53"/>
    <x v="11"/>
    <x v="5"/>
    <x v="22"/>
    <x v="186"/>
    <x v="942"/>
    <x v="0"/>
    <s v="NEGOCIOS"/>
  </r>
  <r>
    <x v="53"/>
    <x v="124"/>
    <x v="5"/>
    <x v="20"/>
    <x v="79"/>
    <x v="936"/>
    <x v="0"/>
    <s v="NEGOCIOS"/>
  </r>
  <r>
    <x v="53"/>
    <x v="64"/>
    <x v="5"/>
    <x v="20"/>
    <x v="187"/>
    <x v="943"/>
    <x v="0"/>
    <s v="NEGOCIOS"/>
  </r>
  <r>
    <x v="53"/>
    <x v="75"/>
    <x v="5"/>
    <x v="20"/>
    <x v="39"/>
    <x v="944"/>
    <x v="0"/>
    <s v="NEGOCIOS"/>
  </r>
  <r>
    <x v="53"/>
    <x v="141"/>
    <x v="5"/>
    <x v="22"/>
    <x v="188"/>
    <x v="811"/>
    <x v="12"/>
    <s v="NEGOCIOS"/>
  </r>
  <r>
    <x v="53"/>
    <x v="110"/>
    <x v="5"/>
    <x v="22"/>
    <x v="189"/>
    <x v="945"/>
    <x v="0"/>
    <s v="NEGOCIOS"/>
  </r>
  <r>
    <x v="53"/>
    <x v="106"/>
    <x v="6"/>
    <x v="20"/>
    <x v="98"/>
    <x v="946"/>
    <x v="0"/>
    <s v="NEGOCIOS"/>
  </r>
  <r>
    <x v="53"/>
    <x v="88"/>
    <x v="6"/>
    <x v="21"/>
    <x v="138"/>
    <x v="947"/>
    <x v="0"/>
    <s v="NEGOCIOS"/>
  </r>
  <r>
    <x v="53"/>
    <x v="81"/>
    <x v="6"/>
    <x v="21"/>
    <x v="190"/>
    <x v="856"/>
    <x v="0"/>
    <s v="NEGOCIOS"/>
  </r>
  <r>
    <x v="53"/>
    <x v="161"/>
    <x v="6"/>
    <x v="21"/>
    <x v="191"/>
    <x v="948"/>
    <x v="0"/>
    <s v="NEGOCIOS"/>
  </r>
  <r>
    <x v="53"/>
    <x v="21"/>
    <x v="6"/>
    <x v="20"/>
    <x v="67"/>
    <x v="946"/>
    <x v="0"/>
    <s v="NEGOCIOS"/>
  </r>
  <r>
    <x v="53"/>
    <x v="149"/>
    <x v="6"/>
    <x v="20"/>
    <x v="192"/>
    <x v="949"/>
    <x v="0"/>
    <s v="NEGOCIOS"/>
  </r>
  <r>
    <x v="53"/>
    <x v="36"/>
    <x v="6"/>
    <x v="22"/>
    <x v="168"/>
    <x v="950"/>
    <x v="0"/>
    <s v="NEGOCIOS"/>
  </r>
  <r>
    <x v="53"/>
    <x v="25"/>
    <x v="6"/>
    <x v="21"/>
    <x v="169"/>
    <x v="951"/>
    <x v="0"/>
    <s v="NEGOCIOS"/>
  </r>
  <r>
    <x v="53"/>
    <x v="37"/>
    <x v="6"/>
    <x v="20"/>
    <x v="171"/>
    <x v="952"/>
    <x v="0"/>
    <s v="NEGOCIOS"/>
  </r>
  <r>
    <x v="53"/>
    <x v="148"/>
    <x v="6"/>
    <x v="21"/>
    <x v="131"/>
    <x v="953"/>
    <x v="0"/>
    <s v="NEGOCIOS"/>
  </r>
  <r>
    <x v="53"/>
    <x v="148"/>
    <x v="6"/>
    <x v="22"/>
    <x v="131"/>
    <x v="954"/>
    <x v="0"/>
    <s v="NEGOCIOS"/>
  </r>
  <r>
    <x v="53"/>
    <x v="135"/>
    <x v="6"/>
    <x v="20"/>
    <x v="111"/>
    <x v="946"/>
    <x v="0"/>
    <s v="NEGOCIOS"/>
  </r>
  <r>
    <x v="53"/>
    <x v="56"/>
    <x v="6"/>
    <x v="21"/>
    <x v="193"/>
    <x v="955"/>
    <x v="0"/>
    <s v="NEGOCIOS"/>
  </r>
  <r>
    <x v="53"/>
    <x v="67"/>
    <x v="6"/>
    <x v="21"/>
    <x v="173"/>
    <x v="807"/>
    <x v="0"/>
    <s v="NEGOCIOS"/>
  </r>
  <r>
    <x v="53"/>
    <x v="162"/>
    <x v="6"/>
    <x v="21"/>
    <x v="194"/>
    <x v="956"/>
    <x v="0"/>
    <s v="NEGOCIOS"/>
  </r>
  <r>
    <x v="53"/>
    <x v="40"/>
    <x v="6"/>
    <x v="20"/>
    <x v="38"/>
    <x v="957"/>
    <x v="0"/>
    <s v="NEGOCIOS"/>
  </r>
  <r>
    <x v="53"/>
    <x v="160"/>
    <x v="6"/>
    <x v="20"/>
    <x v="185"/>
    <x v="958"/>
    <x v="0"/>
    <s v="NEGOCIOS"/>
  </r>
  <r>
    <x v="53"/>
    <x v="160"/>
    <x v="6"/>
    <x v="22"/>
    <x v="185"/>
    <x v="959"/>
    <x v="0"/>
    <s v="NEGOCIOS"/>
  </r>
  <r>
    <x v="53"/>
    <x v="84"/>
    <x v="6"/>
    <x v="20"/>
    <x v="49"/>
    <x v="960"/>
    <x v="0"/>
    <s v="NEGOCIOS"/>
  </r>
  <r>
    <x v="53"/>
    <x v="84"/>
    <x v="6"/>
    <x v="21"/>
    <x v="49"/>
    <x v="961"/>
    <x v="0"/>
    <s v="NEGOCIOS"/>
  </r>
  <r>
    <x v="53"/>
    <x v="59"/>
    <x v="6"/>
    <x v="20"/>
    <x v="31"/>
    <x v="962"/>
    <x v="0"/>
    <s v="NEGOCIOS"/>
  </r>
  <r>
    <x v="53"/>
    <x v="115"/>
    <x v="6"/>
    <x v="20"/>
    <x v="62"/>
    <x v="946"/>
    <x v="0"/>
    <s v="NEGOCIOS"/>
  </r>
  <r>
    <x v="53"/>
    <x v="139"/>
    <x v="6"/>
    <x v="22"/>
    <x v="110"/>
    <x v="860"/>
    <x v="0"/>
    <s v="NEGOCIOS"/>
  </r>
  <r>
    <x v="53"/>
    <x v="146"/>
    <x v="6"/>
    <x v="20"/>
    <x v="195"/>
    <x v="963"/>
    <x v="0"/>
    <s v="NEGOCIOS"/>
  </r>
  <r>
    <x v="53"/>
    <x v="60"/>
    <x v="6"/>
    <x v="21"/>
    <x v="196"/>
    <x v="964"/>
    <x v="0"/>
    <s v="NEGOCIOS"/>
  </r>
  <r>
    <x v="53"/>
    <x v="77"/>
    <x v="6"/>
    <x v="20"/>
    <x v="71"/>
    <x v="965"/>
    <x v="0"/>
    <s v="NEGOCIOS"/>
  </r>
  <r>
    <x v="53"/>
    <x v="28"/>
    <x v="6"/>
    <x v="20"/>
    <x v="63"/>
    <x v="863"/>
    <x v="0"/>
    <s v="NEGOCIOS"/>
  </r>
  <r>
    <x v="53"/>
    <x v="98"/>
    <x v="6"/>
    <x v="20"/>
    <x v="197"/>
    <x v="966"/>
    <x v="0"/>
    <s v="NEGOCIOS"/>
  </r>
  <r>
    <x v="53"/>
    <x v="29"/>
    <x v="6"/>
    <x v="20"/>
    <x v="132"/>
    <x v="967"/>
    <x v="0"/>
    <s v="NEGOCIOS"/>
  </r>
  <r>
    <x v="53"/>
    <x v="22"/>
    <x v="6"/>
    <x v="20"/>
    <x v="163"/>
    <x v="875"/>
    <x v="0"/>
    <s v="NEGOCIOS"/>
  </r>
  <r>
    <x v="53"/>
    <x v="159"/>
    <x v="6"/>
    <x v="20"/>
    <x v="175"/>
    <x v="968"/>
    <x v="0"/>
    <s v="NEGOCIOS"/>
  </r>
  <r>
    <x v="53"/>
    <x v="43"/>
    <x v="6"/>
    <x v="20"/>
    <x v="73"/>
    <x v="969"/>
    <x v="0"/>
    <s v="NEGOCIOS"/>
  </r>
  <r>
    <x v="53"/>
    <x v="103"/>
    <x v="6"/>
    <x v="20"/>
    <x v="198"/>
    <x v="763"/>
    <x v="0"/>
    <s v="NEGOCIOS"/>
  </r>
  <r>
    <x v="53"/>
    <x v="144"/>
    <x v="6"/>
    <x v="20"/>
    <x v="199"/>
    <x v="970"/>
    <x v="0"/>
    <s v="NEGOCIOS"/>
  </r>
  <r>
    <x v="53"/>
    <x v="163"/>
    <x v="6"/>
    <x v="22"/>
    <x v="200"/>
    <x v="971"/>
    <x v="0"/>
    <s v="NEGOCIOS"/>
  </r>
  <r>
    <x v="53"/>
    <x v="51"/>
    <x v="6"/>
    <x v="20"/>
    <x v="178"/>
    <x v="818"/>
    <x v="0"/>
    <s v="NEGOCIOS"/>
  </r>
  <r>
    <x v="53"/>
    <x v="11"/>
    <x v="6"/>
    <x v="20"/>
    <x v="186"/>
    <x v="972"/>
    <x v="0"/>
    <s v="NEGOCIOS"/>
  </r>
  <r>
    <x v="53"/>
    <x v="99"/>
    <x v="6"/>
    <x v="20"/>
    <x v="153"/>
    <x v="973"/>
    <x v="0"/>
    <s v="NEGOCIOS"/>
  </r>
  <r>
    <x v="53"/>
    <x v="105"/>
    <x v="6"/>
    <x v="20"/>
    <x v="179"/>
    <x v="398"/>
    <x v="0"/>
    <s v="NEGOCIOS"/>
  </r>
  <r>
    <x v="53"/>
    <x v="105"/>
    <x v="6"/>
    <x v="21"/>
    <x v="179"/>
    <x v="961"/>
    <x v="0"/>
    <s v="NEGOCIOS"/>
  </r>
  <r>
    <x v="53"/>
    <x v="133"/>
    <x v="6"/>
    <x v="20"/>
    <x v="102"/>
    <x v="872"/>
    <x v="0"/>
    <s v="NEGOCIOS"/>
  </r>
  <r>
    <x v="53"/>
    <x v="12"/>
    <x v="6"/>
    <x v="20"/>
    <x v="103"/>
    <x v="974"/>
    <x v="0"/>
    <s v="NEGOCIOS"/>
  </r>
  <r>
    <x v="53"/>
    <x v="75"/>
    <x v="6"/>
    <x v="20"/>
    <x v="39"/>
    <x v="853"/>
    <x v="0"/>
    <s v="NEGOCIOS"/>
  </r>
  <r>
    <x v="53"/>
    <x v="93"/>
    <x v="6"/>
    <x v="20"/>
    <x v="80"/>
    <x v="819"/>
    <x v="0"/>
    <s v="NEGOCIOS"/>
  </r>
  <r>
    <x v="53"/>
    <x v="94"/>
    <x v="6"/>
    <x v="20"/>
    <x v="180"/>
    <x v="905"/>
    <x v="0"/>
    <s v="NEGOCIOS"/>
  </r>
  <r>
    <x v="53"/>
    <x v="134"/>
    <x v="6"/>
    <x v="21"/>
    <x v="104"/>
    <x v="975"/>
    <x v="0"/>
    <s v="NEGOCIOS"/>
  </r>
  <r>
    <x v="53"/>
    <x v="134"/>
    <x v="6"/>
    <x v="20"/>
    <x v="104"/>
    <x v="976"/>
    <x v="0"/>
    <s v="NEGOCIOS"/>
  </r>
  <r>
    <x v="53"/>
    <x v="65"/>
    <x v="6"/>
    <x v="22"/>
    <x v="165"/>
    <x v="977"/>
    <x v="0"/>
    <s v="NEGOCIOS"/>
  </r>
  <r>
    <x v="53"/>
    <x v="65"/>
    <x v="6"/>
    <x v="20"/>
    <x v="165"/>
    <x v="398"/>
    <x v="0"/>
    <s v="NEGOCIOS"/>
  </r>
  <r>
    <x v="53"/>
    <x v="17"/>
    <x v="6"/>
    <x v="22"/>
    <x v="201"/>
    <x v="978"/>
    <x v="0"/>
    <s v="NEGOCIOS"/>
  </r>
  <r>
    <x v="53"/>
    <x v="142"/>
    <x v="6"/>
    <x v="20"/>
    <x v="117"/>
    <x v="856"/>
    <x v="0"/>
    <s v="NEGOCIOS"/>
  </r>
  <r>
    <x v="53"/>
    <x v="164"/>
    <x v="6"/>
    <x v="20"/>
    <x v="202"/>
    <x v="801"/>
    <x v="0"/>
    <s v="NEGOCIOS"/>
  </r>
  <r>
    <x v="53"/>
    <x v="3"/>
    <x v="6"/>
    <x v="20"/>
    <x v="30"/>
    <x v="979"/>
    <x v="0"/>
    <s v="NEGOCIOS"/>
  </r>
  <r>
    <x v="53"/>
    <x v="58"/>
    <x v="6"/>
    <x v="20"/>
    <x v="29"/>
    <x v="980"/>
    <x v="0"/>
    <s v="NEGOCIOS"/>
  </r>
  <r>
    <x v="53"/>
    <x v="19"/>
    <x v="6"/>
    <x v="22"/>
    <x v="118"/>
    <x v="811"/>
    <x v="4"/>
    <s v="NEGOCIOS"/>
  </r>
  <r>
    <x v="53"/>
    <x v="20"/>
    <x v="6"/>
    <x v="20"/>
    <x v="87"/>
    <x v="799"/>
    <x v="0"/>
    <s v="NEGOCIOS"/>
  </r>
  <r>
    <x v="53"/>
    <x v="29"/>
    <x v="2"/>
    <x v="21"/>
    <x v="132"/>
    <x v="981"/>
    <x v="0"/>
    <s v="NEGOCIOS"/>
  </r>
  <r>
    <x v="53"/>
    <x v="45"/>
    <x v="2"/>
    <x v="20"/>
    <x v="107"/>
    <x v="844"/>
    <x v="0"/>
    <s v="NEGOCIOS"/>
  </r>
  <r>
    <x v="53"/>
    <x v="4"/>
    <x v="21"/>
    <x v="21"/>
    <x v="183"/>
    <x v="946"/>
    <x v="0"/>
    <s v="NEGOCIOS"/>
  </r>
  <r>
    <x v="53"/>
    <x v="22"/>
    <x v="7"/>
    <x v="20"/>
    <x v="163"/>
    <x v="982"/>
    <x v="0"/>
    <s v="NEGOCIOS"/>
  </r>
  <r>
    <x v="53"/>
    <x v="105"/>
    <x v="7"/>
    <x v="20"/>
    <x v="179"/>
    <x v="983"/>
    <x v="0"/>
    <s v="NEGOCIOS"/>
  </r>
  <r>
    <x v="53"/>
    <x v="46"/>
    <x v="7"/>
    <x v="22"/>
    <x v="95"/>
    <x v="984"/>
    <x v="0"/>
    <s v="NEGOCIOS"/>
  </r>
  <r>
    <x v="53"/>
    <x v="143"/>
    <x v="7"/>
    <x v="20"/>
    <x v="166"/>
    <x v="872"/>
    <x v="0"/>
    <s v="NEGOCIOS"/>
  </r>
  <r>
    <x v="53"/>
    <x v="95"/>
    <x v="7"/>
    <x v="22"/>
    <x v="164"/>
    <x v="985"/>
    <x v="0"/>
    <s v="NEGOCIOS"/>
  </r>
  <r>
    <x v="53"/>
    <x v="125"/>
    <x v="7"/>
    <x v="20"/>
    <x v="81"/>
    <x v="986"/>
    <x v="0"/>
    <s v="NEGOCIOS"/>
  </r>
  <r>
    <x v="53"/>
    <x v="126"/>
    <x v="7"/>
    <x v="20"/>
    <x v="82"/>
    <x v="987"/>
    <x v="0"/>
    <s v="NEGOCIOS"/>
  </r>
  <r>
    <x v="53"/>
    <x v="114"/>
    <x v="22"/>
    <x v="21"/>
    <x v="203"/>
    <x v="988"/>
    <x v="0"/>
    <s v="NEGOCIOS"/>
  </r>
  <r>
    <x v="53"/>
    <x v="86"/>
    <x v="23"/>
    <x v="22"/>
    <x v="204"/>
    <x v="989"/>
    <x v="0"/>
    <s v="NEGOCIOS"/>
  </r>
  <r>
    <x v="53"/>
    <x v="114"/>
    <x v="23"/>
    <x v="22"/>
    <x v="203"/>
    <x v="811"/>
    <x v="13"/>
    <s v="NEGOCIOS"/>
  </r>
  <r>
    <x v="53"/>
    <x v="121"/>
    <x v="8"/>
    <x v="21"/>
    <x v="135"/>
    <x v="875"/>
    <x v="0"/>
    <s v="NEGOCIOS"/>
  </r>
  <r>
    <x v="53"/>
    <x v="67"/>
    <x v="8"/>
    <x v="21"/>
    <x v="173"/>
    <x v="990"/>
    <x v="0"/>
    <s v="NEGOCIOS"/>
  </r>
  <r>
    <x v="53"/>
    <x v="40"/>
    <x v="8"/>
    <x v="20"/>
    <x v="38"/>
    <x v="991"/>
    <x v="0"/>
    <s v="NEGOCIOS"/>
  </r>
  <r>
    <x v="53"/>
    <x v="27"/>
    <x v="8"/>
    <x v="20"/>
    <x v="113"/>
    <x v="992"/>
    <x v="0"/>
    <s v="NEGOCIOS"/>
  </r>
  <r>
    <x v="53"/>
    <x v="72"/>
    <x v="8"/>
    <x v="20"/>
    <x v="205"/>
    <x v="993"/>
    <x v="0"/>
    <s v="NEGOCIOS"/>
  </r>
  <r>
    <x v="53"/>
    <x v="77"/>
    <x v="8"/>
    <x v="20"/>
    <x v="71"/>
    <x v="994"/>
    <x v="0"/>
    <s v="NEGOCIOS"/>
  </r>
  <r>
    <x v="53"/>
    <x v="77"/>
    <x v="8"/>
    <x v="21"/>
    <x v="71"/>
    <x v="995"/>
    <x v="0"/>
    <s v="NEGOCIOS"/>
  </r>
  <r>
    <x v="53"/>
    <x v="5"/>
    <x v="8"/>
    <x v="20"/>
    <x v="206"/>
    <x v="996"/>
    <x v="0"/>
    <s v="NEGOCIOS"/>
  </r>
  <r>
    <x v="53"/>
    <x v="29"/>
    <x v="8"/>
    <x v="20"/>
    <x v="132"/>
    <x v="997"/>
    <x v="0"/>
    <s v="NEGOCIOS"/>
  </r>
  <r>
    <x v="53"/>
    <x v="29"/>
    <x v="8"/>
    <x v="22"/>
    <x v="132"/>
    <x v="998"/>
    <x v="0"/>
    <s v="NEGOCIOS"/>
  </r>
  <r>
    <x v="53"/>
    <x v="16"/>
    <x v="8"/>
    <x v="20"/>
    <x v="101"/>
    <x v="996"/>
    <x v="0"/>
    <s v="NEGOCIOS"/>
  </r>
  <r>
    <x v="53"/>
    <x v="159"/>
    <x v="8"/>
    <x v="20"/>
    <x v="175"/>
    <x v="735"/>
    <x v="0"/>
    <s v="NEGOCIOS"/>
  </r>
  <r>
    <x v="53"/>
    <x v="103"/>
    <x v="8"/>
    <x v="20"/>
    <x v="198"/>
    <x v="999"/>
    <x v="0"/>
    <s v="NEGOCIOS"/>
  </r>
  <r>
    <x v="53"/>
    <x v="113"/>
    <x v="8"/>
    <x v="20"/>
    <x v="177"/>
    <x v="1000"/>
    <x v="0"/>
    <s v="NEGOCIOS"/>
  </r>
  <r>
    <x v="53"/>
    <x v="12"/>
    <x v="8"/>
    <x v="20"/>
    <x v="103"/>
    <x v="1001"/>
    <x v="0"/>
    <s v="NEGOCIOS"/>
  </r>
  <r>
    <x v="53"/>
    <x v="141"/>
    <x v="8"/>
    <x v="21"/>
    <x v="188"/>
    <x v="1002"/>
    <x v="0"/>
    <s v="NEGOCIOS"/>
  </r>
  <r>
    <x v="53"/>
    <x v="13"/>
    <x v="8"/>
    <x v="20"/>
    <x v="207"/>
    <x v="1003"/>
    <x v="0"/>
    <s v="NEGOCIOS"/>
  </r>
  <r>
    <x v="53"/>
    <x v="143"/>
    <x v="8"/>
    <x v="22"/>
    <x v="166"/>
    <x v="735"/>
    <x v="0"/>
    <s v="NEGOCIOS"/>
  </r>
  <r>
    <x v="53"/>
    <x v="164"/>
    <x v="8"/>
    <x v="20"/>
    <x v="202"/>
    <x v="1004"/>
    <x v="0"/>
    <s v="NEGOCIOS"/>
  </r>
  <r>
    <x v="53"/>
    <x v="58"/>
    <x v="8"/>
    <x v="20"/>
    <x v="29"/>
    <x v="1005"/>
    <x v="0"/>
    <s v="NEGOCIOS"/>
  </r>
  <r>
    <x v="53"/>
    <x v="157"/>
    <x v="9"/>
    <x v="22"/>
    <x v="160"/>
    <x v="1006"/>
    <x v="0"/>
    <s v="NEGOCIOS"/>
  </r>
  <r>
    <x v="53"/>
    <x v="152"/>
    <x v="9"/>
    <x v="22"/>
    <x v="161"/>
    <x v="1007"/>
    <x v="0"/>
    <s v="NEGOCIOS"/>
  </r>
  <r>
    <x v="53"/>
    <x v="40"/>
    <x v="9"/>
    <x v="20"/>
    <x v="38"/>
    <x v="753"/>
    <x v="0"/>
    <s v="NEGOCIOS"/>
  </r>
  <r>
    <x v="53"/>
    <x v="91"/>
    <x v="9"/>
    <x v="22"/>
    <x v="162"/>
    <x v="1008"/>
    <x v="0"/>
    <s v="NEGOCIOS"/>
  </r>
  <r>
    <x v="53"/>
    <x v="84"/>
    <x v="9"/>
    <x v="20"/>
    <x v="49"/>
    <x v="1009"/>
    <x v="0"/>
    <s v="NEGOCIOS"/>
  </r>
  <r>
    <x v="53"/>
    <x v="139"/>
    <x v="9"/>
    <x v="20"/>
    <x v="110"/>
    <x v="1010"/>
    <x v="0"/>
    <s v="NEGOCIOS"/>
  </r>
  <r>
    <x v="53"/>
    <x v="61"/>
    <x v="9"/>
    <x v="20"/>
    <x v="43"/>
    <x v="1011"/>
    <x v="0"/>
    <s v="NEGOCIOS"/>
  </r>
  <r>
    <x v="53"/>
    <x v="28"/>
    <x v="9"/>
    <x v="22"/>
    <x v="63"/>
    <x v="1012"/>
    <x v="0"/>
    <s v="NEGOCIOS"/>
  </r>
  <r>
    <x v="53"/>
    <x v="78"/>
    <x v="9"/>
    <x v="20"/>
    <x v="147"/>
    <x v="1013"/>
    <x v="0"/>
    <s v="NEGOCIOS"/>
  </r>
  <r>
    <x v="53"/>
    <x v="128"/>
    <x v="9"/>
    <x v="22"/>
    <x v="84"/>
    <x v="811"/>
    <x v="14"/>
    <s v="NEGOCIOS"/>
  </r>
  <r>
    <x v="53"/>
    <x v="22"/>
    <x v="9"/>
    <x v="22"/>
    <x v="163"/>
    <x v="1014"/>
    <x v="0"/>
    <s v="NEGOCIOS"/>
  </r>
  <r>
    <x v="53"/>
    <x v="50"/>
    <x v="9"/>
    <x v="20"/>
    <x v="126"/>
    <x v="1015"/>
    <x v="0"/>
    <s v="NEGOCIOS"/>
  </r>
  <r>
    <x v="53"/>
    <x v="45"/>
    <x v="9"/>
    <x v="20"/>
    <x v="107"/>
    <x v="1016"/>
    <x v="0"/>
    <s v="NEGOCIOS"/>
  </r>
  <r>
    <x v="53"/>
    <x v="145"/>
    <x v="9"/>
    <x v="22"/>
    <x v="127"/>
    <x v="1017"/>
    <x v="0"/>
    <s v="NEGOCIOS"/>
  </r>
  <r>
    <x v="53"/>
    <x v="133"/>
    <x v="9"/>
    <x v="20"/>
    <x v="102"/>
    <x v="1018"/>
    <x v="0"/>
    <s v="NEGOCIOS"/>
  </r>
  <r>
    <x v="53"/>
    <x v="53"/>
    <x v="9"/>
    <x v="20"/>
    <x v="208"/>
    <x v="1013"/>
    <x v="0"/>
    <s v="NEGOCIOS"/>
  </r>
  <r>
    <x v="53"/>
    <x v="110"/>
    <x v="9"/>
    <x v="20"/>
    <x v="189"/>
    <x v="1016"/>
    <x v="0"/>
    <s v="NEGOCIOS"/>
  </r>
  <r>
    <x v="53"/>
    <x v="95"/>
    <x v="9"/>
    <x v="22"/>
    <x v="164"/>
    <x v="1019"/>
    <x v="0"/>
    <s v="NEGOCIOS"/>
  </r>
  <r>
    <x v="53"/>
    <x v="125"/>
    <x v="9"/>
    <x v="20"/>
    <x v="81"/>
    <x v="1016"/>
    <x v="0"/>
    <s v="NEGOCIOS"/>
  </r>
  <r>
    <x v="53"/>
    <x v="33"/>
    <x v="9"/>
    <x v="20"/>
    <x v="86"/>
    <x v="1016"/>
    <x v="0"/>
    <s v="NEGOCIOS"/>
  </r>
  <r>
    <x v="53"/>
    <x v="106"/>
    <x v="10"/>
    <x v="21"/>
    <x v="98"/>
    <x v="735"/>
    <x v="0"/>
    <s v="NEGOCIOS"/>
  </r>
  <r>
    <x v="53"/>
    <x v="156"/>
    <x v="10"/>
    <x v="20"/>
    <x v="181"/>
    <x v="902"/>
    <x v="0"/>
    <s v="NEGOCIOS"/>
  </r>
  <r>
    <x v="53"/>
    <x v="8"/>
    <x v="10"/>
    <x v="21"/>
    <x v="209"/>
    <x v="1020"/>
    <x v="0"/>
    <s v="NEGOCIOS"/>
  </r>
  <r>
    <x v="53"/>
    <x v="54"/>
    <x v="10"/>
    <x v="20"/>
    <x v="210"/>
    <x v="812"/>
    <x v="0"/>
    <s v="NEGOCIOS"/>
  </r>
  <r>
    <x v="53"/>
    <x v="35"/>
    <x v="10"/>
    <x v="21"/>
    <x v="35"/>
    <x v="1021"/>
    <x v="0"/>
    <s v="NEGOCIOS"/>
  </r>
  <r>
    <x v="53"/>
    <x v="157"/>
    <x v="10"/>
    <x v="22"/>
    <x v="160"/>
    <x v="1022"/>
    <x v="0"/>
    <s v="NEGOCIOS"/>
  </r>
  <r>
    <x v="53"/>
    <x v="161"/>
    <x v="10"/>
    <x v="21"/>
    <x v="191"/>
    <x v="735"/>
    <x v="0"/>
    <s v="NEGOCIOS"/>
  </r>
  <r>
    <x v="53"/>
    <x v="82"/>
    <x v="10"/>
    <x v="21"/>
    <x v="48"/>
    <x v="801"/>
    <x v="0"/>
    <s v="NEGOCIOS"/>
  </r>
  <r>
    <x v="53"/>
    <x v="66"/>
    <x v="10"/>
    <x v="21"/>
    <x v="211"/>
    <x v="1023"/>
    <x v="0"/>
    <s v="NEGOCIOS"/>
  </r>
  <r>
    <x v="53"/>
    <x v="39"/>
    <x v="10"/>
    <x v="21"/>
    <x v="212"/>
    <x v="1024"/>
    <x v="0"/>
    <s v="NEGOCIOS"/>
  </r>
  <r>
    <x v="53"/>
    <x v="83"/>
    <x v="10"/>
    <x v="21"/>
    <x v="99"/>
    <x v="1025"/>
    <x v="0"/>
    <s v="NEGOCIOS"/>
  </r>
  <r>
    <x v="53"/>
    <x v="90"/>
    <x v="10"/>
    <x v="21"/>
    <x v="90"/>
    <x v="812"/>
    <x v="0"/>
    <s v="NEGOCIOS"/>
  </r>
  <r>
    <x v="53"/>
    <x v="152"/>
    <x v="10"/>
    <x v="22"/>
    <x v="161"/>
    <x v="1026"/>
    <x v="0"/>
    <s v="NEGOCIOS"/>
  </r>
  <r>
    <x v="53"/>
    <x v="121"/>
    <x v="10"/>
    <x v="21"/>
    <x v="135"/>
    <x v="744"/>
    <x v="0"/>
    <s v="NEGOCIOS"/>
  </r>
  <r>
    <x v="53"/>
    <x v="132"/>
    <x v="10"/>
    <x v="21"/>
    <x v="100"/>
    <x v="1027"/>
    <x v="0"/>
    <s v="NEGOCIOS"/>
  </r>
  <r>
    <x v="53"/>
    <x v="67"/>
    <x v="10"/>
    <x v="21"/>
    <x v="173"/>
    <x v="827"/>
    <x v="0"/>
    <s v="NEGOCIOS"/>
  </r>
  <r>
    <x v="53"/>
    <x v="91"/>
    <x v="10"/>
    <x v="22"/>
    <x v="162"/>
    <x v="1028"/>
    <x v="0"/>
    <s v="NEGOCIOS"/>
  </r>
  <r>
    <x v="53"/>
    <x v="160"/>
    <x v="10"/>
    <x v="20"/>
    <x v="185"/>
    <x v="735"/>
    <x v="0"/>
    <s v="NEGOCIOS"/>
  </r>
  <r>
    <x v="53"/>
    <x v="84"/>
    <x v="10"/>
    <x v="20"/>
    <x v="49"/>
    <x v="1029"/>
    <x v="0"/>
    <s v="NEGOCIOS"/>
  </r>
  <r>
    <x v="53"/>
    <x v="146"/>
    <x v="10"/>
    <x v="20"/>
    <x v="195"/>
    <x v="735"/>
    <x v="0"/>
    <s v="NEGOCIOS"/>
  </r>
  <r>
    <x v="53"/>
    <x v="68"/>
    <x v="10"/>
    <x v="20"/>
    <x v="213"/>
    <x v="776"/>
    <x v="0"/>
    <s v="NEGOCIOS"/>
  </r>
  <r>
    <x v="53"/>
    <x v="97"/>
    <x v="10"/>
    <x v="20"/>
    <x v="114"/>
    <x v="776"/>
    <x v="0"/>
    <s v="NEGOCIOS"/>
  </r>
  <r>
    <x v="53"/>
    <x v="165"/>
    <x v="10"/>
    <x v="22"/>
    <x v="214"/>
    <x v="811"/>
    <x v="15"/>
    <s v="NEGOCIOS"/>
  </r>
  <r>
    <x v="53"/>
    <x v="15"/>
    <x v="10"/>
    <x v="20"/>
    <x v="91"/>
    <x v="902"/>
    <x v="0"/>
    <s v="NEGOCIOS"/>
  </r>
  <r>
    <x v="53"/>
    <x v="77"/>
    <x v="10"/>
    <x v="20"/>
    <x v="71"/>
    <x v="1027"/>
    <x v="0"/>
    <s v="NEGOCIOS"/>
  </r>
  <r>
    <x v="53"/>
    <x v="28"/>
    <x v="10"/>
    <x v="22"/>
    <x v="63"/>
    <x v="792"/>
    <x v="0"/>
    <s v="NEGOCIOS"/>
  </r>
  <r>
    <x v="53"/>
    <x v="18"/>
    <x v="10"/>
    <x v="20"/>
    <x v="124"/>
    <x v="1030"/>
    <x v="0"/>
    <s v="NEGOCIOS"/>
  </r>
  <r>
    <x v="53"/>
    <x v="98"/>
    <x v="10"/>
    <x v="20"/>
    <x v="197"/>
    <x v="1030"/>
    <x v="0"/>
    <s v="NEGOCIOS"/>
  </r>
  <r>
    <x v="53"/>
    <x v="29"/>
    <x v="10"/>
    <x v="21"/>
    <x v="132"/>
    <x v="961"/>
    <x v="0"/>
    <s v="NEGOCIOS"/>
  </r>
  <r>
    <x v="53"/>
    <x v="154"/>
    <x v="10"/>
    <x v="20"/>
    <x v="215"/>
    <x v="902"/>
    <x v="0"/>
    <s v="NEGOCIOS"/>
  </r>
  <r>
    <x v="53"/>
    <x v="111"/>
    <x v="10"/>
    <x v="20"/>
    <x v="146"/>
    <x v="1031"/>
    <x v="0"/>
    <s v="NEGOCIOS"/>
  </r>
  <r>
    <x v="53"/>
    <x v="101"/>
    <x v="10"/>
    <x v="20"/>
    <x v="150"/>
    <x v="875"/>
    <x v="0"/>
    <s v="NEGOCIOS"/>
  </r>
  <r>
    <x v="53"/>
    <x v="6"/>
    <x v="10"/>
    <x v="20"/>
    <x v="125"/>
    <x v="1032"/>
    <x v="0"/>
    <s v="NEGOCIOS"/>
  </r>
  <r>
    <x v="53"/>
    <x v="30"/>
    <x v="10"/>
    <x v="20"/>
    <x v="216"/>
    <x v="925"/>
    <x v="0"/>
    <s v="NEGOCIOS"/>
  </r>
  <r>
    <x v="53"/>
    <x v="42"/>
    <x v="10"/>
    <x v="20"/>
    <x v="151"/>
    <x v="1033"/>
    <x v="0"/>
    <s v="NEGOCIOS"/>
  </r>
  <r>
    <x v="53"/>
    <x v="128"/>
    <x v="10"/>
    <x v="22"/>
    <x v="84"/>
    <x v="811"/>
    <x v="16"/>
    <s v="NEGOCIOS"/>
  </r>
  <r>
    <x v="53"/>
    <x v="22"/>
    <x v="10"/>
    <x v="20"/>
    <x v="163"/>
    <x v="1034"/>
    <x v="0"/>
    <s v="NEGOCIOS"/>
  </r>
  <r>
    <x v="53"/>
    <x v="22"/>
    <x v="10"/>
    <x v="22"/>
    <x v="163"/>
    <x v="1035"/>
    <x v="0"/>
    <s v="NEGOCIOS"/>
  </r>
  <r>
    <x v="53"/>
    <x v="31"/>
    <x v="10"/>
    <x v="20"/>
    <x v="72"/>
    <x v="1036"/>
    <x v="0"/>
    <s v="NEGOCIOS"/>
  </r>
  <r>
    <x v="53"/>
    <x v="102"/>
    <x v="10"/>
    <x v="20"/>
    <x v="137"/>
    <x v="735"/>
    <x v="0"/>
    <s v="NEGOCIOS"/>
  </r>
  <r>
    <x v="53"/>
    <x v="10"/>
    <x v="10"/>
    <x v="20"/>
    <x v="152"/>
    <x v="1037"/>
    <x v="0"/>
    <s v="NEGOCIOS"/>
  </r>
  <r>
    <x v="53"/>
    <x v="104"/>
    <x v="10"/>
    <x v="20"/>
    <x v="74"/>
    <x v="734"/>
    <x v="0"/>
    <s v="NEGOCIOS"/>
  </r>
  <r>
    <x v="53"/>
    <x v="129"/>
    <x v="10"/>
    <x v="20"/>
    <x v="85"/>
    <x v="735"/>
    <x v="0"/>
    <s v="NEGOCIOS"/>
  </r>
  <r>
    <x v="53"/>
    <x v="109"/>
    <x v="10"/>
    <x v="20"/>
    <x v="58"/>
    <x v="1038"/>
    <x v="0"/>
    <s v="NEGOCIOS"/>
  </r>
  <r>
    <x v="53"/>
    <x v="145"/>
    <x v="10"/>
    <x v="22"/>
    <x v="127"/>
    <x v="1039"/>
    <x v="0"/>
    <s v="NEGOCIOS"/>
  </r>
  <r>
    <x v="53"/>
    <x v="105"/>
    <x v="10"/>
    <x v="20"/>
    <x v="179"/>
    <x v="1040"/>
    <x v="0"/>
    <s v="NEGOCIOS"/>
  </r>
  <r>
    <x v="53"/>
    <x v="93"/>
    <x v="10"/>
    <x v="20"/>
    <x v="80"/>
    <x v="1041"/>
    <x v="0"/>
    <s v="NEGOCIOS"/>
  </r>
  <r>
    <x v="53"/>
    <x v="94"/>
    <x v="10"/>
    <x v="20"/>
    <x v="180"/>
    <x v="735"/>
    <x v="0"/>
    <s v="NEGOCIOS"/>
  </r>
  <r>
    <x v="53"/>
    <x v="13"/>
    <x v="10"/>
    <x v="20"/>
    <x v="207"/>
    <x v="777"/>
    <x v="0"/>
    <s v="NEGOCIOS"/>
  </r>
  <r>
    <x v="53"/>
    <x v="143"/>
    <x v="10"/>
    <x v="22"/>
    <x v="166"/>
    <x v="872"/>
    <x v="0"/>
    <s v="NEGOCIOS"/>
  </r>
  <r>
    <x v="53"/>
    <x v="95"/>
    <x v="10"/>
    <x v="22"/>
    <x v="164"/>
    <x v="1042"/>
    <x v="0"/>
    <s v="NEGOCIOS"/>
  </r>
  <r>
    <x v="53"/>
    <x v="126"/>
    <x v="10"/>
    <x v="20"/>
    <x v="82"/>
    <x v="1043"/>
    <x v="0"/>
    <s v="NEGOCIOS"/>
  </r>
  <r>
    <x v="53"/>
    <x v="164"/>
    <x v="10"/>
    <x v="20"/>
    <x v="202"/>
    <x v="735"/>
    <x v="0"/>
    <s v="NEGOCIOS"/>
  </r>
  <r>
    <x v="53"/>
    <x v="164"/>
    <x v="10"/>
    <x v="21"/>
    <x v="202"/>
    <x v="813"/>
    <x v="0"/>
    <s v="NEGOCIOS"/>
  </r>
  <r>
    <x v="53"/>
    <x v="3"/>
    <x v="10"/>
    <x v="20"/>
    <x v="30"/>
    <x v="475"/>
    <x v="0"/>
    <s v="NEGOCIOS"/>
  </r>
  <r>
    <x v="53"/>
    <x v="20"/>
    <x v="10"/>
    <x v="20"/>
    <x v="87"/>
    <x v="1044"/>
    <x v="0"/>
    <s v="NEGOCIOS"/>
  </r>
  <r>
    <x v="53"/>
    <x v="157"/>
    <x v="11"/>
    <x v="22"/>
    <x v="160"/>
    <x v="1045"/>
    <x v="0"/>
    <s v="NEGOCIOS"/>
  </r>
  <r>
    <x v="53"/>
    <x v="152"/>
    <x v="11"/>
    <x v="22"/>
    <x v="161"/>
    <x v="1046"/>
    <x v="0"/>
    <s v="NEGOCIOS"/>
  </r>
  <r>
    <x v="53"/>
    <x v="91"/>
    <x v="11"/>
    <x v="22"/>
    <x v="162"/>
    <x v="1047"/>
    <x v="0"/>
    <s v="NEGOCIOS"/>
  </r>
  <r>
    <x v="53"/>
    <x v="28"/>
    <x v="11"/>
    <x v="22"/>
    <x v="63"/>
    <x v="1048"/>
    <x v="0"/>
    <s v="NEGOCIOS"/>
  </r>
  <r>
    <x v="53"/>
    <x v="128"/>
    <x v="11"/>
    <x v="22"/>
    <x v="84"/>
    <x v="811"/>
    <x v="17"/>
    <s v="NEGOCIOS"/>
  </r>
  <r>
    <x v="53"/>
    <x v="22"/>
    <x v="11"/>
    <x v="22"/>
    <x v="163"/>
    <x v="1049"/>
    <x v="0"/>
    <s v="NEGOCIOS"/>
  </r>
  <r>
    <x v="53"/>
    <x v="129"/>
    <x v="11"/>
    <x v="22"/>
    <x v="85"/>
    <x v="1050"/>
    <x v="0"/>
    <s v="NEGOCIOS"/>
  </r>
  <r>
    <x v="53"/>
    <x v="145"/>
    <x v="11"/>
    <x v="22"/>
    <x v="127"/>
    <x v="1051"/>
    <x v="0"/>
    <s v="NEGOCIOS"/>
  </r>
  <r>
    <x v="53"/>
    <x v="95"/>
    <x v="11"/>
    <x v="22"/>
    <x v="164"/>
    <x v="1052"/>
    <x v="0"/>
    <s v="NEGOCIOS"/>
  </r>
  <r>
    <x v="53"/>
    <x v="87"/>
    <x v="24"/>
    <x v="21"/>
    <x v="129"/>
    <x v="1053"/>
    <x v="0"/>
    <s v="NEGOCIOS"/>
  </r>
  <r>
    <x v="53"/>
    <x v="88"/>
    <x v="24"/>
    <x v="21"/>
    <x v="138"/>
    <x v="870"/>
    <x v="0"/>
    <s v="NEGOCIOS"/>
  </r>
  <r>
    <x v="53"/>
    <x v="76"/>
    <x v="24"/>
    <x v="21"/>
    <x v="42"/>
    <x v="796"/>
    <x v="0"/>
    <s v="NEGOCIOS"/>
  </r>
  <r>
    <x v="53"/>
    <x v="155"/>
    <x v="24"/>
    <x v="22"/>
    <x v="217"/>
    <x v="1054"/>
    <x v="0"/>
    <s v="NEGOCIOS"/>
  </r>
  <r>
    <x v="53"/>
    <x v="149"/>
    <x v="24"/>
    <x v="21"/>
    <x v="192"/>
    <x v="1055"/>
    <x v="0"/>
    <s v="NEGOCIOS"/>
  </r>
  <r>
    <x v="53"/>
    <x v="90"/>
    <x v="24"/>
    <x v="21"/>
    <x v="90"/>
    <x v="1056"/>
    <x v="0"/>
    <s v="NEGOCIOS"/>
  </r>
  <r>
    <x v="53"/>
    <x v="74"/>
    <x v="24"/>
    <x v="20"/>
    <x v="37"/>
    <x v="1057"/>
    <x v="0"/>
    <s v="NEGOCIOS"/>
  </r>
  <r>
    <x v="53"/>
    <x v="2"/>
    <x v="24"/>
    <x v="21"/>
    <x v="172"/>
    <x v="1058"/>
    <x v="0"/>
    <s v="NEGOCIOS"/>
  </r>
  <r>
    <x v="53"/>
    <x v="148"/>
    <x v="24"/>
    <x v="21"/>
    <x v="131"/>
    <x v="741"/>
    <x v="0"/>
    <s v="NEGOCIOS"/>
  </r>
  <r>
    <x v="53"/>
    <x v="135"/>
    <x v="24"/>
    <x v="21"/>
    <x v="111"/>
    <x v="927"/>
    <x v="0"/>
    <s v="NEGOCIOS"/>
  </r>
  <r>
    <x v="53"/>
    <x v="166"/>
    <x v="24"/>
    <x v="21"/>
    <x v="218"/>
    <x v="1059"/>
    <x v="0"/>
    <s v="NEGOCIOS"/>
  </r>
  <r>
    <x v="53"/>
    <x v="23"/>
    <x v="24"/>
    <x v="21"/>
    <x v="184"/>
    <x v="1060"/>
    <x v="0"/>
    <s v="NEGOCIOS"/>
  </r>
  <r>
    <x v="53"/>
    <x v="167"/>
    <x v="24"/>
    <x v="20"/>
    <x v="219"/>
    <x v="1061"/>
    <x v="0"/>
    <s v="NEGOCIOS"/>
  </r>
  <r>
    <x v="53"/>
    <x v="84"/>
    <x v="24"/>
    <x v="22"/>
    <x v="49"/>
    <x v="1062"/>
    <x v="0"/>
    <s v="NEGOCIOS"/>
  </r>
  <r>
    <x v="53"/>
    <x v="60"/>
    <x v="24"/>
    <x v="20"/>
    <x v="196"/>
    <x v="1063"/>
    <x v="0"/>
    <s v="NEGOCIOS"/>
  </r>
  <r>
    <x v="53"/>
    <x v="77"/>
    <x v="24"/>
    <x v="21"/>
    <x v="71"/>
    <x v="1064"/>
    <x v="0"/>
    <s v="NEGOCIOS"/>
  </r>
  <r>
    <x v="53"/>
    <x v="77"/>
    <x v="24"/>
    <x v="20"/>
    <x v="71"/>
    <x v="1065"/>
    <x v="0"/>
    <s v="NEGOCIOS"/>
  </r>
  <r>
    <x v="53"/>
    <x v="29"/>
    <x v="24"/>
    <x v="20"/>
    <x v="132"/>
    <x v="1066"/>
    <x v="0"/>
    <s v="NEGOCIOS"/>
  </r>
  <r>
    <x v="53"/>
    <x v="16"/>
    <x v="24"/>
    <x v="20"/>
    <x v="101"/>
    <x v="607"/>
    <x v="0"/>
    <s v="NEGOCIOS"/>
  </r>
  <r>
    <x v="53"/>
    <x v="22"/>
    <x v="24"/>
    <x v="21"/>
    <x v="163"/>
    <x v="1067"/>
    <x v="0"/>
    <s v="NEGOCIOS"/>
  </r>
  <r>
    <x v="53"/>
    <x v="144"/>
    <x v="24"/>
    <x v="22"/>
    <x v="199"/>
    <x v="811"/>
    <x v="18"/>
    <s v="NEGOCIOS"/>
  </r>
  <r>
    <x v="53"/>
    <x v="13"/>
    <x v="24"/>
    <x v="20"/>
    <x v="207"/>
    <x v="1068"/>
    <x v="0"/>
    <s v="NEGOCIOS"/>
  </r>
  <r>
    <x v="53"/>
    <x v="143"/>
    <x v="24"/>
    <x v="20"/>
    <x v="166"/>
    <x v="1055"/>
    <x v="0"/>
    <s v="NEGOCIOS"/>
  </r>
  <r>
    <x v="53"/>
    <x v="100"/>
    <x v="24"/>
    <x v="21"/>
    <x v="220"/>
    <x v="1069"/>
    <x v="0"/>
    <s v="NEGOCIOS"/>
  </r>
  <r>
    <x v="53"/>
    <x v="157"/>
    <x v="12"/>
    <x v="22"/>
    <x v="160"/>
    <x v="1070"/>
    <x v="0"/>
    <s v="NEGOCIOS"/>
  </r>
  <r>
    <x v="53"/>
    <x v="152"/>
    <x v="12"/>
    <x v="22"/>
    <x v="161"/>
    <x v="1071"/>
    <x v="0"/>
    <s v="NEGOCIOS"/>
  </r>
  <r>
    <x v="53"/>
    <x v="37"/>
    <x v="12"/>
    <x v="22"/>
    <x v="171"/>
    <x v="1072"/>
    <x v="0"/>
    <s v="NEGOCIOS"/>
  </r>
  <r>
    <x v="53"/>
    <x v="91"/>
    <x v="12"/>
    <x v="22"/>
    <x v="162"/>
    <x v="1073"/>
    <x v="0"/>
    <s v="NEGOCIOS"/>
  </r>
  <r>
    <x v="53"/>
    <x v="158"/>
    <x v="12"/>
    <x v="20"/>
    <x v="174"/>
    <x v="1074"/>
    <x v="0"/>
    <s v="NEGOCIOS"/>
  </r>
  <r>
    <x v="53"/>
    <x v="168"/>
    <x v="12"/>
    <x v="22"/>
    <x v="221"/>
    <x v="1075"/>
    <x v="0"/>
    <s v="NEGOCIOS"/>
  </r>
  <r>
    <x v="53"/>
    <x v="6"/>
    <x v="12"/>
    <x v="20"/>
    <x v="125"/>
    <x v="741"/>
    <x v="0"/>
    <s v="NEGOCIOS"/>
  </r>
  <r>
    <x v="53"/>
    <x v="123"/>
    <x v="12"/>
    <x v="20"/>
    <x v="176"/>
    <x v="1076"/>
    <x v="0"/>
    <s v="NEGOCIOS"/>
  </r>
  <r>
    <x v="53"/>
    <x v="163"/>
    <x v="12"/>
    <x v="22"/>
    <x v="200"/>
    <x v="1077"/>
    <x v="0"/>
    <s v="NEGOCIOS"/>
  </r>
  <r>
    <x v="53"/>
    <x v="13"/>
    <x v="12"/>
    <x v="20"/>
    <x v="207"/>
    <x v="1078"/>
    <x v="0"/>
    <s v="NEGOCIOS"/>
  </r>
  <r>
    <x v="53"/>
    <x v="143"/>
    <x v="12"/>
    <x v="22"/>
    <x v="166"/>
    <x v="237"/>
    <x v="0"/>
    <s v="NEGOCIOS"/>
  </r>
  <r>
    <x v="53"/>
    <x v="17"/>
    <x v="12"/>
    <x v="20"/>
    <x v="201"/>
    <x v="1079"/>
    <x v="0"/>
    <s v="NEGOCIOS"/>
  </r>
  <r>
    <x v="53"/>
    <x v="106"/>
    <x v="13"/>
    <x v="20"/>
    <x v="98"/>
    <x v="1080"/>
    <x v="0"/>
    <s v="NEGOCIOS"/>
  </r>
  <r>
    <x v="53"/>
    <x v="54"/>
    <x v="13"/>
    <x v="21"/>
    <x v="210"/>
    <x v="1081"/>
    <x v="0"/>
    <s v="NEGOCIOS"/>
  </r>
  <r>
    <x v="53"/>
    <x v="138"/>
    <x v="13"/>
    <x v="21"/>
    <x v="109"/>
    <x v="598"/>
    <x v="0"/>
    <s v="NEGOCIOS"/>
  </r>
  <r>
    <x v="53"/>
    <x v="81"/>
    <x v="13"/>
    <x v="21"/>
    <x v="190"/>
    <x v="1082"/>
    <x v="0"/>
    <s v="NEGOCIOS"/>
  </r>
  <r>
    <x v="53"/>
    <x v="38"/>
    <x v="13"/>
    <x v="21"/>
    <x v="222"/>
    <x v="1083"/>
    <x v="0"/>
    <s v="NEGOCIOS"/>
  </r>
  <r>
    <x v="53"/>
    <x v="82"/>
    <x v="13"/>
    <x v="21"/>
    <x v="48"/>
    <x v="1084"/>
    <x v="0"/>
    <s v="NEGOCIOS"/>
  </r>
  <r>
    <x v="53"/>
    <x v="0"/>
    <x v="13"/>
    <x v="21"/>
    <x v="223"/>
    <x v="1085"/>
    <x v="0"/>
    <s v="NEGOCIOS"/>
  </r>
  <r>
    <x v="53"/>
    <x v="150"/>
    <x v="13"/>
    <x v="21"/>
    <x v="224"/>
    <x v="1086"/>
    <x v="0"/>
    <s v="NEGOCIOS"/>
  </r>
  <r>
    <x v="53"/>
    <x v="21"/>
    <x v="13"/>
    <x v="20"/>
    <x v="67"/>
    <x v="1087"/>
    <x v="0"/>
    <s v="NEGOCIOS"/>
  </r>
  <r>
    <x v="53"/>
    <x v="118"/>
    <x v="13"/>
    <x v="21"/>
    <x v="68"/>
    <x v="1088"/>
    <x v="0"/>
    <s v="NEGOCIOS"/>
  </r>
  <r>
    <x v="53"/>
    <x v="83"/>
    <x v="13"/>
    <x v="21"/>
    <x v="99"/>
    <x v="1089"/>
    <x v="0"/>
    <s v="NEGOCIOS"/>
  </r>
  <r>
    <x v="53"/>
    <x v="1"/>
    <x v="13"/>
    <x v="21"/>
    <x v="225"/>
    <x v="1090"/>
    <x v="0"/>
    <s v="NEGOCIOS"/>
  </r>
  <r>
    <x v="53"/>
    <x v="152"/>
    <x v="13"/>
    <x v="21"/>
    <x v="161"/>
    <x v="1091"/>
    <x v="0"/>
    <s v="NEGOCIOS"/>
  </r>
  <r>
    <x v="53"/>
    <x v="74"/>
    <x v="13"/>
    <x v="21"/>
    <x v="37"/>
    <x v="1092"/>
    <x v="0"/>
    <s v="NEGOCIOS"/>
  </r>
  <r>
    <x v="53"/>
    <x v="2"/>
    <x v="13"/>
    <x v="21"/>
    <x v="172"/>
    <x v="1093"/>
    <x v="0"/>
    <s v="NEGOCIOS"/>
  </r>
  <r>
    <x v="53"/>
    <x v="135"/>
    <x v="13"/>
    <x v="20"/>
    <x v="111"/>
    <x v="1094"/>
    <x v="0"/>
    <s v="NEGOCIOS"/>
  </r>
  <r>
    <x v="53"/>
    <x v="166"/>
    <x v="13"/>
    <x v="21"/>
    <x v="218"/>
    <x v="1095"/>
    <x v="0"/>
    <s v="NEGOCIOS"/>
  </r>
  <r>
    <x v="53"/>
    <x v="132"/>
    <x v="13"/>
    <x v="21"/>
    <x v="100"/>
    <x v="1096"/>
    <x v="0"/>
    <s v="NEGOCIOS"/>
  </r>
  <r>
    <x v="53"/>
    <x v="67"/>
    <x v="13"/>
    <x v="21"/>
    <x v="173"/>
    <x v="1097"/>
    <x v="0"/>
    <s v="NEGOCIOS"/>
  </r>
  <r>
    <x v="53"/>
    <x v="26"/>
    <x v="13"/>
    <x v="21"/>
    <x v="226"/>
    <x v="1098"/>
    <x v="0"/>
    <s v="NEGOCIOS"/>
  </r>
  <r>
    <x v="53"/>
    <x v="40"/>
    <x v="13"/>
    <x v="20"/>
    <x v="38"/>
    <x v="1099"/>
    <x v="0"/>
    <s v="NEGOCIOS"/>
  </r>
  <r>
    <x v="53"/>
    <x v="115"/>
    <x v="13"/>
    <x v="20"/>
    <x v="62"/>
    <x v="1080"/>
    <x v="0"/>
    <s v="NEGOCIOS"/>
  </r>
  <r>
    <x v="53"/>
    <x v="41"/>
    <x v="13"/>
    <x v="20"/>
    <x v="88"/>
    <x v="875"/>
    <x v="0"/>
    <s v="NEGOCIOS"/>
  </r>
  <r>
    <x v="53"/>
    <x v="139"/>
    <x v="13"/>
    <x v="20"/>
    <x v="110"/>
    <x v="1100"/>
    <x v="0"/>
    <s v="NEGOCIOS"/>
  </r>
  <r>
    <x v="53"/>
    <x v="146"/>
    <x v="13"/>
    <x v="20"/>
    <x v="195"/>
    <x v="1101"/>
    <x v="0"/>
    <s v="NEGOCIOS"/>
  </r>
  <r>
    <x v="53"/>
    <x v="72"/>
    <x v="13"/>
    <x v="20"/>
    <x v="205"/>
    <x v="1102"/>
    <x v="0"/>
    <s v="NEGOCIOS"/>
  </r>
  <r>
    <x v="53"/>
    <x v="61"/>
    <x v="13"/>
    <x v="20"/>
    <x v="43"/>
    <x v="532"/>
    <x v="0"/>
    <s v="NEGOCIOS"/>
  </r>
  <r>
    <x v="53"/>
    <x v="73"/>
    <x v="13"/>
    <x v="20"/>
    <x v="227"/>
    <x v="1103"/>
    <x v="0"/>
    <s v="NEGOCIOS"/>
  </r>
  <r>
    <x v="53"/>
    <x v="28"/>
    <x v="13"/>
    <x v="20"/>
    <x v="63"/>
    <x v="1104"/>
    <x v="0"/>
    <s v="NEGOCIOS"/>
  </r>
  <r>
    <x v="53"/>
    <x v="18"/>
    <x v="13"/>
    <x v="20"/>
    <x v="124"/>
    <x v="874"/>
    <x v="0"/>
    <s v="NEGOCIOS"/>
  </r>
  <r>
    <x v="53"/>
    <x v="98"/>
    <x v="13"/>
    <x v="20"/>
    <x v="197"/>
    <x v="735"/>
    <x v="0"/>
    <s v="NEGOCIOS"/>
  </r>
  <r>
    <x v="53"/>
    <x v="29"/>
    <x v="13"/>
    <x v="20"/>
    <x v="132"/>
    <x v="1080"/>
    <x v="0"/>
    <s v="NEGOCIOS"/>
  </r>
  <r>
    <x v="53"/>
    <x v="154"/>
    <x v="13"/>
    <x v="20"/>
    <x v="215"/>
    <x v="1032"/>
    <x v="0"/>
    <s v="NEGOCIOS"/>
  </r>
  <r>
    <x v="53"/>
    <x v="6"/>
    <x v="13"/>
    <x v="20"/>
    <x v="125"/>
    <x v="1105"/>
    <x v="0"/>
    <s v="NEGOCIOS"/>
  </r>
  <r>
    <x v="53"/>
    <x v="128"/>
    <x v="13"/>
    <x v="20"/>
    <x v="84"/>
    <x v="1106"/>
    <x v="0"/>
    <s v="NEGOCIOS"/>
  </r>
  <r>
    <x v="53"/>
    <x v="31"/>
    <x v="13"/>
    <x v="20"/>
    <x v="72"/>
    <x v="1107"/>
    <x v="0"/>
    <s v="NEGOCIOS"/>
  </r>
  <r>
    <x v="53"/>
    <x v="102"/>
    <x v="13"/>
    <x v="20"/>
    <x v="137"/>
    <x v="1108"/>
    <x v="0"/>
    <s v="NEGOCIOS"/>
  </r>
  <r>
    <x v="53"/>
    <x v="44"/>
    <x v="13"/>
    <x v="20"/>
    <x v="94"/>
    <x v="1109"/>
    <x v="0"/>
    <s v="NEGOCIOS"/>
  </r>
  <r>
    <x v="53"/>
    <x v="50"/>
    <x v="13"/>
    <x v="20"/>
    <x v="126"/>
    <x v="1110"/>
    <x v="0"/>
    <s v="NEGOCIOS"/>
  </r>
  <r>
    <x v="53"/>
    <x v="113"/>
    <x v="13"/>
    <x v="20"/>
    <x v="177"/>
    <x v="1111"/>
    <x v="0"/>
    <s v="NEGOCIOS"/>
  </r>
  <r>
    <x v="53"/>
    <x v="99"/>
    <x v="13"/>
    <x v="20"/>
    <x v="153"/>
    <x v="1112"/>
    <x v="0"/>
    <s v="NEGOCIOS"/>
  </r>
  <r>
    <x v="53"/>
    <x v="45"/>
    <x v="13"/>
    <x v="20"/>
    <x v="107"/>
    <x v="776"/>
    <x v="0"/>
    <s v="NEGOCIOS"/>
  </r>
  <r>
    <x v="53"/>
    <x v="86"/>
    <x v="13"/>
    <x v="20"/>
    <x v="204"/>
    <x v="1113"/>
    <x v="0"/>
    <s v="NEGOCIOS"/>
  </r>
  <r>
    <x v="53"/>
    <x v="145"/>
    <x v="13"/>
    <x v="20"/>
    <x v="127"/>
    <x v="1114"/>
    <x v="0"/>
    <s v="NEGOCIOS"/>
  </r>
  <r>
    <x v="53"/>
    <x v="133"/>
    <x v="13"/>
    <x v="20"/>
    <x v="102"/>
    <x v="1115"/>
    <x v="0"/>
    <s v="NEGOCIOS"/>
  </r>
  <r>
    <x v="53"/>
    <x v="75"/>
    <x v="13"/>
    <x v="20"/>
    <x v="39"/>
    <x v="1116"/>
    <x v="0"/>
    <s v="NEGOCIOS"/>
  </r>
  <r>
    <x v="53"/>
    <x v="46"/>
    <x v="13"/>
    <x v="20"/>
    <x v="95"/>
    <x v="1117"/>
    <x v="0"/>
    <s v="NEGOCIOS"/>
  </r>
  <r>
    <x v="53"/>
    <x v="94"/>
    <x v="13"/>
    <x v="20"/>
    <x v="180"/>
    <x v="1118"/>
    <x v="0"/>
    <s v="NEGOCIOS"/>
  </r>
  <r>
    <x v="53"/>
    <x v="13"/>
    <x v="13"/>
    <x v="20"/>
    <x v="207"/>
    <x v="1119"/>
    <x v="0"/>
    <s v="NEGOCIOS"/>
  </r>
  <r>
    <x v="53"/>
    <x v="143"/>
    <x v="13"/>
    <x v="20"/>
    <x v="166"/>
    <x v="812"/>
    <x v="0"/>
    <s v="NEGOCIOS"/>
  </r>
  <r>
    <x v="53"/>
    <x v="125"/>
    <x v="13"/>
    <x v="20"/>
    <x v="81"/>
    <x v="1120"/>
    <x v="0"/>
    <s v="NEGOCIOS"/>
  </r>
  <r>
    <x v="53"/>
    <x v="142"/>
    <x v="13"/>
    <x v="20"/>
    <x v="117"/>
    <x v="1121"/>
    <x v="0"/>
    <s v="NEGOCIOS"/>
  </r>
  <r>
    <x v="53"/>
    <x v="3"/>
    <x v="13"/>
    <x v="20"/>
    <x v="30"/>
    <x v="1122"/>
    <x v="0"/>
    <s v="NEGOCIOS"/>
  </r>
  <r>
    <x v="53"/>
    <x v="106"/>
    <x v="14"/>
    <x v="20"/>
    <x v="98"/>
    <x v="946"/>
    <x v="0"/>
    <s v="NEGOCIOS"/>
  </r>
  <r>
    <x v="53"/>
    <x v="106"/>
    <x v="14"/>
    <x v="21"/>
    <x v="98"/>
    <x v="875"/>
    <x v="0"/>
    <s v="NEGOCIOS"/>
  </r>
  <r>
    <x v="53"/>
    <x v="156"/>
    <x v="14"/>
    <x v="21"/>
    <x v="181"/>
    <x v="875"/>
    <x v="0"/>
    <s v="NEGOCIOS"/>
  </r>
  <r>
    <x v="53"/>
    <x v="8"/>
    <x v="14"/>
    <x v="21"/>
    <x v="209"/>
    <x v="1123"/>
    <x v="0"/>
    <s v="NEGOCIOS"/>
  </r>
  <r>
    <x v="53"/>
    <x v="88"/>
    <x v="14"/>
    <x v="21"/>
    <x v="138"/>
    <x v="875"/>
    <x v="0"/>
    <s v="NEGOCIOS"/>
  </r>
  <r>
    <x v="53"/>
    <x v="21"/>
    <x v="14"/>
    <x v="20"/>
    <x v="67"/>
    <x v="946"/>
    <x v="0"/>
    <s v="NEGOCIOS"/>
  </r>
  <r>
    <x v="53"/>
    <x v="155"/>
    <x v="14"/>
    <x v="21"/>
    <x v="217"/>
    <x v="850"/>
    <x v="0"/>
    <s v="NEGOCIOS"/>
  </r>
  <r>
    <x v="53"/>
    <x v="83"/>
    <x v="14"/>
    <x v="21"/>
    <x v="99"/>
    <x v="875"/>
    <x v="0"/>
    <s v="NEGOCIOS"/>
  </r>
  <r>
    <x v="53"/>
    <x v="152"/>
    <x v="14"/>
    <x v="21"/>
    <x v="161"/>
    <x v="1124"/>
    <x v="0"/>
    <s v="NEGOCIOS"/>
  </r>
  <r>
    <x v="53"/>
    <x v="135"/>
    <x v="14"/>
    <x v="20"/>
    <x v="111"/>
    <x v="946"/>
    <x v="0"/>
    <s v="NEGOCIOS"/>
  </r>
  <r>
    <x v="53"/>
    <x v="56"/>
    <x v="14"/>
    <x v="21"/>
    <x v="193"/>
    <x v="1125"/>
    <x v="0"/>
    <s v="NEGOCIOS"/>
  </r>
  <r>
    <x v="53"/>
    <x v="132"/>
    <x v="14"/>
    <x v="21"/>
    <x v="100"/>
    <x v="874"/>
    <x v="0"/>
    <s v="NEGOCIOS"/>
  </r>
  <r>
    <x v="53"/>
    <x v="26"/>
    <x v="14"/>
    <x v="21"/>
    <x v="226"/>
    <x v="1057"/>
    <x v="0"/>
    <s v="NEGOCIOS"/>
  </r>
  <r>
    <x v="53"/>
    <x v="115"/>
    <x v="14"/>
    <x v="20"/>
    <x v="62"/>
    <x v="946"/>
    <x v="0"/>
    <s v="NEGOCIOS"/>
  </r>
  <r>
    <x v="53"/>
    <x v="41"/>
    <x v="14"/>
    <x v="20"/>
    <x v="88"/>
    <x v="1126"/>
    <x v="0"/>
    <s v="NEGOCIOS"/>
  </r>
  <r>
    <x v="53"/>
    <x v="77"/>
    <x v="14"/>
    <x v="22"/>
    <x v="71"/>
    <x v="811"/>
    <x v="19"/>
    <s v="NEGOCIOS"/>
  </r>
  <r>
    <x v="53"/>
    <x v="29"/>
    <x v="14"/>
    <x v="20"/>
    <x v="132"/>
    <x v="946"/>
    <x v="0"/>
    <s v="NEGOCIOS"/>
  </r>
  <r>
    <x v="53"/>
    <x v="49"/>
    <x v="14"/>
    <x v="20"/>
    <x v="78"/>
    <x v="874"/>
    <x v="0"/>
    <s v="NEGOCIOS"/>
  </r>
  <r>
    <x v="53"/>
    <x v="22"/>
    <x v="14"/>
    <x v="20"/>
    <x v="163"/>
    <x v="1127"/>
    <x v="0"/>
    <s v="NEGOCIOS"/>
  </r>
  <r>
    <x v="53"/>
    <x v="131"/>
    <x v="14"/>
    <x v="20"/>
    <x v="97"/>
    <x v="1128"/>
    <x v="0"/>
    <s v="NEGOCIOS"/>
  </r>
  <r>
    <x v="53"/>
    <x v="159"/>
    <x v="14"/>
    <x v="20"/>
    <x v="175"/>
    <x v="1129"/>
    <x v="0"/>
    <s v="NEGOCIOS"/>
  </r>
  <r>
    <x v="53"/>
    <x v="50"/>
    <x v="14"/>
    <x v="20"/>
    <x v="126"/>
    <x v="946"/>
    <x v="0"/>
    <s v="NEGOCIOS"/>
  </r>
  <r>
    <x v="53"/>
    <x v="113"/>
    <x v="14"/>
    <x v="20"/>
    <x v="177"/>
    <x v="1125"/>
    <x v="0"/>
    <s v="NEGOCIOS"/>
  </r>
  <r>
    <x v="53"/>
    <x v="94"/>
    <x v="14"/>
    <x v="20"/>
    <x v="180"/>
    <x v="946"/>
    <x v="0"/>
    <s v="NEGOCIOS"/>
  </r>
  <r>
    <x v="53"/>
    <x v="119"/>
    <x v="25"/>
    <x v="20"/>
    <x v="69"/>
    <x v="1130"/>
    <x v="0"/>
    <s v="NEGOCIOS"/>
  </r>
  <r>
    <x v="53"/>
    <x v="145"/>
    <x v="25"/>
    <x v="20"/>
    <x v="127"/>
    <x v="983"/>
    <x v="0"/>
    <s v="NEGOCIOS"/>
  </r>
  <r>
    <x v="53"/>
    <x v="77"/>
    <x v="26"/>
    <x v="20"/>
    <x v="71"/>
    <x v="769"/>
    <x v="0"/>
    <s v="NEGOCIOS"/>
  </r>
  <r>
    <x v="53"/>
    <x v="98"/>
    <x v="26"/>
    <x v="20"/>
    <x v="197"/>
    <x v="828"/>
    <x v="0"/>
    <s v="NEGOCIOS"/>
  </r>
  <r>
    <x v="53"/>
    <x v="11"/>
    <x v="26"/>
    <x v="20"/>
    <x v="186"/>
    <x v="1131"/>
    <x v="0"/>
    <s v="NEGOCIOS"/>
  </r>
  <r>
    <x v="53"/>
    <x v="99"/>
    <x v="26"/>
    <x v="20"/>
    <x v="153"/>
    <x v="1132"/>
    <x v="0"/>
    <s v="NEGOCIOS"/>
  </r>
  <r>
    <x v="53"/>
    <x v="109"/>
    <x v="26"/>
    <x v="20"/>
    <x v="58"/>
    <x v="1133"/>
    <x v="0"/>
    <s v="NEGOCIOS"/>
  </r>
  <r>
    <x v="53"/>
    <x v="52"/>
    <x v="26"/>
    <x v="20"/>
    <x v="228"/>
    <x v="1134"/>
    <x v="0"/>
    <s v="NEGOCIOS"/>
  </r>
  <r>
    <x v="53"/>
    <x v="105"/>
    <x v="26"/>
    <x v="20"/>
    <x v="179"/>
    <x v="1135"/>
    <x v="0"/>
    <s v="NEGOCIOS"/>
  </r>
  <r>
    <x v="53"/>
    <x v="110"/>
    <x v="26"/>
    <x v="20"/>
    <x v="189"/>
    <x v="1136"/>
    <x v="0"/>
    <s v="NEGOCIOS"/>
  </r>
  <r>
    <x v="53"/>
    <x v="94"/>
    <x v="26"/>
    <x v="20"/>
    <x v="180"/>
    <x v="1137"/>
    <x v="0"/>
    <s v="NEGOCIOS"/>
  </r>
  <r>
    <x v="53"/>
    <x v="125"/>
    <x v="26"/>
    <x v="21"/>
    <x v="81"/>
    <x v="961"/>
    <x v="0"/>
    <s v="NEGOCIOS"/>
  </r>
  <r>
    <x v="53"/>
    <x v="125"/>
    <x v="26"/>
    <x v="20"/>
    <x v="81"/>
    <x v="197"/>
    <x v="0"/>
    <s v="NEGOCIOS"/>
  </r>
  <r>
    <x v="53"/>
    <x v="32"/>
    <x v="26"/>
    <x v="20"/>
    <x v="40"/>
    <x v="1138"/>
    <x v="0"/>
    <s v="NEGOCIOS"/>
  </r>
  <r>
    <x v="53"/>
    <x v="17"/>
    <x v="26"/>
    <x v="20"/>
    <x v="201"/>
    <x v="773"/>
    <x v="0"/>
    <s v="NEGOCIOS"/>
  </r>
  <r>
    <x v="53"/>
    <x v="100"/>
    <x v="26"/>
    <x v="20"/>
    <x v="220"/>
    <x v="741"/>
    <x v="0"/>
    <s v="NEGOCIOS"/>
  </r>
  <r>
    <x v="53"/>
    <x v="3"/>
    <x v="26"/>
    <x v="20"/>
    <x v="30"/>
    <x v="1139"/>
    <x v="0"/>
    <s v="NEGOCIOS"/>
  </r>
  <r>
    <x v="53"/>
    <x v="19"/>
    <x v="26"/>
    <x v="21"/>
    <x v="118"/>
    <x v="1003"/>
    <x v="0"/>
    <s v="NEGOCIOS"/>
  </r>
  <r>
    <x v="53"/>
    <x v="137"/>
    <x v="27"/>
    <x v="21"/>
    <x v="108"/>
    <x v="1140"/>
    <x v="0"/>
    <s v="NEGOCIOS"/>
  </r>
  <r>
    <x v="53"/>
    <x v="157"/>
    <x v="27"/>
    <x v="22"/>
    <x v="160"/>
    <x v="1141"/>
    <x v="0"/>
    <s v="NEGOCIOS"/>
  </r>
  <r>
    <x v="53"/>
    <x v="152"/>
    <x v="27"/>
    <x v="22"/>
    <x v="161"/>
    <x v="1142"/>
    <x v="0"/>
    <s v="NEGOCIOS"/>
  </r>
  <r>
    <x v="53"/>
    <x v="91"/>
    <x v="27"/>
    <x v="22"/>
    <x v="162"/>
    <x v="1143"/>
    <x v="0"/>
    <s v="NEGOCIOS"/>
  </r>
  <r>
    <x v="53"/>
    <x v="28"/>
    <x v="27"/>
    <x v="22"/>
    <x v="63"/>
    <x v="1144"/>
    <x v="0"/>
    <s v="NEGOCIOS"/>
  </r>
  <r>
    <x v="53"/>
    <x v="128"/>
    <x v="27"/>
    <x v="22"/>
    <x v="84"/>
    <x v="811"/>
    <x v="20"/>
    <s v="NEGOCIOS"/>
  </r>
  <r>
    <x v="53"/>
    <x v="22"/>
    <x v="27"/>
    <x v="22"/>
    <x v="163"/>
    <x v="1145"/>
    <x v="0"/>
    <s v="NEGOCIOS"/>
  </r>
  <r>
    <x v="53"/>
    <x v="54"/>
    <x v="28"/>
    <x v="21"/>
    <x v="210"/>
    <x v="1146"/>
    <x v="0"/>
    <s v="NEGOCIOS"/>
  </r>
  <r>
    <x v="53"/>
    <x v="54"/>
    <x v="28"/>
    <x v="20"/>
    <x v="210"/>
    <x v="1147"/>
    <x v="0"/>
    <s v="NEGOCIOS"/>
  </r>
  <r>
    <x v="53"/>
    <x v="81"/>
    <x v="28"/>
    <x v="21"/>
    <x v="190"/>
    <x v="1148"/>
    <x v="0"/>
    <s v="NEGOCIOS"/>
  </r>
  <r>
    <x v="53"/>
    <x v="35"/>
    <x v="28"/>
    <x v="21"/>
    <x v="35"/>
    <x v="1149"/>
    <x v="0"/>
    <s v="NEGOCIOS"/>
  </r>
  <r>
    <x v="53"/>
    <x v="161"/>
    <x v="28"/>
    <x v="21"/>
    <x v="191"/>
    <x v="1077"/>
    <x v="0"/>
    <s v="NEGOCIOS"/>
  </r>
  <r>
    <x v="53"/>
    <x v="76"/>
    <x v="28"/>
    <x v="21"/>
    <x v="42"/>
    <x v="1150"/>
    <x v="0"/>
    <s v="NEGOCIOS"/>
  </r>
  <r>
    <x v="53"/>
    <x v="83"/>
    <x v="28"/>
    <x v="21"/>
    <x v="99"/>
    <x v="878"/>
    <x v="0"/>
    <s v="NEGOCIOS"/>
  </r>
  <r>
    <x v="53"/>
    <x v="147"/>
    <x v="28"/>
    <x v="21"/>
    <x v="182"/>
    <x v="1151"/>
    <x v="0"/>
    <s v="NEGOCIOS"/>
  </r>
  <r>
    <x v="53"/>
    <x v="74"/>
    <x v="28"/>
    <x v="21"/>
    <x v="37"/>
    <x v="37"/>
    <x v="0"/>
    <s v="NEGOCIOS"/>
  </r>
  <r>
    <x v="53"/>
    <x v="74"/>
    <x v="28"/>
    <x v="20"/>
    <x v="37"/>
    <x v="1152"/>
    <x v="0"/>
    <s v="NEGOCIOS"/>
  </r>
  <r>
    <x v="53"/>
    <x v="37"/>
    <x v="28"/>
    <x v="21"/>
    <x v="171"/>
    <x v="1153"/>
    <x v="0"/>
    <s v="NEGOCIOS"/>
  </r>
  <r>
    <x v="53"/>
    <x v="148"/>
    <x v="28"/>
    <x v="21"/>
    <x v="131"/>
    <x v="1154"/>
    <x v="0"/>
    <s v="NEGOCIOS"/>
  </r>
  <r>
    <x v="53"/>
    <x v="71"/>
    <x v="28"/>
    <x v="21"/>
    <x v="229"/>
    <x v="817"/>
    <x v="0"/>
    <s v="NEGOCIOS"/>
  </r>
  <r>
    <x v="53"/>
    <x v="40"/>
    <x v="28"/>
    <x v="20"/>
    <x v="38"/>
    <x v="1155"/>
    <x v="0"/>
    <s v="NEGOCIOS"/>
  </r>
  <r>
    <x v="53"/>
    <x v="160"/>
    <x v="28"/>
    <x v="20"/>
    <x v="185"/>
    <x v="1156"/>
    <x v="0"/>
    <s v="NEGOCIOS"/>
  </r>
  <r>
    <x v="53"/>
    <x v="92"/>
    <x v="28"/>
    <x v="20"/>
    <x v="230"/>
    <x v="856"/>
    <x v="0"/>
    <s v="NEGOCIOS"/>
  </r>
  <r>
    <x v="53"/>
    <x v="139"/>
    <x v="28"/>
    <x v="20"/>
    <x v="110"/>
    <x v="1157"/>
    <x v="0"/>
    <s v="NEGOCIOS"/>
  </r>
  <r>
    <x v="53"/>
    <x v="68"/>
    <x v="28"/>
    <x v="20"/>
    <x v="213"/>
    <x v="1158"/>
    <x v="0"/>
    <s v="NEGOCIOS"/>
  </r>
  <r>
    <x v="53"/>
    <x v="77"/>
    <x v="28"/>
    <x v="20"/>
    <x v="71"/>
    <x v="1159"/>
    <x v="0"/>
    <s v="NEGOCIOS"/>
  </r>
  <r>
    <x v="53"/>
    <x v="77"/>
    <x v="28"/>
    <x v="21"/>
    <x v="71"/>
    <x v="1160"/>
    <x v="0"/>
    <s v="NEGOCIOS"/>
  </r>
  <r>
    <x v="53"/>
    <x v="62"/>
    <x v="28"/>
    <x v="21"/>
    <x v="123"/>
    <x v="1161"/>
    <x v="0"/>
    <s v="NEGOCIOS"/>
  </r>
  <r>
    <x v="53"/>
    <x v="29"/>
    <x v="28"/>
    <x v="20"/>
    <x v="132"/>
    <x v="1162"/>
    <x v="0"/>
    <s v="NEGOCIOS"/>
  </r>
  <r>
    <x v="53"/>
    <x v="29"/>
    <x v="28"/>
    <x v="21"/>
    <x v="132"/>
    <x v="961"/>
    <x v="0"/>
    <s v="NEGOCIOS"/>
  </r>
  <r>
    <x v="53"/>
    <x v="31"/>
    <x v="28"/>
    <x v="22"/>
    <x v="72"/>
    <x v="1163"/>
    <x v="0"/>
    <s v="NEGOCIOS"/>
  </r>
  <r>
    <x v="53"/>
    <x v="159"/>
    <x v="28"/>
    <x v="20"/>
    <x v="175"/>
    <x v="1164"/>
    <x v="0"/>
    <s v="NEGOCIOS"/>
  </r>
  <r>
    <x v="53"/>
    <x v="103"/>
    <x v="28"/>
    <x v="20"/>
    <x v="198"/>
    <x v="1165"/>
    <x v="0"/>
    <s v="NEGOCIOS"/>
  </r>
  <r>
    <x v="53"/>
    <x v="129"/>
    <x v="28"/>
    <x v="20"/>
    <x v="85"/>
    <x v="812"/>
    <x v="0"/>
    <s v="NEGOCIOS"/>
  </r>
  <r>
    <x v="53"/>
    <x v="144"/>
    <x v="28"/>
    <x v="20"/>
    <x v="199"/>
    <x v="1166"/>
    <x v="0"/>
    <s v="NEGOCIOS"/>
  </r>
  <r>
    <x v="53"/>
    <x v="163"/>
    <x v="28"/>
    <x v="21"/>
    <x v="200"/>
    <x v="1167"/>
    <x v="0"/>
    <s v="NEGOCIOS"/>
  </r>
  <r>
    <x v="53"/>
    <x v="113"/>
    <x v="28"/>
    <x v="22"/>
    <x v="177"/>
    <x v="1168"/>
    <x v="0"/>
    <s v="NEGOCIOS"/>
  </r>
  <r>
    <x v="53"/>
    <x v="99"/>
    <x v="28"/>
    <x v="22"/>
    <x v="153"/>
    <x v="1169"/>
    <x v="0"/>
    <s v="NEGOCIOS"/>
  </r>
  <r>
    <x v="53"/>
    <x v="45"/>
    <x v="28"/>
    <x v="20"/>
    <x v="107"/>
    <x v="1170"/>
    <x v="0"/>
    <s v="NEGOCIOS"/>
  </r>
  <r>
    <x v="53"/>
    <x v="52"/>
    <x v="28"/>
    <x v="21"/>
    <x v="228"/>
    <x v="1171"/>
    <x v="0"/>
    <s v="NEGOCIOS"/>
  </r>
  <r>
    <x v="53"/>
    <x v="105"/>
    <x v="28"/>
    <x v="20"/>
    <x v="179"/>
    <x v="1172"/>
    <x v="0"/>
    <s v="NEGOCIOS"/>
  </r>
  <r>
    <x v="53"/>
    <x v="105"/>
    <x v="28"/>
    <x v="21"/>
    <x v="179"/>
    <x v="1173"/>
    <x v="0"/>
    <s v="NEGOCIOS"/>
  </r>
  <r>
    <x v="53"/>
    <x v="12"/>
    <x v="28"/>
    <x v="20"/>
    <x v="103"/>
    <x v="1174"/>
    <x v="0"/>
    <s v="NEGOCIOS"/>
  </r>
  <r>
    <x v="53"/>
    <x v="114"/>
    <x v="28"/>
    <x v="21"/>
    <x v="203"/>
    <x v="1175"/>
    <x v="0"/>
    <s v="NEGOCIOS"/>
  </r>
  <r>
    <x v="53"/>
    <x v="46"/>
    <x v="28"/>
    <x v="20"/>
    <x v="95"/>
    <x v="1176"/>
    <x v="0"/>
    <s v="NEGOCIOS"/>
  </r>
  <r>
    <x v="53"/>
    <x v="94"/>
    <x v="28"/>
    <x v="20"/>
    <x v="180"/>
    <x v="776"/>
    <x v="0"/>
    <s v="NEGOCIOS"/>
  </r>
  <r>
    <x v="53"/>
    <x v="94"/>
    <x v="28"/>
    <x v="22"/>
    <x v="180"/>
    <x v="1177"/>
    <x v="0"/>
    <s v="NEGOCIOS"/>
  </r>
  <r>
    <x v="53"/>
    <x v="13"/>
    <x v="28"/>
    <x v="20"/>
    <x v="207"/>
    <x v="1178"/>
    <x v="0"/>
    <s v="NEGOCIOS"/>
  </r>
  <r>
    <x v="53"/>
    <x v="65"/>
    <x v="28"/>
    <x v="22"/>
    <x v="165"/>
    <x v="1179"/>
    <x v="0"/>
    <s v="NEGOCIOS"/>
  </r>
  <r>
    <x v="53"/>
    <x v="164"/>
    <x v="28"/>
    <x v="21"/>
    <x v="202"/>
    <x v="813"/>
    <x v="0"/>
    <s v="NEGOCIOS"/>
  </r>
  <r>
    <x v="53"/>
    <x v="19"/>
    <x v="28"/>
    <x v="20"/>
    <x v="118"/>
    <x v="398"/>
    <x v="0"/>
    <s v="NEGOCIOS"/>
  </r>
  <r>
    <x v="53"/>
    <x v="19"/>
    <x v="28"/>
    <x v="21"/>
    <x v="118"/>
    <x v="1180"/>
    <x v="0"/>
    <s v="NEGOCIOS"/>
  </r>
  <r>
    <x v="53"/>
    <x v="161"/>
    <x v="29"/>
    <x v="22"/>
    <x v="191"/>
    <x v="1181"/>
    <x v="0"/>
    <s v="NEGOCIOS"/>
  </r>
  <r>
    <x v="53"/>
    <x v="83"/>
    <x v="29"/>
    <x v="21"/>
    <x v="99"/>
    <x v="860"/>
    <x v="0"/>
    <s v="NEGOCIOS"/>
  </r>
  <r>
    <x v="53"/>
    <x v="90"/>
    <x v="29"/>
    <x v="22"/>
    <x v="90"/>
    <x v="1016"/>
    <x v="0"/>
    <s v="NEGOCIOS"/>
  </r>
  <r>
    <x v="53"/>
    <x v="152"/>
    <x v="29"/>
    <x v="22"/>
    <x v="161"/>
    <x v="1182"/>
    <x v="0"/>
    <s v="NEGOCIOS"/>
  </r>
  <r>
    <x v="53"/>
    <x v="56"/>
    <x v="29"/>
    <x v="22"/>
    <x v="193"/>
    <x v="398"/>
    <x v="0"/>
    <s v="NEGOCIOS"/>
  </r>
  <r>
    <x v="53"/>
    <x v="23"/>
    <x v="29"/>
    <x v="22"/>
    <x v="184"/>
    <x v="1183"/>
    <x v="0"/>
    <s v="NEGOCIOS"/>
  </r>
  <r>
    <x v="53"/>
    <x v="167"/>
    <x v="29"/>
    <x v="20"/>
    <x v="219"/>
    <x v="1184"/>
    <x v="0"/>
    <s v="NEGOCIOS"/>
  </r>
  <r>
    <x v="53"/>
    <x v="115"/>
    <x v="29"/>
    <x v="20"/>
    <x v="62"/>
    <x v="1185"/>
    <x v="0"/>
    <s v="NEGOCIOS"/>
  </r>
  <r>
    <x v="53"/>
    <x v="92"/>
    <x v="29"/>
    <x v="22"/>
    <x v="230"/>
    <x v="1186"/>
    <x v="0"/>
    <s v="NEGOCIOS"/>
  </r>
  <r>
    <x v="53"/>
    <x v="146"/>
    <x v="29"/>
    <x v="21"/>
    <x v="195"/>
    <x v="1187"/>
    <x v="0"/>
    <s v="NEGOCIOS"/>
  </r>
  <r>
    <x v="53"/>
    <x v="77"/>
    <x v="29"/>
    <x v="20"/>
    <x v="71"/>
    <x v="1188"/>
    <x v="0"/>
    <s v="NEGOCIOS"/>
  </r>
  <r>
    <x v="53"/>
    <x v="5"/>
    <x v="29"/>
    <x v="22"/>
    <x v="206"/>
    <x v="1189"/>
    <x v="0"/>
    <s v="NEGOCIOS"/>
  </r>
  <r>
    <x v="53"/>
    <x v="78"/>
    <x v="29"/>
    <x v="20"/>
    <x v="147"/>
    <x v="1190"/>
    <x v="0"/>
    <s v="NEGOCIOS"/>
  </r>
  <r>
    <x v="53"/>
    <x v="43"/>
    <x v="29"/>
    <x v="22"/>
    <x v="73"/>
    <x v="1191"/>
    <x v="0"/>
    <s v="NEGOCIOS"/>
  </r>
  <r>
    <x v="53"/>
    <x v="104"/>
    <x v="29"/>
    <x v="20"/>
    <x v="74"/>
    <x v="796"/>
    <x v="0"/>
    <s v="NEGOCIOS"/>
  </r>
  <r>
    <x v="53"/>
    <x v="129"/>
    <x v="29"/>
    <x v="20"/>
    <x v="85"/>
    <x v="919"/>
    <x v="0"/>
    <s v="NEGOCIOS"/>
  </r>
  <r>
    <x v="53"/>
    <x v="11"/>
    <x v="29"/>
    <x v="20"/>
    <x v="186"/>
    <x v="1192"/>
    <x v="0"/>
    <s v="NEGOCIOS"/>
  </r>
  <r>
    <x v="53"/>
    <x v="11"/>
    <x v="29"/>
    <x v="22"/>
    <x v="186"/>
    <x v="1193"/>
    <x v="0"/>
    <s v="NEGOCIOS"/>
  </r>
  <r>
    <x v="53"/>
    <x v="75"/>
    <x v="29"/>
    <x v="20"/>
    <x v="39"/>
    <x v="1194"/>
    <x v="0"/>
    <s v="NEGOCIOS"/>
  </r>
  <r>
    <x v="53"/>
    <x v="143"/>
    <x v="29"/>
    <x v="20"/>
    <x v="166"/>
    <x v="1195"/>
    <x v="0"/>
    <s v="NEGOCIOS"/>
  </r>
  <r>
    <x v="53"/>
    <x v="143"/>
    <x v="29"/>
    <x v="22"/>
    <x v="166"/>
    <x v="1196"/>
    <x v="0"/>
    <s v="NEGOCIOS"/>
  </r>
  <r>
    <x v="53"/>
    <x v="126"/>
    <x v="29"/>
    <x v="20"/>
    <x v="82"/>
    <x v="1197"/>
    <x v="0"/>
    <s v="NEGOCIOS"/>
  </r>
  <r>
    <x v="53"/>
    <x v="164"/>
    <x v="29"/>
    <x v="20"/>
    <x v="202"/>
    <x v="993"/>
    <x v="0"/>
    <s v="NEGOCIOS"/>
  </r>
  <r>
    <x v="53"/>
    <x v="88"/>
    <x v="30"/>
    <x v="21"/>
    <x v="138"/>
    <x v="1198"/>
    <x v="0"/>
    <s v="NEGOCIOS"/>
  </r>
  <r>
    <x v="53"/>
    <x v="89"/>
    <x v="30"/>
    <x v="21"/>
    <x v="231"/>
    <x v="1199"/>
    <x v="0"/>
    <s v="NEGOCIOS"/>
  </r>
  <r>
    <x v="53"/>
    <x v="80"/>
    <x v="30"/>
    <x v="21"/>
    <x v="46"/>
    <x v="872"/>
    <x v="0"/>
    <s v="NEGOCIOS"/>
  </r>
  <r>
    <x v="53"/>
    <x v="150"/>
    <x v="30"/>
    <x v="21"/>
    <x v="224"/>
    <x v="398"/>
    <x v="0"/>
    <s v="NEGOCIOS"/>
  </r>
  <r>
    <x v="53"/>
    <x v="96"/>
    <x v="30"/>
    <x v="21"/>
    <x v="232"/>
    <x v="1200"/>
    <x v="0"/>
    <s v="NEGOCIOS"/>
  </r>
  <r>
    <x v="53"/>
    <x v="74"/>
    <x v="30"/>
    <x v="21"/>
    <x v="37"/>
    <x v="1201"/>
    <x v="0"/>
    <s v="NEGOCIOS"/>
  </r>
  <r>
    <x v="53"/>
    <x v="2"/>
    <x v="30"/>
    <x v="21"/>
    <x v="172"/>
    <x v="919"/>
    <x v="0"/>
    <s v="NEGOCIOS"/>
  </r>
  <r>
    <x v="53"/>
    <x v="166"/>
    <x v="30"/>
    <x v="21"/>
    <x v="218"/>
    <x v="1202"/>
    <x v="0"/>
    <s v="NEGOCIOS"/>
  </r>
  <r>
    <x v="53"/>
    <x v="132"/>
    <x v="30"/>
    <x v="21"/>
    <x v="100"/>
    <x v="1203"/>
    <x v="0"/>
    <s v="NEGOCIOS"/>
  </r>
  <r>
    <x v="53"/>
    <x v="23"/>
    <x v="30"/>
    <x v="21"/>
    <x v="184"/>
    <x v="799"/>
    <x v="0"/>
    <s v="NEGOCIOS"/>
  </r>
  <r>
    <x v="53"/>
    <x v="119"/>
    <x v="30"/>
    <x v="21"/>
    <x v="69"/>
    <x v="1204"/>
    <x v="0"/>
    <s v="NEGOCIOS"/>
  </r>
  <r>
    <x v="53"/>
    <x v="162"/>
    <x v="30"/>
    <x v="21"/>
    <x v="194"/>
    <x v="1205"/>
    <x v="0"/>
    <s v="NEGOCIOS"/>
  </r>
  <r>
    <x v="53"/>
    <x v="40"/>
    <x v="30"/>
    <x v="21"/>
    <x v="38"/>
    <x v="1206"/>
    <x v="0"/>
    <s v="NEGOCIOS"/>
  </r>
  <r>
    <x v="53"/>
    <x v="160"/>
    <x v="30"/>
    <x v="20"/>
    <x v="185"/>
    <x v="1207"/>
    <x v="0"/>
    <s v="NEGOCIOS"/>
  </r>
  <r>
    <x v="53"/>
    <x v="59"/>
    <x v="30"/>
    <x v="20"/>
    <x v="31"/>
    <x v="817"/>
    <x v="0"/>
    <s v="NEGOCIOS"/>
  </r>
  <r>
    <x v="53"/>
    <x v="115"/>
    <x v="30"/>
    <x v="20"/>
    <x v="62"/>
    <x v="1208"/>
    <x v="0"/>
    <s v="NEGOCIOS"/>
  </r>
  <r>
    <x v="53"/>
    <x v="15"/>
    <x v="30"/>
    <x v="20"/>
    <x v="91"/>
    <x v="1209"/>
    <x v="0"/>
    <s v="NEGOCIOS"/>
  </r>
  <r>
    <x v="53"/>
    <x v="77"/>
    <x v="30"/>
    <x v="20"/>
    <x v="71"/>
    <x v="1210"/>
    <x v="0"/>
    <s v="NEGOCIOS"/>
  </r>
  <r>
    <x v="53"/>
    <x v="5"/>
    <x v="30"/>
    <x v="20"/>
    <x v="206"/>
    <x v="1211"/>
    <x v="0"/>
    <s v="NEGOCIOS"/>
  </r>
  <r>
    <x v="53"/>
    <x v="29"/>
    <x v="30"/>
    <x v="20"/>
    <x v="132"/>
    <x v="1212"/>
    <x v="0"/>
    <s v="NEGOCIOS"/>
  </r>
  <r>
    <x v="53"/>
    <x v="111"/>
    <x v="30"/>
    <x v="20"/>
    <x v="146"/>
    <x v="1213"/>
    <x v="0"/>
    <s v="NEGOCIOS"/>
  </r>
  <r>
    <x v="53"/>
    <x v="101"/>
    <x v="30"/>
    <x v="20"/>
    <x v="150"/>
    <x v="973"/>
    <x v="0"/>
    <s v="NEGOCIOS"/>
  </r>
  <r>
    <x v="53"/>
    <x v="128"/>
    <x v="30"/>
    <x v="20"/>
    <x v="84"/>
    <x v="826"/>
    <x v="0"/>
    <s v="NEGOCIOS"/>
  </r>
  <r>
    <x v="53"/>
    <x v="159"/>
    <x v="30"/>
    <x v="21"/>
    <x v="175"/>
    <x v="862"/>
    <x v="0"/>
    <s v="NEGOCIOS"/>
  </r>
  <r>
    <x v="53"/>
    <x v="163"/>
    <x v="30"/>
    <x v="20"/>
    <x v="200"/>
    <x v="1214"/>
    <x v="0"/>
    <s v="NEGOCIOS"/>
  </r>
  <r>
    <x v="53"/>
    <x v="50"/>
    <x v="30"/>
    <x v="20"/>
    <x v="126"/>
    <x v="1040"/>
    <x v="0"/>
    <s v="NEGOCIOS"/>
  </r>
  <r>
    <x v="53"/>
    <x v="109"/>
    <x v="30"/>
    <x v="20"/>
    <x v="58"/>
    <x v="1215"/>
    <x v="0"/>
    <s v="NEGOCIOS"/>
  </r>
  <r>
    <x v="53"/>
    <x v="86"/>
    <x v="30"/>
    <x v="20"/>
    <x v="204"/>
    <x v="878"/>
    <x v="0"/>
    <s v="NEGOCIOS"/>
  </r>
  <r>
    <x v="53"/>
    <x v="52"/>
    <x v="30"/>
    <x v="20"/>
    <x v="228"/>
    <x v="1158"/>
    <x v="0"/>
    <s v="NEGOCIOS"/>
  </r>
  <r>
    <x v="53"/>
    <x v="105"/>
    <x v="30"/>
    <x v="20"/>
    <x v="179"/>
    <x v="850"/>
    <x v="0"/>
    <s v="NEGOCIOS"/>
  </r>
  <r>
    <x v="53"/>
    <x v="110"/>
    <x v="30"/>
    <x v="20"/>
    <x v="189"/>
    <x v="1216"/>
    <x v="0"/>
    <s v="NEGOCIOS"/>
  </r>
  <r>
    <x v="53"/>
    <x v="94"/>
    <x v="30"/>
    <x v="20"/>
    <x v="180"/>
    <x v="1217"/>
    <x v="0"/>
    <s v="NEGOCIOS"/>
  </r>
  <r>
    <x v="53"/>
    <x v="32"/>
    <x v="30"/>
    <x v="20"/>
    <x v="40"/>
    <x v="1218"/>
    <x v="0"/>
    <s v="NEGOCIOS"/>
  </r>
  <r>
    <x v="53"/>
    <x v="33"/>
    <x v="30"/>
    <x v="20"/>
    <x v="86"/>
    <x v="973"/>
    <x v="0"/>
    <s v="NEGOCIOS"/>
  </r>
  <r>
    <x v="53"/>
    <x v="100"/>
    <x v="30"/>
    <x v="20"/>
    <x v="220"/>
    <x v="1219"/>
    <x v="0"/>
    <s v="NEGOCIOS"/>
  </r>
  <r>
    <x v="53"/>
    <x v="58"/>
    <x v="30"/>
    <x v="20"/>
    <x v="29"/>
    <x v="1220"/>
    <x v="0"/>
    <s v="NEGOCIOS"/>
  </r>
  <r>
    <x v="53"/>
    <x v="19"/>
    <x v="30"/>
    <x v="20"/>
    <x v="118"/>
    <x v="869"/>
    <x v="0"/>
    <s v="NEGOCIOS"/>
  </r>
  <r>
    <x v="53"/>
    <x v="156"/>
    <x v="31"/>
    <x v="21"/>
    <x v="181"/>
    <x v="1221"/>
    <x v="0"/>
    <s v="NEGOCIOS"/>
  </r>
  <r>
    <x v="53"/>
    <x v="117"/>
    <x v="31"/>
    <x v="21"/>
    <x v="233"/>
    <x v="1187"/>
    <x v="0"/>
    <s v="NEGOCIOS"/>
  </r>
  <r>
    <x v="53"/>
    <x v="138"/>
    <x v="31"/>
    <x v="21"/>
    <x v="109"/>
    <x v="1222"/>
    <x v="0"/>
    <s v="NEGOCIOS"/>
  </r>
  <r>
    <x v="53"/>
    <x v="35"/>
    <x v="31"/>
    <x v="21"/>
    <x v="35"/>
    <x v="1223"/>
    <x v="0"/>
    <s v="NEGOCIOS"/>
  </r>
  <r>
    <x v="53"/>
    <x v="0"/>
    <x v="31"/>
    <x v="21"/>
    <x v="223"/>
    <x v="1224"/>
    <x v="0"/>
    <s v="NEGOCIOS"/>
  </r>
  <r>
    <x v="53"/>
    <x v="21"/>
    <x v="31"/>
    <x v="21"/>
    <x v="67"/>
    <x v="1225"/>
    <x v="0"/>
    <s v="NEGOCIOS"/>
  </r>
  <r>
    <x v="53"/>
    <x v="118"/>
    <x v="31"/>
    <x v="21"/>
    <x v="68"/>
    <x v="1226"/>
    <x v="0"/>
    <s v="NEGOCIOS"/>
  </r>
  <r>
    <x v="53"/>
    <x v="83"/>
    <x v="31"/>
    <x v="21"/>
    <x v="99"/>
    <x v="1227"/>
    <x v="0"/>
    <s v="NEGOCIOS"/>
  </r>
  <r>
    <x v="53"/>
    <x v="36"/>
    <x v="31"/>
    <x v="21"/>
    <x v="168"/>
    <x v="1228"/>
    <x v="0"/>
    <s v="NEGOCIOS"/>
  </r>
  <r>
    <x v="53"/>
    <x v="37"/>
    <x v="31"/>
    <x v="21"/>
    <x v="171"/>
    <x v="1229"/>
    <x v="0"/>
    <s v="NEGOCIOS"/>
  </r>
  <r>
    <x v="53"/>
    <x v="166"/>
    <x v="31"/>
    <x v="21"/>
    <x v="218"/>
    <x v="1230"/>
    <x v="0"/>
    <s v="NEGOCIOS"/>
  </r>
  <r>
    <x v="53"/>
    <x v="121"/>
    <x v="31"/>
    <x v="21"/>
    <x v="135"/>
    <x v="1231"/>
    <x v="0"/>
    <s v="NEGOCIOS"/>
  </r>
  <r>
    <x v="53"/>
    <x v="119"/>
    <x v="31"/>
    <x v="21"/>
    <x v="69"/>
    <x v="1232"/>
    <x v="0"/>
    <s v="NEGOCIOS"/>
  </r>
  <r>
    <x v="53"/>
    <x v="40"/>
    <x v="31"/>
    <x v="21"/>
    <x v="38"/>
    <x v="1233"/>
    <x v="0"/>
    <s v="NEGOCIOS"/>
  </r>
  <r>
    <x v="53"/>
    <x v="48"/>
    <x v="31"/>
    <x v="20"/>
    <x v="77"/>
    <x v="801"/>
    <x v="0"/>
    <s v="NEGOCIOS"/>
  </r>
  <r>
    <x v="53"/>
    <x v="160"/>
    <x v="31"/>
    <x v="20"/>
    <x v="185"/>
    <x v="1234"/>
    <x v="0"/>
    <s v="NEGOCIOS"/>
  </r>
  <r>
    <x v="53"/>
    <x v="160"/>
    <x v="31"/>
    <x v="22"/>
    <x v="185"/>
    <x v="1235"/>
    <x v="0"/>
    <s v="NEGOCIOS"/>
  </r>
  <r>
    <x v="53"/>
    <x v="115"/>
    <x v="31"/>
    <x v="20"/>
    <x v="62"/>
    <x v="1236"/>
    <x v="0"/>
    <s v="NEGOCIOS"/>
  </r>
  <r>
    <x v="53"/>
    <x v="92"/>
    <x v="31"/>
    <x v="20"/>
    <x v="230"/>
    <x v="1237"/>
    <x v="0"/>
    <s v="NEGOCIOS"/>
  </r>
  <r>
    <x v="53"/>
    <x v="92"/>
    <x v="31"/>
    <x v="22"/>
    <x v="230"/>
    <x v="1238"/>
    <x v="0"/>
    <s v="NEGOCIOS"/>
  </r>
  <r>
    <x v="53"/>
    <x v="139"/>
    <x v="31"/>
    <x v="20"/>
    <x v="110"/>
    <x v="1200"/>
    <x v="0"/>
    <s v="NEGOCIOS"/>
  </r>
  <r>
    <x v="53"/>
    <x v="60"/>
    <x v="31"/>
    <x v="20"/>
    <x v="196"/>
    <x v="1239"/>
    <x v="0"/>
    <s v="NEGOCIOS"/>
  </r>
  <r>
    <x v="53"/>
    <x v="168"/>
    <x v="31"/>
    <x v="22"/>
    <x v="221"/>
    <x v="1240"/>
    <x v="0"/>
    <s v="NEGOCIOS"/>
  </r>
  <r>
    <x v="53"/>
    <x v="18"/>
    <x v="31"/>
    <x v="22"/>
    <x v="124"/>
    <x v="1241"/>
    <x v="0"/>
    <s v="NEGOCIOS"/>
  </r>
  <r>
    <x v="53"/>
    <x v="29"/>
    <x v="31"/>
    <x v="20"/>
    <x v="132"/>
    <x v="1242"/>
    <x v="0"/>
    <s v="NEGOCIOS"/>
  </r>
  <r>
    <x v="53"/>
    <x v="111"/>
    <x v="31"/>
    <x v="20"/>
    <x v="146"/>
    <x v="1243"/>
    <x v="0"/>
    <s v="NEGOCIOS"/>
  </r>
  <r>
    <x v="53"/>
    <x v="16"/>
    <x v="31"/>
    <x v="20"/>
    <x v="101"/>
    <x v="1244"/>
    <x v="0"/>
    <s v="NEGOCIOS"/>
  </r>
  <r>
    <x v="53"/>
    <x v="31"/>
    <x v="31"/>
    <x v="22"/>
    <x v="72"/>
    <x v="919"/>
    <x v="0"/>
    <s v="NEGOCIOS"/>
  </r>
  <r>
    <x v="53"/>
    <x v="140"/>
    <x v="31"/>
    <x v="20"/>
    <x v="234"/>
    <x v="1245"/>
    <x v="0"/>
    <s v="NEGOCIOS"/>
  </r>
  <r>
    <x v="53"/>
    <x v="103"/>
    <x v="31"/>
    <x v="20"/>
    <x v="198"/>
    <x v="1246"/>
    <x v="0"/>
    <s v="NEGOCIOS"/>
  </r>
  <r>
    <x v="53"/>
    <x v="129"/>
    <x v="31"/>
    <x v="20"/>
    <x v="85"/>
    <x v="455"/>
    <x v="0"/>
    <s v="NEGOCIOS"/>
  </r>
  <r>
    <x v="53"/>
    <x v="44"/>
    <x v="31"/>
    <x v="20"/>
    <x v="94"/>
    <x v="1247"/>
    <x v="0"/>
    <s v="NEGOCIOS"/>
  </r>
  <r>
    <x v="53"/>
    <x v="11"/>
    <x v="31"/>
    <x v="22"/>
    <x v="186"/>
    <x v="1248"/>
    <x v="0"/>
    <s v="NEGOCIOS"/>
  </r>
  <r>
    <x v="53"/>
    <x v="124"/>
    <x v="31"/>
    <x v="20"/>
    <x v="79"/>
    <x v="1249"/>
    <x v="0"/>
    <s v="NEGOCIOS"/>
  </r>
  <r>
    <x v="53"/>
    <x v="136"/>
    <x v="31"/>
    <x v="20"/>
    <x v="235"/>
    <x v="1250"/>
    <x v="0"/>
    <s v="NEGOCIOS"/>
  </r>
  <r>
    <x v="53"/>
    <x v="69"/>
    <x v="31"/>
    <x v="22"/>
    <x v="236"/>
    <x v="1251"/>
    <x v="0"/>
    <s v="NEGOCIOS"/>
  </r>
  <r>
    <x v="53"/>
    <x v="145"/>
    <x v="31"/>
    <x v="22"/>
    <x v="127"/>
    <x v="1252"/>
    <x v="0"/>
    <s v="NEGOCIOS"/>
  </r>
  <r>
    <x v="53"/>
    <x v="105"/>
    <x v="31"/>
    <x v="20"/>
    <x v="179"/>
    <x v="1253"/>
    <x v="0"/>
    <s v="NEGOCIOS"/>
  </r>
  <r>
    <x v="53"/>
    <x v="75"/>
    <x v="31"/>
    <x v="22"/>
    <x v="39"/>
    <x v="811"/>
    <x v="21"/>
    <s v="NEGOCIOS"/>
  </r>
  <r>
    <x v="53"/>
    <x v="93"/>
    <x v="31"/>
    <x v="20"/>
    <x v="80"/>
    <x v="1254"/>
    <x v="0"/>
    <s v="NEGOCIOS"/>
  </r>
  <r>
    <x v="53"/>
    <x v="110"/>
    <x v="31"/>
    <x v="20"/>
    <x v="189"/>
    <x v="1255"/>
    <x v="0"/>
    <s v="NEGOCIOS"/>
  </r>
  <r>
    <x v="53"/>
    <x v="46"/>
    <x v="31"/>
    <x v="20"/>
    <x v="95"/>
    <x v="1256"/>
    <x v="0"/>
    <s v="NEGOCIOS"/>
  </r>
  <r>
    <x v="53"/>
    <x v="134"/>
    <x v="31"/>
    <x v="20"/>
    <x v="104"/>
    <x v="1257"/>
    <x v="0"/>
    <s v="NEGOCIOS"/>
  </r>
  <r>
    <x v="53"/>
    <x v="91"/>
    <x v="32"/>
    <x v="22"/>
    <x v="162"/>
    <x v="1258"/>
    <x v="0"/>
    <s v="NEGOCIOS"/>
  </r>
  <r>
    <x v="53"/>
    <x v="84"/>
    <x v="32"/>
    <x v="20"/>
    <x v="49"/>
    <x v="875"/>
    <x v="0"/>
    <s v="NEGOCIOS"/>
  </r>
  <r>
    <x v="53"/>
    <x v="84"/>
    <x v="32"/>
    <x v="22"/>
    <x v="49"/>
    <x v="1259"/>
    <x v="0"/>
    <s v="NEGOCIOS"/>
  </r>
  <r>
    <x v="53"/>
    <x v="92"/>
    <x v="32"/>
    <x v="22"/>
    <x v="230"/>
    <x v="1260"/>
    <x v="0"/>
    <s v="NEGOCIOS"/>
  </r>
  <r>
    <x v="53"/>
    <x v="5"/>
    <x v="32"/>
    <x v="22"/>
    <x v="206"/>
    <x v="1261"/>
    <x v="0"/>
    <s v="NEGOCIOS"/>
  </r>
  <r>
    <x v="53"/>
    <x v="98"/>
    <x v="32"/>
    <x v="20"/>
    <x v="197"/>
    <x v="788"/>
    <x v="0"/>
    <s v="NEGOCIOS"/>
  </r>
  <r>
    <x v="53"/>
    <x v="29"/>
    <x v="32"/>
    <x v="20"/>
    <x v="132"/>
    <x v="1077"/>
    <x v="0"/>
    <s v="NEGOCIOS"/>
  </r>
  <r>
    <x v="53"/>
    <x v="140"/>
    <x v="32"/>
    <x v="22"/>
    <x v="234"/>
    <x v="811"/>
    <x v="22"/>
    <s v="NEGOCIOS"/>
  </r>
  <r>
    <x v="53"/>
    <x v="159"/>
    <x v="32"/>
    <x v="20"/>
    <x v="175"/>
    <x v="1262"/>
    <x v="0"/>
    <s v="NEGOCIOS"/>
  </r>
  <r>
    <x v="53"/>
    <x v="10"/>
    <x v="32"/>
    <x v="21"/>
    <x v="152"/>
    <x v="1263"/>
    <x v="0"/>
    <s v="NEGOCIOS"/>
  </r>
  <r>
    <x v="53"/>
    <x v="163"/>
    <x v="32"/>
    <x v="22"/>
    <x v="200"/>
    <x v="1264"/>
    <x v="0"/>
    <s v="NEGOCIOS"/>
  </r>
  <r>
    <x v="53"/>
    <x v="113"/>
    <x v="32"/>
    <x v="22"/>
    <x v="177"/>
    <x v="1265"/>
    <x v="0"/>
    <s v="NEGOCIOS"/>
  </r>
  <r>
    <x v="53"/>
    <x v="51"/>
    <x v="32"/>
    <x v="20"/>
    <x v="178"/>
    <x v="820"/>
    <x v="0"/>
    <s v="NEGOCIOS"/>
  </r>
  <r>
    <x v="53"/>
    <x v="99"/>
    <x v="32"/>
    <x v="22"/>
    <x v="153"/>
    <x v="1266"/>
    <x v="0"/>
    <s v="NEGOCIOS"/>
  </r>
  <r>
    <x v="53"/>
    <x v="69"/>
    <x v="32"/>
    <x v="22"/>
    <x v="236"/>
    <x v="1267"/>
    <x v="0"/>
    <s v="NEGOCIOS"/>
  </r>
  <r>
    <x v="53"/>
    <x v="86"/>
    <x v="32"/>
    <x v="22"/>
    <x v="204"/>
    <x v="1268"/>
    <x v="0"/>
    <s v="NEGOCIOS"/>
  </r>
  <r>
    <x v="53"/>
    <x v="12"/>
    <x v="32"/>
    <x v="20"/>
    <x v="103"/>
    <x v="1269"/>
    <x v="0"/>
    <s v="NEGOCIOS"/>
  </r>
  <r>
    <x v="53"/>
    <x v="164"/>
    <x v="32"/>
    <x v="21"/>
    <x v="202"/>
    <x v="1263"/>
    <x v="0"/>
    <s v="NEGOCIOS"/>
  </r>
  <r>
    <x v="53"/>
    <x v="78"/>
    <x v="33"/>
    <x v="20"/>
    <x v="147"/>
    <x v="1270"/>
    <x v="0"/>
    <s v="NEGOCIOS"/>
  </r>
  <r>
    <x v="53"/>
    <x v="115"/>
    <x v="34"/>
    <x v="20"/>
    <x v="62"/>
    <x v="1271"/>
    <x v="0"/>
    <s v="NEGOCIOS"/>
  </r>
  <r>
    <x v="53"/>
    <x v="61"/>
    <x v="34"/>
    <x v="20"/>
    <x v="43"/>
    <x v="1272"/>
    <x v="0"/>
    <s v="NEGOCIOS"/>
  </r>
  <r>
    <x v="53"/>
    <x v="111"/>
    <x v="34"/>
    <x v="20"/>
    <x v="146"/>
    <x v="1273"/>
    <x v="0"/>
    <s v="NEGOCIOS"/>
  </r>
  <r>
    <x v="53"/>
    <x v="136"/>
    <x v="34"/>
    <x v="20"/>
    <x v="235"/>
    <x v="1274"/>
    <x v="0"/>
    <s v="NEGOCIOS"/>
  </r>
  <r>
    <x v="53"/>
    <x v="75"/>
    <x v="34"/>
    <x v="20"/>
    <x v="39"/>
    <x v="734"/>
    <x v="0"/>
    <s v="NEGOCIOS"/>
  </r>
  <r>
    <x v="53"/>
    <x v="110"/>
    <x v="34"/>
    <x v="20"/>
    <x v="189"/>
    <x v="1275"/>
    <x v="0"/>
    <s v="NEGOCIOS"/>
  </r>
  <r>
    <x v="53"/>
    <x v="117"/>
    <x v="15"/>
    <x v="21"/>
    <x v="233"/>
    <x v="1276"/>
    <x v="0"/>
    <s v="NEGOCIOS"/>
  </r>
  <r>
    <x v="53"/>
    <x v="35"/>
    <x v="15"/>
    <x v="21"/>
    <x v="35"/>
    <x v="1277"/>
    <x v="0"/>
    <s v="NEGOCIOS"/>
  </r>
  <r>
    <x v="53"/>
    <x v="24"/>
    <x v="15"/>
    <x v="21"/>
    <x v="167"/>
    <x v="734"/>
    <x v="0"/>
    <s v="NEGOCIOS"/>
  </r>
  <r>
    <x v="53"/>
    <x v="152"/>
    <x v="15"/>
    <x v="21"/>
    <x v="161"/>
    <x v="734"/>
    <x v="0"/>
    <s v="NEGOCIOS"/>
  </r>
  <r>
    <x v="53"/>
    <x v="74"/>
    <x v="15"/>
    <x v="21"/>
    <x v="37"/>
    <x v="1278"/>
    <x v="0"/>
    <s v="NEGOCIOS"/>
  </r>
  <r>
    <x v="53"/>
    <x v="37"/>
    <x v="15"/>
    <x v="21"/>
    <x v="171"/>
    <x v="735"/>
    <x v="0"/>
    <s v="NEGOCIOS"/>
  </r>
  <r>
    <x v="53"/>
    <x v="148"/>
    <x v="15"/>
    <x v="21"/>
    <x v="131"/>
    <x v="1279"/>
    <x v="0"/>
    <s v="NEGOCIOS"/>
  </r>
  <r>
    <x v="53"/>
    <x v="56"/>
    <x v="15"/>
    <x v="21"/>
    <x v="193"/>
    <x v="1280"/>
    <x v="0"/>
    <s v="NEGOCIOS"/>
  </r>
  <r>
    <x v="53"/>
    <x v="119"/>
    <x v="15"/>
    <x v="21"/>
    <x v="69"/>
    <x v="1281"/>
    <x v="0"/>
    <s v="NEGOCIOS"/>
  </r>
  <r>
    <x v="53"/>
    <x v="122"/>
    <x v="15"/>
    <x v="21"/>
    <x v="112"/>
    <x v="1282"/>
    <x v="0"/>
    <s v="NEGOCIOS"/>
  </r>
  <r>
    <x v="53"/>
    <x v="59"/>
    <x v="15"/>
    <x v="22"/>
    <x v="31"/>
    <x v="937"/>
    <x v="0"/>
    <s v="NEGOCIOS"/>
  </r>
  <r>
    <x v="53"/>
    <x v="92"/>
    <x v="15"/>
    <x v="20"/>
    <x v="230"/>
    <x v="1283"/>
    <x v="0"/>
    <s v="NEGOCIOS"/>
  </r>
  <r>
    <x v="53"/>
    <x v="73"/>
    <x v="15"/>
    <x v="20"/>
    <x v="227"/>
    <x v="796"/>
    <x v="0"/>
    <s v="NEGOCIOS"/>
  </r>
  <r>
    <x v="53"/>
    <x v="140"/>
    <x v="15"/>
    <x v="22"/>
    <x v="234"/>
    <x v="788"/>
    <x v="0"/>
    <s v="NEGOCIOS"/>
  </r>
  <r>
    <x v="53"/>
    <x v="159"/>
    <x v="15"/>
    <x v="20"/>
    <x v="175"/>
    <x v="734"/>
    <x v="0"/>
    <s v="NEGOCIOS"/>
  </r>
  <r>
    <x v="53"/>
    <x v="104"/>
    <x v="15"/>
    <x v="22"/>
    <x v="74"/>
    <x v="844"/>
    <x v="0"/>
    <s v="NEGOCIOS"/>
  </r>
  <r>
    <x v="53"/>
    <x v="129"/>
    <x v="15"/>
    <x v="20"/>
    <x v="85"/>
    <x v="735"/>
    <x v="0"/>
    <s v="NEGOCIOS"/>
  </r>
  <r>
    <x v="53"/>
    <x v="136"/>
    <x v="15"/>
    <x v="20"/>
    <x v="235"/>
    <x v="796"/>
    <x v="0"/>
    <s v="NEGOCIOS"/>
  </r>
  <r>
    <x v="53"/>
    <x v="64"/>
    <x v="15"/>
    <x v="20"/>
    <x v="187"/>
    <x v="1284"/>
    <x v="0"/>
    <s v="NEGOCIOS"/>
  </r>
  <r>
    <x v="53"/>
    <x v="93"/>
    <x v="15"/>
    <x v="20"/>
    <x v="80"/>
    <x v="734"/>
    <x v="0"/>
    <s v="NEGOCIOS"/>
  </r>
  <r>
    <x v="54"/>
    <x v="156"/>
    <x v="2"/>
    <x v="19"/>
    <x v="237"/>
    <x v="747"/>
    <x v="0"/>
    <s v="BOULEVARD EL DORADO"/>
  </r>
  <r>
    <x v="54"/>
    <x v="81"/>
    <x v="2"/>
    <x v="19"/>
    <x v="237"/>
    <x v="746"/>
    <x v="0"/>
    <s v="BOULEVARD EL DORADO"/>
  </r>
  <r>
    <x v="54"/>
    <x v="35"/>
    <x v="2"/>
    <x v="19"/>
    <x v="237"/>
    <x v="787"/>
    <x v="0"/>
    <s v="BOULEVARD EL DORADO"/>
  </r>
  <r>
    <x v="54"/>
    <x v="108"/>
    <x v="2"/>
    <x v="19"/>
    <x v="237"/>
    <x v="737"/>
    <x v="0"/>
    <s v="BOULEVARD EL DORADO"/>
  </r>
  <r>
    <x v="54"/>
    <x v="80"/>
    <x v="2"/>
    <x v="19"/>
    <x v="237"/>
    <x v="737"/>
    <x v="0"/>
    <s v="BOULEVARD EL DORADO"/>
  </r>
  <r>
    <x v="54"/>
    <x v="147"/>
    <x v="2"/>
    <x v="19"/>
    <x v="237"/>
    <x v="737"/>
    <x v="0"/>
    <s v="BOULEVARD EL DORADO"/>
  </r>
  <r>
    <x v="54"/>
    <x v="96"/>
    <x v="2"/>
    <x v="19"/>
    <x v="237"/>
    <x v="736"/>
    <x v="0"/>
    <s v="BOULEVARD EL DORADO"/>
  </r>
  <r>
    <x v="54"/>
    <x v="74"/>
    <x v="2"/>
    <x v="19"/>
    <x v="237"/>
    <x v="744"/>
    <x v="0"/>
    <s v="BOULEVARD EL DORADO"/>
  </r>
  <r>
    <x v="54"/>
    <x v="92"/>
    <x v="2"/>
    <x v="19"/>
    <x v="237"/>
    <x v="747"/>
    <x v="0"/>
    <s v="BOULEVARD EL DORADO"/>
  </r>
  <r>
    <x v="55"/>
    <x v="117"/>
    <x v="2"/>
    <x v="19"/>
    <x v="238"/>
    <x v="791"/>
    <x v="0"/>
    <s v="SAN SEBASTIAN"/>
  </r>
  <r>
    <x v="55"/>
    <x v="36"/>
    <x v="2"/>
    <x v="19"/>
    <x v="238"/>
    <x v="741"/>
    <x v="0"/>
    <s v="SAN SEBASTIAN"/>
  </r>
  <r>
    <x v="55"/>
    <x v="23"/>
    <x v="2"/>
    <x v="19"/>
    <x v="238"/>
    <x v="737"/>
    <x v="0"/>
    <s v="SAN SEBASTIAN"/>
  </r>
  <r>
    <x v="55"/>
    <x v="26"/>
    <x v="2"/>
    <x v="19"/>
    <x v="238"/>
    <x v="737"/>
    <x v="0"/>
    <s v="SAN SEBASTIAN"/>
  </r>
  <r>
    <x v="55"/>
    <x v="73"/>
    <x v="2"/>
    <x v="19"/>
    <x v="238"/>
    <x v="747"/>
    <x v="0"/>
    <s v="SAN SEBASTIAN"/>
  </r>
  <r>
    <x v="55"/>
    <x v="101"/>
    <x v="2"/>
    <x v="19"/>
    <x v="238"/>
    <x v="754"/>
    <x v="0"/>
    <s v="SAN SEBASTIAN"/>
  </r>
  <r>
    <x v="55"/>
    <x v="105"/>
    <x v="2"/>
    <x v="19"/>
    <x v="238"/>
    <x v="1285"/>
    <x v="0"/>
    <s v="SAN SEBASTIAN"/>
  </r>
  <r>
    <x v="55"/>
    <x v="95"/>
    <x v="2"/>
    <x v="19"/>
    <x v="238"/>
    <x v="754"/>
    <x v="0"/>
    <s v="SAN SEBASTIAN"/>
  </r>
  <r>
    <x v="55"/>
    <x v="125"/>
    <x v="2"/>
    <x v="19"/>
    <x v="238"/>
    <x v="747"/>
    <x v="0"/>
    <s v="SAN SEBASTIAN"/>
  </r>
  <r>
    <x v="55"/>
    <x v="3"/>
    <x v="2"/>
    <x v="19"/>
    <x v="238"/>
    <x v="747"/>
    <x v="0"/>
    <s v="SAN SEBASTIAN"/>
  </r>
  <r>
    <x v="55"/>
    <x v="10"/>
    <x v="0"/>
    <x v="20"/>
    <x v="152"/>
    <x v="875"/>
    <x v="0"/>
    <s v="SAN SEBASTIAN"/>
  </r>
  <r>
    <x v="56"/>
    <x v="155"/>
    <x v="2"/>
    <x v="22"/>
    <x v="217"/>
    <x v="844"/>
    <x v="0"/>
    <s v="SANTIAGO INTERAMERICANA"/>
  </r>
  <r>
    <x v="56"/>
    <x v="160"/>
    <x v="2"/>
    <x v="20"/>
    <x v="185"/>
    <x v="872"/>
    <x v="0"/>
    <s v="SANTIAGO INTERAMERICANA"/>
  </r>
  <r>
    <x v="56"/>
    <x v="97"/>
    <x v="2"/>
    <x v="22"/>
    <x v="114"/>
    <x v="919"/>
    <x v="0"/>
    <s v="SANTIAGO INTERAMERICANA"/>
  </r>
  <r>
    <x v="56"/>
    <x v="77"/>
    <x v="2"/>
    <x v="21"/>
    <x v="71"/>
    <x v="1286"/>
    <x v="0"/>
    <s v="SANTIAGO INTERAMERICANA"/>
  </r>
  <r>
    <x v="56"/>
    <x v="31"/>
    <x v="2"/>
    <x v="22"/>
    <x v="72"/>
    <x v="844"/>
    <x v="0"/>
    <s v="SANTIAGO INTERAMERICANA"/>
  </r>
  <r>
    <x v="56"/>
    <x v="102"/>
    <x v="2"/>
    <x v="20"/>
    <x v="137"/>
    <x v="872"/>
    <x v="0"/>
    <s v="SANTIAGO INTERAMERICANA"/>
  </r>
  <r>
    <x v="56"/>
    <x v="63"/>
    <x v="2"/>
    <x v="19"/>
    <x v="239"/>
    <x v="891"/>
    <x v="0"/>
    <s v="SANTIAGO INTERAMERICANA"/>
  </r>
  <r>
    <x v="56"/>
    <x v="58"/>
    <x v="2"/>
    <x v="20"/>
    <x v="29"/>
    <x v="1287"/>
    <x v="0"/>
    <s v="SANTIAGO INTERAMERICANA"/>
  </r>
  <r>
    <x v="72"/>
    <x v="37"/>
    <x v="2"/>
    <x v="19"/>
    <x v="240"/>
    <x v="1288"/>
    <x v="0"/>
    <s v="CIUDAD DEL SABER"/>
  </r>
  <r>
    <x v="72"/>
    <x v="158"/>
    <x v="2"/>
    <x v="20"/>
    <x v="174"/>
    <x v="777"/>
    <x v="0"/>
    <s v="CIUDAD DEL SABER"/>
  </r>
  <r>
    <x v="72"/>
    <x v="109"/>
    <x v="2"/>
    <x v="20"/>
    <x v="58"/>
    <x v="777"/>
    <x v="0"/>
    <s v="CIUDAD DEL SABER"/>
  </r>
  <r>
    <x v="72"/>
    <x v="86"/>
    <x v="2"/>
    <x v="20"/>
    <x v="204"/>
    <x v="777"/>
    <x v="0"/>
    <s v="CIUDAD DEL SABER"/>
  </r>
  <r>
    <x v="57"/>
    <x v="54"/>
    <x v="2"/>
    <x v="19"/>
    <x v="241"/>
    <x v="1289"/>
    <x v="0"/>
    <s v="VILLA ZAITA"/>
  </r>
  <r>
    <x v="57"/>
    <x v="114"/>
    <x v="2"/>
    <x v="19"/>
    <x v="241"/>
    <x v="782"/>
    <x v="0"/>
    <s v="VILLA ZAITA"/>
  </r>
  <r>
    <x v="58"/>
    <x v="84"/>
    <x v="2"/>
    <x v="20"/>
    <x v="49"/>
    <x v="854"/>
    <x v="0"/>
    <s v="AZUERO TERMINAL PLAZA"/>
  </r>
  <r>
    <x v="58"/>
    <x v="103"/>
    <x v="2"/>
    <x v="22"/>
    <x v="198"/>
    <x v="817"/>
    <x v="0"/>
    <s v="AZUERO TERMINAL PLAZA"/>
  </r>
  <r>
    <x v="73"/>
    <x v="90"/>
    <x v="2"/>
    <x v="19"/>
    <x v="242"/>
    <x v="758"/>
    <x v="0"/>
    <s v="TOWN CENTER COSTA DEL ESTE"/>
  </r>
  <r>
    <x v="73"/>
    <x v="15"/>
    <x v="2"/>
    <x v="19"/>
    <x v="242"/>
    <x v="758"/>
    <x v="0"/>
    <s v="TOWN CENTER COSTA DEL ESTE"/>
  </r>
  <r>
    <x v="59"/>
    <x v="150"/>
    <x v="2"/>
    <x v="19"/>
    <x v="243"/>
    <x v="1290"/>
    <x v="0"/>
    <s v="COSTA VERDE"/>
  </r>
  <r>
    <x v="59"/>
    <x v="148"/>
    <x v="2"/>
    <x v="19"/>
    <x v="243"/>
    <x v="1290"/>
    <x v="0"/>
    <s v="COSTA VERDE"/>
  </r>
  <r>
    <x v="59"/>
    <x v="162"/>
    <x v="2"/>
    <x v="19"/>
    <x v="243"/>
    <x v="743"/>
    <x v="0"/>
    <s v="COSTA VERDE"/>
  </r>
  <r>
    <x v="59"/>
    <x v="5"/>
    <x v="2"/>
    <x v="19"/>
    <x v="243"/>
    <x v="743"/>
    <x v="0"/>
    <s v="COSTA VERDE"/>
  </r>
  <r>
    <x v="59"/>
    <x v="22"/>
    <x v="2"/>
    <x v="19"/>
    <x v="243"/>
    <x v="772"/>
    <x v="0"/>
    <s v="COSTA VERDE"/>
  </r>
  <r>
    <x v="59"/>
    <x v="46"/>
    <x v="2"/>
    <x v="19"/>
    <x v="243"/>
    <x v="1291"/>
    <x v="0"/>
    <s v="COSTA VERDE"/>
  </r>
  <r>
    <x v="59"/>
    <x v="70"/>
    <x v="2"/>
    <x v="19"/>
    <x v="243"/>
    <x v="772"/>
    <x v="0"/>
    <s v="COSTA VERDE"/>
  </r>
  <r>
    <x v="59"/>
    <x v="19"/>
    <x v="2"/>
    <x v="19"/>
    <x v="243"/>
    <x v="772"/>
    <x v="0"/>
    <s v="COSTA VERDE"/>
  </r>
  <r>
    <x v="59"/>
    <x v="153"/>
    <x v="2"/>
    <x v="19"/>
    <x v="243"/>
    <x v="743"/>
    <x v="0"/>
    <s v="COSTA VERDE"/>
  </r>
  <r>
    <x v="74"/>
    <x v="108"/>
    <x v="2"/>
    <x v="19"/>
    <x v="244"/>
    <x v="744"/>
    <x v="0"/>
    <s v="PLAZA LOS ANGELES"/>
  </r>
  <r>
    <x v="74"/>
    <x v="25"/>
    <x v="2"/>
    <x v="19"/>
    <x v="244"/>
    <x v="744"/>
    <x v="0"/>
    <s v="PLAZA LOS ANGELES"/>
  </r>
  <r>
    <x v="74"/>
    <x v="48"/>
    <x v="2"/>
    <x v="19"/>
    <x v="244"/>
    <x v="754"/>
    <x v="0"/>
    <s v="PLAZA LOS ANGELES"/>
  </r>
  <r>
    <x v="74"/>
    <x v="5"/>
    <x v="2"/>
    <x v="19"/>
    <x v="244"/>
    <x v="746"/>
    <x v="0"/>
    <s v="PLAZA LOS ANGELES"/>
  </r>
  <r>
    <x v="60"/>
    <x v="75"/>
    <x v="2"/>
    <x v="19"/>
    <x v="245"/>
    <x v="777"/>
    <x v="0"/>
    <s v="CASCO VIEJO"/>
  </r>
  <r>
    <x v="60"/>
    <x v="58"/>
    <x v="2"/>
    <x v="19"/>
    <x v="245"/>
    <x v="777"/>
    <x v="0"/>
    <s v="CASCO VIEJO"/>
  </r>
  <r>
    <x v="75"/>
    <x v="119"/>
    <x v="2"/>
    <x v="20"/>
    <x v="69"/>
    <x v="820"/>
    <x v="0"/>
    <s v="SAN MATEO"/>
  </r>
  <r>
    <x v="75"/>
    <x v="71"/>
    <x v="2"/>
    <x v="20"/>
    <x v="229"/>
    <x v="1292"/>
    <x v="0"/>
    <s v="SAN MATEO"/>
  </r>
  <r>
    <x v="75"/>
    <x v="131"/>
    <x v="2"/>
    <x v="20"/>
    <x v="97"/>
    <x v="398"/>
    <x v="0"/>
    <s v="SAN MATEO"/>
  </r>
  <r>
    <x v="75"/>
    <x v="47"/>
    <x v="2"/>
    <x v="19"/>
    <x v="246"/>
    <x v="827"/>
    <x v="0"/>
    <s v="SAN MATEO"/>
  </r>
  <r>
    <x v="75"/>
    <x v="20"/>
    <x v="2"/>
    <x v="19"/>
    <x v="246"/>
    <x v="734"/>
    <x v="0"/>
    <s v="SAN MATEO"/>
  </r>
  <r>
    <x v="75"/>
    <x v="119"/>
    <x v="1"/>
    <x v="20"/>
    <x v="69"/>
    <x v="1293"/>
    <x v="0"/>
    <s v="SAN MATEO"/>
  </r>
  <r>
    <x v="76"/>
    <x v="0"/>
    <x v="2"/>
    <x v="21"/>
    <x v="223"/>
    <x v="775"/>
    <x v="0"/>
    <s v="BRISAS DEL GOLF ARRAIJAN"/>
  </r>
  <r>
    <x v="76"/>
    <x v="160"/>
    <x v="2"/>
    <x v="20"/>
    <x v="185"/>
    <x v="775"/>
    <x v="0"/>
    <s v="BRISAS DEL GOLF ARRAIJAN"/>
  </r>
  <r>
    <x v="76"/>
    <x v="104"/>
    <x v="2"/>
    <x v="20"/>
    <x v="74"/>
    <x v="775"/>
    <x v="0"/>
    <s v="BRISAS DEL GOLF ARRAIJAN"/>
  </r>
  <r>
    <x v="76"/>
    <x v="136"/>
    <x v="2"/>
    <x v="19"/>
    <x v="247"/>
    <x v="737"/>
    <x v="0"/>
    <s v="BRISAS DEL GOLF ARRAIJAN"/>
  </r>
  <r>
    <x v="76"/>
    <x v="3"/>
    <x v="2"/>
    <x v="20"/>
    <x v="30"/>
    <x v="775"/>
    <x v="0"/>
    <s v="BRISAS DEL GOLF ARRAIJAN"/>
  </r>
  <r>
    <x v="61"/>
    <x v="8"/>
    <x v="2"/>
    <x v="19"/>
    <x v="248"/>
    <x v="1294"/>
    <x v="0"/>
    <s v="PASEO ARRAIJAN"/>
  </r>
  <r>
    <x v="61"/>
    <x v="88"/>
    <x v="2"/>
    <x v="19"/>
    <x v="248"/>
    <x v="1294"/>
    <x v="0"/>
    <s v="PASEO ARRAIJAN"/>
  </r>
  <r>
    <x v="61"/>
    <x v="82"/>
    <x v="2"/>
    <x v="21"/>
    <x v="48"/>
    <x v="775"/>
    <x v="0"/>
    <s v="PASEO ARRAIJAN"/>
  </r>
  <r>
    <x v="61"/>
    <x v="68"/>
    <x v="2"/>
    <x v="19"/>
    <x v="248"/>
    <x v="743"/>
    <x v="0"/>
    <s v="PASEO ARRAIJAN"/>
  </r>
  <r>
    <x v="61"/>
    <x v="6"/>
    <x v="2"/>
    <x v="19"/>
    <x v="248"/>
    <x v="777"/>
    <x v="0"/>
    <s v="PASEO ARRAIJAN"/>
  </r>
  <r>
    <x v="61"/>
    <x v="123"/>
    <x v="2"/>
    <x v="20"/>
    <x v="176"/>
    <x v="775"/>
    <x v="0"/>
    <s v="PASEO ARRAIJAN"/>
  </r>
  <r>
    <x v="61"/>
    <x v="86"/>
    <x v="2"/>
    <x v="19"/>
    <x v="248"/>
    <x v="732"/>
    <x v="0"/>
    <s v="PASEO ARRAIJAN"/>
  </r>
  <r>
    <x v="61"/>
    <x v="94"/>
    <x v="2"/>
    <x v="19"/>
    <x v="248"/>
    <x v="772"/>
    <x v="0"/>
    <s v="PASEO ARRAIJAN"/>
  </r>
  <r>
    <x v="61"/>
    <x v="19"/>
    <x v="2"/>
    <x v="19"/>
    <x v="248"/>
    <x v="777"/>
    <x v="0"/>
    <s v="PASEO ARRAIJAN"/>
  </r>
  <r>
    <x v="61"/>
    <x v="20"/>
    <x v="2"/>
    <x v="20"/>
    <x v="87"/>
    <x v="775"/>
    <x v="0"/>
    <s v="PASEO ARRAIJAN"/>
  </r>
  <r>
    <x v="62"/>
    <x v="74"/>
    <x v="2"/>
    <x v="19"/>
    <x v="249"/>
    <x v="675"/>
    <x v="0"/>
    <s v="PLAZA NUEVO TOCUMEN"/>
  </r>
  <r>
    <x v="62"/>
    <x v="55"/>
    <x v="2"/>
    <x v="19"/>
    <x v="249"/>
    <x v="1295"/>
    <x v="0"/>
    <s v="PLAZA NUEVO TOCUMEN"/>
  </r>
  <r>
    <x v="62"/>
    <x v="132"/>
    <x v="2"/>
    <x v="19"/>
    <x v="249"/>
    <x v="760"/>
    <x v="0"/>
    <s v="PLAZA NUEVO TOCUMEN"/>
  </r>
  <r>
    <x v="62"/>
    <x v="97"/>
    <x v="2"/>
    <x v="19"/>
    <x v="249"/>
    <x v="545"/>
    <x v="0"/>
    <s v="PLAZA NUEVO TOCUMEN"/>
  </r>
  <r>
    <x v="62"/>
    <x v="5"/>
    <x v="2"/>
    <x v="19"/>
    <x v="249"/>
    <x v="771"/>
    <x v="0"/>
    <s v="PLAZA NUEVO TOCUMEN"/>
  </r>
  <r>
    <x v="62"/>
    <x v="6"/>
    <x v="2"/>
    <x v="19"/>
    <x v="249"/>
    <x v="675"/>
    <x v="0"/>
    <s v="PLAZA NUEVO TOCUMEN"/>
  </r>
  <r>
    <x v="62"/>
    <x v="30"/>
    <x v="2"/>
    <x v="19"/>
    <x v="249"/>
    <x v="760"/>
    <x v="0"/>
    <s v="PLAZA NUEVO TOCUMEN"/>
  </r>
  <r>
    <x v="62"/>
    <x v="102"/>
    <x v="2"/>
    <x v="19"/>
    <x v="249"/>
    <x v="771"/>
    <x v="0"/>
    <s v="PLAZA NUEVO TOCUMEN"/>
  </r>
  <r>
    <x v="62"/>
    <x v="86"/>
    <x v="2"/>
    <x v="19"/>
    <x v="249"/>
    <x v="675"/>
    <x v="0"/>
    <s v="PLAZA NUEVO TOCUMEN"/>
  </r>
  <r>
    <x v="62"/>
    <x v="95"/>
    <x v="2"/>
    <x v="19"/>
    <x v="249"/>
    <x v="675"/>
    <x v="0"/>
    <s v="PLAZA NUEVO TOCUMEN"/>
  </r>
  <r>
    <x v="63"/>
    <x v="137"/>
    <x v="2"/>
    <x v="19"/>
    <x v="250"/>
    <x v="785"/>
    <x v="0"/>
    <s v="SANTA MARIA"/>
  </r>
  <r>
    <x v="63"/>
    <x v="152"/>
    <x v="2"/>
    <x v="19"/>
    <x v="250"/>
    <x v="758"/>
    <x v="0"/>
    <s v="SANTA MARIA"/>
  </r>
  <r>
    <x v="63"/>
    <x v="36"/>
    <x v="2"/>
    <x v="19"/>
    <x v="250"/>
    <x v="747"/>
    <x v="0"/>
    <s v="SANTA MARIA"/>
  </r>
  <r>
    <x v="63"/>
    <x v="169"/>
    <x v="2"/>
    <x v="19"/>
    <x v="250"/>
    <x v="758"/>
    <x v="0"/>
    <s v="SANTA MARIA"/>
  </r>
  <r>
    <x v="63"/>
    <x v="121"/>
    <x v="2"/>
    <x v="19"/>
    <x v="250"/>
    <x v="757"/>
    <x v="0"/>
    <s v="SANTA MARIA"/>
  </r>
  <r>
    <x v="63"/>
    <x v="71"/>
    <x v="2"/>
    <x v="19"/>
    <x v="250"/>
    <x v="747"/>
    <x v="0"/>
    <s v="SANTA MARIA"/>
  </r>
  <r>
    <x v="63"/>
    <x v="167"/>
    <x v="2"/>
    <x v="19"/>
    <x v="250"/>
    <x v="758"/>
    <x v="0"/>
    <s v="SANTA MARIA"/>
  </r>
  <r>
    <x v="63"/>
    <x v="60"/>
    <x v="2"/>
    <x v="19"/>
    <x v="250"/>
    <x v="749"/>
    <x v="0"/>
    <s v="SANTA MARIA"/>
  </r>
  <r>
    <x v="63"/>
    <x v="158"/>
    <x v="2"/>
    <x v="19"/>
    <x v="250"/>
    <x v="1296"/>
    <x v="0"/>
    <s v="SANTA MARIA"/>
  </r>
  <r>
    <x v="63"/>
    <x v="62"/>
    <x v="2"/>
    <x v="19"/>
    <x v="250"/>
    <x v="758"/>
    <x v="0"/>
    <s v="SANTA MARIA"/>
  </r>
  <r>
    <x v="63"/>
    <x v="28"/>
    <x v="2"/>
    <x v="19"/>
    <x v="250"/>
    <x v="736"/>
    <x v="0"/>
    <s v="SANTA MARIA"/>
  </r>
  <r>
    <x v="63"/>
    <x v="128"/>
    <x v="2"/>
    <x v="19"/>
    <x v="250"/>
    <x v="737"/>
    <x v="0"/>
    <s v="SANTA MARIA"/>
  </r>
  <r>
    <x v="63"/>
    <x v="11"/>
    <x v="2"/>
    <x v="19"/>
    <x v="250"/>
    <x v="747"/>
    <x v="0"/>
    <s v="SANTA MARIA"/>
  </r>
  <r>
    <x v="63"/>
    <x v="105"/>
    <x v="2"/>
    <x v="19"/>
    <x v="250"/>
    <x v="757"/>
    <x v="0"/>
    <s v="SANTA MARIA"/>
  </r>
  <r>
    <x v="63"/>
    <x v="3"/>
    <x v="2"/>
    <x v="19"/>
    <x v="250"/>
    <x v="1297"/>
    <x v="0"/>
    <s v="SANTA MARIA"/>
  </r>
  <r>
    <x v="0"/>
    <x v="148"/>
    <x v="2"/>
    <x v="24"/>
    <x v="131"/>
    <x v="1298"/>
    <x v="0"/>
    <s v="CASA MATRIZ"/>
  </r>
  <r>
    <x v="0"/>
    <x v="29"/>
    <x v="2"/>
    <x v="24"/>
    <x v="132"/>
    <x v="1299"/>
    <x v="0"/>
    <s v="CASA MATRIZ"/>
  </r>
  <r>
    <x v="0"/>
    <x v="11"/>
    <x v="2"/>
    <x v="24"/>
    <x v="186"/>
    <x v="1300"/>
    <x v="0"/>
    <s v="CASA MATRIZ"/>
  </r>
  <r>
    <x v="0"/>
    <x v="164"/>
    <x v="2"/>
    <x v="24"/>
    <x v="202"/>
    <x v="1301"/>
    <x v="0"/>
    <s v="CASA MATRIZ"/>
  </r>
  <r>
    <x v="0"/>
    <x v="106"/>
    <x v="0"/>
    <x v="25"/>
    <x v="98"/>
    <x v="921"/>
    <x v="0"/>
    <s v="CASA MATRIZ"/>
  </r>
  <r>
    <x v="0"/>
    <x v="35"/>
    <x v="0"/>
    <x v="25"/>
    <x v="35"/>
    <x v="874"/>
    <x v="0"/>
    <s v="CASA MATRIZ"/>
  </r>
  <r>
    <x v="0"/>
    <x v="167"/>
    <x v="0"/>
    <x v="25"/>
    <x v="219"/>
    <x v="874"/>
    <x v="0"/>
    <s v="CASA MATRIZ"/>
  </r>
  <r>
    <x v="0"/>
    <x v="15"/>
    <x v="0"/>
    <x v="25"/>
    <x v="91"/>
    <x v="856"/>
    <x v="0"/>
    <s v="CASA MATRIZ"/>
  </r>
  <r>
    <x v="0"/>
    <x v="154"/>
    <x v="0"/>
    <x v="25"/>
    <x v="215"/>
    <x v="856"/>
    <x v="0"/>
    <s v="CASA MATRIZ"/>
  </r>
  <r>
    <x v="0"/>
    <x v="111"/>
    <x v="0"/>
    <x v="25"/>
    <x v="146"/>
    <x v="874"/>
    <x v="0"/>
    <s v="CASA MATRIZ"/>
  </r>
  <r>
    <x v="0"/>
    <x v="114"/>
    <x v="0"/>
    <x v="25"/>
    <x v="203"/>
    <x v="856"/>
    <x v="0"/>
    <s v="CASA MATRIZ"/>
  </r>
  <r>
    <x v="0"/>
    <x v="13"/>
    <x v="0"/>
    <x v="25"/>
    <x v="207"/>
    <x v="874"/>
    <x v="0"/>
    <s v="CASA MATRIZ"/>
  </r>
  <r>
    <x v="0"/>
    <x v="65"/>
    <x v="0"/>
    <x v="25"/>
    <x v="165"/>
    <x v="799"/>
    <x v="0"/>
    <s v="CASA MATRIZ"/>
  </r>
  <r>
    <x v="0"/>
    <x v="17"/>
    <x v="0"/>
    <x v="25"/>
    <x v="201"/>
    <x v="874"/>
    <x v="0"/>
    <s v="CASA MATRIZ"/>
  </r>
  <r>
    <x v="0"/>
    <x v="17"/>
    <x v="0"/>
    <x v="24"/>
    <x v="201"/>
    <x v="811"/>
    <x v="23"/>
    <s v="CASA MATRIZ"/>
  </r>
  <r>
    <x v="4"/>
    <x v="152"/>
    <x v="2"/>
    <x v="25"/>
    <x v="161"/>
    <x v="875"/>
    <x v="0"/>
    <s v="VIA PORRAS"/>
  </r>
  <r>
    <x v="4"/>
    <x v="148"/>
    <x v="2"/>
    <x v="24"/>
    <x v="131"/>
    <x v="1302"/>
    <x v="0"/>
    <s v="VIA PORRAS"/>
  </r>
  <r>
    <x v="4"/>
    <x v="29"/>
    <x v="2"/>
    <x v="24"/>
    <x v="132"/>
    <x v="1303"/>
    <x v="0"/>
    <s v="VIA PORRAS"/>
  </r>
  <r>
    <x v="4"/>
    <x v="6"/>
    <x v="2"/>
    <x v="25"/>
    <x v="125"/>
    <x v="799"/>
    <x v="0"/>
    <s v="VIA PORRAS"/>
  </r>
  <r>
    <x v="4"/>
    <x v="103"/>
    <x v="2"/>
    <x v="25"/>
    <x v="198"/>
    <x v="874"/>
    <x v="0"/>
    <s v="VIA PORRAS"/>
  </r>
  <r>
    <x v="4"/>
    <x v="104"/>
    <x v="2"/>
    <x v="25"/>
    <x v="74"/>
    <x v="874"/>
    <x v="0"/>
    <s v="VIA PORRAS"/>
  </r>
  <r>
    <x v="4"/>
    <x v="69"/>
    <x v="2"/>
    <x v="24"/>
    <x v="236"/>
    <x v="1304"/>
    <x v="0"/>
    <s v="VIA PORRAS"/>
  </r>
  <r>
    <x v="4"/>
    <x v="86"/>
    <x v="2"/>
    <x v="25"/>
    <x v="204"/>
    <x v="874"/>
    <x v="0"/>
    <s v="VIA PORRAS"/>
  </r>
  <r>
    <x v="4"/>
    <x v="156"/>
    <x v="0"/>
    <x v="25"/>
    <x v="181"/>
    <x v="799"/>
    <x v="0"/>
    <s v="VIA PORRAS"/>
  </r>
  <r>
    <x v="4"/>
    <x v="8"/>
    <x v="0"/>
    <x v="25"/>
    <x v="209"/>
    <x v="874"/>
    <x v="0"/>
    <s v="VIA PORRAS"/>
  </r>
  <r>
    <x v="4"/>
    <x v="54"/>
    <x v="0"/>
    <x v="25"/>
    <x v="210"/>
    <x v="874"/>
    <x v="0"/>
    <s v="VIA PORRAS"/>
  </r>
  <r>
    <x v="4"/>
    <x v="38"/>
    <x v="0"/>
    <x v="25"/>
    <x v="222"/>
    <x v="874"/>
    <x v="0"/>
    <s v="VIA PORRAS"/>
  </r>
  <r>
    <x v="4"/>
    <x v="161"/>
    <x v="0"/>
    <x v="25"/>
    <x v="191"/>
    <x v="874"/>
    <x v="0"/>
    <s v="VIA PORRAS"/>
  </r>
  <r>
    <x v="4"/>
    <x v="21"/>
    <x v="0"/>
    <x v="25"/>
    <x v="67"/>
    <x v="875"/>
    <x v="0"/>
    <s v="VIA PORRAS"/>
  </r>
  <r>
    <x v="4"/>
    <x v="83"/>
    <x v="0"/>
    <x v="25"/>
    <x v="99"/>
    <x v="874"/>
    <x v="0"/>
    <s v="VIA PORRAS"/>
  </r>
  <r>
    <x v="4"/>
    <x v="90"/>
    <x v="0"/>
    <x v="25"/>
    <x v="90"/>
    <x v="1057"/>
    <x v="0"/>
    <s v="VIA PORRAS"/>
  </r>
  <r>
    <x v="4"/>
    <x v="25"/>
    <x v="0"/>
    <x v="25"/>
    <x v="169"/>
    <x v="874"/>
    <x v="0"/>
    <s v="VIA PORRAS"/>
  </r>
  <r>
    <x v="4"/>
    <x v="56"/>
    <x v="0"/>
    <x v="25"/>
    <x v="193"/>
    <x v="799"/>
    <x v="0"/>
    <s v="VIA PORRAS"/>
  </r>
  <r>
    <x v="4"/>
    <x v="40"/>
    <x v="0"/>
    <x v="25"/>
    <x v="38"/>
    <x v="874"/>
    <x v="0"/>
    <s v="VIA PORRAS"/>
  </r>
  <r>
    <x v="4"/>
    <x v="160"/>
    <x v="0"/>
    <x v="25"/>
    <x v="185"/>
    <x v="874"/>
    <x v="0"/>
    <s v="VIA PORRAS"/>
  </r>
  <r>
    <x v="4"/>
    <x v="168"/>
    <x v="0"/>
    <x v="25"/>
    <x v="221"/>
    <x v="799"/>
    <x v="0"/>
    <s v="VIA PORRAS"/>
  </r>
  <r>
    <x v="4"/>
    <x v="5"/>
    <x v="0"/>
    <x v="25"/>
    <x v="206"/>
    <x v="874"/>
    <x v="0"/>
    <s v="VIA PORRAS"/>
  </r>
  <r>
    <x v="4"/>
    <x v="29"/>
    <x v="0"/>
    <x v="25"/>
    <x v="132"/>
    <x v="874"/>
    <x v="0"/>
    <s v="VIA PORRAS"/>
  </r>
  <r>
    <x v="4"/>
    <x v="111"/>
    <x v="0"/>
    <x v="25"/>
    <x v="146"/>
    <x v="875"/>
    <x v="0"/>
    <s v="VIA PORRAS"/>
  </r>
  <r>
    <x v="4"/>
    <x v="50"/>
    <x v="0"/>
    <x v="26"/>
    <x v="251"/>
    <x v="874"/>
    <x v="0"/>
    <s v="VIA PORRAS"/>
  </r>
  <r>
    <x v="4"/>
    <x v="50"/>
    <x v="0"/>
    <x v="25"/>
    <x v="126"/>
    <x v="874"/>
    <x v="0"/>
    <s v="VIA PORRAS"/>
  </r>
  <r>
    <x v="4"/>
    <x v="51"/>
    <x v="0"/>
    <x v="24"/>
    <x v="178"/>
    <x v="874"/>
    <x v="0"/>
    <s v="VIA PORRAS"/>
  </r>
  <r>
    <x v="4"/>
    <x v="51"/>
    <x v="0"/>
    <x v="25"/>
    <x v="178"/>
    <x v="874"/>
    <x v="0"/>
    <s v="VIA PORRAS"/>
  </r>
  <r>
    <x v="4"/>
    <x v="11"/>
    <x v="0"/>
    <x v="27"/>
    <x v="252"/>
    <x v="811"/>
    <x v="23"/>
    <s v="VIA PORRAS"/>
  </r>
  <r>
    <x v="4"/>
    <x v="136"/>
    <x v="0"/>
    <x v="25"/>
    <x v="235"/>
    <x v="874"/>
    <x v="0"/>
    <s v="VIA PORRAS"/>
  </r>
  <r>
    <x v="4"/>
    <x v="86"/>
    <x v="0"/>
    <x v="25"/>
    <x v="204"/>
    <x v="874"/>
    <x v="0"/>
    <s v="VIA PORRAS"/>
  </r>
  <r>
    <x v="4"/>
    <x v="64"/>
    <x v="0"/>
    <x v="25"/>
    <x v="187"/>
    <x v="874"/>
    <x v="0"/>
    <s v="VIA PORRAS"/>
  </r>
  <r>
    <x v="4"/>
    <x v="46"/>
    <x v="0"/>
    <x v="25"/>
    <x v="95"/>
    <x v="875"/>
    <x v="0"/>
    <s v="VIA PORRAS"/>
  </r>
  <r>
    <x v="4"/>
    <x v="13"/>
    <x v="0"/>
    <x v="25"/>
    <x v="207"/>
    <x v="874"/>
    <x v="0"/>
    <s v="VIA PORRAS"/>
  </r>
  <r>
    <x v="4"/>
    <x v="125"/>
    <x v="0"/>
    <x v="25"/>
    <x v="81"/>
    <x v="874"/>
    <x v="0"/>
    <s v="VIA PORRAS"/>
  </r>
  <r>
    <x v="4"/>
    <x v="65"/>
    <x v="0"/>
    <x v="25"/>
    <x v="165"/>
    <x v="856"/>
    <x v="0"/>
    <s v="VIA PORRAS"/>
  </r>
  <r>
    <x v="4"/>
    <x v="3"/>
    <x v="0"/>
    <x v="25"/>
    <x v="30"/>
    <x v="874"/>
    <x v="0"/>
    <s v="VIA PORRAS"/>
  </r>
  <r>
    <x v="4"/>
    <x v="58"/>
    <x v="0"/>
    <x v="25"/>
    <x v="29"/>
    <x v="856"/>
    <x v="0"/>
    <s v="VIA PORRAS"/>
  </r>
  <r>
    <x v="4"/>
    <x v="70"/>
    <x v="0"/>
    <x v="25"/>
    <x v="253"/>
    <x v="875"/>
    <x v="0"/>
    <s v="VIA PORRAS"/>
  </r>
  <r>
    <x v="4"/>
    <x v="20"/>
    <x v="0"/>
    <x v="25"/>
    <x v="87"/>
    <x v="874"/>
    <x v="0"/>
    <s v="VIA PORRAS"/>
  </r>
  <r>
    <x v="4"/>
    <x v="68"/>
    <x v="1"/>
    <x v="25"/>
    <x v="213"/>
    <x v="874"/>
    <x v="0"/>
    <s v="VIA PORRAS"/>
  </r>
  <r>
    <x v="4"/>
    <x v="16"/>
    <x v="1"/>
    <x v="25"/>
    <x v="101"/>
    <x v="874"/>
    <x v="0"/>
    <s v="VIA PORRAS"/>
  </r>
  <r>
    <x v="4"/>
    <x v="6"/>
    <x v="1"/>
    <x v="25"/>
    <x v="125"/>
    <x v="874"/>
    <x v="0"/>
    <s v="VIA PORRAS"/>
  </r>
  <r>
    <x v="4"/>
    <x v="114"/>
    <x v="1"/>
    <x v="25"/>
    <x v="203"/>
    <x v="874"/>
    <x v="0"/>
    <s v="VIA PORRAS"/>
  </r>
  <r>
    <x v="6"/>
    <x v="152"/>
    <x v="2"/>
    <x v="24"/>
    <x v="161"/>
    <x v="1305"/>
    <x v="0"/>
    <s v="CHANIS"/>
  </r>
  <r>
    <x v="6"/>
    <x v="168"/>
    <x v="2"/>
    <x v="24"/>
    <x v="221"/>
    <x v="1306"/>
    <x v="0"/>
    <s v="CHANIS"/>
  </r>
  <r>
    <x v="6"/>
    <x v="43"/>
    <x v="2"/>
    <x v="24"/>
    <x v="73"/>
    <x v="1307"/>
    <x v="0"/>
    <s v="CHANIS"/>
  </r>
  <r>
    <x v="6"/>
    <x v="164"/>
    <x v="2"/>
    <x v="24"/>
    <x v="202"/>
    <x v="1308"/>
    <x v="0"/>
    <s v="CHANIS"/>
  </r>
  <r>
    <x v="7"/>
    <x v="106"/>
    <x v="2"/>
    <x v="24"/>
    <x v="98"/>
    <x v="1309"/>
    <x v="0"/>
    <s v="PLAZA TOCUMEN"/>
  </r>
  <r>
    <x v="7"/>
    <x v="132"/>
    <x v="2"/>
    <x v="24"/>
    <x v="100"/>
    <x v="811"/>
    <x v="24"/>
    <s v="PLAZA TOCUMEN"/>
  </r>
  <r>
    <x v="7"/>
    <x v="23"/>
    <x v="2"/>
    <x v="24"/>
    <x v="184"/>
    <x v="1310"/>
    <x v="0"/>
    <s v="PLAZA TOCUMEN"/>
  </r>
  <r>
    <x v="7"/>
    <x v="77"/>
    <x v="2"/>
    <x v="25"/>
    <x v="71"/>
    <x v="1311"/>
    <x v="0"/>
    <s v="PLAZA TOCUMEN"/>
  </r>
  <r>
    <x v="7"/>
    <x v="128"/>
    <x v="2"/>
    <x v="24"/>
    <x v="84"/>
    <x v="1312"/>
    <x v="0"/>
    <s v="PLAZA TOCUMEN"/>
  </r>
  <r>
    <x v="7"/>
    <x v="43"/>
    <x v="2"/>
    <x v="24"/>
    <x v="73"/>
    <x v="1313"/>
    <x v="0"/>
    <s v="PLAZA TOCUMEN"/>
  </r>
  <r>
    <x v="7"/>
    <x v="110"/>
    <x v="2"/>
    <x v="24"/>
    <x v="189"/>
    <x v="863"/>
    <x v="0"/>
    <s v="PLAZA TOCUMEN"/>
  </r>
  <r>
    <x v="7"/>
    <x v="19"/>
    <x v="2"/>
    <x v="24"/>
    <x v="118"/>
    <x v="1056"/>
    <x v="0"/>
    <s v="PLAZA TOCUMEN"/>
  </r>
  <r>
    <x v="8"/>
    <x v="78"/>
    <x v="2"/>
    <x v="25"/>
    <x v="147"/>
    <x v="763"/>
    <x v="0"/>
    <s v="SANTIAGO"/>
  </r>
  <r>
    <x v="9"/>
    <x v="88"/>
    <x v="2"/>
    <x v="25"/>
    <x v="138"/>
    <x v="874"/>
    <x v="0"/>
    <s v="OBARRIO"/>
  </r>
  <r>
    <x v="9"/>
    <x v="91"/>
    <x v="2"/>
    <x v="24"/>
    <x v="162"/>
    <x v="1025"/>
    <x v="0"/>
    <s v="OBARRIO"/>
  </r>
  <r>
    <x v="9"/>
    <x v="87"/>
    <x v="0"/>
    <x v="25"/>
    <x v="129"/>
    <x v="856"/>
    <x v="0"/>
    <s v="OBARRIO"/>
  </r>
  <r>
    <x v="9"/>
    <x v="138"/>
    <x v="0"/>
    <x v="25"/>
    <x v="109"/>
    <x v="874"/>
    <x v="0"/>
    <s v="OBARRIO"/>
  </r>
  <r>
    <x v="9"/>
    <x v="166"/>
    <x v="0"/>
    <x v="25"/>
    <x v="218"/>
    <x v="856"/>
    <x v="0"/>
    <s v="OBARRIO"/>
  </r>
  <r>
    <x v="9"/>
    <x v="132"/>
    <x v="0"/>
    <x v="25"/>
    <x v="100"/>
    <x v="874"/>
    <x v="0"/>
    <s v="OBARRIO"/>
  </r>
  <r>
    <x v="9"/>
    <x v="167"/>
    <x v="0"/>
    <x v="25"/>
    <x v="219"/>
    <x v="874"/>
    <x v="0"/>
    <s v="OBARRIO"/>
  </r>
  <r>
    <x v="9"/>
    <x v="62"/>
    <x v="0"/>
    <x v="25"/>
    <x v="123"/>
    <x v="799"/>
    <x v="0"/>
    <s v="OBARRIO"/>
  </r>
  <r>
    <x v="9"/>
    <x v="101"/>
    <x v="0"/>
    <x v="25"/>
    <x v="150"/>
    <x v="875"/>
    <x v="0"/>
    <s v="OBARRIO"/>
  </r>
  <r>
    <x v="9"/>
    <x v="143"/>
    <x v="0"/>
    <x v="25"/>
    <x v="166"/>
    <x v="856"/>
    <x v="0"/>
    <s v="OBARRIO"/>
  </r>
  <r>
    <x v="9"/>
    <x v="83"/>
    <x v="1"/>
    <x v="25"/>
    <x v="99"/>
    <x v="874"/>
    <x v="0"/>
    <s v="OBARRIO"/>
  </r>
  <r>
    <x v="9"/>
    <x v="75"/>
    <x v="1"/>
    <x v="25"/>
    <x v="39"/>
    <x v="856"/>
    <x v="0"/>
    <s v="OBARRIO"/>
  </r>
  <r>
    <x v="10"/>
    <x v="23"/>
    <x v="2"/>
    <x v="25"/>
    <x v="184"/>
    <x v="874"/>
    <x v="0"/>
    <s v="HATO PINTADO"/>
  </r>
  <r>
    <x v="10"/>
    <x v="59"/>
    <x v="2"/>
    <x v="25"/>
    <x v="31"/>
    <x v="874"/>
    <x v="0"/>
    <s v="HATO PINTADO"/>
  </r>
  <r>
    <x v="10"/>
    <x v="146"/>
    <x v="2"/>
    <x v="25"/>
    <x v="195"/>
    <x v="856"/>
    <x v="0"/>
    <s v="HATO PINTADO"/>
  </r>
  <r>
    <x v="10"/>
    <x v="20"/>
    <x v="2"/>
    <x v="25"/>
    <x v="87"/>
    <x v="874"/>
    <x v="0"/>
    <s v="HATO PINTADO"/>
  </r>
  <r>
    <x v="10"/>
    <x v="117"/>
    <x v="0"/>
    <x v="25"/>
    <x v="233"/>
    <x v="856"/>
    <x v="0"/>
    <s v="HATO PINTADO"/>
  </r>
  <r>
    <x v="10"/>
    <x v="88"/>
    <x v="0"/>
    <x v="25"/>
    <x v="138"/>
    <x v="856"/>
    <x v="0"/>
    <s v="HATO PINTADO"/>
  </r>
  <r>
    <x v="10"/>
    <x v="34"/>
    <x v="0"/>
    <x v="25"/>
    <x v="66"/>
    <x v="921"/>
    <x v="0"/>
    <s v="HATO PINTADO"/>
  </r>
  <r>
    <x v="10"/>
    <x v="38"/>
    <x v="0"/>
    <x v="25"/>
    <x v="222"/>
    <x v="863"/>
    <x v="0"/>
    <s v="HATO PINTADO"/>
  </r>
  <r>
    <x v="10"/>
    <x v="151"/>
    <x v="0"/>
    <x v="25"/>
    <x v="254"/>
    <x v="1057"/>
    <x v="0"/>
    <s v="HATO PINTADO"/>
  </r>
  <r>
    <x v="10"/>
    <x v="108"/>
    <x v="0"/>
    <x v="25"/>
    <x v="255"/>
    <x v="856"/>
    <x v="0"/>
    <s v="HATO PINTADO"/>
  </r>
  <r>
    <x v="10"/>
    <x v="21"/>
    <x v="0"/>
    <x v="25"/>
    <x v="67"/>
    <x v="1292"/>
    <x v="0"/>
    <s v="HATO PINTADO"/>
  </r>
  <r>
    <x v="10"/>
    <x v="83"/>
    <x v="0"/>
    <x v="25"/>
    <x v="99"/>
    <x v="1208"/>
    <x v="0"/>
    <s v="HATO PINTADO"/>
  </r>
  <r>
    <x v="10"/>
    <x v="90"/>
    <x v="0"/>
    <x v="25"/>
    <x v="90"/>
    <x v="398"/>
    <x v="0"/>
    <s v="HATO PINTADO"/>
  </r>
  <r>
    <x v="10"/>
    <x v="152"/>
    <x v="0"/>
    <x v="25"/>
    <x v="161"/>
    <x v="856"/>
    <x v="0"/>
    <s v="HATO PINTADO"/>
  </r>
  <r>
    <x v="10"/>
    <x v="74"/>
    <x v="0"/>
    <x v="25"/>
    <x v="37"/>
    <x v="398"/>
    <x v="0"/>
    <s v="HATO PINTADO"/>
  </r>
  <r>
    <x v="10"/>
    <x v="25"/>
    <x v="0"/>
    <x v="25"/>
    <x v="169"/>
    <x v="398"/>
    <x v="0"/>
    <s v="HATO PINTADO"/>
  </r>
  <r>
    <x v="10"/>
    <x v="2"/>
    <x v="0"/>
    <x v="25"/>
    <x v="172"/>
    <x v="856"/>
    <x v="0"/>
    <s v="HATO PINTADO"/>
  </r>
  <r>
    <x v="10"/>
    <x v="166"/>
    <x v="0"/>
    <x v="25"/>
    <x v="218"/>
    <x v="398"/>
    <x v="0"/>
    <s v="HATO PINTADO"/>
  </r>
  <r>
    <x v="10"/>
    <x v="56"/>
    <x v="0"/>
    <x v="25"/>
    <x v="193"/>
    <x v="1292"/>
    <x v="0"/>
    <s v="HATO PINTADO"/>
  </r>
  <r>
    <x v="10"/>
    <x v="23"/>
    <x v="0"/>
    <x v="25"/>
    <x v="184"/>
    <x v="921"/>
    <x v="0"/>
    <s v="HATO PINTADO"/>
  </r>
  <r>
    <x v="10"/>
    <x v="71"/>
    <x v="0"/>
    <x v="25"/>
    <x v="229"/>
    <x v="813"/>
    <x v="0"/>
    <s v="HATO PINTADO"/>
  </r>
  <r>
    <x v="10"/>
    <x v="48"/>
    <x v="0"/>
    <x v="25"/>
    <x v="77"/>
    <x v="875"/>
    <x v="0"/>
    <s v="HATO PINTADO"/>
  </r>
  <r>
    <x v="10"/>
    <x v="7"/>
    <x v="0"/>
    <x v="25"/>
    <x v="136"/>
    <x v="398"/>
    <x v="0"/>
    <s v="HATO PINTADO"/>
  </r>
  <r>
    <x v="10"/>
    <x v="84"/>
    <x v="0"/>
    <x v="25"/>
    <x v="49"/>
    <x v="856"/>
    <x v="0"/>
    <s v="HATO PINTADO"/>
  </r>
  <r>
    <x v="10"/>
    <x v="120"/>
    <x v="0"/>
    <x v="25"/>
    <x v="70"/>
    <x v="856"/>
    <x v="0"/>
    <s v="HATO PINTADO"/>
  </r>
  <r>
    <x v="10"/>
    <x v="92"/>
    <x v="0"/>
    <x v="25"/>
    <x v="230"/>
    <x v="398"/>
    <x v="0"/>
    <s v="HATO PINTADO"/>
  </r>
  <r>
    <x v="10"/>
    <x v="41"/>
    <x v="0"/>
    <x v="25"/>
    <x v="88"/>
    <x v="874"/>
    <x v="0"/>
    <s v="HATO PINTADO"/>
  </r>
  <r>
    <x v="10"/>
    <x v="146"/>
    <x v="0"/>
    <x v="25"/>
    <x v="195"/>
    <x v="874"/>
    <x v="0"/>
    <s v="HATO PINTADO"/>
  </r>
  <r>
    <x v="10"/>
    <x v="15"/>
    <x v="0"/>
    <x v="25"/>
    <x v="91"/>
    <x v="856"/>
    <x v="0"/>
    <s v="HATO PINTADO"/>
  </r>
  <r>
    <x v="10"/>
    <x v="158"/>
    <x v="0"/>
    <x v="25"/>
    <x v="174"/>
    <x v="1057"/>
    <x v="0"/>
    <s v="HATO PINTADO"/>
  </r>
  <r>
    <x v="10"/>
    <x v="77"/>
    <x v="0"/>
    <x v="25"/>
    <x v="71"/>
    <x v="856"/>
    <x v="0"/>
    <s v="HATO PINTADO"/>
  </r>
  <r>
    <x v="10"/>
    <x v="62"/>
    <x v="0"/>
    <x v="25"/>
    <x v="123"/>
    <x v="856"/>
    <x v="0"/>
    <s v="HATO PINTADO"/>
  </r>
  <r>
    <x v="10"/>
    <x v="5"/>
    <x v="0"/>
    <x v="25"/>
    <x v="206"/>
    <x v="1057"/>
    <x v="0"/>
    <s v="HATO PINTADO"/>
  </r>
  <r>
    <x v="10"/>
    <x v="154"/>
    <x v="0"/>
    <x v="25"/>
    <x v="215"/>
    <x v="398"/>
    <x v="0"/>
    <s v="HATO PINTADO"/>
  </r>
  <r>
    <x v="10"/>
    <x v="111"/>
    <x v="0"/>
    <x v="25"/>
    <x v="146"/>
    <x v="863"/>
    <x v="0"/>
    <s v="HATO PINTADO"/>
  </r>
  <r>
    <x v="10"/>
    <x v="16"/>
    <x v="0"/>
    <x v="25"/>
    <x v="101"/>
    <x v="856"/>
    <x v="0"/>
    <s v="HATO PINTADO"/>
  </r>
  <r>
    <x v="10"/>
    <x v="30"/>
    <x v="0"/>
    <x v="25"/>
    <x v="216"/>
    <x v="1057"/>
    <x v="0"/>
    <s v="HATO PINTADO"/>
  </r>
  <r>
    <x v="10"/>
    <x v="78"/>
    <x v="0"/>
    <x v="25"/>
    <x v="147"/>
    <x v="398"/>
    <x v="0"/>
    <s v="HATO PINTADO"/>
  </r>
  <r>
    <x v="10"/>
    <x v="128"/>
    <x v="0"/>
    <x v="25"/>
    <x v="84"/>
    <x v="875"/>
    <x v="0"/>
    <s v="HATO PINTADO"/>
  </r>
  <r>
    <x v="10"/>
    <x v="131"/>
    <x v="0"/>
    <x v="25"/>
    <x v="97"/>
    <x v="856"/>
    <x v="0"/>
    <s v="HATO PINTADO"/>
  </r>
  <r>
    <x v="10"/>
    <x v="85"/>
    <x v="0"/>
    <x v="25"/>
    <x v="50"/>
    <x v="921"/>
    <x v="0"/>
    <s v="HATO PINTADO"/>
  </r>
  <r>
    <x v="10"/>
    <x v="31"/>
    <x v="0"/>
    <x v="25"/>
    <x v="72"/>
    <x v="921"/>
    <x v="0"/>
    <s v="HATO PINTADO"/>
  </r>
  <r>
    <x v="10"/>
    <x v="102"/>
    <x v="0"/>
    <x v="25"/>
    <x v="137"/>
    <x v="874"/>
    <x v="0"/>
    <s v="HATO PINTADO"/>
  </r>
  <r>
    <x v="10"/>
    <x v="43"/>
    <x v="0"/>
    <x v="25"/>
    <x v="73"/>
    <x v="856"/>
    <x v="0"/>
    <s v="HATO PINTADO"/>
  </r>
  <r>
    <x v="10"/>
    <x v="103"/>
    <x v="0"/>
    <x v="25"/>
    <x v="198"/>
    <x v="856"/>
    <x v="0"/>
    <s v="HATO PINTADO"/>
  </r>
  <r>
    <x v="10"/>
    <x v="123"/>
    <x v="0"/>
    <x v="25"/>
    <x v="176"/>
    <x v="856"/>
    <x v="0"/>
    <s v="HATO PINTADO"/>
  </r>
  <r>
    <x v="10"/>
    <x v="129"/>
    <x v="0"/>
    <x v="25"/>
    <x v="85"/>
    <x v="856"/>
    <x v="0"/>
    <s v="HATO PINTADO"/>
  </r>
  <r>
    <x v="10"/>
    <x v="144"/>
    <x v="0"/>
    <x v="25"/>
    <x v="199"/>
    <x v="1057"/>
    <x v="0"/>
    <s v="HATO PINTADO"/>
  </r>
  <r>
    <x v="10"/>
    <x v="163"/>
    <x v="0"/>
    <x v="25"/>
    <x v="200"/>
    <x v="875"/>
    <x v="0"/>
    <s v="HATO PINTADO"/>
  </r>
  <r>
    <x v="10"/>
    <x v="50"/>
    <x v="0"/>
    <x v="28"/>
    <x v="251"/>
    <x v="875"/>
    <x v="0"/>
    <s v="HATO PINTADO"/>
  </r>
  <r>
    <x v="10"/>
    <x v="50"/>
    <x v="0"/>
    <x v="25"/>
    <x v="126"/>
    <x v="874"/>
    <x v="0"/>
    <s v="HATO PINTADO"/>
  </r>
  <r>
    <x v="10"/>
    <x v="113"/>
    <x v="0"/>
    <x v="25"/>
    <x v="177"/>
    <x v="874"/>
    <x v="0"/>
    <s v="HATO PINTADO"/>
  </r>
  <r>
    <x v="10"/>
    <x v="51"/>
    <x v="0"/>
    <x v="24"/>
    <x v="178"/>
    <x v="875"/>
    <x v="0"/>
    <s v="HATO PINTADO"/>
  </r>
  <r>
    <x v="10"/>
    <x v="11"/>
    <x v="0"/>
    <x v="27"/>
    <x v="252"/>
    <x v="811"/>
    <x v="19"/>
    <s v="HATO PINTADO"/>
  </r>
  <r>
    <x v="10"/>
    <x v="99"/>
    <x v="0"/>
    <x v="25"/>
    <x v="153"/>
    <x v="856"/>
    <x v="0"/>
    <s v="HATO PINTADO"/>
  </r>
  <r>
    <x v="10"/>
    <x v="86"/>
    <x v="0"/>
    <x v="25"/>
    <x v="204"/>
    <x v="856"/>
    <x v="0"/>
    <s v="HATO PINTADO"/>
  </r>
  <r>
    <x v="10"/>
    <x v="105"/>
    <x v="0"/>
    <x v="25"/>
    <x v="179"/>
    <x v="801"/>
    <x v="0"/>
    <s v="HATO PINTADO"/>
  </r>
  <r>
    <x v="10"/>
    <x v="75"/>
    <x v="0"/>
    <x v="25"/>
    <x v="39"/>
    <x v="874"/>
    <x v="0"/>
    <s v="HATO PINTADO"/>
  </r>
  <r>
    <x v="10"/>
    <x v="110"/>
    <x v="0"/>
    <x v="25"/>
    <x v="189"/>
    <x v="921"/>
    <x v="0"/>
    <s v="HATO PINTADO"/>
  </r>
  <r>
    <x v="10"/>
    <x v="94"/>
    <x v="0"/>
    <x v="25"/>
    <x v="180"/>
    <x v="398"/>
    <x v="0"/>
    <s v="HATO PINTADO"/>
  </r>
  <r>
    <x v="10"/>
    <x v="13"/>
    <x v="0"/>
    <x v="25"/>
    <x v="207"/>
    <x v="856"/>
    <x v="0"/>
    <s v="HATO PINTADO"/>
  </r>
  <r>
    <x v="10"/>
    <x v="143"/>
    <x v="0"/>
    <x v="25"/>
    <x v="166"/>
    <x v="856"/>
    <x v="0"/>
    <s v="HATO PINTADO"/>
  </r>
  <r>
    <x v="10"/>
    <x v="32"/>
    <x v="0"/>
    <x v="25"/>
    <x v="40"/>
    <x v="875"/>
    <x v="0"/>
    <s v="HATO PINTADO"/>
  </r>
  <r>
    <x v="10"/>
    <x v="65"/>
    <x v="0"/>
    <x v="25"/>
    <x v="165"/>
    <x v="921"/>
    <x v="0"/>
    <s v="HATO PINTADO"/>
  </r>
  <r>
    <x v="10"/>
    <x v="17"/>
    <x v="0"/>
    <x v="25"/>
    <x v="201"/>
    <x v="799"/>
    <x v="0"/>
    <s v="HATO PINTADO"/>
  </r>
  <r>
    <x v="10"/>
    <x v="164"/>
    <x v="0"/>
    <x v="25"/>
    <x v="202"/>
    <x v="875"/>
    <x v="0"/>
    <s v="HATO PINTADO"/>
  </r>
  <r>
    <x v="10"/>
    <x v="19"/>
    <x v="0"/>
    <x v="25"/>
    <x v="118"/>
    <x v="874"/>
    <x v="0"/>
    <s v="HATO PINTADO"/>
  </r>
  <r>
    <x v="10"/>
    <x v="20"/>
    <x v="0"/>
    <x v="25"/>
    <x v="87"/>
    <x v="799"/>
    <x v="0"/>
    <s v="HATO PINTADO"/>
  </r>
  <r>
    <x v="10"/>
    <x v="106"/>
    <x v="1"/>
    <x v="25"/>
    <x v="98"/>
    <x v="874"/>
    <x v="0"/>
    <s v="HATO PINTADO"/>
  </r>
  <r>
    <x v="10"/>
    <x v="156"/>
    <x v="1"/>
    <x v="25"/>
    <x v="181"/>
    <x v="874"/>
    <x v="0"/>
    <s v="HATO PINTADO"/>
  </r>
  <r>
    <x v="10"/>
    <x v="38"/>
    <x v="1"/>
    <x v="25"/>
    <x v="222"/>
    <x v="874"/>
    <x v="0"/>
    <s v="HATO PINTADO"/>
  </r>
  <r>
    <x v="10"/>
    <x v="108"/>
    <x v="1"/>
    <x v="25"/>
    <x v="255"/>
    <x v="874"/>
    <x v="0"/>
    <s v="HATO PINTADO"/>
  </r>
  <r>
    <x v="10"/>
    <x v="74"/>
    <x v="1"/>
    <x v="25"/>
    <x v="37"/>
    <x v="874"/>
    <x v="0"/>
    <s v="HATO PINTADO"/>
  </r>
  <r>
    <x v="10"/>
    <x v="36"/>
    <x v="1"/>
    <x v="25"/>
    <x v="168"/>
    <x v="874"/>
    <x v="0"/>
    <s v="HATO PINTADO"/>
  </r>
  <r>
    <x v="10"/>
    <x v="71"/>
    <x v="1"/>
    <x v="25"/>
    <x v="229"/>
    <x v="874"/>
    <x v="0"/>
    <s v="HATO PINTADO"/>
  </r>
  <r>
    <x v="10"/>
    <x v="59"/>
    <x v="1"/>
    <x v="25"/>
    <x v="31"/>
    <x v="874"/>
    <x v="0"/>
    <s v="HATO PINTADO"/>
  </r>
  <r>
    <x v="10"/>
    <x v="158"/>
    <x v="1"/>
    <x v="25"/>
    <x v="174"/>
    <x v="874"/>
    <x v="0"/>
    <s v="HATO PINTADO"/>
  </r>
  <r>
    <x v="10"/>
    <x v="144"/>
    <x v="1"/>
    <x v="25"/>
    <x v="199"/>
    <x v="874"/>
    <x v="0"/>
    <s v="HATO PINTADO"/>
  </r>
  <r>
    <x v="10"/>
    <x v="75"/>
    <x v="1"/>
    <x v="25"/>
    <x v="39"/>
    <x v="874"/>
    <x v="0"/>
    <s v="HATO PINTADO"/>
  </r>
  <r>
    <x v="10"/>
    <x v="94"/>
    <x v="1"/>
    <x v="25"/>
    <x v="180"/>
    <x v="874"/>
    <x v="0"/>
    <s v="HATO PINTADO"/>
  </r>
  <r>
    <x v="11"/>
    <x v="92"/>
    <x v="2"/>
    <x v="24"/>
    <x v="230"/>
    <x v="1314"/>
    <x v="0"/>
    <s v="LA CHORRERA"/>
  </r>
  <r>
    <x v="11"/>
    <x v="18"/>
    <x v="2"/>
    <x v="24"/>
    <x v="124"/>
    <x v="1315"/>
    <x v="0"/>
    <s v="LA CHORRERA"/>
  </r>
  <r>
    <x v="11"/>
    <x v="159"/>
    <x v="2"/>
    <x v="24"/>
    <x v="175"/>
    <x v="1299"/>
    <x v="0"/>
    <s v="LA CHORRERA"/>
  </r>
  <r>
    <x v="11"/>
    <x v="144"/>
    <x v="2"/>
    <x v="24"/>
    <x v="199"/>
    <x v="1299"/>
    <x v="0"/>
    <s v="LA CHORRERA"/>
  </r>
  <r>
    <x v="12"/>
    <x v="34"/>
    <x v="0"/>
    <x v="25"/>
    <x v="66"/>
    <x v="874"/>
    <x v="0"/>
    <s v="AVENIDA CENTRAL"/>
  </r>
  <r>
    <x v="14"/>
    <x v="92"/>
    <x v="2"/>
    <x v="24"/>
    <x v="230"/>
    <x v="1316"/>
    <x v="0"/>
    <s v="VILLA LUCRE"/>
  </r>
  <r>
    <x v="14"/>
    <x v="159"/>
    <x v="2"/>
    <x v="24"/>
    <x v="175"/>
    <x v="1317"/>
    <x v="0"/>
    <s v="VILLA LUCRE"/>
  </r>
  <r>
    <x v="14"/>
    <x v="134"/>
    <x v="2"/>
    <x v="24"/>
    <x v="104"/>
    <x v="811"/>
    <x v="25"/>
    <s v="VILLA LUCRE"/>
  </r>
  <r>
    <x v="14"/>
    <x v="58"/>
    <x v="2"/>
    <x v="24"/>
    <x v="29"/>
    <x v="1318"/>
    <x v="0"/>
    <s v="VILLA LUCRE"/>
  </r>
  <r>
    <x v="14"/>
    <x v="137"/>
    <x v="0"/>
    <x v="25"/>
    <x v="108"/>
    <x v="799"/>
    <x v="0"/>
    <s v="VILLA LUCRE"/>
  </r>
  <r>
    <x v="14"/>
    <x v="38"/>
    <x v="0"/>
    <x v="25"/>
    <x v="222"/>
    <x v="799"/>
    <x v="0"/>
    <s v="VILLA LUCRE"/>
  </r>
  <r>
    <x v="14"/>
    <x v="21"/>
    <x v="0"/>
    <x v="25"/>
    <x v="67"/>
    <x v="799"/>
    <x v="0"/>
    <s v="VILLA LUCRE"/>
  </r>
  <r>
    <x v="14"/>
    <x v="149"/>
    <x v="0"/>
    <x v="25"/>
    <x v="192"/>
    <x v="874"/>
    <x v="0"/>
    <s v="VILLA LUCRE"/>
  </r>
  <r>
    <x v="14"/>
    <x v="36"/>
    <x v="0"/>
    <x v="25"/>
    <x v="168"/>
    <x v="799"/>
    <x v="0"/>
    <s v="VILLA LUCRE"/>
  </r>
  <r>
    <x v="14"/>
    <x v="55"/>
    <x v="0"/>
    <x v="25"/>
    <x v="170"/>
    <x v="874"/>
    <x v="0"/>
    <s v="VILLA LUCRE"/>
  </r>
  <r>
    <x v="14"/>
    <x v="166"/>
    <x v="0"/>
    <x v="25"/>
    <x v="218"/>
    <x v="1057"/>
    <x v="0"/>
    <s v="VILLA LUCRE"/>
  </r>
  <r>
    <x v="14"/>
    <x v="71"/>
    <x v="0"/>
    <x v="25"/>
    <x v="229"/>
    <x v="799"/>
    <x v="0"/>
    <s v="VILLA LUCRE"/>
  </r>
  <r>
    <x v="14"/>
    <x v="160"/>
    <x v="0"/>
    <x v="25"/>
    <x v="185"/>
    <x v="874"/>
    <x v="0"/>
    <s v="VILLA LUCRE"/>
  </r>
  <r>
    <x v="14"/>
    <x v="115"/>
    <x v="0"/>
    <x v="25"/>
    <x v="62"/>
    <x v="875"/>
    <x v="0"/>
    <s v="VILLA LUCRE"/>
  </r>
  <r>
    <x v="14"/>
    <x v="15"/>
    <x v="0"/>
    <x v="25"/>
    <x v="91"/>
    <x v="921"/>
    <x v="0"/>
    <s v="VILLA LUCRE"/>
  </r>
  <r>
    <x v="14"/>
    <x v="154"/>
    <x v="0"/>
    <x v="25"/>
    <x v="215"/>
    <x v="1292"/>
    <x v="0"/>
    <s v="VILLA LUCRE"/>
  </r>
  <r>
    <x v="14"/>
    <x v="16"/>
    <x v="0"/>
    <x v="25"/>
    <x v="101"/>
    <x v="874"/>
    <x v="0"/>
    <s v="VILLA LUCRE"/>
  </r>
  <r>
    <x v="14"/>
    <x v="101"/>
    <x v="0"/>
    <x v="25"/>
    <x v="150"/>
    <x v="874"/>
    <x v="0"/>
    <s v="VILLA LUCRE"/>
  </r>
  <r>
    <x v="14"/>
    <x v="131"/>
    <x v="0"/>
    <x v="25"/>
    <x v="97"/>
    <x v="801"/>
    <x v="0"/>
    <s v="VILLA LUCRE"/>
  </r>
  <r>
    <x v="14"/>
    <x v="103"/>
    <x v="0"/>
    <x v="25"/>
    <x v="198"/>
    <x v="874"/>
    <x v="0"/>
    <s v="VILLA LUCRE"/>
  </r>
  <r>
    <x v="14"/>
    <x v="44"/>
    <x v="0"/>
    <x v="25"/>
    <x v="94"/>
    <x v="1208"/>
    <x v="0"/>
    <s v="VILLA LUCRE"/>
  </r>
  <r>
    <x v="14"/>
    <x v="51"/>
    <x v="0"/>
    <x v="25"/>
    <x v="178"/>
    <x v="874"/>
    <x v="0"/>
    <s v="VILLA LUCRE"/>
  </r>
  <r>
    <x v="14"/>
    <x v="86"/>
    <x v="0"/>
    <x v="25"/>
    <x v="204"/>
    <x v="799"/>
    <x v="0"/>
    <s v="VILLA LUCRE"/>
  </r>
  <r>
    <x v="14"/>
    <x v="75"/>
    <x v="0"/>
    <x v="25"/>
    <x v="39"/>
    <x v="874"/>
    <x v="0"/>
    <s v="VILLA LUCRE"/>
  </r>
  <r>
    <x v="14"/>
    <x v="93"/>
    <x v="0"/>
    <x v="25"/>
    <x v="80"/>
    <x v="799"/>
    <x v="0"/>
    <s v="VILLA LUCRE"/>
  </r>
  <r>
    <x v="14"/>
    <x v="114"/>
    <x v="0"/>
    <x v="25"/>
    <x v="203"/>
    <x v="874"/>
    <x v="0"/>
    <s v="VILLA LUCRE"/>
  </r>
  <r>
    <x v="14"/>
    <x v="65"/>
    <x v="0"/>
    <x v="25"/>
    <x v="165"/>
    <x v="1057"/>
    <x v="0"/>
    <s v="VILLA LUCRE"/>
  </r>
  <r>
    <x v="14"/>
    <x v="164"/>
    <x v="0"/>
    <x v="25"/>
    <x v="202"/>
    <x v="856"/>
    <x v="0"/>
    <s v="VILLA LUCRE"/>
  </r>
  <r>
    <x v="15"/>
    <x v="106"/>
    <x v="2"/>
    <x v="25"/>
    <x v="98"/>
    <x v="874"/>
    <x v="0"/>
    <s v="LOS ANDES"/>
  </r>
  <r>
    <x v="15"/>
    <x v="38"/>
    <x v="2"/>
    <x v="25"/>
    <x v="222"/>
    <x v="874"/>
    <x v="0"/>
    <s v="LOS ANDES"/>
  </r>
  <r>
    <x v="15"/>
    <x v="106"/>
    <x v="0"/>
    <x v="25"/>
    <x v="98"/>
    <x v="875"/>
    <x v="0"/>
    <s v="LOS ANDES"/>
  </r>
  <r>
    <x v="15"/>
    <x v="156"/>
    <x v="0"/>
    <x v="25"/>
    <x v="181"/>
    <x v="875"/>
    <x v="0"/>
    <s v="LOS ANDES"/>
  </r>
  <r>
    <x v="15"/>
    <x v="107"/>
    <x v="0"/>
    <x v="25"/>
    <x v="256"/>
    <x v="1208"/>
    <x v="0"/>
    <s v="LOS ANDES"/>
  </r>
  <r>
    <x v="15"/>
    <x v="88"/>
    <x v="0"/>
    <x v="25"/>
    <x v="138"/>
    <x v="874"/>
    <x v="0"/>
    <s v="LOS ANDES"/>
  </r>
  <r>
    <x v="15"/>
    <x v="54"/>
    <x v="0"/>
    <x v="25"/>
    <x v="210"/>
    <x v="875"/>
    <x v="0"/>
    <s v="LOS ANDES"/>
  </r>
  <r>
    <x v="15"/>
    <x v="138"/>
    <x v="0"/>
    <x v="25"/>
    <x v="109"/>
    <x v="874"/>
    <x v="0"/>
    <s v="LOS ANDES"/>
  </r>
  <r>
    <x v="15"/>
    <x v="34"/>
    <x v="0"/>
    <x v="25"/>
    <x v="66"/>
    <x v="801"/>
    <x v="0"/>
    <s v="LOS ANDES"/>
  </r>
  <r>
    <x v="15"/>
    <x v="81"/>
    <x v="0"/>
    <x v="25"/>
    <x v="190"/>
    <x v="875"/>
    <x v="0"/>
    <s v="LOS ANDES"/>
  </r>
  <r>
    <x v="15"/>
    <x v="35"/>
    <x v="0"/>
    <x v="25"/>
    <x v="35"/>
    <x v="874"/>
    <x v="0"/>
    <s v="LOS ANDES"/>
  </r>
  <r>
    <x v="15"/>
    <x v="38"/>
    <x v="0"/>
    <x v="25"/>
    <x v="222"/>
    <x v="856"/>
    <x v="0"/>
    <s v="LOS ANDES"/>
  </r>
  <r>
    <x v="15"/>
    <x v="39"/>
    <x v="0"/>
    <x v="25"/>
    <x v="212"/>
    <x v="874"/>
    <x v="0"/>
    <s v="LOS ANDES"/>
  </r>
  <r>
    <x v="15"/>
    <x v="80"/>
    <x v="0"/>
    <x v="25"/>
    <x v="46"/>
    <x v="1208"/>
    <x v="0"/>
    <s v="LOS ANDES"/>
  </r>
  <r>
    <x v="15"/>
    <x v="21"/>
    <x v="0"/>
    <x v="25"/>
    <x v="67"/>
    <x v="874"/>
    <x v="0"/>
    <s v="LOS ANDES"/>
  </r>
  <r>
    <x v="15"/>
    <x v="76"/>
    <x v="0"/>
    <x v="25"/>
    <x v="42"/>
    <x v="799"/>
    <x v="0"/>
    <s v="LOS ANDES"/>
  </r>
  <r>
    <x v="15"/>
    <x v="83"/>
    <x v="0"/>
    <x v="25"/>
    <x v="99"/>
    <x v="875"/>
    <x v="0"/>
    <s v="LOS ANDES"/>
  </r>
  <r>
    <x v="15"/>
    <x v="149"/>
    <x v="0"/>
    <x v="25"/>
    <x v="192"/>
    <x v="799"/>
    <x v="0"/>
    <s v="LOS ANDES"/>
  </r>
  <r>
    <x v="15"/>
    <x v="90"/>
    <x v="0"/>
    <x v="25"/>
    <x v="90"/>
    <x v="875"/>
    <x v="0"/>
    <s v="LOS ANDES"/>
  </r>
  <r>
    <x v="15"/>
    <x v="152"/>
    <x v="0"/>
    <x v="25"/>
    <x v="161"/>
    <x v="856"/>
    <x v="0"/>
    <s v="LOS ANDES"/>
  </r>
  <r>
    <x v="15"/>
    <x v="74"/>
    <x v="0"/>
    <x v="25"/>
    <x v="37"/>
    <x v="1057"/>
    <x v="0"/>
    <s v="LOS ANDES"/>
  </r>
  <r>
    <x v="15"/>
    <x v="14"/>
    <x v="0"/>
    <x v="25"/>
    <x v="61"/>
    <x v="799"/>
    <x v="0"/>
    <s v="LOS ANDES"/>
  </r>
  <r>
    <x v="15"/>
    <x v="121"/>
    <x v="0"/>
    <x v="25"/>
    <x v="135"/>
    <x v="813"/>
    <x v="0"/>
    <s v="LOS ANDES"/>
  </r>
  <r>
    <x v="15"/>
    <x v="23"/>
    <x v="0"/>
    <x v="25"/>
    <x v="184"/>
    <x v="799"/>
    <x v="0"/>
    <s v="LOS ANDES"/>
  </r>
  <r>
    <x v="15"/>
    <x v="26"/>
    <x v="0"/>
    <x v="25"/>
    <x v="226"/>
    <x v="1208"/>
    <x v="0"/>
    <s v="LOS ANDES"/>
  </r>
  <r>
    <x v="15"/>
    <x v="40"/>
    <x v="0"/>
    <x v="25"/>
    <x v="38"/>
    <x v="874"/>
    <x v="0"/>
    <s v="LOS ANDES"/>
  </r>
  <r>
    <x v="15"/>
    <x v="59"/>
    <x v="0"/>
    <x v="25"/>
    <x v="31"/>
    <x v="874"/>
    <x v="0"/>
    <s v="LOS ANDES"/>
  </r>
  <r>
    <x v="15"/>
    <x v="27"/>
    <x v="0"/>
    <x v="25"/>
    <x v="113"/>
    <x v="799"/>
    <x v="0"/>
    <s v="LOS ANDES"/>
  </r>
  <r>
    <x v="15"/>
    <x v="92"/>
    <x v="0"/>
    <x v="25"/>
    <x v="230"/>
    <x v="1057"/>
    <x v="0"/>
    <s v="LOS ANDES"/>
  </r>
  <r>
    <x v="15"/>
    <x v="41"/>
    <x v="0"/>
    <x v="25"/>
    <x v="88"/>
    <x v="856"/>
    <x v="0"/>
    <s v="LOS ANDES"/>
  </r>
  <r>
    <x v="15"/>
    <x v="146"/>
    <x v="0"/>
    <x v="25"/>
    <x v="195"/>
    <x v="398"/>
    <x v="0"/>
    <s v="LOS ANDES"/>
  </r>
  <r>
    <x v="15"/>
    <x v="68"/>
    <x v="0"/>
    <x v="25"/>
    <x v="213"/>
    <x v="874"/>
    <x v="0"/>
    <s v="LOS ANDES"/>
  </r>
  <r>
    <x v="15"/>
    <x v="72"/>
    <x v="0"/>
    <x v="25"/>
    <x v="205"/>
    <x v="874"/>
    <x v="0"/>
    <s v="LOS ANDES"/>
  </r>
  <r>
    <x v="15"/>
    <x v="61"/>
    <x v="0"/>
    <x v="25"/>
    <x v="43"/>
    <x v="398"/>
    <x v="0"/>
    <s v="LOS ANDES"/>
  </r>
  <r>
    <x v="15"/>
    <x v="15"/>
    <x v="0"/>
    <x v="25"/>
    <x v="91"/>
    <x v="398"/>
    <x v="0"/>
    <s v="LOS ANDES"/>
  </r>
  <r>
    <x v="15"/>
    <x v="158"/>
    <x v="0"/>
    <x v="25"/>
    <x v="174"/>
    <x v="1057"/>
    <x v="0"/>
    <s v="LOS ANDES"/>
  </r>
  <r>
    <x v="15"/>
    <x v="168"/>
    <x v="0"/>
    <x v="25"/>
    <x v="221"/>
    <x v="1057"/>
    <x v="0"/>
    <s v="LOS ANDES"/>
  </r>
  <r>
    <x v="15"/>
    <x v="73"/>
    <x v="0"/>
    <x v="25"/>
    <x v="227"/>
    <x v="799"/>
    <x v="0"/>
    <s v="LOS ANDES"/>
  </r>
  <r>
    <x v="15"/>
    <x v="62"/>
    <x v="0"/>
    <x v="25"/>
    <x v="123"/>
    <x v="856"/>
    <x v="0"/>
    <s v="LOS ANDES"/>
  </r>
  <r>
    <x v="15"/>
    <x v="28"/>
    <x v="0"/>
    <x v="25"/>
    <x v="63"/>
    <x v="856"/>
    <x v="0"/>
    <s v="LOS ANDES"/>
  </r>
  <r>
    <x v="15"/>
    <x v="98"/>
    <x v="0"/>
    <x v="25"/>
    <x v="197"/>
    <x v="863"/>
    <x v="0"/>
    <s v="LOS ANDES"/>
  </r>
  <r>
    <x v="15"/>
    <x v="154"/>
    <x v="0"/>
    <x v="25"/>
    <x v="215"/>
    <x v="1057"/>
    <x v="0"/>
    <s v="LOS ANDES"/>
  </r>
  <r>
    <x v="15"/>
    <x v="111"/>
    <x v="0"/>
    <x v="25"/>
    <x v="146"/>
    <x v="921"/>
    <x v="0"/>
    <s v="LOS ANDES"/>
  </r>
  <r>
    <x v="15"/>
    <x v="101"/>
    <x v="0"/>
    <x v="25"/>
    <x v="150"/>
    <x v="856"/>
    <x v="0"/>
    <s v="LOS ANDES"/>
  </r>
  <r>
    <x v="15"/>
    <x v="49"/>
    <x v="0"/>
    <x v="25"/>
    <x v="78"/>
    <x v="921"/>
    <x v="0"/>
    <s v="LOS ANDES"/>
  </r>
  <r>
    <x v="15"/>
    <x v="30"/>
    <x v="0"/>
    <x v="25"/>
    <x v="216"/>
    <x v="398"/>
    <x v="0"/>
    <s v="LOS ANDES"/>
  </r>
  <r>
    <x v="15"/>
    <x v="78"/>
    <x v="0"/>
    <x v="25"/>
    <x v="147"/>
    <x v="801"/>
    <x v="0"/>
    <s v="LOS ANDES"/>
  </r>
  <r>
    <x v="15"/>
    <x v="128"/>
    <x v="0"/>
    <x v="25"/>
    <x v="84"/>
    <x v="1057"/>
    <x v="0"/>
    <s v="LOS ANDES"/>
  </r>
  <r>
    <x v="15"/>
    <x v="131"/>
    <x v="0"/>
    <x v="25"/>
    <x v="97"/>
    <x v="801"/>
    <x v="0"/>
    <s v="LOS ANDES"/>
  </r>
  <r>
    <x v="15"/>
    <x v="10"/>
    <x v="0"/>
    <x v="25"/>
    <x v="152"/>
    <x v="398"/>
    <x v="0"/>
    <s v="LOS ANDES"/>
  </r>
  <r>
    <x v="15"/>
    <x v="104"/>
    <x v="0"/>
    <x v="25"/>
    <x v="74"/>
    <x v="856"/>
    <x v="0"/>
    <s v="LOS ANDES"/>
  </r>
  <r>
    <x v="15"/>
    <x v="123"/>
    <x v="0"/>
    <x v="25"/>
    <x v="176"/>
    <x v="799"/>
    <x v="0"/>
    <s v="LOS ANDES"/>
  </r>
  <r>
    <x v="15"/>
    <x v="129"/>
    <x v="0"/>
    <x v="25"/>
    <x v="85"/>
    <x v="863"/>
    <x v="0"/>
    <s v="LOS ANDES"/>
  </r>
  <r>
    <x v="15"/>
    <x v="44"/>
    <x v="0"/>
    <x v="25"/>
    <x v="94"/>
    <x v="1057"/>
    <x v="0"/>
    <s v="LOS ANDES"/>
  </r>
  <r>
    <x v="15"/>
    <x v="50"/>
    <x v="0"/>
    <x v="25"/>
    <x v="126"/>
    <x v="799"/>
    <x v="0"/>
    <s v="LOS ANDES"/>
  </r>
  <r>
    <x v="15"/>
    <x v="113"/>
    <x v="0"/>
    <x v="25"/>
    <x v="177"/>
    <x v="799"/>
    <x v="0"/>
    <s v="LOS ANDES"/>
  </r>
  <r>
    <x v="15"/>
    <x v="51"/>
    <x v="0"/>
    <x v="25"/>
    <x v="178"/>
    <x v="398"/>
    <x v="0"/>
    <s v="LOS ANDES"/>
  </r>
  <r>
    <x v="15"/>
    <x v="124"/>
    <x v="0"/>
    <x v="25"/>
    <x v="79"/>
    <x v="856"/>
    <x v="0"/>
    <s v="LOS ANDES"/>
  </r>
  <r>
    <x v="15"/>
    <x v="99"/>
    <x v="0"/>
    <x v="25"/>
    <x v="153"/>
    <x v="856"/>
    <x v="0"/>
    <s v="LOS ANDES"/>
  </r>
  <r>
    <x v="15"/>
    <x v="45"/>
    <x v="0"/>
    <x v="25"/>
    <x v="107"/>
    <x v="1057"/>
    <x v="0"/>
    <s v="LOS ANDES"/>
  </r>
  <r>
    <x v="15"/>
    <x v="109"/>
    <x v="0"/>
    <x v="25"/>
    <x v="58"/>
    <x v="1057"/>
    <x v="0"/>
    <s v="LOS ANDES"/>
  </r>
  <r>
    <x v="15"/>
    <x v="86"/>
    <x v="0"/>
    <x v="25"/>
    <x v="204"/>
    <x v="398"/>
    <x v="0"/>
    <s v="LOS ANDES"/>
  </r>
  <r>
    <x v="15"/>
    <x v="52"/>
    <x v="0"/>
    <x v="25"/>
    <x v="228"/>
    <x v="874"/>
    <x v="0"/>
    <s v="LOS ANDES"/>
  </r>
  <r>
    <x v="15"/>
    <x v="105"/>
    <x v="0"/>
    <x v="25"/>
    <x v="179"/>
    <x v="874"/>
    <x v="0"/>
    <s v="LOS ANDES"/>
  </r>
  <r>
    <x v="15"/>
    <x v="12"/>
    <x v="0"/>
    <x v="25"/>
    <x v="103"/>
    <x v="1057"/>
    <x v="0"/>
    <s v="LOS ANDES"/>
  </r>
  <r>
    <x v="15"/>
    <x v="75"/>
    <x v="0"/>
    <x v="25"/>
    <x v="39"/>
    <x v="875"/>
    <x v="0"/>
    <s v="LOS ANDES"/>
  </r>
  <r>
    <x v="15"/>
    <x v="93"/>
    <x v="0"/>
    <x v="25"/>
    <x v="80"/>
    <x v="921"/>
    <x v="0"/>
    <s v="LOS ANDES"/>
  </r>
  <r>
    <x v="15"/>
    <x v="110"/>
    <x v="0"/>
    <x v="25"/>
    <x v="189"/>
    <x v="398"/>
    <x v="0"/>
    <s v="LOS ANDES"/>
  </r>
  <r>
    <x v="15"/>
    <x v="114"/>
    <x v="0"/>
    <x v="25"/>
    <x v="203"/>
    <x v="856"/>
    <x v="0"/>
    <s v="LOS ANDES"/>
  </r>
  <r>
    <x v="15"/>
    <x v="94"/>
    <x v="0"/>
    <x v="25"/>
    <x v="180"/>
    <x v="398"/>
    <x v="0"/>
    <s v="LOS ANDES"/>
  </r>
  <r>
    <x v="15"/>
    <x v="143"/>
    <x v="0"/>
    <x v="25"/>
    <x v="166"/>
    <x v="874"/>
    <x v="0"/>
    <s v="LOS ANDES"/>
  </r>
  <r>
    <x v="15"/>
    <x v="125"/>
    <x v="0"/>
    <x v="25"/>
    <x v="81"/>
    <x v="875"/>
    <x v="0"/>
    <s v="LOS ANDES"/>
  </r>
  <r>
    <x v="15"/>
    <x v="33"/>
    <x v="0"/>
    <x v="25"/>
    <x v="86"/>
    <x v="398"/>
    <x v="0"/>
    <s v="LOS ANDES"/>
  </r>
  <r>
    <x v="15"/>
    <x v="65"/>
    <x v="0"/>
    <x v="25"/>
    <x v="165"/>
    <x v="1057"/>
    <x v="0"/>
    <s v="LOS ANDES"/>
  </r>
  <r>
    <x v="15"/>
    <x v="17"/>
    <x v="0"/>
    <x v="25"/>
    <x v="201"/>
    <x v="856"/>
    <x v="0"/>
    <s v="LOS ANDES"/>
  </r>
  <r>
    <x v="15"/>
    <x v="142"/>
    <x v="0"/>
    <x v="25"/>
    <x v="117"/>
    <x v="799"/>
    <x v="0"/>
    <s v="LOS ANDES"/>
  </r>
  <r>
    <x v="15"/>
    <x v="164"/>
    <x v="0"/>
    <x v="25"/>
    <x v="202"/>
    <x v="874"/>
    <x v="0"/>
    <s v="LOS ANDES"/>
  </r>
  <r>
    <x v="15"/>
    <x v="3"/>
    <x v="0"/>
    <x v="25"/>
    <x v="30"/>
    <x v="874"/>
    <x v="0"/>
    <s v="LOS ANDES"/>
  </r>
  <r>
    <x v="15"/>
    <x v="58"/>
    <x v="0"/>
    <x v="25"/>
    <x v="29"/>
    <x v="874"/>
    <x v="0"/>
    <s v="LOS ANDES"/>
  </r>
  <r>
    <x v="15"/>
    <x v="70"/>
    <x v="0"/>
    <x v="25"/>
    <x v="253"/>
    <x v="856"/>
    <x v="0"/>
    <s v="LOS ANDES"/>
  </r>
  <r>
    <x v="15"/>
    <x v="20"/>
    <x v="0"/>
    <x v="25"/>
    <x v="87"/>
    <x v="398"/>
    <x v="0"/>
    <s v="LOS ANDES"/>
  </r>
  <r>
    <x v="15"/>
    <x v="38"/>
    <x v="1"/>
    <x v="25"/>
    <x v="222"/>
    <x v="874"/>
    <x v="0"/>
    <s v="LOS ANDES"/>
  </r>
  <r>
    <x v="15"/>
    <x v="152"/>
    <x v="1"/>
    <x v="25"/>
    <x v="161"/>
    <x v="874"/>
    <x v="0"/>
    <s v="LOS ANDES"/>
  </r>
  <r>
    <x v="15"/>
    <x v="14"/>
    <x v="1"/>
    <x v="25"/>
    <x v="61"/>
    <x v="856"/>
    <x v="0"/>
    <s v="LOS ANDES"/>
  </r>
  <r>
    <x v="15"/>
    <x v="121"/>
    <x v="1"/>
    <x v="25"/>
    <x v="135"/>
    <x v="856"/>
    <x v="0"/>
    <s v="LOS ANDES"/>
  </r>
  <r>
    <x v="15"/>
    <x v="146"/>
    <x v="1"/>
    <x v="25"/>
    <x v="195"/>
    <x v="874"/>
    <x v="0"/>
    <s v="LOS ANDES"/>
  </r>
  <r>
    <x v="15"/>
    <x v="29"/>
    <x v="1"/>
    <x v="25"/>
    <x v="132"/>
    <x v="874"/>
    <x v="0"/>
    <s v="LOS ANDES"/>
  </r>
  <r>
    <x v="15"/>
    <x v="49"/>
    <x v="1"/>
    <x v="25"/>
    <x v="78"/>
    <x v="874"/>
    <x v="0"/>
    <s v="LOS ANDES"/>
  </r>
  <r>
    <x v="15"/>
    <x v="99"/>
    <x v="1"/>
    <x v="25"/>
    <x v="153"/>
    <x v="875"/>
    <x v="0"/>
    <s v="LOS ANDES"/>
  </r>
  <r>
    <x v="15"/>
    <x v="75"/>
    <x v="1"/>
    <x v="25"/>
    <x v="39"/>
    <x v="874"/>
    <x v="0"/>
    <s v="LOS ANDES"/>
  </r>
  <r>
    <x v="15"/>
    <x v="93"/>
    <x v="1"/>
    <x v="25"/>
    <x v="80"/>
    <x v="874"/>
    <x v="0"/>
    <s v="LOS ANDES"/>
  </r>
  <r>
    <x v="15"/>
    <x v="125"/>
    <x v="1"/>
    <x v="25"/>
    <x v="81"/>
    <x v="856"/>
    <x v="0"/>
    <s v="LOS ANDES"/>
  </r>
  <r>
    <x v="15"/>
    <x v="70"/>
    <x v="1"/>
    <x v="25"/>
    <x v="253"/>
    <x v="874"/>
    <x v="0"/>
    <s v="LOS ANDES"/>
  </r>
  <r>
    <x v="16"/>
    <x v="43"/>
    <x v="2"/>
    <x v="24"/>
    <x v="73"/>
    <x v="1319"/>
    <x v="0"/>
    <s v="VIA ESPANA"/>
  </r>
  <r>
    <x v="16"/>
    <x v="71"/>
    <x v="0"/>
    <x v="25"/>
    <x v="229"/>
    <x v="874"/>
    <x v="0"/>
    <s v="VIA ESPANA"/>
  </r>
  <r>
    <x v="17"/>
    <x v="56"/>
    <x v="2"/>
    <x v="24"/>
    <x v="193"/>
    <x v="818"/>
    <x v="0"/>
    <s v="AVENIDA CUBA"/>
  </r>
  <r>
    <x v="17"/>
    <x v="69"/>
    <x v="2"/>
    <x v="24"/>
    <x v="236"/>
    <x v="1320"/>
    <x v="0"/>
    <s v="AVENIDA CUBA"/>
  </r>
  <r>
    <x v="18"/>
    <x v="137"/>
    <x v="2"/>
    <x v="25"/>
    <x v="108"/>
    <x v="856"/>
    <x v="0"/>
    <s v="CHITRE"/>
  </r>
  <r>
    <x v="18"/>
    <x v="119"/>
    <x v="2"/>
    <x v="24"/>
    <x v="69"/>
    <x v="1321"/>
    <x v="0"/>
    <s v="CHITRE"/>
  </r>
  <r>
    <x v="18"/>
    <x v="7"/>
    <x v="2"/>
    <x v="25"/>
    <x v="136"/>
    <x v="874"/>
    <x v="0"/>
    <s v="CHITRE"/>
  </r>
  <r>
    <x v="18"/>
    <x v="84"/>
    <x v="2"/>
    <x v="25"/>
    <x v="49"/>
    <x v="874"/>
    <x v="0"/>
    <s v="CHITRE"/>
  </r>
  <r>
    <x v="18"/>
    <x v="137"/>
    <x v="0"/>
    <x v="25"/>
    <x v="108"/>
    <x v="799"/>
    <x v="0"/>
    <s v="CHITRE"/>
  </r>
  <r>
    <x v="18"/>
    <x v="137"/>
    <x v="1"/>
    <x v="25"/>
    <x v="108"/>
    <x v="874"/>
    <x v="0"/>
    <s v="CHITRE"/>
  </r>
  <r>
    <x v="19"/>
    <x v="129"/>
    <x v="2"/>
    <x v="25"/>
    <x v="85"/>
    <x v="874"/>
    <x v="0"/>
    <s v="LOS PUEBLOS"/>
  </r>
  <r>
    <x v="19"/>
    <x v="137"/>
    <x v="0"/>
    <x v="25"/>
    <x v="108"/>
    <x v="856"/>
    <x v="0"/>
    <s v="LOS PUEBLOS"/>
  </r>
  <r>
    <x v="19"/>
    <x v="106"/>
    <x v="0"/>
    <x v="25"/>
    <x v="98"/>
    <x v="874"/>
    <x v="0"/>
    <s v="LOS PUEBLOS"/>
  </r>
  <r>
    <x v="19"/>
    <x v="155"/>
    <x v="0"/>
    <x v="25"/>
    <x v="217"/>
    <x v="856"/>
    <x v="0"/>
    <s v="LOS PUEBLOS"/>
  </r>
  <r>
    <x v="19"/>
    <x v="74"/>
    <x v="0"/>
    <x v="25"/>
    <x v="37"/>
    <x v="856"/>
    <x v="0"/>
    <s v="LOS PUEBLOS"/>
  </r>
  <r>
    <x v="19"/>
    <x v="166"/>
    <x v="0"/>
    <x v="25"/>
    <x v="218"/>
    <x v="856"/>
    <x v="0"/>
    <s v="LOS PUEBLOS"/>
  </r>
  <r>
    <x v="19"/>
    <x v="132"/>
    <x v="0"/>
    <x v="25"/>
    <x v="100"/>
    <x v="875"/>
    <x v="0"/>
    <s v="LOS PUEBLOS"/>
  </r>
  <r>
    <x v="19"/>
    <x v="26"/>
    <x v="0"/>
    <x v="25"/>
    <x v="226"/>
    <x v="875"/>
    <x v="0"/>
    <s v="LOS PUEBLOS"/>
  </r>
  <r>
    <x v="19"/>
    <x v="71"/>
    <x v="0"/>
    <x v="25"/>
    <x v="229"/>
    <x v="856"/>
    <x v="0"/>
    <s v="LOS PUEBLOS"/>
  </r>
  <r>
    <x v="19"/>
    <x v="115"/>
    <x v="0"/>
    <x v="25"/>
    <x v="62"/>
    <x v="856"/>
    <x v="0"/>
    <s v="LOS PUEBLOS"/>
  </r>
  <r>
    <x v="19"/>
    <x v="73"/>
    <x v="0"/>
    <x v="25"/>
    <x v="227"/>
    <x v="1057"/>
    <x v="0"/>
    <s v="LOS PUEBLOS"/>
  </r>
  <r>
    <x v="19"/>
    <x v="16"/>
    <x v="0"/>
    <x v="25"/>
    <x v="101"/>
    <x v="1292"/>
    <x v="0"/>
    <s v="LOS PUEBLOS"/>
  </r>
  <r>
    <x v="19"/>
    <x v="128"/>
    <x v="0"/>
    <x v="25"/>
    <x v="84"/>
    <x v="874"/>
    <x v="0"/>
    <s v="LOS PUEBLOS"/>
  </r>
  <r>
    <x v="19"/>
    <x v="31"/>
    <x v="0"/>
    <x v="25"/>
    <x v="72"/>
    <x v="875"/>
    <x v="0"/>
    <s v="LOS PUEBLOS"/>
  </r>
  <r>
    <x v="19"/>
    <x v="129"/>
    <x v="0"/>
    <x v="25"/>
    <x v="85"/>
    <x v="799"/>
    <x v="0"/>
    <s v="LOS PUEBLOS"/>
  </r>
  <r>
    <x v="19"/>
    <x v="51"/>
    <x v="0"/>
    <x v="25"/>
    <x v="178"/>
    <x v="856"/>
    <x v="0"/>
    <s v="LOS PUEBLOS"/>
  </r>
  <r>
    <x v="19"/>
    <x v="45"/>
    <x v="0"/>
    <x v="25"/>
    <x v="107"/>
    <x v="874"/>
    <x v="0"/>
    <s v="LOS PUEBLOS"/>
  </r>
  <r>
    <x v="19"/>
    <x v="86"/>
    <x v="0"/>
    <x v="25"/>
    <x v="204"/>
    <x v="875"/>
    <x v="0"/>
    <s v="LOS PUEBLOS"/>
  </r>
  <r>
    <x v="19"/>
    <x v="105"/>
    <x v="0"/>
    <x v="25"/>
    <x v="179"/>
    <x v="856"/>
    <x v="0"/>
    <s v="LOS PUEBLOS"/>
  </r>
  <r>
    <x v="19"/>
    <x v="133"/>
    <x v="0"/>
    <x v="25"/>
    <x v="102"/>
    <x v="856"/>
    <x v="0"/>
    <s v="LOS PUEBLOS"/>
  </r>
  <r>
    <x v="19"/>
    <x v="94"/>
    <x v="0"/>
    <x v="25"/>
    <x v="180"/>
    <x v="874"/>
    <x v="0"/>
    <s v="LOS PUEBLOS"/>
  </r>
  <r>
    <x v="19"/>
    <x v="13"/>
    <x v="0"/>
    <x v="25"/>
    <x v="207"/>
    <x v="874"/>
    <x v="0"/>
    <s v="LOS PUEBLOS"/>
  </r>
  <r>
    <x v="19"/>
    <x v="143"/>
    <x v="0"/>
    <x v="25"/>
    <x v="166"/>
    <x v="856"/>
    <x v="0"/>
    <s v="LOS PUEBLOS"/>
  </r>
  <r>
    <x v="19"/>
    <x v="126"/>
    <x v="0"/>
    <x v="25"/>
    <x v="82"/>
    <x v="875"/>
    <x v="0"/>
    <s v="LOS PUEBLOS"/>
  </r>
  <r>
    <x v="19"/>
    <x v="100"/>
    <x v="0"/>
    <x v="25"/>
    <x v="220"/>
    <x v="875"/>
    <x v="0"/>
    <s v="LOS PUEBLOS"/>
  </r>
  <r>
    <x v="19"/>
    <x v="115"/>
    <x v="1"/>
    <x v="25"/>
    <x v="62"/>
    <x v="874"/>
    <x v="0"/>
    <s v="LOS PUEBLOS"/>
  </r>
  <r>
    <x v="19"/>
    <x v="97"/>
    <x v="1"/>
    <x v="25"/>
    <x v="114"/>
    <x v="874"/>
    <x v="0"/>
    <s v="LOS PUEBLOS"/>
  </r>
  <r>
    <x v="19"/>
    <x v="10"/>
    <x v="1"/>
    <x v="25"/>
    <x v="152"/>
    <x v="874"/>
    <x v="0"/>
    <s v="LOS PUEBLOS"/>
  </r>
  <r>
    <x v="19"/>
    <x v="129"/>
    <x v="1"/>
    <x v="25"/>
    <x v="85"/>
    <x v="874"/>
    <x v="0"/>
    <s v="LOS PUEBLOS"/>
  </r>
  <r>
    <x v="19"/>
    <x v="51"/>
    <x v="1"/>
    <x v="25"/>
    <x v="178"/>
    <x v="874"/>
    <x v="0"/>
    <s v="LOS PUEBLOS"/>
  </r>
  <r>
    <x v="19"/>
    <x v="133"/>
    <x v="1"/>
    <x v="25"/>
    <x v="102"/>
    <x v="874"/>
    <x v="0"/>
    <s v="LOS PUEBLOS"/>
  </r>
  <r>
    <x v="20"/>
    <x v="77"/>
    <x v="2"/>
    <x v="25"/>
    <x v="71"/>
    <x v="874"/>
    <x v="0"/>
    <s v="TRANSISTMICA"/>
  </r>
  <r>
    <x v="20"/>
    <x v="98"/>
    <x v="2"/>
    <x v="25"/>
    <x v="197"/>
    <x v="874"/>
    <x v="0"/>
    <s v="TRANSISTMICA"/>
  </r>
  <r>
    <x v="20"/>
    <x v="117"/>
    <x v="0"/>
    <x v="25"/>
    <x v="233"/>
    <x v="398"/>
    <x v="0"/>
    <s v="TRANSISTMICA"/>
  </r>
  <r>
    <x v="20"/>
    <x v="161"/>
    <x v="0"/>
    <x v="25"/>
    <x v="191"/>
    <x v="1292"/>
    <x v="0"/>
    <s v="TRANSISTMICA"/>
  </r>
  <r>
    <x v="20"/>
    <x v="21"/>
    <x v="0"/>
    <x v="25"/>
    <x v="67"/>
    <x v="813"/>
    <x v="0"/>
    <s v="TRANSISTMICA"/>
  </r>
  <r>
    <x v="20"/>
    <x v="25"/>
    <x v="0"/>
    <x v="25"/>
    <x v="169"/>
    <x v="1057"/>
    <x v="0"/>
    <s v="TRANSISTMICA"/>
  </r>
  <r>
    <x v="20"/>
    <x v="132"/>
    <x v="0"/>
    <x v="25"/>
    <x v="100"/>
    <x v="1292"/>
    <x v="0"/>
    <s v="TRANSISTMICA"/>
  </r>
  <r>
    <x v="20"/>
    <x v="122"/>
    <x v="0"/>
    <x v="25"/>
    <x v="112"/>
    <x v="856"/>
    <x v="0"/>
    <s v="TRANSISTMICA"/>
  </r>
  <r>
    <x v="20"/>
    <x v="26"/>
    <x v="0"/>
    <x v="25"/>
    <x v="226"/>
    <x v="921"/>
    <x v="0"/>
    <s v="TRANSISTMICA"/>
  </r>
  <r>
    <x v="20"/>
    <x v="92"/>
    <x v="0"/>
    <x v="25"/>
    <x v="230"/>
    <x v="801"/>
    <x v="0"/>
    <s v="TRANSISTMICA"/>
  </r>
  <r>
    <x v="20"/>
    <x v="62"/>
    <x v="0"/>
    <x v="25"/>
    <x v="123"/>
    <x v="976"/>
    <x v="0"/>
    <s v="TRANSISTMICA"/>
  </r>
  <r>
    <x v="20"/>
    <x v="154"/>
    <x v="0"/>
    <x v="25"/>
    <x v="215"/>
    <x v="1292"/>
    <x v="0"/>
    <s v="TRANSISTMICA"/>
  </r>
  <r>
    <x v="20"/>
    <x v="128"/>
    <x v="0"/>
    <x v="25"/>
    <x v="84"/>
    <x v="875"/>
    <x v="0"/>
    <s v="TRANSISTMICA"/>
  </r>
  <r>
    <x v="20"/>
    <x v="31"/>
    <x v="0"/>
    <x v="25"/>
    <x v="72"/>
    <x v="1208"/>
    <x v="0"/>
    <s v="TRANSISTMICA"/>
  </r>
  <r>
    <x v="20"/>
    <x v="104"/>
    <x v="0"/>
    <x v="25"/>
    <x v="74"/>
    <x v="874"/>
    <x v="0"/>
    <s v="TRANSISTMICA"/>
  </r>
  <r>
    <x v="20"/>
    <x v="44"/>
    <x v="0"/>
    <x v="25"/>
    <x v="94"/>
    <x v="976"/>
    <x v="0"/>
    <s v="TRANSISTMICA"/>
  </r>
  <r>
    <x v="20"/>
    <x v="12"/>
    <x v="0"/>
    <x v="25"/>
    <x v="103"/>
    <x v="1292"/>
    <x v="0"/>
    <s v="TRANSISTMICA"/>
  </r>
  <r>
    <x v="20"/>
    <x v="110"/>
    <x v="0"/>
    <x v="25"/>
    <x v="189"/>
    <x v="875"/>
    <x v="0"/>
    <s v="TRANSISTMICA"/>
  </r>
  <r>
    <x v="20"/>
    <x v="94"/>
    <x v="0"/>
    <x v="25"/>
    <x v="180"/>
    <x v="875"/>
    <x v="0"/>
    <s v="TRANSISTMICA"/>
  </r>
  <r>
    <x v="20"/>
    <x v="143"/>
    <x v="0"/>
    <x v="25"/>
    <x v="166"/>
    <x v="874"/>
    <x v="0"/>
    <s v="TRANSISTMICA"/>
  </r>
  <r>
    <x v="20"/>
    <x v="17"/>
    <x v="0"/>
    <x v="25"/>
    <x v="201"/>
    <x v="921"/>
    <x v="0"/>
    <s v="TRANSISTMICA"/>
  </r>
  <r>
    <x v="20"/>
    <x v="47"/>
    <x v="0"/>
    <x v="25"/>
    <x v="257"/>
    <x v="874"/>
    <x v="0"/>
    <s v="TRANSISTMICA"/>
  </r>
  <r>
    <x v="20"/>
    <x v="88"/>
    <x v="1"/>
    <x v="25"/>
    <x v="138"/>
    <x v="856"/>
    <x v="0"/>
    <s v="TRANSISTMICA"/>
  </r>
  <r>
    <x v="20"/>
    <x v="26"/>
    <x v="1"/>
    <x v="25"/>
    <x v="226"/>
    <x v="874"/>
    <x v="0"/>
    <s v="TRANSISTMICA"/>
  </r>
  <r>
    <x v="20"/>
    <x v="98"/>
    <x v="1"/>
    <x v="25"/>
    <x v="197"/>
    <x v="856"/>
    <x v="0"/>
    <s v="TRANSISTMICA"/>
  </r>
  <r>
    <x v="20"/>
    <x v="102"/>
    <x v="1"/>
    <x v="25"/>
    <x v="137"/>
    <x v="874"/>
    <x v="0"/>
    <s v="TRANSISTMICA"/>
  </r>
  <r>
    <x v="20"/>
    <x v="143"/>
    <x v="1"/>
    <x v="25"/>
    <x v="166"/>
    <x v="799"/>
    <x v="0"/>
    <s v="TRANSISTMICA"/>
  </r>
  <r>
    <x v="23"/>
    <x v="59"/>
    <x v="2"/>
    <x v="25"/>
    <x v="31"/>
    <x v="789"/>
    <x v="0"/>
    <s v="DAVID"/>
  </r>
  <r>
    <x v="23"/>
    <x v="93"/>
    <x v="2"/>
    <x v="25"/>
    <x v="80"/>
    <x v="874"/>
    <x v="0"/>
    <s v="DAVID"/>
  </r>
  <r>
    <x v="23"/>
    <x v="46"/>
    <x v="2"/>
    <x v="25"/>
    <x v="95"/>
    <x v="874"/>
    <x v="0"/>
    <s v="DAVID"/>
  </r>
  <r>
    <x v="23"/>
    <x v="87"/>
    <x v="0"/>
    <x v="25"/>
    <x v="129"/>
    <x v="921"/>
    <x v="0"/>
    <s v="DAVID"/>
  </r>
  <r>
    <x v="23"/>
    <x v="8"/>
    <x v="0"/>
    <x v="25"/>
    <x v="209"/>
    <x v="875"/>
    <x v="0"/>
    <s v="DAVID"/>
  </r>
  <r>
    <x v="23"/>
    <x v="88"/>
    <x v="0"/>
    <x v="25"/>
    <x v="138"/>
    <x v="874"/>
    <x v="0"/>
    <s v="DAVID"/>
  </r>
  <r>
    <x v="23"/>
    <x v="54"/>
    <x v="0"/>
    <x v="25"/>
    <x v="210"/>
    <x v="875"/>
    <x v="0"/>
    <s v="DAVID"/>
  </r>
  <r>
    <x v="23"/>
    <x v="34"/>
    <x v="0"/>
    <x v="25"/>
    <x v="66"/>
    <x v="874"/>
    <x v="0"/>
    <s v="DAVID"/>
  </r>
  <r>
    <x v="23"/>
    <x v="35"/>
    <x v="0"/>
    <x v="25"/>
    <x v="35"/>
    <x v="799"/>
    <x v="0"/>
    <s v="DAVID"/>
  </r>
  <r>
    <x v="23"/>
    <x v="161"/>
    <x v="0"/>
    <x v="25"/>
    <x v="191"/>
    <x v="875"/>
    <x v="0"/>
    <s v="DAVID"/>
  </r>
  <r>
    <x v="23"/>
    <x v="80"/>
    <x v="0"/>
    <x v="25"/>
    <x v="46"/>
    <x v="875"/>
    <x v="0"/>
    <s v="DAVID"/>
  </r>
  <r>
    <x v="23"/>
    <x v="76"/>
    <x v="0"/>
    <x v="29"/>
    <x v="42"/>
    <x v="874"/>
    <x v="0"/>
    <s v="DAVID"/>
  </r>
  <r>
    <x v="23"/>
    <x v="76"/>
    <x v="0"/>
    <x v="25"/>
    <x v="42"/>
    <x v="875"/>
    <x v="0"/>
    <s v="DAVID"/>
  </r>
  <r>
    <x v="23"/>
    <x v="83"/>
    <x v="0"/>
    <x v="25"/>
    <x v="99"/>
    <x v="856"/>
    <x v="0"/>
    <s v="DAVID"/>
  </r>
  <r>
    <x v="23"/>
    <x v="149"/>
    <x v="0"/>
    <x v="25"/>
    <x v="192"/>
    <x v="874"/>
    <x v="0"/>
    <s v="DAVID"/>
  </r>
  <r>
    <x v="23"/>
    <x v="152"/>
    <x v="0"/>
    <x v="25"/>
    <x v="161"/>
    <x v="856"/>
    <x v="0"/>
    <s v="DAVID"/>
  </r>
  <r>
    <x v="23"/>
    <x v="74"/>
    <x v="0"/>
    <x v="25"/>
    <x v="37"/>
    <x v="856"/>
    <x v="0"/>
    <s v="DAVID"/>
  </r>
  <r>
    <x v="23"/>
    <x v="55"/>
    <x v="0"/>
    <x v="25"/>
    <x v="170"/>
    <x v="856"/>
    <x v="0"/>
    <s v="DAVID"/>
  </r>
  <r>
    <x v="23"/>
    <x v="37"/>
    <x v="0"/>
    <x v="25"/>
    <x v="171"/>
    <x v="856"/>
    <x v="0"/>
    <s v="DAVID"/>
  </r>
  <r>
    <x v="23"/>
    <x v="166"/>
    <x v="0"/>
    <x v="25"/>
    <x v="218"/>
    <x v="875"/>
    <x v="0"/>
    <s v="DAVID"/>
  </r>
  <r>
    <x v="23"/>
    <x v="132"/>
    <x v="0"/>
    <x v="25"/>
    <x v="100"/>
    <x v="875"/>
    <x v="0"/>
    <s v="DAVID"/>
  </r>
  <r>
    <x v="23"/>
    <x v="23"/>
    <x v="0"/>
    <x v="25"/>
    <x v="184"/>
    <x v="874"/>
    <x v="0"/>
    <s v="DAVID"/>
  </r>
  <r>
    <x v="23"/>
    <x v="26"/>
    <x v="0"/>
    <x v="25"/>
    <x v="226"/>
    <x v="874"/>
    <x v="0"/>
    <s v="DAVID"/>
  </r>
  <r>
    <x v="23"/>
    <x v="40"/>
    <x v="0"/>
    <x v="25"/>
    <x v="38"/>
    <x v="874"/>
    <x v="0"/>
    <s v="DAVID"/>
  </r>
  <r>
    <x v="23"/>
    <x v="91"/>
    <x v="0"/>
    <x v="25"/>
    <x v="162"/>
    <x v="856"/>
    <x v="0"/>
    <s v="DAVID"/>
  </r>
  <r>
    <x v="23"/>
    <x v="48"/>
    <x v="0"/>
    <x v="25"/>
    <x v="77"/>
    <x v="874"/>
    <x v="0"/>
    <s v="DAVID"/>
  </r>
  <r>
    <x v="23"/>
    <x v="92"/>
    <x v="0"/>
    <x v="25"/>
    <x v="230"/>
    <x v="398"/>
    <x v="0"/>
    <s v="DAVID"/>
  </r>
  <r>
    <x v="23"/>
    <x v="139"/>
    <x v="0"/>
    <x v="25"/>
    <x v="110"/>
    <x v="875"/>
    <x v="0"/>
    <s v="DAVID"/>
  </r>
  <r>
    <x v="23"/>
    <x v="60"/>
    <x v="0"/>
    <x v="25"/>
    <x v="196"/>
    <x v="874"/>
    <x v="0"/>
    <s v="DAVID"/>
  </r>
  <r>
    <x v="23"/>
    <x v="61"/>
    <x v="0"/>
    <x v="25"/>
    <x v="43"/>
    <x v="874"/>
    <x v="0"/>
    <s v="DAVID"/>
  </r>
  <r>
    <x v="23"/>
    <x v="15"/>
    <x v="0"/>
    <x v="25"/>
    <x v="91"/>
    <x v="856"/>
    <x v="0"/>
    <s v="DAVID"/>
  </r>
  <r>
    <x v="23"/>
    <x v="158"/>
    <x v="0"/>
    <x v="25"/>
    <x v="174"/>
    <x v="875"/>
    <x v="0"/>
    <s v="DAVID"/>
  </r>
  <r>
    <x v="23"/>
    <x v="28"/>
    <x v="0"/>
    <x v="25"/>
    <x v="63"/>
    <x v="875"/>
    <x v="0"/>
    <s v="DAVID"/>
  </r>
  <r>
    <x v="23"/>
    <x v="18"/>
    <x v="0"/>
    <x v="25"/>
    <x v="124"/>
    <x v="874"/>
    <x v="0"/>
    <s v="DAVID"/>
  </r>
  <r>
    <x v="23"/>
    <x v="29"/>
    <x v="0"/>
    <x v="25"/>
    <x v="132"/>
    <x v="856"/>
    <x v="0"/>
    <s v="DAVID"/>
  </r>
  <r>
    <x v="23"/>
    <x v="154"/>
    <x v="0"/>
    <x v="25"/>
    <x v="215"/>
    <x v="874"/>
    <x v="0"/>
    <s v="DAVID"/>
  </r>
  <r>
    <x v="23"/>
    <x v="111"/>
    <x v="0"/>
    <x v="25"/>
    <x v="146"/>
    <x v="398"/>
    <x v="0"/>
    <s v="DAVID"/>
  </r>
  <r>
    <x v="23"/>
    <x v="16"/>
    <x v="0"/>
    <x v="25"/>
    <x v="101"/>
    <x v="874"/>
    <x v="0"/>
    <s v="DAVID"/>
  </r>
  <r>
    <x v="23"/>
    <x v="30"/>
    <x v="0"/>
    <x v="25"/>
    <x v="216"/>
    <x v="874"/>
    <x v="0"/>
    <s v="DAVID"/>
  </r>
  <r>
    <x v="23"/>
    <x v="128"/>
    <x v="0"/>
    <x v="25"/>
    <x v="84"/>
    <x v="874"/>
    <x v="0"/>
    <s v="DAVID"/>
  </r>
  <r>
    <x v="23"/>
    <x v="131"/>
    <x v="0"/>
    <x v="25"/>
    <x v="97"/>
    <x v="875"/>
    <x v="0"/>
    <s v="DAVID"/>
  </r>
  <r>
    <x v="23"/>
    <x v="31"/>
    <x v="0"/>
    <x v="25"/>
    <x v="72"/>
    <x v="874"/>
    <x v="0"/>
    <s v="DAVID"/>
  </r>
  <r>
    <x v="23"/>
    <x v="140"/>
    <x v="0"/>
    <x v="25"/>
    <x v="234"/>
    <x v="856"/>
    <x v="0"/>
    <s v="DAVID"/>
  </r>
  <r>
    <x v="23"/>
    <x v="159"/>
    <x v="0"/>
    <x v="25"/>
    <x v="175"/>
    <x v="874"/>
    <x v="0"/>
    <s v="DAVID"/>
  </r>
  <r>
    <x v="23"/>
    <x v="104"/>
    <x v="0"/>
    <x v="25"/>
    <x v="74"/>
    <x v="874"/>
    <x v="0"/>
    <s v="DAVID"/>
  </r>
  <r>
    <x v="23"/>
    <x v="52"/>
    <x v="0"/>
    <x v="25"/>
    <x v="228"/>
    <x v="1292"/>
    <x v="0"/>
    <s v="DAVID"/>
  </r>
  <r>
    <x v="23"/>
    <x v="105"/>
    <x v="0"/>
    <x v="25"/>
    <x v="179"/>
    <x v="856"/>
    <x v="0"/>
    <s v="DAVID"/>
  </r>
  <r>
    <x v="23"/>
    <x v="12"/>
    <x v="0"/>
    <x v="25"/>
    <x v="103"/>
    <x v="856"/>
    <x v="0"/>
    <s v="DAVID"/>
  </r>
  <r>
    <x v="23"/>
    <x v="64"/>
    <x v="0"/>
    <x v="25"/>
    <x v="187"/>
    <x v="874"/>
    <x v="0"/>
    <s v="DAVID"/>
  </r>
  <r>
    <x v="23"/>
    <x v="110"/>
    <x v="0"/>
    <x v="25"/>
    <x v="189"/>
    <x v="875"/>
    <x v="0"/>
    <s v="DAVID"/>
  </r>
  <r>
    <x v="23"/>
    <x v="114"/>
    <x v="0"/>
    <x v="25"/>
    <x v="203"/>
    <x v="875"/>
    <x v="0"/>
    <s v="DAVID"/>
  </r>
  <r>
    <x v="23"/>
    <x v="46"/>
    <x v="0"/>
    <x v="25"/>
    <x v="95"/>
    <x v="874"/>
    <x v="0"/>
    <s v="DAVID"/>
  </r>
  <r>
    <x v="23"/>
    <x v="134"/>
    <x v="0"/>
    <x v="25"/>
    <x v="104"/>
    <x v="856"/>
    <x v="0"/>
    <s v="DAVID"/>
  </r>
  <r>
    <x v="23"/>
    <x v="143"/>
    <x v="0"/>
    <x v="25"/>
    <x v="166"/>
    <x v="856"/>
    <x v="0"/>
    <s v="DAVID"/>
  </r>
  <r>
    <x v="23"/>
    <x v="125"/>
    <x v="0"/>
    <x v="25"/>
    <x v="81"/>
    <x v="874"/>
    <x v="0"/>
    <s v="DAVID"/>
  </r>
  <r>
    <x v="23"/>
    <x v="33"/>
    <x v="0"/>
    <x v="25"/>
    <x v="86"/>
    <x v="799"/>
    <x v="0"/>
    <s v="DAVID"/>
  </r>
  <r>
    <x v="23"/>
    <x v="126"/>
    <x v="0"/>
    <x v="25"/>
    <x v="82"/>
    <x v="856"/>
    <x v="0"/>
    <s v="DAVID"/>
  </r>
  <r>
    <x v="23"/>
    <x v="47"/>
    <x v="0"/>
    <x v="25"/>
    <x v="257"/>
    <x v="856"/>
    <x v="0"/>
    <s v="DAVID"/>
  </r>
  <r>
    <x v="23"/>
    <x v="100"/>
    <x v="0"/>
    <x v="25"/>
    <x v="220"/>
    <x v="874"/>
    <x v="0"/>
    <s v="DAVID"/>
  </r>
  <r>
    <x v="23"/>
    <x v="3"/>
    <x v="0"/>
    <x v="25"/>
    <x v="30"/>
    <x v="874"/>
    <x v="0"/>
    <s v="DAVID"/>
  </r>
  <r>
    <x v="23"/>
    <x v="58"/>
    <x v="0"/>
    <x v="25"/>
    <x v="29"/>
    <x v="874"/>
    <x v="0"/>
    <s v="DAVID"/>
  </r>
  <r>
    <x v="23"/>
    <x v="74"/>
    <x v="1"/>
    <x v="25"/>
    <x v="37"/>
    <x v="874"/>
    <x v="0"/>
    <s v="DAVID"/>
  </r>
  <r>
    <x v="24"/>
    <x v="139"/>
    <x v="2"/>
    <x v="24"/>
    <x v="110"/>
    <x v="1322"/>
    <x v="0"/>
    <s v="PLAZA LAS AMERICAS"/>
  </r>
  <r>
    <x v="24"/>
    <x v="144"/>
    <x v="2"/>
    <x v="24"/>
    <x v="199"/>
    <x v="1323"/>
    <x v="0"/>
    <s v="PLAZA LAS AMERICAS"/>
  </r>
  <r>
    <x v="25"/>
    <x v="4"/>
    <x v="2"/>
    <x v="24"/>
    <x v="183"/>
    <x v="1324"/>
    <x v="0"/>
    <s v="CORONADO"/>
  </r>
  <r>
    <x v="25"/>
    <x v="72"/>
    <x v="2"/>
    <x v="24"/>
    <x v="205"/>
    <x v="1299"/>
    <x v="0"/>
    <s v="CORONADO"/>
  </r>
  <r>
    <x v="25"/>
    <x v="18"/>
    <x v="0"/>
    <x v="25"/>
    <x v="124"/>
    <x v="874"/>
    <x v="0"/>
    <s v="CORONADO"/>
  </r>
  <r>
    <x v="26"/>
    <x v="34"/>
    <x v="0"/>
    <x v="25"/>
    <x v="66"/>
    <x v="874"/>
    <x v="0"/>
    <s v="ALBROOK MALL"/>
  </r>
  <r>
    <x v="26"/>
    <x v="80"/>
    <x v="0"/>
    <x v="25"/>
    <x v="46"/>
    <x v="874"/>
    <x v="0"/>
    <s v="ALBROOK MALL"/>
  </r>
  <r>
    <x v="26"/>
    <x v="74"/>
    <x v="0"/>
    <x v="25"/>
    <x v="37"/>
    <x v="874"/>
    <x v="0"/>
    <s v="ALBROOK MALL"/>
  </r>
  <r>
    <x v="26"/>
    <x v="167"/>
    <x v="0"/>
    <x v="25"/>
    <x v="219"/>
    <x v="874"/>
    <x v="0"/>
    <s v="ALBROOK MALL"/>
  </r>
  <r>
    <x v="26"/>
    <x v="62"/>
    <x v="0"/>
    <x v="25"/>
    <x v="123"/>
    <x v="874"/>
    <x v="0"/>
    <s v="ALBROOK MALL"/>
  </r>
  <r>
    <x v="27"/>
    <x v="135"/>
    <x v="2"/>
    <x v="24"/>
    <x v="111"/>
    <x v="1055"/>
    <x v="0"/>
    <s v="PANAMA PACIFICO"/>
  </r>
  <r>
    <x v="27"/>
    <x v="103"/>
    <x v="2"/>
    <x v="24"/>
    <x v="198"/>
    <x v="1325"/>
    <x v="0"/>
    <s v="PANAMA PACIFICO"/>
  </r>
  <r>
    <x v="67"/>
    <x v="67"/>
    <x v="2"/>
    <x v="24"/>
    <x v="173"/>
    <x v="48"/>
    <x v="0"/>
    <s v="PENONOME"/>
  </r>
  <r>
    <x v="67"/>
    <x v="6"/>
    <x v="2"/>
    <x v="24"/>
    <x v="125"/>
    <x v="48"/>
    <x v="0"/>
    <s v="PENONOME"/>
  </r>
  <r>
    <x v="67"/>
    <x v="12"/>
    <x v="2"/>
    <x v="24"/>
    <x v="103"/>
    <x v="764"/>
    <x v="0"/>
    <s v="PENONOME"/>
  </r>
  <r>
    <x v="28"/>
    <x v="67"/>
    <x v="2"/>
    <x v="24"/>
    <x v="173"/>
    <x v="1326"/>
    <x v="0"/>
    <s v="ALBROOK"/>
  </r>
  <r>
    <x v="28"/>
    <x v="156"/>
    <x v="0"/>
    <x v="25"/>
    <x v="181"/>
    <x v="874"/>
    <x v="0"/>
    <s v="ALBROOK"/>
  </r>
  <r>
    <x v="28"/>
    <x v="138"/>
    <x v="0"/>
    <x v="25"/>
    <x v="109"/>
    <x v="799"/>
    <x v="0"/>
    <s v="ALBROOK"/>
  </r>
  <r>
    <x v="28"/>
    <x v="83"/>
    <x v="0"/>
    <x v="25"/>
    <x v="99"/>
    <x v="856"/>
    <x v="0"/>
    <s v="ALBROOK"/>
  </r>
  <r>
    <x v="28"/>
    <x v="24"/>
    <x v="0"/>
    <x v="25"/>
    <x v="167"/>
    <x v="874"/>
    <x v="0"/>
    <s v="ALBROOK"/>
  </r>
  <r>
    <x v="28"/>
    <x v="48"/>
    <x v="0"/>
    <x v="25"/>
    <x v="77"/>
    <x v="874"/>
    <x v="0"/>
    <s v="ALBROOK"/>
  </r>
  <r>
    <x v="28"/>
    <x v="97"/>
    <x v="0"/>
    <x v="25"/>
    <x v="114"/>
    <x v="874"/>
    <x v="0"/>
    <s v="ALBROOK"/>
  </r>
  <r>
    <x v="28"/>
    <x v="77"/>
    <x v="0"/>
    <x v="25"/>
    <x v="71"/>
    <x v="874"/>
    <x v="0"/>
    <s v="ALBROOK"/>
  </r>
  <r>
    <x v="28"/>
    <x v="16"/>
    <x v="0"/>
    <x v="25"/>
    <x v="101"/>
    <x v="856"/>
    <x v="0"/>
    <s v="ALBROOK"/>
  </r>
  <r>
    <x v="28"/>
    <x v="78"/>
    <x v="0"/>
    <x v="25"/>
    <x v="147"/>
    <x v="874"/>
    <x v="0"/>
    <s v="ALBROOK"/>
  </r>
  <r>
    <x v="28"/>
    <x v="144"/>
    <x v="0"/>
    <x v="25"/>
    <x v="199"/>
    <x v="874"/>
    <x v="0"/>
    <s v="ALBROOK"/>
  </r>
  <r>
    <x v="28"/>
    <x v="52"/>
    <x v="0"/>
    <x v="25"/>
    <x v="228"/>
    <x v="874"/>
    <x v="0"/>
    <s v="ALBROOK"/>
  </r>
  <r>
    <x v="28"/>
    <x v="105"/>
    <x v="0"/>
    <x v="25"/>
    <x v="179"/>
    <x v="874"/>
    <x v="0"/>
    <s v="ALBROOK"/>
  </r>
  <r>
    <x v="28"/>
    <x v="110"/>
    <x v="0"/>
    <x v="25"/>
    <x v="189"/>
    <x v="874"/>
    <x v="0"/>
    <s v="ALBROOK"/>
  </r>
  <r>
    <x v="28"/>
    <x v="12"/>
    <x v="1"/>
    <x v="25"/>
    <x v="103"/>
    <x v="874"/>
    <x v="0"/>
    <s v="ALBROOK"/>
  </r>
  <r>
    <x v="29"/>
    <x v="106"/>
    <x v="2"/>
    <x v="24"/>
    <x v="98"/>
    <x v="1327"/>
    <x v="0"/>
    <s v="SUCURSAL DE VISTA ALEGRE"/>
  </r>
  <r>
    <x v="29"/>
    <x v="90"/>
    <x v="2"/>
    <x v="25"/>
    <x v="90"/>
    <x v="856"/>
    <x v="0"/>
    <s v="SUCURSAL DE VISTA ALEGRE"/>
  </r>
  <r>
    <x v="29"/>
    <x v="23"/>
    <x v="2"/>
    <x v="24"/>
    <x v="184"/>
    <x v="1228"/>
    <x v="0"/>
    <s v="SUCURSAL DE VISTA ALEGRE"/>
  </r>
  <r>
    <x v="29"/>
    <x v="139"/>
    <x v="2"/>
    <x v="24"/>
    <x v="110"/>
    <x v="1328"/>
    <x v="0"/>
    <s v="SUCURSAL DE VISTA ALEGRE"/>
  </r>
  <r>
    <x v="29"/>
    <x v="28"/>
    <x v="2"/>
    <x v="25"/>
    <x v="63"/>
    <x v="874"/>
    <x v="0"/>
    <s v="SUCURSAL DE VISTA ALEGRE"/>
  </r>
  <r>
    <x v="29"/>
    <x v="29"/>
    <x v="2"/>
    <x v="24"/>
    <x v="132"/>
    <x v="1329"/>
    <x v="0"/>
    <s v="SUCURSAL DE VISTA ALEGRE"/>
  </r>
  <r>
    <x v="29"/>
    <x v="11"/>
    <x v="2"/>
    <x v="25"/>
    <x v="186"/>
    <x v="874"/>
    <x v="0"/>
    <s v="SUCURSAL DE VISTA ALEGRE"/>
  </r>
  <r>
    <x v="29"/>
    <x v="46"/>
    <x v="2"/>
    <x v="24"/>
    <x v="95"/>
    <x v="1328"/>
    <x v="0"/>
    <s v="SUCURSAL DE VISTA ALEGRE"/>
  </r>
  <r>
    <x v="29"/>
    <x v="94"/>
    <x v="2"/>
    <x v="25"/>
    <x v="180"/>
    <x v="874"/>
    <x v="0"/>
    <s v="SUCURSAL DE VISTA ALEGRE"/>
  </r>
  <r>
    <x v="29"/>
    <x v="137"/>
    <x v="0"/>
    <x v="25"/>
    <x v="108"/>
    <x v="874"/>
    <x v="0"/>
    <s v="SUCURSAL DE VISTA ALEGRE"/>
  </r>
  <r>
    <x v="29"/>
    <x v="156"/>
    <x v="0"/>
    <x v="25"/>
    <x v="181"/>
    <x v="799"/>
    <x v="0"/>
    <s v="SUCURSAL DE VISTA ALEGRE"/>
  </r>
  <r>
    <x v="29"/>
    <x v="38"/>
    <x v="0"/>
    <x v="25"/>
    <x v="222"/>
    <x v="856"/>
    <x v="0"/>
    <s v="SUCURSAL DE VISTA ALEGRE"/>
  </r>
  <r>
    <x v="29"/>
    <x v="80"/>
    <x v="0"/>
    <x v="25"/>
    <x v="46"/>
    <x v="398"/>
    <x v="0"/>
    <s v="SUCURSAL DE VISTA ALEGRE"/>
  </r>
  <r>
    <x v="29"/>
    <x v="21"/>
    <x v="0"/>
    <x v="25"/>
    <x v="67"/>
    <x v="856"/>
    <x v="0"/>
    <s v="SUCURSAL DE VISTA ALEGRE"/>
  </r>
  <r>
    <x v="29"/>
    <x v="83"/>
    <x v="0"/>
    <x v="25"/>
    <x v="99"/>
    <x v="874"/>
    <x v="0"/>
    <s v="SUCURSAL DE VISTA ALEGRE"/>
  </r>
  <r>
    <x v="29"/>
    <x v="74"/>
    <x v="0"/>
    <x v="25"/>
    <x v="37"/>
    <x v="799"/>
    <x v="0"/>
    <s v="SUCURSAL DE VISTA ALEGRE"/>
  </r>
  <r>
    <x v="29"/>
    <x v="55"/>
    <x v="0"/>
    <x v="25"/>
    <x v="170"/>
    <x v="874"/>
    <x v="0"/>
    <s v="SUCURSAL DE VISTA ALEGRE"/>
  </r>
  <r>
    <x v="29"/>
    <x v="166"/>
    <x v="0"/>
    <x v="25"/>
    <x v="218"/>
    <x v="856"/>
    <x v="0"/>
    <s v="SUCURSAL DE VISTA ALEGRE"/>
  </r>
  <r>
    <x v="29"/>
    <x v="132"/>
    <x v="0"/>
    <x v="25"/>
    <x v="100"/>
    <x v="856"/>
    <x v="0"/>
    <s v="SUCURSAL DE VISTA ALEGRE"/>
  </r>
  <r>
    <x v="29"/>
    <x v="26"/>
    <x v="0"/>
    <x v="25"/>
    <x v="226"/>
    <x v="875"/>
    <x v="0"/>
    <s v="SUCURSAL DE VISTA ALEGRE"/>
  </r>
  <r>
    <x v="29"/>
    <x v="160"/>
    <x v="0"/>
    <x v="25"/>
    <x v="185"/>
    <x v="874"/>
    <x v="0"/>
    <s v="SUCURSAL DE VISTA ALEGRE"/>
  </r>
  <r>
    <x v="29"/>
    <x v="59"/>
    <x v="0"/>
    <x v="25"/>
    <x v="31"/>
    <x v="874"/>
    <x v="0"/>
    <s v="SUCURSAL DE VISTA ALEGRE"/>
  </r>
  <r>
    <x v="29"/>
    <x v="27"/>
    <x v="0"/>
    <x v="25"/>
    <x v="113"/>
    <x v="874"/>
    <x v="0"/>
    <s v="SUCURSAL DE VISTA ALEGRE"/>
  </r>
  <r>
    <x v="29"/>
    <x v="146"/>
    <x v="0"/>
    <x v="25"/>
    <x v="195"/>
    <x v="856"/>
    <x v="0"/>
    <s v="SUCURSAL DE VISTA ALEGRE"/>
  </r>
  <r>
    <x v="29"/>
    <x v="72"/>
    <x v="0"/>
    <x v="25"/>
    <x v="205"/>
    <x v="874"/>
    <x v="0"/>
    <s v="SUCURSAL DE VISTA ALEGRE"/>
  </r>
  <r>
    <x v="29"/>
    <x v="15"/>
    <x v="0"/>
    <x v="25"/>
    <x v="91"/>
    <x v="874"/>
    <x v="0"/>
    <s v="SUCURSAL DE VISTA ALEGRE"/>
  </r>
  <r>
    <x v="29"/>
    <x v="168"/>
    <x v="0"/>
    <x v="25"/>
    <x v="221"/>
    <x v="874"/>
    <x v="0"/>
    <s v="SUCURSAL DE VISTA ALEGRE"/>
  </r>
  <r>
    <x v="29"/>
    <x v="77"/>
    <x v="0"/>
    <x v="25"/>
    <x v="71"/>
    <x v="874"/>
    <x v="0"/>
    <s v="SUCURSAL DE VISTA ALEGRE"/>
  </r>
  <r>
    <x v="29"/>
    <x v="18"/>
    <x v="0"/>
    <x v="25"/>
    <x v="124"/>
    <x v="875"/>
    <x v="0"/>
    <s v="SUCURSAL DE VISTA ALEGRE"/>
  </r>
  <r>
    <x v="29"/>
    <x v="98"/>
    <x v="0"/>
    <x v="25"/>
    <x v="197"/>
    <x v="874"/>
    <x v="0"/>
    <s v="SUCURSAL DE VISTA ALEGRE"/>
  </r>
  <r>
    <x v="29"/>
    <x v="154"/>
    <x v="0"/>
    <x v="25"/>
    <x v="215"/>
    <x v="856"/>
    <x v="0"/>
    <s v="SUCURSAL DE VISTA ALEGRE"/>
  </r>
  <r>
    <x v="29"/>
    <x v="111"/>
    <x v="0"/>
    <x v="25"/>
    <x v="146"/>
    <x v="856"/>
    <x v="0"/>
    <s v="SUCURSAL DE VISTA ALEGRE"/>
  </r>
  <r>
    <x v="29"/>
    <x v="49"/>
    <x v="0"/>
    <x v="25"/>
    <x v="78"/>
    <x v="874"/>
    <x v="0"/>
    <s v="SUCURSAL DE VISTA ALEGRE"/>
  </r>
  <r>
    <x v="29"/>
    <x v="6"/>
    <x v="0"/>
    <x v="25"/>
    <x v="125"/>
    <x v="856"/>
    <x v="0"/>
    <s v="SUCURSAL DE VISTA ALEGRE"/>
  </r>
  <r>
    <x v="29"/>
    <x v="30"/>
    <x v="0"/>
    <x v="25"/>
    <x v="216"/>
    <x v="874"/>
    <x v="0"/>
    <s v="SUCURSAL DE VISTA ALEGRE"/>
  </r>
  <r>
    <x v="29"/>
    <x v="78"/>
    <x v="0"/>
    <x v="25"/>
    <x v="147"/>
    <x v="856"/>
    <x v="0"/>
    <s v="SUCURSAL DE VISTA ALEGRE"/>
  </r>
  <r>
    <x v="29"/>
    <x v="131"/>
    <x v="0"/>
    <x v="25"/>
    <x v="97"/>
    <x v="921"/>
    <x v="0"/>
    <s v="SUCURSAL DE VISTA ALEGRE"/>
  </r>
  <r>
    <x v="29"/>
    <x v="140"/>
    <x v="0"/>
    <x v="25"/>
    <x v="234"/>
    <x v="874"/>
    <x v="0"/>
    <s v="SUCURSAL DE VISTA ALEGRE"/>
  </r>
  <r>
    <x v="29"/>
    <x v="159"/>
    <x v="0"/>
    <x v="25"/>
    <x v="175"/>
    <x v="874"/>
    <x v="0"/>
    <s v="SUCURSAL DE VISTA ALEGRE"/>
  </r>
  <r>
    <x v="29"/>
    <x v="43"/>
    <x v="0"/>
    <x v="25"/>
    <x v="73"/>
    <x v="856"/>
    <x v="0"/>
    <s v="SUCURSAL DE VISTA ALEGRE"/>
  </r>
  <r>
    <x v="29"/>
    <x v="129"/>
    <x v="0"/>
    <x v="25"/>
    <x v="85"/>
    <x v="856"/>
    <x v="0"/>
    <s v="SUCURSAL DE VISTA ALEGRE"/>
  </r>
  <r>
    <x v="29"/>
    <x v="144"/>
    <x v="0"/>
    <x v="25"/>
    <x v="199"/>
    <x v="875"/>
    <x v="0"/>
    <s v="SUCURSAL DE VISTA ALEGRE"/>
  </r>
  <r>
    <x v="29"/>
    <x v="44"/>
    <x v="0"/>
    <x v="25"/>
    <x v="94"/>
    <x v="856"/>
    <x v="0"/>
    <s v="SUCURSAL DE VISTA ALEGRE"/>
  </r>
  <r>
    <x v="29"/>
    <x v="163"/>
    <x v="0"/>
    <x v="25"/>
    <x v="200"/>
    <x v="874"/>
    <x v="0"/>
    <s v="SUCURSAL DE VISTA ALEGRE"/>
  </r>
  <r>
    <x v="29"/>
    <x v="113"/>
    <x v="0"/>
    <x v="25"/>
    <x v="177"/>
    <x v="874"/>
    <x v="0"/>
    <s v="SUCURSAL DE VISTA ALEGRE"/>
  </r>
  <r>
    <x v="29"/>
    <x v="45"/>
    <x v="0"/>
    <x v="25"/>
    <x v="107"/>
    <x v="856"/>
    <x v="0"/>
    <s v="SUCURSAL DE VISTA ALEGRE"/>
  </r>
  <r>
    <x v="29"/>
    <x v="86"/>
    <x v="0"/>
    <x v="25"/>
    <x v="204"/>
    <x v="874"/>
    <x v="0"/>
    <s v="SUCURSAL DE VISTA ALEGRE"/>
  </r>
  <r>
    <x v="29"/>
    <x v="52"/>
    <x v="0"/>
    <x v="25"/>
    <x v="228"/>
    <x v="856"/>
    <x v="0"/>
    <s v="SUCURSAL DE VISTA ALEGRE"/>
  </r>
  <r>
    <x v="29"/>
    <x v="145"/>
    <x v="0"/>
    <x v="25"/>
    <x v="127"/>
    <x v="874"/>
    <x v="0"/>
    <s v="SUCURSAL DE VISTA ALEGRE"/>
  </r>
  <r>
    <x v="29"/>
    <x v="105"/>
    <x v="0"/>
    <x v="25"/>
    <x v="179"/>
    <x v="856"/>
    <x v="0"/>
    <s v="SUCURSAL DE VISTA ALEGRE"/>
  </r>
  <r>
    <x v="29"/>
    <x v="133"/>
    <x v="0"/>
    <x v="25"/>
    <x v="102"/>
    <x v="856"/>
    <x v="0"/>
    <s v="SUCURSAL DE VISTA ALEGRE"/>
  </r>
  <r>
    <x v="29"/>
    <x v="12"/>
    <x v="0"/>
    <x v="25"/>
    <x v="103"/>
    <x v="856"/>
    <x v="0"/>
    <s v="SUCURSAL DE VISTA ALEGRE"/>
  </r>
  <r>
    <x v="29"/>
    <x v="46"/>
    <x v="0"/>
    <x v="25"/>
    <x v="95"/>
    <x v="799"/>
    <x v="0"/>
    <s v="SUCURSAL DE VISTA ALEGRE"/>
  </r>
  <r>
    <x v="29"/>
    <x v="134"/>
    <x v="0"/>
    <x v="25"/>
    <x v="104"/>
    <x v="874"/>
    <x v="0"/>
    <s v="SUCURSAL DE VISTA ALEGRE"/>
  </r>
  <r>
    <x v="29"/>
    <x v="32"/>
    <x v="0"/>
    <x v="25"/>
    <x v="40"/>
    <x v="856"/>
    <x v="0"/>
    <s v="SUCURSAL DE VISTA ALEGRE"/>
  </r>
  <r>
    <x v="29"/>
    <x v="126"/>
    <x v="0"/>
    <x v="25"/>
    <x v="82"/>
    <x v="874"/>
    <x v="0"/>
    <s v="SUCURSAL DE VISTA ALEGRE"/>
  </r>
  <r>
    <x v="29"/>
    <x v="65"/>
    <x v="0"/>
    <x v="25"/>
    <x v="165"/>
    <x v="875"/>
    <x v="0"/>
    <s v="SUCURSAL DE VISTA ALEGRE"/>
  </r>
  <r>
    <x v="29"/>
    <x v="17"/>
    <x v="0"/>
    <x v="25"/>
    <x v="201"/>
    <x v="874"/>
    <x v="0"/>
    <s v="SUCURSAL DE VISTA ALEGRE"/>
  </r>
  <r>
    <x v="29"/>
    <x v="142"/>
    <x v="0"/>
    <x v="25"/>
    <x v="117"/>
    <x v="874"/>
    <x v="0"/>
    <s v="SUCURSAL DE VISTA ALEGRE"/>
  </r>
  <r>
    <x v="29"/>
    <x v="47"/>
    <x v="0"/>
    <x v="25"/>
    <x v="257"/>
    <x v="874"/>
    <x v="0"/>
    <s v="SUCURSAL DE VISTA ALEGRE"/>
  </r>
  <r>
    <x v="29"/>
    <x v="100"/>
    <x v="0"/>
    <x v="25"/>
    <x v="220"/>
    <x v="874"/>
    <x v="0"/>
    <s v="SUCURSAL DE VISTA ALEGRE"/>
  </r>
  <r>
    <x v="29"/>
    <x v="58"/>
    <x v="0"/>
    <x v="25"/>
    <x v="29"/>
    <x v="856"/>
    <x v="0"/>
    <s v="SUCURSAL DE VISTA ALEGRE"/>
  </r>
  <r>
    <x v="29"/>
    <x v="20"/>
    <x v="0"/>
    <x v="25"/>
    <x v="87"/>
    <x v="874"/>
    <x v="0"/>
    <s v="SUCURSAL DE VISTA ALEGRE"/>
  </r>
  <r>
    <x v="29"/>
    <x v="38"/>
    <x v="1"/>
    <x v="25"/>
    <x v="222"/>
    <x v="874"/>
    <x v="0"/>
    <s v="SUCURSAL DE VISTA ALEGRE"/>
  </r>
  <r>
    <x v="29"/>
    <x v="80"/>
    <x v="1"/>
    <x v="25"/>
    <x v="46"/>
    <x v="874"/>
    <x v="0"/>
    <s v="SUCURSAL DE VISTA ALEGRE"/>
  </r>
  <r>
    <x v="29"/>
    <x v="23"/>
    <x v="1"/>
    <x v="25"/>
    <x v="184"/>
    <x v="874"/>
    <x v="0"/>
    <s v="SUCURSAL DE VISTA ALEGRE"/>
  </r>
  <r>
    <x v="29"/>
    <x v="59"/>
    <x v="1"/>
    <x v="25"/>
    <x v="31"/>
    <x v="874"/>
    <x v="0"/>
    <s v="SUCURSAL DE VISTA ALEGRE"/>
  </r>
  <r>
    <x v="29"/>
    <x v="92"/>
    <x v="1"/>
    <x v="25"/>
    <x v="230"/>
    <x v="874"/>
    <x v="0"/>
    <s v="SUCURSAL DE VISTA ALEGRE"/>
  </r>
  <r>
    <x v="29"/>
    <x v="18"/>
    <x v="1"/>
    <x v="25"/>
    <x v="124"/>
    <x v="875"/>
    <x v="0"/>
    <s v="SUCURSAL DE VISTA ALEGRE"/>
  </r>
  <r>
    <x v="29"/>
    <x v="10"/>
    <x v="1"/>
    <x v="25"/>
    <x v="152"/>
    <x v="874"/>
    <x v="0"/>
    <s v="SUCURSAL DE VISTA ALEGRE"/>
  </r>
  <r>
    <x v="29"/>
    <x v="94"/>
    <x v="1"/>
    <x v="25"/>
    <x v="180"/>
    <x v="799"/>
    <x v="0"/>
    <s v="SUCURSAL DE VISTA ALEGRE"/>
  </r>
  <r>
    <x v="29"/>
    <x v="13"/>
    <x v="1"/>
    <x v="25"/>
    <x v="207"/>
    <x v="875"/>
    <x v="0"/>
    <s v="SUCURSAL DE VISTA ALEGRE"/>
  </r>
  <r>
    <x v="29"/>
    <x v="125"/>
    <x v="1"/>
    <x v="25"/>
    <x v="81"/>
    <x v="875"/>
    <x v="0"/>
    <s v="SUCURSAL DE VISTA ALEGRE"/>
  </r>
  <r>
    <x v="29"/>
    <x v="32"/>
    <x v="1"/>
    <x v="25"/>
    <x v="40"/>
    <x v="874"/>
    <x v="0"/>
    <s v="SUCURSAL DE VISTA ALEGRE"/>
  </r>
  <r>
    <x v="29"/>
    <x v="33"/>
    <x v="1"/>
    <x v="25"/>
    <x v="86"/>
    <x v="874"/>
    <x v="0"/>
    <s v="SUCURSAL DE VISTA ALEGRE"/>
  </r>
  <r>
    <x v="29"/>
    <x v="58"/>
    <x v="1"/>
    <x v="25"/>
    <x v="29"/>
    <x v="856"/>
    <x v="0"/>
    <s v="SUCURSAL DE VISTA ALEGRE"/>
  </r>
  <r>
    <x v="30"/>
    <x v="71"/>
    <x v="2"/>
    <x v="24"/>
    <x v="229"/>
    <x v="1330"/>
    <x v="0"/>
    <s v="LAS TABLAS"/>
  </r>
  <r>
    <x v="31"/>
    <x v="4"/>
    <x v="2"/>
    <x v="24"/>
    <x v="183"/>
    <x v="1299"/>
    <x v="0"/>
    <s v="24 DE DICIEMBRE"/>
  </r>
  <r>
    <x v="32"/>
    <x v="8"/>
    <x v="2"/>
    <x v="24"/>
    <x v="209"/>
    <x v="1307"/>
    <x v="0"/>
    <s v="DAVID - TERRONAL"/>
  </r>
  <r>
    <x v="32"/>
    <x v="135"/>
    <x v="2"/>
    <x v="24"/>
    <x v="111"/>
    <x v="1320"/>
    <x v="0"/>
    <s v="DAVID - TERRONAL"/>
  </r>
  <r>
    <x v="33"/>
    <x v="156"/>
    <x v="0"/>
    <x v="25"/>
    <x v="181"/>
    <x v="874"/>
    <x v="0"/>
    <s v="COSTA DEL ESTE"/>
  </r>
  <r>
    <x v="33"/>
    <x v="107"/>
    <x v="0"/>
    <x v="25"/>
    <x v="256"/>
    <x v="874"/>
    <x v="0"/>
    <s v="COSTA DEL ESTE"/>
  </r>
  <r>
    <x v="33"/>
    <x v="87"/>
    <x v="0"/>
    <x v="25"/>
    <x v="129"/>
    <x v="874"/>
    <x v="0"/>
    <s v="COSTA DEL ESTE"/>
  </r>
  <r>
    <x v="33"/>
    <x v="35"/>
    <x v="0"/>
    <x v="25"/>
    <x v="35"/>
    <x v="856"/>
    <x v="0"/>
    <s v="COSTA DEL ESTE"/>
  </r>
  <r>
    <x v="33"/>
    <x v="21"/>
    <x v="0"/>
    <x v="25"/>
    <x v="67"/>
    <x v="874"/>
    <x v="0"/>
    <s v="COSTA DEL ESTE"/>
  </r>
  <r>
    <x v="33"/>
    <x v="121"/>
    <x v="0"/>
    <x v="25"/>
    <x v="135"/>
    <x v="875"/>
    <x v="0"/>
    <s v="COSTA DEL ESTE"/>
  </r>
  <r>
    <x v="33"/>
    <x v="26"/>
    <x v="0"/>
    <x v="25"/>
    <x v="226"/>
    <x v="856"/>
    <x v="0"/>
    <s v="COSTA DEL ESTE"/>
  </r>
  <r>
    <x v="33"/>
    <x v="167"/>
    <x v="0"/>
    <x v="25"/>
    <x v="219"/>
    <x v="856"/>
    <x v="0"/>
    <s v="COSTA DEL ESTE"/>
  </r>
  <r>
    <x v="33"/>
    <x v="48"/>
    <x v="0"/>
    <x v="25"/>
    <x v="77"/>
    <x v="874"/>
    <x v="0"/>
    <s v="COSTA DEL ESTE"/>
  </r>
  <r>
    <x v="33"/>
    <x v="160"/>
    <x v="0"/>
    <x v="25"/>
    <x v="185"/>
    <x v="856"/>
    <x v="0"/>
    <s v="COSTA DEL ESTE"/>
  </r>
  <r>
    <x v="33"/>
    <x v="97"/>
    <x v="0"/>
    <x v="25"/>
    <x v="114"/>
    <x v="874"/>
    <x v="0"/>
    <s v="COSTA DEL ESTE"/>
  </r>
  <r>
    <x v="33"/>
    <x v="77"/>
    <x v="0"/>
    <x v="25"/>
    <x v="71"/>
    <x v="856"/>
    <x v="0"/>
    <s v="COSTA DEL ESTE"/>
  </r>
  <r>
    <x v="33"/>
    <x v="111"/>
    <x v="0"/>
    <x v="25"/>
    <x v="146"/>
    <x v="799"/>
    <x v="0"/>
    <s v="COSTA DEL ESTE"/>
  </r>
  <r>
    <x v="33"/>
    <x v="101"/>
    <x v="0"/>
    <x v="25"/>
    <x v="150"/>
    <x v="874"/>
    <x v="0"/>
    <s v="COSTA DEL ESTE"/>
  </r>
  <r>
    <x v="33"/>
    <x v="131"/>
    <x v="0"/>
    <x v="25"/>
    <x v="97"/>
    <x v="874"/>
    <x v="0"/>
    <s v="COSTA DEL ESTE"/>
  </r>
  <r>
    <x v="33"/>
    <x v="10"/>
    <x v="0"/>
    <x v="25"/>
    <x v="152"/>
    <x v="874"/>
    <x v="0"/>
    <s v="COSTA DEL ESTE"/>
  </r>
  <r>
    <x v="33"/>
    <x v="145"/>
    <x v="0"/>
    <x v="25"/>
    <x v="127"/>
    <x v="874"/>
    <x v="0"/>
    <s v="COSTA DEL ESTE"/>
  </r>
  <r>
    <x v="33"/>
    <x v="110"/>
    <x v="0"/>
    <x v="25"/>
    <x v="189"/>
    <x v="874"/>
    <x v="0"/>
    <s v="COSTA DEL ESTE"/>
  </r>
  <r>
    <x v="33"/>
    <x v="32"/>
    <x v="0"/>
    <x v="25"/>
    <x v="40"/>
    <x v="874"/>
    <x v="0"/>
    <s v="COSTA DEL ESTE"/>
  </r>
  <r>
    <x v="33"/>
    <x v="33"/>
    <x v="0"/>
    <x v="25"/>
    <x v="86"/>
    <x v="856"/>
    <x v="0"/>
    <s v="COSTA DEL ESTE"/>
  </r>
  <r>
    <x v="33"/>
    <x v="19"/>
    <x v="0"/>
    <x v="25"/>
    <x v="118"/>
    <x v="874"/>
    <x v="0"/>
    <s v="COSTA DEL ESTE"/>
  </r>
  <r>
    <x v="33"/>
    <x v="2"/>
    <x v="1"/>
    <x v="25"/>
    <x v="172"/>
    <x v="874"/>
    <x v="0"/>
    <s v="COSTA DEL ESTE"/>
  </r>
  <r>
    <x v="33"/>
    <x v="14"/>
    <x v="1"/>
    <x v="25"/>
    <x v="61"/>
    <x v="874"/>
    <x v="0"/>
    <s v="COSTA DEL ESTE"/>
  </r>
  <r>
    <x v="33"/>
    <x v="119"/>
    <x v="1"/>
    <x v="25"/>
    <x v="69"/>
    <x v="874"/>
    <x v="0"/>
    <s v="COSTA DEL ESTE"/>
  </r>
  <r>
    <x v="33"/>
    <x v="97"/>
    <x v="1"/>
    <x v="25"/>
    <x v="114"/>
    <x v="874"/>
    <x v="0"/>
    <s v="COSTA DEL ESTE"/>
  </r>
  <r>
    <x v="33"/>
    <x v="61"/>
    <x v="1"/>
    <x v="25"/>
    <x v="43"/>
    <x v="874"/>
    <x v="0"/>
    <s v="COSTA DEL ESTE"/>
  </r>
  <r>
    <x v="33"/>
    <x v="159"/>
    <x v="1"/>
    <x v="25"/>
    <x v="175"/>
    <x v="874"/>
    <x v="0"/>
    <s v="COSTA DEL ESTE"/>
  </r>
  <r>
    <x v="33"/>
    <x v="104"/>
    <x v="1"/>
    <x v="25"/>
    <x v="74"/>
    <x v="874"/>
    <x v="0"/>
    <s v="COSTA DEL ESTE"/>
  </r>
  <r>
    <x v="33"/>
    <x v="129"/>
    <x v="1"/>
    <x v="25"/>
    <x v="85"/>
    <x v="874"/>
    <x v="0"/>
    <s v="COSTA DEL ESTE"/>
  </r>
  <r>
    <x v="33"/>
    <x v="144"/>
    <x v="1"/>
    <x v="25"/>
    <x v="199"/>
    <x v="874"/>
    <x v="0"/>
    <s v="COSTA DEL ESTE"/>
  </r>
  <r>
    <x v="33"/>
    <x v="163"/>
    <x v="1"/>
    <x v="25"/>
    <x v="200"/>
    <x v="874"/>
    <x v="0"/>
    <s v="COSTA DEL ESTE"/>
  </r>
  <r>
    <x v="33"/>
    <x v="50"/>
    <x v="1"/>
    <x v="25"/>
    <x v="126"/>
    <x v="874"/>
    <x v="0"/>
    <s v="COSTA DEL ESTE"/>
  </r>
  <r>
    <x v="33"/>
    <x v="145"/>
    <x v="1"/>
    <x v="25"/>
    <x v="127"/>
    <x v="874"/>
    <x v="0"/>
    <s v="COSTA DEL ESTE"/>
  </r>
  <r>
    <x v="34"/>
    <x v="158"/>
    <x v="2"/>
    <x v="24"/>
    <x v="174"/>
    <x v="1331"/>
    <x v="0"/>
    <s v="MULTI PLAZA"/>
  </r>
  <r>
    <x v="34"/>
    <x v="111"/>
    <x v="2"/>
    <x v="25"/>
    <x v="146"/>
    <x v="856"/>
    <x v="0"/>
    <s v="MULTI PLAZA"/>
  </r>
  <r>
    <x v="34"/>
    <x v="134"/>
    <x v="2"/>
    <x v="24"/>
    <x v="104"/>
    <x v="811"/>
    <x v="26"/>
    <s v="MULTI PLAZA"/>
  </r>
  <r>
    <x v="34"/>
    <x v="137"/>
    <x v="0"/>
    <x v="25"/>
    <x v="108"/>
    <x v="799"/>
    <x v="0"/>
    <s v="MULTI PLAZA"/>
  </r>
  <r>
    <x v="34"/>
    <x v="106"/>
    <x v="0"/>
    <x v="25"/>
    <x v="98"/>
    <x v="875"/>
    <x v="0"/>
    <s v="MULTI PLAZA"/>
  </r>
  <r>
    <x v="34"/>
    <x v="88"/>
    <x v="0"/>
    <x v="25"/>
    <x v="138"/>
    <x v="874"/>
    <x v="0"/>
    <s v="MULTI PLAZA"/>
  </r>
  <r>
    <x v="34"/>
    <x v="81"/>
    <x v="0"/>
    <x v="25"/>
    <x v="190"/>
    <x v="875"/>
    <x v="0"/>
    <s v="MULTI PLAZA"/>
  </r>
  <r>
    <x v="34"/>
    <x v="161"/>
    <x v="0"/>
    <x v="25"/>
    <x v="191"/>
    <x v="856"/>
    <x v="0"/>
    <s v="MULTI PLAZA"/>
  </r>
  <r>
    <x v="34"/>
    <x v="82"/>
    <x v="0"/>
    <x v="25"/>
    <x v="48"/>
    <x v="856"/>
    <x v="0"/>
    <s v="MULTI PLAZA"/>
  </r>
  <r>
    <x v="34"/>
    <x v="80"/>
    <x v="0"/>
    <x v="25"/>
    <x v="46"/>
    <x v="874"/>
    <x v="0"/>
    <s v="MULTI PLAZA"/>
  </r>
  <r>
    <x v="34"/>
    <x v="21"/>
    <x v="0"/>
    <x v="25"/>
    <x v="67"/>
    <x v="874"/>
    <x v="0"/>
    <s v="MULTI PLAZA"/>
  </r>
  <r>
    <x v="34"/>
    <x v="155"/>
    <x v="0"/>
    <x v="25"/>
    <x v="217"/>
    <x v="874"/>
    <x v="0"/>
    <s v="MULTI PLAZA"/>
  </r>
  <r>
    <x v="34"/>
    <x v="83"/>
    <x v="0"/>
    <x v="25"/>
    <x v="99"/>
    <x v="856"/>
    <x v="0"/>
    <s v="MULTI PLAZA"/>
  </r>
  <r>
    <x v="34"/>
    <x v="149"/>
    <x v="0"/>
    <x v="25"/>
    <x v="192"/>
    <x v="874"/>
    <x v="0"/>
    <s v="MULTI PLAZA"/>
  </r>
  <r>
    <x v="34"/>
    <x v="90"/>
    <x v="0"/>
    <x v="25"/>
    <x v="90"/>
    <x v="875"/>
    <x v="0"/>
    <s v="MULTI PLAZA"/>
  </r>
  <r>
    <x v="34"/>
    <x v="74"/>
    <x v="0"/>
    <x v="25"/>
    <x v="37"/>
    <x v="856"/>
    <x v="0"/>
    <s v="MULTI PLAZA"/>
  </r>
  <r>
    <x v="34"/>
    <x v="36"/>
    <x v="0"/>
    <x v="25"/>
    <x v="168"/>
    <x v="856"/>
    <x v="0"/>
    <s v="MULTI PLAZA"/>
  </r>
  <r>
    <x v="34"/>
    <x v="2"/>
    <x v="0"/>
    <x v="25"/>
    <x v="172"/>
    <x v="874"/>
    <x v="0"/>
    <s v="MULTI PLAZA"/>
  </r>
  <r>
    <x v="34"/>
    <x v="23"/>
    <x v="0"/>
    <x v="25"/>
    <x v="184"/>
    <x v="856"/>
    <x v="0"/>
    <s v="MULTI PLAZA"/>
  </r>
  <r>
    <x v="34"/>
    <x v="71"/>
    <x v="0"/>
    <x v="25"/>
    <x v="229"/>
    <x v="1057"/>
    <x v="0"/>
    <s v="MULTI PLAZA"/>
  </r>
  <r>
    <x v="34"/>
    <x v="48"/>
    <x v="0"/>
    <x v="25"/>
    <x v="77"/>
    <x v="874"/>
    <x v="0"/>
    <s v="MULTI PLAZA"/>
  </r>
  <r>
    <x v="34"/>
    <x v="84"/>
    <x v="0"/>
    <x v="25"/>
    <x v="49"/>
    <x v="874"/>
    <x v="0"/>
    <s v="MULTI PLAZA"/>
  </r>
  <r>
    <x v="34"/>
    <x v="146"/>
    <x v="0"/>
    <x v="25"/>
    <x v="195"/>
    <x v="874"/>
    <x v="0"/>
    <s v="MULTI PLAZA"/>
  </r>
  <r>
    <x v="34"/>
    <x v="9"/>
    <x v="0"/>
    <x v="25"/>
    <x v="258"/>
    <x v="856"/>
    <x v="0"/>
    <s v="MULTI PLAZA"/>
  </r>
  <r>
    <x v="34"/>
    <x v="15"/>
    <x v="0"/>
    <x v="25"/>
    <x v="91"/>
    <x v="856"/>
    <x v="0"/>
    <s v="MULTI PLAZA"/>
  </r>
  <r>
    <x v="34"/>
    <x v="168"/>
    <x v="0"/>
    <x v="25"/>
    <x v="221"/>
    <x v="856"/>
    <x v="0"/>
    <s v="MULTI PLAZA"/>
  </r>
  <r>
    <x v="34"/>
    <x v="77"/>
    <x v="0"/>
    <x v="25"/>
    <x v="71"/>
    <x v="874"/>
    <x v="0"/>
    <s v="MULTI PLAZA"/>
  </r>
  <r>
    <x v="34"/>
    <x v="5"/>
    <x v="0"/>
    <x v="25"/>
    <x v="206"/>
    <x v="856"/>
    <x v="0"/>
    <s v="MULTI PLAZA"/>
  </r>
  <r>
    <x v="34"/>
    <x v="111"/>
    <x v="0"/>
    <x v="25"/>
    <x v="146"/>
    <x v="921"/>
    <x v="0"/>
    <s v="MULTI PLAZA"/>
  </r>
  <r>
    <x v="34"/>
    <x v="16"/>
    <x v="0"/>
    <x v="25"/>
    <x v="101"/>
    <x v="856"/>
    <x v="0"/>
    <s v="MULTI PLAZA"/>
  </r>
  <r>
    <x v="34"/>
    <x v="6"/>
    <x v="0"/>
    <x v="25"/>
    <x v="125"/>
    <x v="856"/>
    <x v="0"/>
    <s v="MULTI PLAZA"/>
  </r>
  <r>
    <x v="34"/>
    <x v="78"/>
    <x v="0"/>
    <x v="25"/>
    <x v="147"/>
    <x v="856"/>
    <x v="0"/>
    <s v="MULTI PLAZA"/>
  </r>
  <r>
    <x v="34"/>
    <x v="128"/>
    <x v="0"/>
    <x v="25"/>
    <x v="84"/>
    <x v="856"/>
    <x v="0"/>
    <s v="MULTI PLAZA"/>
  </r>
  <r>
    <x v="34"/>
    <x v="131"/>
    <x v="0"/>
    <x v="25"/>
    <x v="97"/>
    <x v="875"/>
    <x v="0"/>
    <s v="MULTI PLAZA"/>
  </r>
  <r>
    <x v="34"/>
    <x v="140"/>
    <x v="0"/>
    <x v="25"/>
    <x v="234"/>
    <x v="856"/>
    <x v="0"/>
    <s v="MULTI PLAZA"/>
  </r>
  <r>
    <x v="34"/>
    <x v="159"/>
    <x v="0"/>
    <x v="25"/>
    <x v="175"/>
    <x v="874"/>
    <x v="0"/>
    <s v="MULTI PLAZA"/>
  </r>
  <r>
    <x v="34"/>
    <x v="123"/>
    <x v="0"/>
    <x v="25"/>
    <x v="176"/>
    <x v="875"/>
    <x v="0"/>
    <s v="MULTI PLAZA"/>
  </r>
  <r>
    <x v="34"/>
    <x v="144"/>
    <x v="0"/>
    <x v="25"/>
    <x v="199"/>
    <x v="875"/>
    <x v="0"/>
    <s v="MULTI PLAZA"/>
  </r>
  <r>
    <x v="34"/>
    <x v="50"/>
    <x v="0"/>
    <x v="25"/>
    <x v="126"/>
    <x v="856"/>
    <x v="0"/>
    <s v="MULTI PLAZA"/>
  </r>
  <r>
    <x v="34"/>
    <x v="136"/>
    <x v="0"/>
    <x v="25"/>
    <x v="235"/>
    <x v="874"/>
    <x v="0"/>
    <s v="MULTI PLAZA"/>
  </r>
  <r>
    <x v="34"/>
    <x v="45"/>
    <x v="0"/>
    <x v="25"/>
    <x v="107"/>
    <x v="875"/>
    <x v="0"/>
    <s v="MULTI PLAZA"/>
  </r>
  <r>
    <x v="34"/>
    <x v="52"/>
    <x v="0"/>
    <x v="25"/>
    <x v="228"/>
    <x v="856"/>
    <x v="0"/>
    <s v="MULTI PLAZA"/>
  </r>
  <r>
    <x v="34"/>
    <x v="145"/>
    <x v="0"/>
    <x v="25"/>
    <x v="127"/>
    <x v="856"/>
    <x v="0"/>
    <s v="MULTI PLAZA"/>
  </r>
  <r>
    <x v="34"/>
    <x v="64"/>
    <x v="0"/>
    <x v="25"/>
    <x v="187"/>
    <x v="875"/>
    <x v="0"/>
    <s v="MULTI PLAZA"/>
  </r>
  <r>
    <x v="34"/>
    <x v="75"/>
    <x v="0"/>
    <x v="25"/>
    <x v="39"/>
    <x v="856"/>
    <x v="0"/>
    <s v="MULTI PLAZA"/>
  </r>
  <r>
    <x v="34"/>
    <x v="110"/>
    <x v="0"/>
    <x v="25"/>
    <x v="189"/>
    <x v="875"/>
    <x v="0"/>
    <s v="MULTI PLAZA"/>
  </r>
  <r>
    <x v="34"/>
    <x v="46"/>
    <x v="0"/>
    <x v="25"/>
    <x v="95"/>
    <x v="856"/>
    <x v="0"/>
    <s v="MULTI PLAZA"/>
  </r>
  <r>
    <x v="34"/>
    <x v="134"/>
    <x v="0"/>
    <x v="25"/>
    <x v="104"/>
    <x v="856"/>
    <x v="0"/>
    <s v="MULTI PLAZA"/>
  </r>
  <r>
    <x v="34"/>
    <x v="143"/>
    <x v="0"/>
    <x v="25"/>
    <x v="166"/>
    <x v="874"/>
    <x v="0"/>
    <s v="MULTI PLAZA"/>
  </r>
  <r>
    <x v="34"/>
    <x v="33"/>
    <x v="0"/>
    <x v="25"/>
    <x v="86"/>
    <x v="856"/>
    <x v="0"/>
    <s v="MULTI PLAZA"/>
  </r>
  <r>
    <x v="34"/>
    <x v="126"/>
    <x v="0"/>
    <x v="25"/>
    <x v="82"/>
    <x v="874"/>
    <x v="0"/>
    <s v="MULTI PLAZA"/>
  </r>
  <r>
    <x v="34"/>
    <x v="47"/>
    <x v="0"/>
    <x v="25"/>
    <x v="257"/>
    <x v="874"/>
    <x v="0"/>
    <s v="MULTI PLAZA"/>
  </r>
  <r>
    <x v="34"/>
    <x v="100"/>
    <x v="0"/>
    <x v="25"/>
    <x v="220"/>
    <x v="875"/>
    <x v="0"/>
    <s v="MULTI PLAZA"/>
  </r>
  <r>
    <x v="34"/>
    <x v="8"/>
    <x v="1"/>
    <x v="25"/>
    <x v="209"/>
    <x v="874"/>
    <x v="0"/>
    <s v="MULTI PLAZA"/>
  </r>
  <r>
    <x v="34"/>
    <x v="98"/>
    <x v="1"/>
    <x v="25"/>
    <x v="197"/>
    <x v="874"/>
    <x v="0"/>
    <s v="MULTI PLAZA"/>
  </r>
  <r>
    <x v="36"/>
    <x v="2"/>
    <x v="2"/>
    <x v="25"/>
    <x v="172"/>
    <x v="874"/>
    <x v="0"/>
    <s v="TERMINAL DE ALBROOK"/>
  </r>
  <r>
    <x v="36"/>
    <x v="71"/>
    <x v="2"/>
    <x v="25"/>
    <x v="229"/>
    <x v="874"/>
    <x v="0"/>
    <s v="TERMINAL DE ALBROOK"/>
  </r>
  <r>
    <x v="36"/>
    <x v="42"/>
    <x v="2"/>
    <x v="25"/>
    <x v="151"/>
    <x v="874"/>
    <x v="0"/>
    <s v="TERMINAL DE ALBROOK"/>
  </r>
  <r>
    <x v="36"/>
    <x v="58"/>
    <x v="2"/>
    <x v="24"/>
    <x v="29"/>
    <x v="1313"/>
    <x v="0"/>
    <s v="TERMINAL DE ALBROOK"/>
  </r>
  <r>
    <x v="36"/>
    <x v="58"/>
    <x v="2"/>
    <x v="25"/>
    <x v="29"/>
    <x v="856"/>
    <x v="0"/>
    <s v="TERMINAL DE ALBROOK"/>
  </r>
  <r>
    <x v="36"/>
    <x v="156"/>
    <x v="0"/>
    <x v="25"/>
    <x v="181"/>
    <x v="801"/>
    <x v="0"/>
    <s v="TERMINAL DE ALBROOK"/>
  </r>
  <r>
    <x v="36"/>
    <x v="88"/>
    <x v="0"/>
    <x v="25"/>
    <x v="138"/>
    <x v="874"/>
    <x v="0"/>
    <s v="TERMINAL DE ALBROOK"/>
  </r>
  <r>
    <x v="36"/>
    <x v="138"/>
    <x v="0"/>
    <x v="25"/>
    <x v="109"/>
    <x v="875"/>
    <x v="0"/>
    <s v="TERMINAL DE ALBROOK"/>
  </r>
  <r>
    <x v="36"/>
    <x v="34"/>
    <x v="0"/>
    <x v="25"/>
    <x v="66"/>
    <x v="856"/>
    <x v="0"/>
    <s v="TERMINAL DE ALBROOK"/>
  </r>
  <r>
    <x v="36"/>
    <x v="35"/>
    <x v="0"/>
    <x v="25"/>
    <x v="35"/>
    <x v="874"/>
    <x v="0"/>
    <s v="TERMINAL DE ALBROOK"/>
  </r>
  <r>
    <x v="36"/>
    <x v="38"/>
    <x v="0"/>
    <x v="25"/>
    <x v="222"/>
    <x v="874"/>
    <x v="0"/>
    <s v="TERMINAL DE ALBROOK"/>
  </r>
  <r>
    <x v="36"/>
    <x v="39"/>
    <x v="0"/>
    <x v="25"/>
    <x v="212"/>
    <x v="874"/>
    <x v="0"/>
    <s v="TERMINAL DE ALBROOK"/>
  </r>
  <r>
    <x v="36"/>
    <x v="80"/>
    <x v="0"/>
    <x v="25"/>
    <x v="46"/>
    <x v="856"/>
    <x v="0"/>
    <s v="TERMINAL DE ALBROOK"/>
  </r>
  <r>
    <x v="36"/>
    <x v="21"/>
    <x v="0"/>
    <x v="25"/>
    <x v="67"/>
    <x v="875"/>
    <x v="0"/>
    <s v="TERMINAL DE ALBROOK"/>
  </r>
  <r>
    <x v="36"/>
    <x v="118"/>
    <x v="0"/>
    <x v="25"/>
    <x v="68"/>
    <x v="856"/>
    <x v="0"/>
    <s v="TERMINAL DE ALBROOK"/>
  </r>
  <r>
    <x v="36"/>
    <x v="74"/>
    <x v="0"/>
    <x v="25"/>
    <x v="37"/>
    <x v="799"/>
    <x v="0"/>
    <s v="TERMINAL DE ALBROOK"/>
  </r>
  <r>
    <x v="36"/>
    <x v="2"/>
    <x v="0"/>
    <x v="25"/>
    <x v="172"/>
    <x v="875"/>
    <x v="0"/>
    <s v="TERMINAL DE ALBROOK"/>
  </r>
  <r>
    <x v="36"/>
    <x v="166"/>
    <x v="0"/>
    <x v="25"/>
    <x v="218"/>
    <x v="875"/>
    <x v="0"/>
    <s v="TERMINAL DE ALBROOK"/>
  </r>
  <r>
    <x v="36"/>
    <x v="56"/>
    <x v="0"/>
    <x v="25"/>
    <x v="193"/>
    <x v="801"/>
    <x v="0"/>
    <s v="TERMINAL DE ALBROOK"/>
  </r>
  <r>
    <x v="36"/>
    <x v="162"/>
    <x v="0"/>
    <x v="25"/>
    <x v="194"/>
    <x v="875"/>
    <x v="0"/>
    <s v="TERMINAL DE ALBROOK"/>
  </r>
  <r>
    <x v="36"/>
    <x v="26"/>
    <x v="0"/>
    <x v="25"/>
    <x v="226"/>
    <x v="875"/>
    <x v="0"/>
    <s v="TERMINAL DE ALBROOK"/>
  </r>
  <r>
    <x v="36"/>
    <x v="167"/>
    <x v="0"/>
    <x v="25"/>
    <x v="219"/>
    <x v="856"/>
    <x v="0"/>
    <s v="TERMINAL DE ALBROOK"/>
  </r>
  <r>
    <x v="36"/>
    <x v="84"/>
    <x v="0"/>
    <x v="25"/>
    <x v="49"/>
    <x v="874"/>
    <x v="0"/>
    <s v="TERMINAL DE ALBROOK"/>
  </r>
  <r>
    <x v="36"/>
    <x v="120"/>
    <x v="0"/>
    <x v="25"/>
    <x v="70"/>
    <x v="874"/>
    <x v="0"/>
    <s v="TERMINAL DE ALBROOK"/>
  </r>
  <r>
    <x v="36"/>
    <x v="59"/>
    <x v="0"/>
    <x v="25"/>
    <x v="31"/>
    <x v="874"/>
    <x v="0"/>
    <s v="TERMINAL DE ALBROOK"/>
  </r>
  <r>
    <x v="36"/>
    <x v="27"/>
    <x v="0"/>
    <x v="25"/>
    <x v="113"/>
    <x v="874"/>
    <x v="0"/>
    <s v="TERMINAL DE ALBROOK"/>
  </r>
  <r>
    <x v="36"/>
    <x v="115"/>
    <x v="0"/>
    <x v="25"/>
    <x v="62"/>
    <x v="856"/>
    <x v="0"/>
    <s v="TERMINAL DE ALBROOK"/>
  </r>
  <r>
    <x v="36"/>
    <x v="92"/>
    <x v="0"/>
    <x v="25"/>
    <x v="230"/>
    <x v="874"/>
    <x v="0"/>
    <s v="TERMINAL DE ALBROOK"/>
  </r>
  <r>
    <x v="36"/>
    <x v="61"/>
    <x v="0"/>
    <x v="25"/>
    <x v="43"/>
    <x v="875"/>
    <x v="0"/>
    <s v="TERMINAL DE ALBROOK"/>
  </r>
  <r>
    <x v="36"/>
    <x v="15"/>
    <x v="0"/>
    <x v="25"/>
    <x v="91"/>
    <x v="799"/>
    <x v="0"/>
    <s v="TERMINAL DE ALBROOK"/>
  </r>
  <r>
    <x v="36"/>
    <x v="158"/>
    <x v="0"/>
    <x v="25"/>
    <x v="174"/>
    <x v="856"/>
    <x v="0"/>
    <s v="TERMINAL DE ALBROOK"/>
  </r>
  <r>
    <x v="36"/>
    <x v="77"/>
    <x v="0"/>
    <x v="25"/>
    <x v="71"/>
    <x v="874"/>
    <x v="0"/>
    <s v="TERMINAL DE ALBROOK"/>
  </r>
  <r>
    <x v="36"/>
    <x v="5"/>
    <x v="0"/>
    <x v="25"/>
    <x v="206"/>
    <x v="874"/>
    <x v="0"/>
    <s v="TERMINAL DE ALBROOK"/>
  </r>
  <r>
    <x v="36"/>
    <x v="18"/>
    <x v="0"/>
    <x v="25"/>
    <x v="124"/>
    <x v="875"/>
    <x v="0"/>
    <s v="TERMINAL DE ALBROOK"/>
  </r>
  <r>
    <x v="36"/>
    <x v="29"/>
    <x v="0"/>
    <x v="25"/>
    <x v="132"/>
    <x v="799"/>
    <x v="0"/>
    <s v="TERMINAL DE ALBROOK"/>
  </r>
  <r>
    <x v="36"/>
    <x v="154"/>
    <x v="0"/>
    <x v="25"/>
    <x v="215"/>
    <x v="799"/>
    <x v="0"/>
    <s v="TERMINAL DE ALBROOK"/>
  </r>
  <r>
    <x v="36"/>
    <x v="111"/>
    <x v="0"/>
    <x v="25"/>
    <x v="146"/>
    <x v="856"/>
    <x v="0"/>
    <s v="TERMINAL DE ALBROOK"/>
  </r>
  <r>
    <x v="36"/>
    <x v="128"/>
    <x v="0"/>
    <x v="25"/>
    <x v="84"/>
    <x v="1057"/>
    <x v="0"/>
    <s v="TERMINAL DE ALBROOK"/>
  </r>
  <r>
    <x v="36"/>
    <x v="131"/>
    <x v="0"/>
    <x v="25"/>
    <x v="97"/>
    <x v="799"/>
    <x v="0"/>
    <s v="TERMINAL DE ALBROOK"/>
  </r>
  <r>
    <x v="36"/>
    <x v="129"/>
    <x v="0"/>
    <x v="25"/>
    <x v="85"/>
    <x v="921"/>
    <x v="0"/>
    <s v="TERMINAL DE ALBROOK"/>
  </r>
  <r>
    <x v="36"/>
    <x v="144"/>
    <x v="0"/>
    <x v="25"/>
    <x v="199"/>
    <x v="875"/>
    <x v="0"/>
    <s v="TERMINAL DE ALBROOK"/>
  </r>
  <r>
    <x v="36"/>
    <x v="99"/>
    <x v="0"/>
    <x v="25"/>
    <x v="153"/>
    <x v="874"/>
    <x v="0"/>
    <s v="TERMINAL DE ALBROOK"/>
  </r>
  <r>
    <x v="36"/>
    <x v="69"/>
    <x v="0"/>
    <x v="25"/>
    <x v="236"/>
    <x v="875"/>
    <x v="0"/>
    <s v="TERMINAL DE ALBROOK"/>
  </r>
  <r>
    <x v="36"/>
    <x v="52"/>
    <x v="0"/>
    <x v="25"/>
    <x v="228"/>
    <x v="874"/>
    <x v="0"/>
    <s v="TERMINAL DE ALBROOK"/>
  </r>
  <r>
    <x v="36"/>
    <x v="145"/>
    <x v="0"/>
    <x v="25"/>
    <x v="127"/>
    <x v="874"/>
    <x v="0"/>
    <s v="TERMINAL DE ALBROOK"/>
  </r>
  <r>
    <x v="36"/>
    <x v="105"/>
    <x v="0"/>
    <x v="25"/>
    <x v="179"/>
    <x v="874"/>
    <x v="0"/>
    <s v="TERMINAL DE ALBROOK"/>
  </r>
  <r>
    <x v="36"/>
    <x v="133"/>
    <x v="0"/>
    <x v="25"/>
    <x v="102"/>
    <x v="874"/>
    <x v="0"/>
    <s v="TERMINAL DE ALBROOK"/>
  </r>
  <r>
    <x v="36"/>
    <x v="93"/>
    <x v="0"/>
    <x v="25"/>
    <x v="80"/>
    <x v="799"/>
    <x v="0"/>
    <s v="TERMINAL DE ALBROOK"/>
  </r>
  <r>
    <x v="36"/>
    <x v="94"/>
    <x v="0"/>
    <x v="25"/>
    <x v="180"/>
    <x v="799"/>
    <x v="0"/>
    <s v="TERMINAL DE ALBROOK"/>
  </r>
  <r>
    <x v="36"/>
    <x v="125"/>
    <x v="0"/>
    <x v="25"/>
    <x v="81"/>
    <x v="874"/>
    <x v="0"/>
    <s v="TERMINAL DE ALBROOK"/>
  </r>
  <r>
    <x v="36"/>
    <x v="32"/>
    <x v="0"/>
    <x v="25"/>
    <x v="40"/>
    <x v="875"/>
    <x v="0"/>
    <s v="TERMINAL DE ALBROOK"/>
  </r>
  <r>
    <x v="36"/>
    <x v="33"/>
    <x v="0"/>
    <x v="25"/>
    <x v="86"/>
    <x v="799"/>
    <x v="0"/>
    <s v="TERMINAL DE ALBROOK"/>
  </r>
  <r>
    <x v="36"/>
    <x v="126"/>
    <x v="0"/>
    <x v="25"/>
    <x v="82"/>
    <x v="856"/>
    <x v="0"/>
    <s v="TERMINAL DE ALBROOK"/>
  </r>
  <r>
    <x v="36"/>
    <x v="20"/>
    <x v="0"/>
    <x v="25"/>
    <x v="87"/>
    <x v="875"/>
    <x v="0"/>
    <s v="TERMINAL DE ALBROOK"/>
  </r>
  <r>
    <x v="36"/>
    <x v="88"/>
    <x v="1"/>
    <x v="25"/>
    <x v="138"/>
    <x v="874"/>
    <x v="0"/>
    <s v="TERMINAL DE ALBROOK"/>
  </r>
  <r>
    <x v="36"/>
    <x v="132"/>
    <x v="1"/>
    <x v="25"/>
    <x v="100"/>
    <x v="874"/>
    <x v="0"/>
    <s v="TERMINAL DE ALBROOK"/>
  </r>
  <r>
    <x v="36"/>
    <x v="26"/>
    <x v="1"/>
    <x v="25"/>
    <x v="226"/>
    <x v="874"/>
    <x v="0"/>
    <s v="TERMINAL DE ALBROOK"/>
  </r>
  <r>
    <x v="36"/>
    <x v="15"/>
    <x v="1"/>
    <x v="25"/>
    <x v="91"/>
    <x v="874"/>
    <x v="0"/>
    <s v="TERMINAL DE ALBROOK"/>
  </r>
  <r>
    <x v="36"/>
    <x v="5"/>
    <x v="1"/>
    <x v="25"/>
    <x v="206"/>
    <x v="874"/>
    <x v="0"/>
    <s v="TERMINAL DE ALBROOK"/>
  </r>
  <r>
    <x v="36"/>
    <x v="28"/>
    <x v="1"/>
    <x v="25"/>
    <x v="63"/>
    <x v="874"/>
    <x v="0"/>
    <s v="TERMINAL DE ALBROOK"/>
  </r>
  <r>
    <x v="36"/>
    <x v="18"/>
    <x v="1"/>
    <x v="25"/>
    <x v="124"/>
    <x v="874"/>
    <x v="0"/>
    <s v="TERMINAL DE ALBROOK"/>
  </r>
  <r>
    <x v="36"/>
    <x v="159"/>
    <x v="1"/>
    <x v="25"/>
    <x v="175"/>
    <x v="874"/>
    <x v="0"/>
    <s v="TERMINAL DE ALBROOK"/>
  </r>
  <r>
    <x v="36"/>
    <x v="113"/>
    <x v="1"/>
    <x v="25"/>
    <x v="177"/>
    <x v="874"/>
    <x v="0"/>
    <s v="TERMINAL DE ALBROOK"/>
  </r>
  <r>
    <x v="36"/>
    <x v="133"/>
    <x v="1"/>
    <x v="25"/>
    <x v="102"/>
    <x v="874"/>
    <x v="0"/>
    <s v="TERMINAL DE ALBROOK"/>
  </r>
  <r>
    <x v="36"/>
    <x v="93"/>
    <x v="1"/>
    <x v="25"/>
    <x v="80"/>
    <x v="874"/>
    <x v="0"/>
    <s v="TERMINAL DE ALBROOK"/>
  </r>
  <r>
    <x v="36"/>
    <x v="94"/>
    <x v="1"/>
    <x v="25"/>
    <x v="180"/>
    <x v="875"/>
    <x v="0"/>
    <s v="TERMINAL DE ALBROOK"/>
  </r>
  <r>
    <x v="36"/>
    <x v="70"/>
    <x v="1"/>
    <x v="25"/>
    <x v="253"/>
    <x v="874"/>
    <x v="0"/>
    <s v="TERMINAL DE ALBROOK"/>
  </r>
  <r>
    <x v="37"/>
    <x v="67"/>
    <x v="2"/>
    <x v="24"/>
    <x v="173"/>
    <x v="1332"/>
    <x v="0"/>
    <s v="CONCEPCION"/>
  </r>
  <r>
    <x v="37"/>
    <x v="144"/>
    <x v="2"/>
    <x v="24"/>
    <x v="199"/>
    <x v="803"/>
    <x v="0"/>
    <s v="CONCEPCION"/>
  </r>
  <r>
    <x v="38"/>
    <x v="90"/>
    <x v="2"/>
    <x v="24"/>
    <x v="90"/>
    <x v="1333"/>
    <x v="0"/>
    <s v="BRISAS DEL GOLF"/>
  </r>
  <r>
    <x v="38"/>
    <x v="12"/>
    <x v="2"/>
    <x v="24"/>
    <x v="103"/>
    <x v="1313"/>
    <x v="0"/>
    <s v="BRISAS DEL GOLF"/>
  </r>
  <r>
    <x v="38"/>
    <x v="137"/>
    <x v="0"/>
    <x v="25"/>
    <x v="108"/>
    <x v="856"/>
    <x v="0"/>
    <s v="BRISAS DEL GOLF"/>
  </r>
  <r>
    <x v="38"/>
    <x v="38"/>
    <x v="0"/>
    <x v="25"/>
    <x v="222"/>
    <x v="874"/>
    <x v="0"/>
    <s v="BRISAS DEL GOLF"/>
  </r>
  <r>
    <x v="38"/>
    <x v="90"/>
    <x v="0"/>
    <x v="25"/>
    <x v="90"/>
    <x v="874"/>
    <x v="0"/>
    <s v="BRISAS DEL GOLF"/>
  </r>
  <r>
    <x v="38"/>
    <x v="74"/>
    <x v="0"/>
    <x v="25"/>
    <x v="37"/>
    <x v="856"/>
    <x v="0"/>
    <s v="BRISAS DEL GOLF"/>
  </r>
  <r>
    <x v="38"/>
    <x v="132"/>
    <x v="0"/>
    <x v="25"/>
    <x v="100"/>
    <x v="398"/>
    <x v="0"/>
    <s v="BRISAS DEL GOLF"/>
  </r>
  <r>
    <x v="38"/>
    <x v="26"/>
    <x v="0"/>
    <x v="25"/>
    <x v="226"/>
    <x v="856"/>
    <x v="0"/>
    <s v="BRISAS DEL GOLF"/>
  </r>
  <r>
    <x v="38"/>
    <x v="92"/>
    <x v="0"/>
    <x v="25"/>
    <x v="230"/>
    <x v="875"/>
    <x v="0"/>
    <s v="BRISAS DEL GOLF"/>
  </r>
  <r>
    <x v="38"/>
    <x v="68"/>
    <x v="0"/>
    <x v="25"/>
    <x v="213"/>
    <x v="874"/>
    <x v="0"/>
    <s v="BRISAS DEL GOLF"/>
  </r>
  <r>
    <x v="38"/>
    <x v="15"/>
    <x v="0"/>
    <x v="25"/>
    <x v="91"/>
    <x v="874"/>
    <x v="0"/>
    <s v="BRISAS DEL GOLF"/>
  </r>
  <r>
    <x v="38"/>
    <x v="73"/>
    <x v="0"/>
    <x v="25"/>
    <x v="227"/>
    <x v="856"/>
    <x v="0"/>
    <s v="BRISAS DEL GOLF"/>
  </r>
  <r>
    <x v="38"/>
    <x v="98"/>
    <x v="0"/>
    <x v="25"/>
    <x v="197"/>
    <x v="856"/>
    <x v="0"/>
    <s v="BRISAS DEL GOLF"/>
  </r>
  <r>
    <x v="38"/>
    <x v="29"/>
    <x v="0"/>
    <x v="25"/>
    <x v="132"/>
    <x v="874"/>
    <x v="0"/>
    <s v="BRISAS DEL GOLF"/>
  </r>
  <r>
    <x v="38"/>
    <x v="111"/>
    <x v="0"/>
    <x v="25"/>
    <x v="146"/>
    <x v="856"/>
    <x v="0"/>
    <s v="BRISAS DEL GOLF"/>
  </r>
  <r>
    <x v="38"/>
    <x v="16"/>
    <x v="0"/>
    <x v="25"/>
    <x v="101"/>
    <x v="874"/>
    <x v="0"/>
    <s v="BRISAS DEL GOLF"/>
  </r>
  <r>
    <x v="38"/>
    <x v="78"/>
    <x v="0"/>
    <x v="25"/>
    <x v="147"/>
    <x v="874"/>
    <x v="0"/>
    <s v="BRISAS DEL GOLF"/>
  </r>
  <r>
    <x v="38"/>
    <x v="131"/>
    <x v="0"/>
    <x v="25"/>
    <x v="97"/>
    <x v="874"/>
    <x v="0"/>
    <s v="BRISAS DEL GOLF"/>
  </r>
  <r>
    <x v="38"/>
    <x v="31"/>
    <x v="0"/>
    <x v="25"/>
    <x v="72"/>
    <x v="874"/>
    <x v="0"/>
    <s v="BRISAS DEL GOLF"/>
  </r>
  <r>
    <x v="38"/>
    <x v="103"/>
    <x v="0"/>
    <x v="25"/>
    <x v="198"/>
    <x v="874"/>
    <x v="0"/>
    <s v="BRISAS DEL GOLF"/>
  </r>
  <r>
    <x v="38"/>
    <x v="129"/>
    <x v="0"/>
    <x v="25"/>
    <x v="85"/>
    <x v="856"/>
    <x v="0"/>
    <s v="BRISAS DEL GOLF"/>
  </r>
  <r>
    <x v="38"/>
    <x v="44"/>
    <x v="0"/>
    <x v="25"/>
    <x v="94"/>
    <x v="874"/>
    <x v="0"/>
    <s v="BRISAS DEL GOLF"/>
  </r>
  <r>
    <x v="38"/>
    <x v="113"/>
    <x v="0"/>
    <x v="25"/>
    <x v="177"/>
    <x v="856"/>
    <x v="0"/>
    <s v="BRISAS DEL GOLF"/>
  </r>
  <r>
    <x v="38"/>
    <x v="51"/>
    <x v="0"/>
    <x v="25"/>
    <x v="178"/>
    <x v="874"/>
    <x v="0"/>
    <s v="BRISAS DEL GOLF"/>
  </r>
  <r>
    <x v="38"/>
    <x v="11"/>
    <x v="0"/>
    <x v="25"/>
    <x v="186"/>
    <x v="874"/>
    <x v="0"/>
    <s v="BRISAS DEL GOLF"/>
  </r>
  <r>
    <x v="38"/>
    <x v="109"/>
    <x v="0"/>
    <x v="25"/>
    <x v="58"/>
    <x v="874"/>
    <x v="0"/>
    <s v="BRISAS DEL GOLF"/>
  </r>
  <r>
    <x v="38"/>
    <x v="86"/>
    <x v="0"/>
    <x v="25"/>
    <x v="204"/>
    <x v="856"/>
    <x v="0"/>
    <s v="BRISAS DEL GOLF"/>
  </r>
  <r>
    <x v="38"/>
    <x v="105"/>
    <x v="0"/>
    <x v="25"/>
    <x v="179"/>
    <x v="799"/>
    <x v="0"/>
    <s v="BRISAS DEL GOLF"/>
  </r>
  <r>
    <x v="38"/>
    <x v="12"/>
    <x v="0"/>
    <x v="25"/>
    <x v="103"/>
    <x v="799"/>
    <x v="0"/>
    <s v="BRISAS DEL GOLF"/>
  </r>
  <r>
    <x v="38"/>
    <x v="75"/>
    <x v="0"/>
    <x v="25"/>
    <x v="39"/>
    <x v="856"/>
    <x v="0"/>
    <s v="BRISAS DEL GOLF"/>
  </r>
  <r>
    <x v="38"/>
    <x v="110"/>
    <x v="0"/>
    <x v="25"/>
    <x v="189"/>
    <x v="799"/>
    <x v="0"/>
    <s v="BRISAS DEL GOLF"/>
  </r>
  <r>
    <x v="38"/>
    <x v="114"/>
    <x v="0"/>
    <x v="25"/>
    <x v="203"/>
    <x v="874"/>
    <x v="0"/>
    <s v="BRISAS DEL GOLF"/>
  </r>
  <r>
    <x v="38"/>
    <x v="134"/>
    <x v="0"/>
    <x v="25"/>
    <x v="104"/>
    <x v="874"/>
    <x v="0"/>
    <s v="BRISAS DEL GOLF"/>
  </r>
  <r>
    <x v="38"/>
    <x v="126"/>
    <x v="0"/>
    <x v="25"/>
    <x v="82"/>
    <x v="874"/>
    <x v="0"/>
    <s v="BRISAS DEL GOLF"/>
  </r>
  <r>
    <x v="38"/>
    <x v="100"/>
    <x v="0"/>
    <x v="25"/>
    <x v="220"/>
    <x v="874"/>
    <x v="0"/>
    <s v="BRISAS DEL GOLF"/>
  </r>
  <r>
    <x v="38"/>
    <x v="19"/>
    <x v="0"/>
    <x v="25"/>
    <x v="118"/>
    <x v="874"/>
    <x v="0"/>
    <s v="BRISAS DEL GOLF"/>
  </r>
  <r>
    <x v="38"/>
    <x v="29"/>
    <x v="1"/>
    <x v="25"/>
    <x v="132"/>
    <x v="874"/>
    <x v="0"/>
    <s v="BRISAS DEL GOLF"/>
  </r>
  <r>
    <x v="38"/>
    <x v="109"/>
    <x v="1"/>
    <x v="25"/>
    <x v="58"/>
    <x v="874"/>
    <x v="0"/>
    <s v="BRISAS DEL GOLF"/>
  </r>
  <r>
    <x v="39"/>
    <x v="77"/>
    <x v="2"/>
    <x v="25"/>
    <x v="71"/>
    <x v="874"/>
    <x v="0"/>
    <s v="PUENTE CENTENARIO"/>
  </r>
  <r>
    <x v="39"/>
    <x v="49"/>
    <x v="2"/>
    <x v="25"/>
    <x v="78"/>
    <x v="875"/>
    <x v="0"/>
    <s v="PUENTE CENTENARIO"/>
  </r>
  <r>
    <x v="39"/>
    <x v="38"/>
    <x v="0"/>
    <x v="25"/>
    <x v="222"/>
    <x v="875"/>
    <x v="0"/>
    <s v="PUENTE CENTENARIO"/>
  </r>
  <r>
    <x v="39"/>
    <x v="0"/>
    <x v="0"/>
    <x v="25"/>
    <x v="223"/>
    <x v="874"/>
    <x v="0"/>
    <s v="PUENTE CENTENARIO"/>
  </r>
  <r>
    <x v="39"/>
    <x v="76"/>
    <x v="0"/>
    <x v="25"/>
    <x v="42"/>
    <x v="799"/>
    <x v="0"/>
    <s v="PUENTE CENTENARIO"/>
  </r>
  <r>
    <x v="39"/>
    <x v="152"/>
    <x v="0"/>
    <x v="25"/>
    <x v="161"/>
    <x v="856"/>
    <x v="0"/>
    <s v="PUENTE CENTENARIO"/>
  </r>
  <r>
    <x v="39"/>
    <x v="2"/>
    <x v="0"/>
    <x v="25"/>
    <x v="172"/>
    <x v="799"/>
    <x v="0"/>
    <s v="PUENTE CENTENARIO"/>
  </r>
  <r>
    <x v="39"/>
    <x v="148"/>
    <x v="0"/>
    <x v="25"/>
    <x v="131"/>
    <x v="874"/>
    <x v="0"/>
    <s v="PUENTE CENTENARIO"/>
  </r>
  <r>
    <x v="39"/>
    <x v="166"/>
    <x v="0"/>
    <x v="25"/>
    <x v="218"/>
    <x v="856"/>
    <x v="0"/>
    <s v="PUENTE CENTENARIO"/>
  </r>
  <r>
    <x v="39"/>
    <x v="23"/>
    <x v="0"/>
    <x v="25"/>
    <x v="184"/>
    <x v="875"/>
    <x v="0"/>
    <s v="PUENTE CENTENARIO"/>
  </r>
  <r>
    <x v="39"/>
    <x v="7"/>
    <x v="0"/>
    <x v="25"/>
    <x v="136"/>
    <x v="875"/>
    <x v="0"/>
    <s v="PUENTE CENTENARIO"/>
  </r>
  <r>
    <x v="39"/>
    <x v="139"/>
    <x v="0"/>
    <x v="25"/>
    <x v="110"/>
    <x v="856"/>
    <x v="0"/>
    <s v="PUENTE CENTENARIO"/>
  </r>
  <r>
    <x v="39"/>
    <x v="158"/>
    <x v="0"/>
    <x v="25"/>
    <x v="174"/>
    <x v="398"/>
    <x v="0"/>
    <s v="PUENTE CENTENARIO"/>
  </r>
  <r>
    <x v="39"/>
    <x v="98"/>
    <x v="0"/>
    <x v="25"/>
    <x v="197"/>
    <x v="874"/>
    <x v="0"/>
    <s v="PUENTE CENTENARIO"/>
  </r>
  <r>
    <x v="39"/>
    <x v="111"/>
    <x v="0"/>
    <x v="25"/>
    <x v="146"/>
    <x v="799"/>
    <x v="0"/>
    <s v="PUENTE CENTENARIO"/>
  </r>
  <r>
    <x v="39"/>
    <x v="16"/>
    <x v="0"/>
    <x v="25"/>
    <x v="101"/>
    <x v="856"/>
    <x v="0"/>
    <s v="PUENTE CENTENARIO"/>
  </r>
  <r>
    <x v="39"/>
    <x v="131"/>
    <x v="0"/>
    <x v="25"/>
    <x v="97"/>
    <x v="398"/>
    <x v="0"/>
    <s v="PUENTE CENTENARIO"/>
  </r>
  <r>
    <x v="39"/>
    <x v="31"/>
    <x v="0"/>
    <x v="25"/>
    <x v="72"/>
    <x v="874"/>
    <x v="0"/>
    <s v="PUENTE CENTENARIO"/>
  </r>
  <r>
    <x v="39"/>
    <x v="50"/>
    <x v="0"/>
    <x v="28"/>
    <x v="251"/>
    <x v="799"/>
    <x v="0"/>
    <s v="PUENTE CENTENARIO"/>
  </r>
  <r>
    <x v="39"/>
    <x v="51"/>
    <x v="0"/>
    <x v="24"/>
    <x v="178"/>
    <x v="799"/>
    <x v="0"/>
    <s v="PUENTE CENTENARIO"/>
  </r>
  <r>
    <x v="39"/>
    <x v="11"/>
    <x v="0"/>
    <x v="27"/>
    <x v="252"/>
    <x v="811"/>
    <x v="27"/>
    <s v="PUENTE CENTENARIO"/>
  </r>
  <r>
    <x v="39"/>
    <x v="136"/>
    <x v="0"/>
    <x v="25"/>
    <x v="235"/>
    <x v="856"/>
    <x v="0"/>
    <s v="PUENTE CENTENARIO"/>
  </r>
  <r>
    <x v="39"/>
    <x v="52"/>
    <x v="0"/>
    <x v="25"/>
    <x v="228"/>
    <x v="874"/>
    <x v="0"/>
    <s v="PUENTE CENTENARIO"/>
  </r>
  <r>
    <x v="39"/>
    <x v="105"/>
    <x v="0"/>
    <x v="25"/>
    <x v="179"/>
    <x v="856"/>
    <x v="0"/>
    <s v="PUENTE CENTENARIO"/>
  </r>
  <r>
    <x v="39"/>
    <x v="75"/>
    <x v="0"/>
    <x v="25"/>
    <x v="39"/>
    <x v="874"/>
    <x v="0"/>
    <s v="PUENTE CENTENARIO"/>
  </r>
  <r>
    <x v="39"/>
    <x v="110"/>
    <x v="0"/>
    <x v="25"/>
    <x v="189"/>
    <x v="874"/>
    <x v="0"/>
    <s v="PUENTE CENTENARIO"/>
  </r>
  <r>
    <x v="39"/>
    <x v="114"/>
    <x v="0"/>
    <x v="25"/>
    <x v="203"/>
    <x v="856"/>
    <x v="0"/>
    <s v="PUENTE CENTENARIO"/>
  </r>
  <r>
    <x v="39"/>
    <x v="13"/>
    <x v="0"/>
    <x v="25"/>
    <x v="207"/>
    <x v="856"/>
    <x v="0"/>
    <s v="PUENTE CENTENARIO"/>
  </r>
  <r>
    <x v="39"/>
    <x v="65"/>
    <x v="0"/>
    <x v="25"/>
    <x v="165"/>
    <x v="398"/>
    <x v="0"/>
    <s v="PUENTE CENTENARIO"/>
  </r>
  <r>
    <x v="39"/>
    <x v="74"/>
    <x v="1"/>
    <x v="25"/>
    <x v="37"/>
    <x v="874"/>
    <x v="0"/>
    <s v="PUENTE CENTENARIO"/>
  </r>
  <r>
    <x v="39"/>
    <x v="23"/>
    <x v="1"/>
    <x v="25"/>
    <x v="184"/>
    <x v="874"/>
    <x v="0"/>
    <s v="PUENTE CENTENARIO"/>
  </r>
  <r>
    <x v="39"/>
    <x v="26"/>
    <x v="1"/>
    <x v="25"/>
    <x v="226"/>
    <x v="856"/>
    <x v="0"/>
    <s v="PUENTE CENTENARIO"/>
  </r>
  <r>
    <x v="39"/>
    <x v="120"/>
    <x v="1"/>
    <x v="25"/>
    <x v="70"/>
    <x v="874"/>
    <x v="0"/>
    <s v="PUENTE CENTENARIO"/>
  </r>
  <r>
    <x v="39"/>
    <x v="59"/>
    <x v="1"/>
    <x v="25"/>
    <x v="31"/>
    <x v="874"/>
    <x v="0"/>
    <s v="PUENTE CENTENARIO"/>
  </r>
  <r>
    <x v="39"/>
    <x v="27"/>
    <x v="1"/>
    <x v="25"/>
    <x v="113"/>
    <x v="874"/>
    <x v="0"/>
    <s v="PUENTE CENTENARIO"/>
  </r>
  <r>
    <x v="39"/>
    <x v="41"/>
    <x v="1"/>
    <x v="25"/>
    <x v="88"/>
    <x v="856"/>
    <x v="0"/>
    <s v="PUENTE CENTENARIO"/>
  </r>
  <r>
    <x v="39"/>
    <x v="139"/>
    <x v="1"/>
    <x v="25"/>
    <x v="110"/>
    <x v="874"/>
    <x v="0"/>
    <s v="PUENTE CENTENARIO"/>
  </r>
  <r>
    <x v="39"/>
    <x v="146"/>
    <x v="1"/>
    <x v="25"/>
    <x v="195"/>
    <x v="874"/>
    <x v="0"/>
    <s v="PUENTE CENTENARIO"/>
  </r>
  <r>
    <x v="39"/>
    <x v="124"/>
    <x v="1"/>
    <x v="25"/>
    <x v="79"/>
    <x v="874"/>
    <x v="0"/>
    <s v="PUENTE CENTENARIO"/>
  </r>
  <r>
    <x v="39"/>
    <x v="93"/>
    <x v="1"/>
    <x v="25"/>
    <x v="80"/>
    <x v="874"/>
    <x v="0"/>
    <s v="PUENTE CENTENARIO"/>
  </r>
  <r>
    <x v="70"/>
    <x v="89"/>
    <x v="2"/>
    <x v="24"/>
    <x v="231"/>
    <x v="1299"/>
    <x v="0"/>
    <s v="SABANITAS"/>
  </r>
  <r>
    <x v="70"/>
    <x v="7"/>
    <x v="2"/>
    <x v="30"/>
    <x v="259"/>
    <x v="734"/>
    <x v="0"/>
    <s v="SABANITAS"/>
  </r>
  <r>
    <x v="70"/>
    <x v="92"/>
    <x v="2"/>
    <x v="24"/>
    <x v="230"/>
    <x v="1334"/>
    <x v="0"/>
    <s v="SABANITAS"/>
  </r>
  <r>
    <x v="70"/>
    <x v="98"/>
    <x v="2"/>
    <x v="30"/>
    <x v="259"/>
    <x v="734"/>
    <x v="0"/>
    <s v="SABANITAS"/>
  </r>
  <r>
    <x v="70"/>
    <x v="16"/>
    <x v="2"/>
    <x v="30"/>
    <x v="259"/>
    <x v="735"/>
    <x v="0"/>
    <s v="SABANITAS"/>
  </r>
  <r>
    <x v="70"/>
    <x v="145"/>
    <x v="2"/>
    <x v="24"/>
    <x v="127"/>
    <x v="1335"/>
    <x v="0"/>
    <s v="SABANITAS"/>
  </r>
  <r>
    <x v="70"/>
    <x v="58"/>
    <x v="2"/>
    <x v="24"/>
    <x v="29"/>
    <x v="1336"/>
    <x v="0"/>
    <s v="SABANITAS"/>
  </r>
  <r>
    <x v="70"/>
    <x v="20"/>
    <x v="2"/>
    <x v="30"/>
    <x v="259"/>
    <x v="796"/>
    <x v="0"/>
    <s v="SABANITAS"/>
  </r>
  <r>
    <x v="71"/>
    <x v="71"/>
    <x v="2"/>
    <x v="25"/>
    <x v="229"/>
    <x v="874"/>
    <x v="0"/>
    <s v="ALTOS DE PANAMA"/>
  </r>
  <r>
    <x v="71"/>
    <x v="160"/>
    <x v="0"/>
    <x v="25"/>
    <x v="185"/>
    <x v="874"/>
    <x v="0"/>
    <s v="ALTOS DE PANAMA"/>
  </r>
  <r>
    <x v="71"/>
    <x v="71"/>
    <x v="1"/>
    <x v="25"/>
    <x v="229"/>
    <x v="874"/>
    <x v="0"/>
    <s v="ALTOS DE PANAMA"/>
  </r>
  <r>
    <x v="71"/>
    <x v="98"/>
    <x v="1"/>
    <x v="25"/>
    <x v="197"/>
    <x v="874"/>
    <x v="0"/>
    <s v="ALTOS DE PANAMA"/>
  </r>
  <r>
    <x v="41"/>
    <x v="137"/>
    <x v="2"/>
    <x v="24"/>
    <x v="108"/>
    <x v="1292"/>
    <x v="0"/>
    <s v="VERSALLES"/>
  </r>
  <r>
    <x v="41"/>
    <x v="34"/>
    <x v="2"/>
    <x v="24"/>
    <x v="66"/>
    <x v="976"/>
    <x v="0"/>
    <s v="VERSALLES"/>
  </r>
  <r>
    <x v="41"/>
    <x v="80"/>
    <x v="2"/>
    <x v="24"/>
    <x v="46"/>
    <x v="976"/>
    <x v="0"/>
    <s v="VERSALLES"/>
  </r>
  <r>
    <x v="41"/>
    <x v="74"/>
    <x v="2"/>
    <x v="24"/>
    <x v="37"/>
    <x v="1292"/>
    <x v="0"/>
    <s v="VERSALLES"/>
  </r>
  <r>
    <x v="41"/>
    <x v="135"/>
    <x v="2"/>
    <x v="24"/>
    <x v="111"/>
    <x v="1292"/>
    <x v="0"/>
    <s v="VERSALLES"/>
  </r>
  <r>
    <x v="41"/>
    <x v="162"/>
    <x v="2"/>
    <x v="24"/>
    <x v="194"/>
    <x v="976"/>
    <x v="0"/>
    <s v="VERSALLES"/>
  </r>
  <r>
    <x v="41"/>
    <x v="27"/>
    <x v="2"/>
    <x v="24"/>
    <x v="113"/>
    <x v="976"/>
    <x v="0"/>
    <s v="VERSALLES"/>
  </r>
  <r>
    <x v="41"/>
    <x v="15"/>
    <x v="2"/>
    <x v="24"/>
    <x v="91"/>
    <x v="863"/>
    <x v="0"/>
    <s v="VERSALLES"/>
  </r>
  <r>
    <x v="41"/>
    <x v="29"/>
    <x v="2"/>
    <x v="24"/>
    <x v="132"/>
    <x v="813"/>
    <x v="0"/>
    <s v="VERSALLES"/>
  </r>
  <r>
    <x v="41"/>
    <x v="128"/>
    <x v="2"/>
    <x v="24"/>
    <x v="84"/>
    <x v="1312"/>
    <x v="0"/>
    <s v="VERSALLES"/>
  </r>
  <r>
    <x v="41"/>
    <x v="144"/>
    <x v="2"/>
    <x v="24"/>
    <x v="199"/>
    <x v="976"/>
    <x v="0"/>
    <s v="VERSALLES"/>
  </r>
  <r>
    <x v="41"/>
    <x v="69"/>
    <x v="2"/>
    <x v="24"/>
    <x v="236"/>
    <x v="1337"/>
    <x v="0"/>
    <s v="VERSALLES"/>
  </r>
  <r>
    <x v="41"/>
    <x v="164"/>
    <x v="2"/>
    <x v="24"/>
    <x v="202"/>
    <x v="801"/>
    <x v="0"/>
    <s v="VERSALLES"/>
  </r>
  <r>
    <x v="41"/>
    <x v="100"/>
    <x v="2"/>
    <x v="24"/>
    <x v="220"/>
    <x v="811"/>
    <x v="28"/>
    <s v="VERSALLES"/>
  </r>
  <r>
    <x v="42"/>
    <x v="31"/>
    <x v="2"/>
    <x v="24"/>
    <x v="72"/>
    <x v="1338"/>
    <x v="0"/>
    <s v="BUSINESS PARK"/>
  </r>
  <r>
    <x v="43"/>
    <x v="159"/>
    <x v="2"/>
    <x v="24"/>
    <x v="175"/>
    <x v="1339"/>
    <x v="0"/>
    <s v="SAN FRANCISCO"/>
  </r>
  <r>
    <x v="43"/>
    <x v="11"/>
    <x v="2"/>
    <x v="24"/>
    <x v="186"/>
    <x v="1340"/>
    <x v="0"/>
    <s v="SAN FRANCISCO"/>
  </r>
  <r>
    <x v="45"/>
    <x v="117"/>
    <x v="2"/>
    <x v="24"/>
    <x v="233"/>
    <x v="1341"/>
    <x v="0"/>
    <s v="LA CHORRERA - PARQUE 10 DE NOV."/>
  </r>
  <r>
    <x v="45"/>
    <x v="8"/>
    <x v="2"/>
    <x v="24"/>
    <x v="209"/>
    <x v="1341"/>
    <x v="0"/>
    <s v="LA CHORRERA - PARQUE 10 DE NOV."/>
  </r>
  <r>
    <x v="45"/>
    <x v="71"/>
    <x v="2"/>
    <x v="24"/>
    <x v="229"/>
    <x v="1342"/>
    <x v="0"/>
    <s v="LA CHORRERA - PARQUE 10 DE NOV."/>
  </r>
  <r>
    <x v="45"/>
    <x v="78"/>
    <x v="2"/>
    <x v="24"/>
    <x v="147"/>
    <x v="1341"/>
    <x v="0"/>
    <s v="LA CHORRERA - PARQUE 10 DE NOV."/>
  </r>
  <r>
    <x v="45"/>
    <x v="95"/>
    <x v="2"/>
    <x v="24"/>
    <x v="164"/>
    <x v="1298"/>
    <x v="0"/>
    <s v="LA CHORRERA - PARQUE 10 DE NOV."/>
  </r>
  <r>
    <x v="45"/>
    <x v="137"/>
    <x v="0"/>
    <x v="25"/>
    <x v="108"/>
    <x v="863"/>
    <x v="0"/>
    <s v="LA CHORRERA - PARQUE 10 DE NOV."/>
  </r>
  <r>
    <x v="45"/>
    <x v="8"/>
    <x v="0"/>
    <x v="25"/>
    <x v="209"/>
    <x v="921"/>
    <x v="0"/>
    <s v="LA CHORRERA - PARQUE 10 DE NOV."/>
  </r>
  <r>
    <x v="45"/>
    <x v="88"/>
    <x v="0"/>
    <x v="25"/>
    <x v="138"/>
    <x v="856"/>
    <x v="0"/>
    <s v="LA CHORRERA - PARQUE 10 DE NOV."/>
  </r>
  <r>
    <x v="45"/>
    <x v="54"/>
    <x v="0"/>
    <x v="25"/>
    <x v="210"/>
    <x v="799"/>
    <x v="0"/>
    <s v="LA CHORRERA - PARQUE 10 DE NOV."/>
  </r>
  <r>
    <x v="45"/>
    <x v="35"/>
    <x v="0"/>
    <x v="25"/>
    <x v="35"/>
    <x v="1057"/>
    <x v="0"/>
    <s v="LA CHORRERA - PARQUE 10 DE NOV."/>
  </r>
  <r>
    <x v="45"/>
    <x v="38"/>
    <x v="0"/>
    <x v="25"/>
    <x v="222"/>
    <x v="874"/>
    <x v="0"/>
    <s v="LA CHORRERA - PARQUE 10 DE NOV."/>
  </r>
  <r>
    <x v="45"/>
    <x v="161"/>
    <x v="0"/>
    <x v="25"/>
    <x v="191"/>
    <x v="874"/>
    <x v="0"/>
    <s v="LA CHORRERA - PARQUE 10 DE NOV."/>
  </r>
  <r>
    <x v="45"/>
    <x v="80"/>
    <x v="0"/>
    <x v="25"/>
    <x v="46"/>
    <x v="874"/>
    <x v="0"/>
    <s v="LA CHORRERA - PARQUE 10 DE NOV."/>
  </r>
  <r>
    <x v="45"/>
    <x v="155"/>
    <x v="0"/>
    <x v="25"/>
    <x v="217"/>
    <x v="801"/>
    <x v="0"/>
    <s v="LA CHORRERA - PARQUE 10 DE NOV."/>
  </r>
  <r>
    <x v="45"/>
    <x v="83"/>
    <x v="0"/>
    <x v="25"/>
    <x v="99"/>
    <x v="398"/>
    <x v="0"/>
    <s v="LA CHORRERA - PARQUE 10 DE NOV."/>
  </r>
  <r>
    <x v="45"/>
    <x v="149"/>
    <x v="0"/>
    <x v="25"/>
    <x v="192"/>
    <x v="799"/>
    <x v="0"/>
    <s v="LA CHORRERA - PARQUE 10 DE NOV."/>
  </r>
  <r>
    <x v="45"/>
    <x v="152"/>
    <x v="0"/>
    <x v="25"/>
    <x v="161"/>
    <x v="856"/>
    <x v="0"/>
    <s v="LA CHORRERA - PARQUE 10 DE NOV."/>
  </r>
  <r>
    <x v="45"/>
    <x v="2"/>
    <x v="0"/>
    <x v="25"/>
    <x v="172"/>
    <x v="1057"/>
    <x v="0"/>
    <s v="LA CHORRERA - PARQUE 10 DE NOV."/>
  </r>
  <r>
    <x v="45"/>
    <x v="166"/>
    <x v="0"/>
    <x v="25"/>
    <x v="218"/>
    <x v="801"/>
    <x v="0"/>
    <s v="LA CHORRERA - PARQUE 10 DE NOV."/>
  </r>
  <r>
    <x v="45"/>
    <x v="56"/>
    <x v="0"/>
    <x v="25"/>
    <x v="193"/>
    <x v="799"/>
    <x v="0"/>
    <s v="LA CHORRERA - PARQUE 10 DE NOV."/>
  </r>
  <r>
    <x v="45"/>
    <x v="23"/>
    <x v="0"/>
    <x v="25"/>
    <x v="184"/>
    <x v="856"/>
    <x v="0"/>
    <s v="LA CHORRERA - PARQUE 10 DE NOV."/>
  </r>
  <r>
    <x v="45"/>
    <x v="67"/>
    <x v="0"/>
    <x v="25"/>
    <x v="173"/>
    <x v="856"/>
    <x v="0"/>
    <s v="LA CHORRERA - PARQUE 10 DE NOV."/>
  </r>
  <r>
    <x v="45"/>
    <x v="26"/>
    <x v="0"/>
    <x v="25"/>
    <x v="226"/>
    <x v="398"/>
    <x v="0"/>
    <s v="LA CHORRERA - PARQUE 10 DE NOV."/>
  </r>
  <r>
    <x v="45"/>
    <x v="40"/>
    <x v="0"/>
    <x v="25"/>
    <x v="38"/>
    <x v="799"/>
    <x v="0"/>
    <s v="LA CHORRERA - PARQUE 10 DE NOV."/>
  </r>
  <r>
    <x v="45"/>
    <x v="7"/>
    <x v="0"/>
    <x v="25"/>
    <x v="136"/>
    <x v="856"/>
    <x v="0"/>
    <s v="LA CHORRERA - PARQUE 10 DE NOV."/>
  </r>
  <r>
    <x v="45"/>
    <x v="115"/>
    <x v="0"/>
    <x v="25"/>
    <x v="62"/>
    <x v="801"/>
    <x v="0"/>
    <s v="LA CHORRERA - PARQUE 10 DE NOV."/>
  </r>
  <r>
    <x v="45"/>
    <x v="146"/>
    <x v="0"/>
    <x v="25"/>
    <x v="195"/>
    <x v="875"/>
    <x v="0"/>
    <s v="LA CHORRERA - PARQUE 10 DE NOV."/>
  </r>
  <r>
    <x v="45"/>
    <x v="61"/>
    <x v="0"/>
    <x v="25"/>
    <x v="43"/>
    <x v="856"/>
    <x v="0"/>
    <s v="LA CHORRERA - PARQUE 10 DE NOV."/>
  </r>
  <r>
    <x v="45"/>
    <x v="15"/>
    <x v="0"/>
    <x v="25"/>
    <x v="91"/>
    <x v="875"/>
    <x v="0"/>
    <s v="LA CHORRERA - PARQUE 10 DE NOV."/>
  </r>
  <r>
    <x v="45"/>
    <x v="158"/>
    <x v="0"/>
    <x v="25"/>
    <x v="174"/>
    <x v="875"/>
    <x v="0"/>
    <s v="LA CHORRERA - PARQUE 10 DE NOV."/>
  </r>
  <r>
    <x v="45"/>
    <x v="62"/>
    <x v="0"/>
    <x v="25"/>
    <x v="123"/>
    <x v="921"/>
    <x v="0"/>
    <s v="LA CHORRERA - PARQUE 10 DE NOV."/>
  </r>
  <r>
    <x v="45"/>
    <x v="5"/>
    <x v="0"/>
    <x v="25"/>
    <x v="206"/>
    <x v="874"/>
    <x v="0"/>
    <s v="LA CHORRERA - PARQUE 10 DE NOV."/>
  </r>
  <r>
    <x v="45"/>
    <x v="154"/>
    <x v="0"/>
    <x v="25"/>
    <x v="215"/>
    <x v="813"/>
    <x v="0"/>
    <s v="LA CHORRERA - PARQUE 10 DE NOV."/>
  </r>
  <r>
    <x v="45"/>
    <x v="16"/>
    <x v="0"/>
    <x v="25"/>
    <x v="101"/>
    <x v="921"/>
    <x v="0"/>
    <s v="LA CHORRERA - PARQUE 10 DE NOV."/>
  </r>
  <r>
    <x v="45"/>
    <x v="30"/>
    <x v="0"/>
    <x v="25"/>
    <x v="216"/>
    <x v="1057"/>
    <x v="0"/>
    <s v="LA CHORRERA - PARQUE 10 DE NOV."/>
  </r>
  <r>
    <x v="45"/>
    <x v="128"/>
    <x v="0"/>
    <x v="25"/>
    <x v="84"/>
    <x v="398"/>
    <x v="0"/>
    <s v="LA CHORRERA - PARQUE 10 DE NOV."/>
  </r>
  <r>
    <x v="45"/>
    <x v="31"/>
    <x v="0"/>
    <x v="25"/>
    <x v="72"/>
    <x v="1208"/>
    <x v="0"/>
    <s v="LA CHORRERA - PARQUE 10 DE NOV."/>
  </r>
  <r>
    <x v="45"/>
    <x v="140"/>
    <x v="0"/>
    <x v="25"/>
    <x v="234"/>
    <x v="398"/>
    <x v="0"/>
    <s v="LA CHORRERA - PARQUE 10 DE NOV."/>
  </r>
  <r>
    <x v="45"/>
    <x v="10"/>
    <x v="0"/>
    <x v="25"/>
    <x v="152"/>
    <x v="875"/>
    <x v="0"/>
    <s v="LA CHORRERA - PARQUE 10 DE NOV."/>
  </r>
  <r>
    <x v="45"/>
    <x v="129"/>
    <x v="0"/>
    <x v="25"/>
    <x v="85"/>
    <x v="921"/>
    <x v="0"/>
    <s v="LA CHORRERA - PARQUE 10 DE NOV."/>
  </r>
  <r>
    <x v="45"/>
    <x v="163"/>
    <x v="0"/>
    <x v="25"/>
    <x v="200"/>
    <x v="875"/>
    <x v="0"/>
    <s v="LA CHORRERA - PARQUE 10 DE NOV."/>
  </r>
  <r>
    <x v="45"/>
    <x v="50"/>
    <x v="0"/>
    <x v="28"/>
    <x v="251"/>
    <x v="1292"/>
    <x v="0"/>
    <s v="LA CHORRERA - PARQUE 10 DE NOV."/>
  </r>
  <r>
    <x v="45"/>
    <x v="51"/>
    <x v="0"/>
    <x v="24"/>
    <x v="178"/>
    <x v="1292"/>
    <x v="0"/>
    <s v="LA CHORRERA - PARQUE 10 DE NOV."/>
  </r>
  <r>
    <x v="45"/>
    <x v="11"/>
    <x v="0"/>
    <x v="27"/>
    <x v="252"/>
    <x v="811"/>
    <x v="29"/>
    <s v="LA CHORRERA - PARQUE 10 DE NOV."/>
  </r>
  <r>
    <x v="45"/>
    <x v="11"/>
    <x v="0"/>
    <x v="25"/>
    <x v="186"/>
    <x v="856"/>
    <x v="0"/>
    <s v="LA CHORRERA - PARQUE 10 DE NOV."/>
  </r>
  <r>
    <x v="45"/>
    <x v="45"/>
    <x v="0"/>
    <x v="25"/>
    <x v="107"/>
    <x v="874"/>
    <x v="0"/>
    <s v="LA CHORRERA - PARQUE 10 DE NOV."/>
  </r>
  <r>
    <x v="45"/>
    <x v="109"/>
    <x v="0"/>
    <x v="25"/>
    <x v="58"/>
    <x v="398"/>
    <x v="0"/>
    <s v="LA CHORRERA - PARQUE 10 DE NOV."/>
  </r>
  <r>
    <x v="45"/>
    <x v="52"/>
    <x v="0"/>
    <x v="25"/>
    <x v="228"/>
    <x v="921"/>
    <x v="0"/>
    <s v="LA CHORRERA - PARQUE 10 DE NOV."/>
  </r>
  <r>
    <x v="45"/>
    <x v="145"/>
    <x v="0"/>
    <x v="25"/>
    <x v="127"/>
    <x v="874"/>
    <x v="0"/>
    <s v="LA CHORRERA - PARQUE 10 DE NOV."/>
  </r>
  <r>
    <x v="45"/>
    <x v="53"/>
    <x v="0"/>
    <x v="25"/>
    <x v="208"/>
    <x v="875"/>
    <x v="0"/>
    <s v="LA CHORRERA - PARQUE 10 DE NOV."/>
  </r>
  <r>
    <x v="45"/>
    <x v="93"/>
    <x v="0"/>
    <x v="25"/>
    <x v="80"/>
    <x v="398"/>
    <x v="0"/>
    <s v="LA CHORRERA - PARQUE 10 DE NOV."/>
  </r>
  <r>
    <x v="45"/>
    <x v="110"/>
    <x v="0"/>
    <x v="25"/>
    <x v="189"/>
    <x v="1057"/>
    <x v="0"/>
    <s v="LA CHORRERA - PARQUE 10 DE NOV."/>
  </r>
  <r>
    <x v="45"/>
    <x v="94"/>
    <x v="0"/>
    <x v="25"/>
    <x v="180"/>
    <x v="874"/>
    <x v="0"/>
    <s v="LA CHORRERA - PARQUE 10 DE NOV."/>
  </r>
  <r>
    <x v="45"/>
    <x v="13"/>
    <x v="0"/>
    <x v="25"/>
    <x v="207"/>
    <x v="874"/>
    <x v="0"/>
    <s v="LA CHORRERA - PARQUE 10 DE NOV."/>
  </r>
  <r>
    <x v="45"/>
    <x v="143"/>
    <x v="0"/>
    <x v="25"/>
    <x v="166"/>
    <x v="874"/>
    <x v="0"/>
    <s v="LA CHORRERA - PARQUE 10 DE NOV."/>
  </r>
  <r>
    <x v="45"/>
    <x v="125"/>
    <x v="0"/>
    <x v="25"/>
    <x v="81"/>
    <x v="856"/>
    <x v="0"/>
    <s v="LA CHORRERA - PARQUE 10 DE NOV."/>
  </r>
  <r>
    <x v="45"/>
    <x v="126"/>
    <x v="0"/>
    <x v="25"/>
    <x v="82"/>
    <x v="1292"/>
    <x v="0"/>
    <s v="LA CHORRERA - PARQUE 10 DE NOV."/>
  </r>
  <r>
    <x v="45"/>
    <x v="142"/>
    <x v="0"/>
    <x v="25"/>
    <x v="117"/>
    <x v="874"/>
    <x v="0"/>
    <s v="LA CHORRERA - PARQUE 10 DE NOV."/>
  </r>
  <r>
    <x v="45"/>
    <x v="47"/>
    <x v="0"/>
    <x v="25"/>
    <x v="257"/>
    <x v="874"/>
    <x v="0"/>
    <s v="LA CHORRERA - PARQUE 10 DE NOV."/>
  </r>
  <r>
    <x v="45"/>
    <x v="20"/>
    <x v="0"/>
    <x v="25"/>
    <x v="87"/>
    <x v="874"/>
    <x v="0"/>
    <s v="LA CHORRERA - PARQUE 10 DE NOV."/>
  </r>
  <r>
    <x v="45"/>
    <x v="8"/>
    <x v="1"/>
    <x v="25"/>
    <x v="209"/>
    <x v="856"/>
    <x v="0"/>
    <s v="LA CHORRERA - PARQUE 10 DE NOV."/>
  </r>
  <r>
    <x v="45"/>
    <x v="138"/>
    <x v="1"/>
    <x v="25"/>
    <x v="109"/>
    <x v="874"/>
    <x v="0"/>
    <s v="LA CHORRERA - PARQUE 10 DE NOV."/>
  </r>
  <r>
    <x v="45"/>
    <x v="38"/>
    <x v="1"/>
    <x v="25"/>
    <x v="222"/>
    <x v="874"/>
    <x v="0"/>
    <s v="LA CHORRERA - PARQUE 10 DE NOV."/>
  </r>
  <r>
    <x v="45"/>
    <x v="108"/>
    <x v="1"/>
    <x v="25"/>
    <x v="255"/>
    <x v="874"/>
    <x v="0"/>
    <s v="LA CHORRERA - PARQUE 10 DE NOV."/>
  </r>
  <r>
    <x v="45"/>
    <x v="155"/>
    <x v="1"/>
    <x v="25"/>
    <x v="217"/>
    <x v="874"/>
    <x v="0"/>
    <s v="LA CHORRERA - PARQUE 10 DE NOV."/>
  </r>
  <r>
    <x v="45"/>
    <x v="83"/>
    <x v="1"/>
    <x v="25"/>
    <x v="99"/>
    <x v="874"/>
    <x v="0"/>
    <s v="LA CHORRERA - PARQUE 10 DE NOV."/>
  </r>
  <r>
    <x v="45"/>
    <x v="152"/>
    <x v="1"/>
    <x v="25"/>
    <x v="161"/>
    <x v="874"/>
    <x v="0"/>
    <s v="LA CHORRERA - PARQUE 10 DE NOV."/>
  </r>
  <r>
    <x v="45"/>
    <x v="166"/>
    <x v="1"/>
    <x v="25"/>
    <x v="218"/>
    <x v="856"/>
    <x v="0"/>
    <s v="LA CHORRERA - PARQUE 10 DE NOV."/>
  </r>
  <r>
    <x v="45"/>
    <x v="56"/>
    <x v="1"/>
    <x v="25"/>
    <x v="193"/>
    <x v="874"/>
    <x v="0"/>
    <s v="LA CHORRERA - PARQUE 10 DE NOV."/>
  </r>
  <r>
    <x v="45"/>
    <x v="23"/>
    <x v="1"/>
    <x v="25"/>
    <x v="184"/>
    <x v="874"/>
    <x v="0"/>
    <s v="LA CHORRERA - PARQUE 10 DE NOV."/>
  </r>
  <r>
    <x v="45"/>
    <x v="67"/>
    <x v="1"/>
    <x v="25"/>
    <x v="173"/>
    <x v="875"/>
    <x v="0"/>
    <s v="LA CHORRERA - PARQUE 10 DE NOV."/>
  </r>
  <r>
    <x v="45"/>
    <x v="26"/>
    <x v="1"/>
    <x v="25"/>
    <x v="226"/>
    <x v="874"/>
    <x v="0"/>
    <s v="LA CHORRERA - PARQUE 10 DE NOV."/>
  </r>
  <r>
    <x v="45"/>
    <x v="120"/>
    <x v="1"/>
    <x v="25"/>
    <x v="70"/>
    <x v="799"/>
    <x v="0"/>
    <s v="LA CHORRERA - PARQUE 10 DE NOV."/>
  </r>
  <r>
    <x v="45"/>
    <x v="115"/>
    <x v="1"/>
    <x v="25"/>
    <x v="62"/>
    <x v="856"/>
    <x v="0"/>
    <s v="LA CHORRERA - PARQUE 10 DE NOV."/>
  </r>
  <r>
    <x v="45"/>
    <x v="146"/>
    <x v="1"/>
    <x v="25"/>
    <x v="195"/>
    <x v="874"/>
    <x v="0"/>
    <s v="LA CHORRERA - PARQUE 10 DE NOV."/>
  </r>
  <r>
    <x v="45"/>
    <x v="9"/>
    <x v="1"/>
    <x v="25"/>
    <x v="258"/>
    <x v="874"/>
    <x v="0"/>
    <s v="LA CHORRERA - PARQUE 10 DE NOV."/>
  </r>
  <r>
    <x v="45"/>
    <x v="97"/>
    <x v="1"/>
    <x v="25"/>
    <x v="114"/>
    <x v="874"/>
    <x v="0"/>
    <s v="LA CHORRERA - PARQUE 10 DE NOV."/>
  </r>
  <r>
    <x v="45"/>
    <x v="61"/>
    <x v="1"/>
    <x v="25"/>
    <x v="43"/>
    <x v="874"/>
    <x v="0"/>
    <s v="LA CHORRERA - PARQUE 10 DE NOV."/>
  </r>
  <r>
    <x v="45"/>
    <x v="15"/>
    <x v="1"/>
    <x v="25"/>
    <x v="91"/>
    <x v="856"/>
    <x v="0"/>
    <s v="LA CHORRERA - PARQUE 10 DE NOV."/>
  </r>
  <r>
    <x v="45"/>
    <x v="158"/>
    <x v="1"/>
    <x v="25"/>
    <x v="174"/>
    <x v="874"/>
    <x v="0"/>
    <s v="LA CHORRERA - PARQUE 10 DE NOV."/>
  </r>
  <r>
    <x v="45"/>
    <x v="62"/>
    <x v="1"/>
    <x v="25"/>
    <x v="123"/>
    <x v="856"/>
    <x v="0"/>
    <s v="LA CHORRERA - PARQUE 10 DE NOV."/>
  </r>
  <r>
    <x v="45"/>
    <x v="5"/>
    <x v="1"/>
    <x v="25"/>
    <x v="206"/>
    <x v="799"/>
    <x v="0"/>
    <s v="LA CHORRERA - PARQUE 10 DE NOV."/>
  </r>
  <r>
    <x v="45"/>
    <x v="18"/>
    <x v="1"/>
    <x v="25"/>
    <x v="124"/>
    <x v="874"/>
    <x v="0"/>
    <s v="LA CHORRERA - PARQUE 10 DE NOV."/>
  </r>
  <r>
    <x v="45"/>
    <x v="154"/>
    <x v="1"/>
    <x v="25"/>
    <x v="215"/>
    <x v="856"/>
    <x v="0"/>
    <s v="LA CHORRERA - PARQUE 10 DE NOV."/>
  </r>
  <r>
    <x v="45"/>
    <x v="16"/>
    <x v="1"/>
    <x v="25"/>
    <x v="101"/>
    <x v="874"/>
    <x v="0"/>
    <s v="LA CHORRERA - PARQUE 10 DE NOV."/>
  </r>
  <r>
    <x v="45"/>
    <x v="30"/>
    <x v="1"/>
    <x v="25"/>
    <x v="216"/>
    <x v="875"/>
    <x v="0"/>
    <s v="LA CHORRERA - PARQUE 10 DE NOV."/>
  </r>
  <r>
    <x v="45"/>
    <x v="128"/>
    <x v="1"/>
    <x v="25"/>
    <x v="84"/>
    <x v="874"/>
    <x v="0"/>
    <s v="LA CHORRERA - PARQUE 10 DE NOV."/>
  </r>
  <r>
    <x v="45"/>
    <x v="31"/>
    <x v="1"/>
    <x v="25"/>
    <x v="72"/>
    <x v="874"/>
    <x v="0"/>
    <s v="LA CHORRERA - PARQUE 10 DE NOV."/>
  </r>
  <r>
    <x v="45"/>
    <x v="140"/>
    <x v="1"/>
    <x v="25"/>
    <x v="234"/>
    <x v="921"/>
    <x v="0"/>
    <s v="LA CHORRERA - PARQUE 10 DE NOV."/>
  </r>
  <r>
    <x v="45"/>
    <x v="10"/>
    <x v="1"/>
    <x v="25"/>
    <x v="152"/>
    <x v="874"/>
    <x v="0"/>
    <s v="LA CHORRERA - PARQUE 10 DE NOV."/>
  </r>
  <r>
    <x v="45"/>
    <x v="51"/>
    <x v="1"/>
    <x v="24"/>
    <x v="178"/>
    <x v="874"/>
    <x v="0"/>
    <s v="LA CHORRERA - PARQUE 10 DE NOV."/>
  </r>
  <r>
    <x v="45"/>
    <x v="11"/>
    <x v="1"/>
    <x v="25"/>
    <x v="186"/>
    <x v="874"/>
    <x v="0"/>
    <s v="LA CHORRERA - PARQUE 10 DE NOV."/>
  </r>
  <r>
    <x v="45"/>
    <x v="45"/>
    <x v="1"/>
    <x v="25"/>
    <x v="107"/>
    <x v="799"/>
    <x v="0"/>
    <s v="LA CHORRERA - PARQUE 10 DE NOV."/>
  </r>
  <r>
    <x v="45"/>
    <x v="53"/>
    <x v="1"/>
    <x v="25"/>
    <x v="208"/>
    <x v="875"/>
    <x v="0"/>
    <s v="LA CHORRERA - PARQUE 10 DE NOV."/>
  </r>
  <r>
    <x v="45"/>
    <x v="93"/>
    <x v="1"/>
    <x v="25"/>
    <x v="80"/>
    <x v="801"/>
    <x v="0"/>
    <s v="LA CHORRERA - PARQUE 10 DE NOV."/>
  </r>
  <r>
    <x v="45"/>
    <x v="110"/>
    <x v="1"/>
    <x v="25"/>
    <x v="189"/>
    <x v="874"/>
    <x v="0"/>
    <s v="LA CHORRERA - PARQUE 10 DE NOV."/>
  </r>
  <r>
    <x v="45"/>
    <x v="94"/>
    <x v="1"/>
    <x v="25"/>
    <x v="180"/>
    <x v="874"/>
    <x v="0"/>
    <s v="LA CHORRERA - PARQUE 10 DE NOV."/>
  </r>
  <r>
    <x v="45"/>
    <x v="13"/>
    <x v="1"/>
    <x v="25"/>
    <x v="207"/>
    <x v="874"/>
    <x v="0"/>
    <s v="LA CHORRERA - PARQUE 10 DE NOV."/>
  </r>
  <r>
    <x v="45"/>
    <x v="143"/>
    <x v="1"/>
    <x v="25"/>
    <x v="166"/>
    <x v="874"/>
    <x v="0"/>
    <s v="LA CHORRERA - PARQUE 10 DE NOV."/>
  </r>
  <r>
    <x v="45"/>
    <x v="95"/>
    <x v="1"/>
    <x v="25"/>
    <x v="164"/>
    <x v="856"/>
    <x v="0"/>
    <s v="LA CHORRERA - PARQUE 10 DE NOV."/>
  </r>
  <r>
    <x v="45"/>
    <x v="125"/>
    <x v="1"/>
    <x v="25"/>
    <x v="81"/>
    <x v="856"/>
    <x v="0"/>
    <s v="LA CHORRERA - PARQUE 10 DE NOV."/>
  </r>
  <r>
    <x v="45"/>
    <x v="58"/>
    <x v="1"/>
    <x v="25"/>
    <x v="29"/>
    <x v="875"/>
    <x v="0"/>
    <s v="LA CHORRERA - PARQUE 10 DE NOV."/>
  </r>
  <r>
    <x v="45"/>
    <x v="70"/>
    <x v="1"/>
    <x v="25"/>
    <x v="253"/>
    <x v="874"/>
    <x v="0"/>
    <s v="LA CHORRERA - PARQUE 10 DE NOV."/>
  </r>
  <r>
    <x v="46"/>
    <x v="139"/>
    <x v="2"/>
    <x v="24"/>
    <x v="110"/>
    <x v="1343"/>
    <x v="0"/>
    <s v="COSTA DEL ESTE - CENTENARIO"/>
  </r>
  <r>
    <x v="47"/>
    <x v="36"/>
    <x v="2"/>
    <x v="24"/>
    <x v="168"/>
    <x v="545"/>
    <x v="0"/>
    <s v="CLAYTON"/>
  </r>
  <r>
    <x v="47"/>
    <x v="72"/>
    <x v="2"/>
    <x v="24"/>
    <x v="205"/>
    <x v="1344"/>
    <x v="0"/>
    <s v="CLAYTON"/>
  </r>
  <r>
    <x v="47"/>
    <x v="159"/>
    <x v="2"/>
    <x v="24"/>
    <x v="175"/>
    <x v="1299"/>
    <x v="0"/>
    <s v="CLAYTON"/>
  </r>
  <r>
    <x v="47"/>
    <x v="2"/>
    <x v="0"/>
    <x v="25"/>
    <x v="172"/>
    <x v="874"/>
    <x v="0"/>
    <s v="CLAYTON"/>
  </r>
  <r>
    <x v="47"/>
    <x v="105"/>
    <x v="0"/>
    <x v="25"/>
    <x v="179"/>
    <x v="874"/>
    <x v="0"/>
    <s v="CLAYTON"/>
  </r>
  <r>
    <x v="48"/>
    <x v="67"/>
    <x v="2"/>
    <x v="24"/>
    <x v="173"/>
    <x v="754"/>
    <x v="0"/>
    <s v="MARBELLA"/>
  </r>
  <r>
    <x v="48"/>
    <x v="159"/>
    <x v="2"/>
    <x v="24"/>
    <x v="175"/>
    <x v="1345"/>
    <x v="0"/>
    <s v="MARBELLA"/>
  </r>
  <r>
    <x v="48"/>
    <x v="58"/>
    <x v="2"/>
    <x v="24"/>
    <x v="29"/>
    <x v="996"/>
    <x v="0"/>
    <s v="MARBELLA"/>
  </r>
  <r>
    <x v="49"/>
    <x v="46"/>
    <x v="2"/>
    <x v="24"/>
    <x v="95"/>
    <x v="1346"/>
    <x v="0"/>
    <s v="PLAZA CAROLINA"/>
  </r>
  <r>
    <x v="50"/>
    <x v="92"/>
    <x v="2"/>
    <x v="24"/>
    <x v="230"/>
    <x v="1347"/>
    <x v="0"/>
    <s v="PLAZA CORDOBA"/>
  </r>
  <r>
    <x v="51"/>
    <x v="156"/>
    <x v="0"/>
    <x v="25"/>
    <x v="181"/>
    <x v="856"/>
    <x v="0"/>
    <s v="VIA SIMON BOLIVAR"/>
  </r>
  <r>
    <x v="51"/>
    <x v="87"/>
    <x v="0"/>
    <x v="25"/>
    <x v="129"/>
    <x v="874"/>
    <x v="0"/>
    <s v="VIA SIMON BOLIVAR"/>
  </r>
  <r>
    <x v="51"/>
    <x v="35"/>
    <x v="0"/>
    <x v="25"/>
    <x v="35"/>
    <x v="856"/>
    <x v="0"/>
    <s v="VIA SIMON BOLIVAR"/>
  </r>
  <r>
    <x v="51"/>
    <x v="155"/>
    <x v="0"/>
    <x v="25"/>
    <x v="217"/>
    <x v="856"/>
    <x v="0"/>
    <s v="VIA SIMON BOLIVAR"/>
  </r>
  <r>
    <x v="51"/>
    <x v="2"/>
    <x v="0"/>
    <x v="25"/>
    <x v="172"/>
    <x v="856"/>
    <x v="0"/>
    <s v="VIA SIMON BOLIVAR"/>
  </r>
  <r>
    <x v="51"/>
    <x v="166"/>
    <x v="0"/>
    <x v="25"/>
    <x v="218"/>
    <x v="874"/>
    <x v="0"/>
    <s v="VIA SIMON BOLIVAR"/>
  </r>
  <r>
    <x v="51"/>
    <x v="23"/>
    <x v="0"/>
    <x v="25"/>
    <x v="184"/>
    <x v="856"/>
    <x v="0"/>
    <s v="VIA SIMON BOLIVAR"/>
  </r>
  <r>
    <x v="51"/>
    <x v="7"/>
    <x v="0"/>
    <x v="25"/>
    <x v="136"/>
    <x v="875"/>
    <x v="0"/>
    <s v="VIA SIMON BOLIVAR"/>
  </r>
  <r>
    <x v="51"/>
    <x v="146"/>
    <x v="0"/>
    <x v="25"/>
    <x v="195"/>
    <x v="856"/>
    <x v="0"/>
    <s v="VIA SIMON BOLIVAR"/>
  </r>
  <r>
    <x v="51"/>
    <x v="77"/>
    <x v="0"/>
    <x v="25"/>
    <x v="71"/>
    <x v="875"/>
    <x v="0"/>
    <s v="VIA SIMON BOLIVAR"/>
  </r>
  <r>
    <x v="51"/>
    <x v="98"/>
    <x v="0"/>
    <x v="25"/>
    <x v="197"/>
    <x v="856"/>
    <x v="0"/>
    <s v="VIA SIMON BOLIVAR"/>
  </r>
  <r>
    <x v="51"/>
    <x v="16"/>
    <x v="0"/>
    <x v="25"/>
    <x v="101"/>
    <x v="875"/>
    <x v="0"/>
    <s v="VIA SIMON BOLIVAR"/>
  </r>
  <r>
    <x v="51"/>
    <x v="31"/>
    <x v="0"/>
    <x v="25"/>
    <x v="72"/>
    <x v="874"/>
    <x v="0"/>
    <s v="VIA SIMON BOLIVAR"/>
  </r>
  <r>
    <x v="51"/>
    <x v="123"/>
    <x v="0"/>
    <x v="25"/>
    <x v="176"/>
    <x v="874"/>
    <x v="0"/>
    <s v="VIA SIMON BOLIVAR"/>
  </r>
  <r>
    <x v="51"/>
    <x v="52"/>
    <x v="0"/>
    <x v="25"/>
    <x v="228"/>
    <x v="874"/>
    <x v="0"/>
    <s v="VIA SIMON BOLIVAR"/>
  </r>
  <r>
    <x v="51"/>
    <x v="105"/>
    <x v="0"/>
    <x v="25"/>
    <x v="179"/>
    <x v="856"/>
    <x v="0"/>
    <s v="VIA SIMON BOLIVAR"/>
  </r>
  <r>
    <x v="51"/>
    <x v="65"/>
    <x v="0"/>
    <x v="25"/>
    <x v="165"/>
    <x v="875"/>
    <x v="0"/>
    <s v="VIA SIMON BOLIVAR"/>
  </r>
  <r>
    <x v="51"/>
    <x v="47"/>
    <x v="0"/>
    <x v="25"/>
    <x v="257"/>
    <x v="856"/>
    <x v="0"/>
    <s v="VIA SIMON BOLIVAR"/>
  </r>
  <r>
    <x v="51"/>
    <x v="3"/>
    <x v="0"/>
    <x v="25"/>
    <x v="30"/>
    <x v="874"/>
    <x v="0"/>
    <s v="VIA SIMON BOLIVAR"/>
  </r>
  <r>
    <x v="51"/>
    <x v="19"/>
    <x v="0"/>
    <x v="25"/>
    <x v="118"/>
    <x v="874"/>
    <x v="0"/>
    <s v="VIA SIMON BOLIVAR"/>
  </r>
  <r>
    <x v="51"/>
    <x v="20"/>
    <x v="0"/>
    <x v="25"/>
    <x v="87"/>
    <x v="875"/>
    <x v="0"/>
    <s v="VIA SIMON BOLIVAR"/>
  </r>
  <r>
    <x v="53"/>
    <x v="88"/>
    <x v="16"/>
    <x v="25"/>
    <x v="138"/>
    <x v="1348"/>
    <x v="0"/>
    <s v="NEGOCIOS"/>
  </r>
  <r>
    <x v="53"/>
    <x v="54"/>
    <x v="16"/>
    <x v="24"/>
    <x v="210"/>
    <x v="1349"/>
    <x v="0"/>
    <s v="NEGOCIOS"/>
  </r>
  <r>
    <x v="53"/>
    <x v="39"/>
    <x v="16"/>
    <x v="24"/>
    <x v="212"/>
    <x v="1140"/>
    <x v="0"/>
    <s v="NEGOCIOS"/>
  </r>
  <r>
    <x v="53"/>
    <x v="80"/>
    <x v="16"/>
    <x v="24"/>
    <x v="46"/>
    <x v="878"/>
    <x v="0"/>
    <s v="NEGOCIOS"/>
  </r>
  <r>
    <x v="53"/>
    <x v="76"/>
    <x v="16"/>
    <x v="24"/>
    <x v="42"/>
    <x v="1350"/>
    <x v="0"/>
    <s v="NEGOCIOS"/>
  </r>
  <r>
    <x v="53"/>
    <x v="83"/>
    <x v="16"/>
    <x v="24"/>
    <x v="99"/>
    <x v="1351"/>
    <x v="0"/>
    <s v="NEGOCIOS"/>
  </r>
  <r>
    <x v="53"/>
    <x v="92"/>
    <x v="16"/>
    <x v="24"/>
    <x v="230"/>
    <x v="486"/>
    <x v="0"/>
    <s v="NEGOCIOS"/>
  </r>
  <r>
    <x v="53"/>
    <x v="22"/>
    <x v="16"/>
    <x v="25"/>
    <x v="163"/>
    <x v="1352"/>
    <x v="0"/>
    <s v="NEGOCIOS"/>
  </r>
  <r>
    <x v="53"/>
    <x v="159"/>
    <x v="16"/>
    <x v="24"/>
    <x v="175"/>
    <x v="1140"/>
    <x v="0"/>
    <s v="NEGOCIOS"/>
  </r>
  <r>
    <x v="53"/>
    <x v="46"/>
    <x v="16"/>
    <x v="24"/>
    <x v="95"/>
    <x v="1353"/>
    <x v="0"/>
    <s v="NEGOCIOS"/>
  </r>
  <r>
    <x v="53"/>
    <x v="134"/>
    <x v="16"/>
    <x v="25"/>
    <x v="104"/>
    <x v="1354"/>
    <x v="0"/>
    <s v="NEGOCIOS"/>
  </r>
  <r>
    <x v="53"/>
    <x v="95"/>
    <x v="16"/>
    <x v="24"/>
    <x v="164"/>
    <x v="1355"/>
    <x v="0"/>
    <s v="NEGOCIOS"/>
  </r>
  <r>
    <x v="53"/>
    <x v="164"/>
    <x v="16"/>
    <x v="24"/>
    <x v="202"/>
    <x v="1356"/>
    <x v="0"/>
    <s v="NEGOCIOS"/>
  </r>
  <r>
    <x v="53"/>
    <x v="38"/>
    <x v="17"/>
    <x v="25"/>
    <x v="222"/>
    <x v="1357"/>
    <x v="0"/>
    <s v="NEGOCIOS"/>
  </r>
  <r>
    <x v="53"/>
    <x v="83"/>
    <x v="17"/>
    <x v="24"/>
    <x v="99"/>
    <x v="1358"/>
    <x v="0"/>
    <s v="NEGOCIOS"/>
  </r>
  <r>
    <x v="53"/>
    <x v="27"/>
    <x v="17"/>
    <x v="25"/>
    <x v="113"/>
    <x v="324"/>
    <x v="0"/>
    <s v="NEGOCIOS"/>
  </r>
  <r>
    <x v="53"/>
    <x v="72"/>
    <x v="17"/>
    <x v="25"/>
    <x v="205"/>
    <x v="1359"/>
    <x v="0"/>
    <s v="NEGOCIOS"/>
  </r>
  <r>
    <x v="53"/>
    <x v="131"/>
    <x v="17"/>
    <x v="25"/>
    <x v="97"/>
    <x v="1360"/>
    <x v="0"/>
    <s v="NEGOCIOS"/>
  </r>
  <r>
    <x v="53"/>
    <x v="143"/>
    <x v="17"/>
    <x v="24"/>
    <x v="166"/>
    <x v="811"/>
    <x v="30"/>
    <s v="NEGOCIOS"/>
  </r>
  <r>
    <x v="53"/>
    <x v="58"/>
    <x v="17"/>
    <x v="25"/>
    <x v="29"/>
    <x v="1361"/>
    <x v="0"/>
    <s v="NEGOCIOS"/>
  </r>
  <r>
    <x v="53"/>
    <x v="95"/>
    <x v="18"/>
    <x v="24"/>
    <x v="164"/>
    <x v="1362"/>
    <x v="0"/>
    <s v="NEGOCIOS"/>
  </r>
  <r>
    <x v="53"/>
    <x v="23"/>
    <x v="3"/>
    <x v="25"/>
    <x v="184"/>
    <x v="735"/>
    <x v="0"/>
    <s v="NEGOCIOS"/>
  </r>
  <r>
    <x v="53"/>
    <x v="162"/>
    <x v="3"/>
    <x v="25"/>
    <x v="194"/>
    <x v="875"/>
    <x v="0"/>
    <s v="NEGOCIOS"/>
  </r>
  <r>
    <x v="53"/>
    <x v="40"/>
    <x v="3"/>
    <x v="25"/>
    <x v="38"/>
    <x v="734"/>
    <x v="0"/>
    <s v="NEGOCIOS"/>
  </r>
  <r>
    <x v="53"/>
    <x v="84"/>
    <x v="3"/>
    <x v="25"/>
    <x v="49"/>
    <x v="1363"/>
    <x v="0"/>
    <s v="NEGOCIOS"/>
  </r>
  <r>
    <x v="53"/>
    <x v="59"/>
    <x v="3"/>
    <x v="25"/>
    <x v="31"/>
    <x v="919"/>
    <x v="0"/>
    <s v="NEGOCIOS"/>
  </r>
  <r>
    <x v="53"/>
    <x v="9"/>
    <x v="3"/>
    <x v="25"/>
    <x v="258"/>
    <x v="812"/>
    <x v="0"/>
    <s v="NEGOCIOS"/>
  </r>
  <r>
    <x v="53"/>
    <x v="34"/>
    <x v="4"/>
    <x v="25"/>
    <x v="66"/>
    <x v="856"/>
    <x v="0"/>
    <s v="NEGOCIOS"/>
  </r>
  <r>
    <x v="53"/>
    <x v="35"/>
    <x v="4"/>
    <x v="25"/>
    <x v="35"/>
    <x v="735"/>
    <x v="0"/>
    <s v="NEGOCIOS"/>
  </r>
  <r>
    <x v="53"/>
    <x v="73"/>
    <x v="4"/>
    <x v="24"/>
    <x v="227"/>
    <x v="1364"/>
    <x v="0"/>
    <s v="NEGOCIOS"/>
  </r>
  <r>
    <x v="53"/>
    <x v="16"/>
    <x v="4"/>
    <x v="25"/>
    <x v="101"/>
    <x v="1365"/>
    <x v="0"/>
    <s v="NEGOCIOS"/>
  </r>
  <r>
    <x v="53"/>
    <x v="104"/>
    <x v="4"/>
    <x v="25"/>
    <x v="74"/>
    <x v="1366"/>
    <x v="0"/>
    <s v="NEGOCIOS"/>
  </r>
  <r>
    <x v="53"/>
    <x v="143"/>
    <x v="4"/>
    <x v="24"/>
    <x v="166"/>
    <x v="811"/>
    <x v="31"/>
    <s v="NEGOCIOS"/>
  </r>
  <r>
    <x v="53"/>
    <x v="97"/>
    <x v="5"/>
    <x v="24"/>
    <x v="114"/>
    <x v="787"/>
    <x v="0"/>
    <s v="NEGOCIOS"/>
  </r>
  <r>
    <x v="53"/>
    <x v="10"/>
    <x v="5"/>
    <x v="25"/>
    <x v="152"/>
    <x v="1367"/>
    <x v="0"/>
    <s v="NEGOCIOS"/>
  </r>
  <r>
    <x v="53"/>
    <x v="81"/>
    <x v="6"/>
    <x v="25"/>
    <x v="190"/>
    <x v="398"/>
    <x v="0"/>
    <s v="NEGOCIOS"/>
  </r>
  <r>
    <x v="53"/>
    <x v="89"/>
    <x v="6"/>
    <x v="24"/>
    <x v="231"/>
    <x v="1368"/>
    <x v="0"/>
    <s v="NEGOCIOS"/>
  </r>
  <r>
    <x v="53"/>
    <x v="83"/>
    <x v="6"/>
    <x v="25"/>
    <x v="99"/>
    <x v="1369"/>
    <x v="0"/>
    <s v="NEGOCIOS"/>
  </r>
  <r>
    <x v="53"/>
    <x v="14"/>
    <x v="6"/>
    <x v="24"/>
    <x v="61"/>
    <x v="862"/>
    <x v="0"/>
    <s v="NEGOCIOS"/>
  </r>
  <r>
    <x v="53"/>
    <x v="23"/>
    <x v="6"/>
    <x v="25"/>
    <x v="184"/>
    <x v="398"/>
    <x v="0"/>
    <s v="NEGOCIOS"/>
  </r>
  <r>
    <x v="53"/>
    <x v="71"/>
    <x v="6"/>
    <x v="25"/>
    <x v="229"/>
    <x v="1370"/>
    <x v="0"/>
    <s v="NEGOCIOS"/>
  </r>
  <r>
    <x v="53"/>
    <x v="48"/>
    <x v="6"/>
    <x v="25"/>
    <x v="77"/>
    <x v="1371"/>
    <x v="0"/>
    <s v="NEGOCIOS"/>
  </r>
  <r>
    <x v="53"/>
    <x v="160"/>
    <x v="6"/>
    <x v="24"/>
    <x v="185"/>
    <x v="1372"/>
    <x v="0"/>
    <s v="NEGOCIOS"/>
  </r>
  <r>
    <x v="53"/>
    <x v="27"/>
    <x v="6"/>
    <x v="25"/>
    <x v="113"/>
    <x v="789"/>
    <x v="0"/>
    <s v="NEGOCIOS"/>
  </r>
  <r>
    <x v="53"/>
    <x v="92"/>
    <x v="6"/>
    <x v="24"/>
    <x v="230"/>
    <x v="1373"/>
    <x v="0"/>
    <s v="NEGOCIOS"/>
  </r>
  <r>
    <x v="53"/>
    <x v="139"/>
    <x v="6"/>
    <x v="24"/>
    <x v="110"/>
    <x v="1374"/>
    <x v="0"/>
    <s v="NEGOCIOS"/>
  </r>
  <r>
    <x v="53"/>
    <x v="72"/>
    <x v="6"/>
    <x v="24"/>
    <x v="205"/>
    <x v="1375"/>
    <x v="0"/>
    <s v="NEGOCIOS"/>
  </r>
  <r>
    <x v="53"/>
    <x v="97"/>
    <x v="6"/>
    <x v="24"/>
    <x v="114"/>
    <x v="1376"/>
    <x v="0"/>
    <s v="NEGOCIOS"/>
  </r>
  <r>
    <x v="53"/>
    <x v="15"/>
    <x v="6"/>
    <x v="25"/>
    <x v="91"/>
    <x v="1377"/>
    <x v="0"/>
    <s v="NEGOCIOS"/>
  </r>
  <r>
    <x v="53"/>
    <x v="29"/>
    <x v="6"/>
    <x v="24"/>
    <x v="132"/>
    <x v="1378"/>
    <x v="0"/>
    <s v="NEGOCIOS"/>
  </r>
  <r>
    <x v="53"/>
    <x v="29"/>
    <x v="6"/>
    <x v="25"/>
    <x v="132"/>
    <x v="1379"/>
    <x v="0"/>
    <s v="NEGOCIOS"/>
  </r>
  <r>
    <x v="53"/>
    <x v="111"/>
    <x v="6"/>
    <x v="24"/>
    <x v="146"/>
    <x v="951"/>
    <x v="0"/>
    <s v="NEGOCIOS"/>
  </r>
  <r>
    <x v="53"/>
    <x v="49"/>
    <x v="6"/>
    <x v="24"/>
    <x v="78"/>
    <x v="1380"/>
    <x v="0"/>
    <s v="NEGOCIOS"/>
  </r>
  <r>
    <x v="53"/>
    <x v="30"/>
    <x v="6"/>
    <x v="24"/>
    <x v="216"/>
    <x v="1381"/>
    <x v="0"/>
    <s v="NEGOCIOS"/>
  </r>
  <r>
    <x v="53"/>
    <x v="31"/>
    <x v="6"/>
    <x v="24"/>
    <x v="72"/>
    <x v="811"/>
    <x v="32"/>
    <s v="NEGOCIOS"/>
  </r>
  <r>
    <x v="53"/>
    <x v="159"/>
    <x v="6"/>
    <x v="24"/>
    <x v="175"/>
    <x v="1382"/>
    <x v="0"/>
    <s v="NEGOCIOS"/>
  </r>
  <r>
    <x v="53"/>
    <x v="43"/>
    <x v="6"/>
    <x v="24"/>
    <x v="73"/>
    <x v="875"/>
    <x v="0"/>
    <s v="NEGOCIOS"/>
  </r>
  <r>
    <x v="53"/>
    <x v="144"/>
    <x v="6"/>
    <x v="24"/>
    <x v="199"/>
    <x v="1383"/>
    <x v="0"/>
    <s v="NEGOCIOS"/>
  </r>
  <r>
    <x v="53"/>
    <x v="69"/>
    <x v="6"/>
    <x v="24"/>
    <x v="236"/>
    <x v="1384"/>
    <x v="0"/>
    <s v="NEGOCIOS"/>
  </r>
  <r>
    <x v="53"/>
    <x v="145"/>
    <x v="6"/>
    <x v="24"/>
    <x v="127"/>
    <x v="1385"/>
    <x v="0"/>
    <s v="NEGOCIOS"/>
  </r>
  <r>
    <x v="53"/>
    <x v="12"/>
    <x v="6"/>
    <x v="24"/>
    <x v="103"/>
    <x v="1386"/>
    <x v="0"/>
    <s v="NEGOCIOS"/>
  </r>
  <r>
    <x v="53"/>
    <x v="46"/>
    <x v="6"/>
    <x v="24"/>
    <x v="95"/>
    <x v="1387"/>
    <x v="0"/>
    <s v="NEGOCIOS"/>
  </r>
  <r>
    <x v="53"/>
    <x v="95"/>
    <x v="6"/>
    <x v="24"/>
    <x v="164"/>
    <x v="1388"/>
    <x v="0"/>
    <s v="NEGOCIOS"/>
  </r>
  <r>
    <x v="53"/>
    <x v="164"/>
    <x v="6"/>
    <x v="24"/>
    <x v="202"/>
    <x v="1389"/>
    <x v="0"/>
    <s v="NEGOCIOS"/>
  </r>
  <r>
    <x v="53"/>
    <x v="84"/>
    <x v="35"/>
    <x v="25"/>
    <x v="49"/>
    <x v="1390"/>
    <x v="0"/>
    <s v="NEGOCIOS"/>
  </r>
  <r>
    <x v="53"/>
    <x v="119"/>
    <x v="7"/>
    <x v="24"/>
    <x v="69"/>
    <x v="1391"/>
    <x v="0"/>
    <s v="NEGOCIOS"/>
  </r>
  <r>
    <x v="53"/>
    <x v="139"/>
    <x v="7"/>
    <x v="24"/>
    <x v="110"/>
    <x v="1392"/>
    <x v="0"/>
    <s v="NEGOCIOS"/>
  </r>
  <r>
    <x v="53"/>
    <x v="164"/>
    <x v="7"/>
    <x v="24"/>
    <x v="202"/>
    <x v="1393"/>
    <x v="0"/>
    <s v="NEGOCIOS"/>
  </r>
  <r>
    <x v="53"/>
    <x v="90"/>
    <x v="8"/>
    <x v="25"/>
    <x v="90"/>
    <x v="1394"/>
    <x v="0"/>
    <s v="NEGOCIOS"/>
  </r>
  <r>
    <x v="53"/>
    <x v="25"/>
    <x v="8"/>
    <x v="25"/>
    <x v="169"/>
    <x v="1395"/>
    <x v="0"/>
    <s v="NEGOCIOS"/>
  </r>
  <r>
    <x v="53"/>
    <x v="72"/>
    <x v="8"/>
    <x v="25"/>
    <x v="205"/>
    <x v="735"/>
    <x v="0"/>
    <s v="NEGOCIOS"/>
  </r>
  <r>
    <x v="53"/>
    <x v="61"/>
    <x v="8"/>
    <x v="25"/>
    <x v="43"/>
    <x v="1396"/>
    <x v="0"/>
    <s v="NEGOCIOS"/>
  </r>
  <r>
    <x v="53"/>
    <x v="111"/>
    <x v="8"/>
    <x v="25"/>
    <x v="146"/>
    <x v="1397"/>
    <x v="0"/>
    <s v="NEGOCIOS"/>
  </r>
  <r>
    <x v="53"/>
    <x v="78"/>
    <x v="8"/>
    <x v="25"/>
    <x v="147"/>
    <x v="1398"/>
    <x v="0"/>
    <s v="NEGOCIOS"/>
  </r>
  <r>
    <x v="53"/>
    <x v="128"/>
    <x v="8"/>
    <x v="25"/>
    <x v="84"/>
    <x v="1399"/>
    <x v="0"/>
    <s v="NEGOCIOS"/>
  </r>
  <r>
    <x v="53"/>
    <x v="103"/>
    <x v="8"/>
    <x v="25"/>
    <x v="198"/>
    <x v="1400"/>
    <x v="0"/>
    <s v="NEGOCIOS"/>
  </r>
  <r>
    <x v="53"/>
    <x v="163"/>
    <x v="8"/>
    <x v="25"/>
    <x v="200"/>
    <x v="1401"/>
    <x v="0"/>
    <s v="NEGOCIOS"/>
  </r>
  <r>
    <x v="53"/>
    <x v="136"/>
    <x v="8"/>
    <x v="25"/>
    <x v="235"/>
    <x v="1402"/>
    <x v="0"/>
    <s v="NEGOCIOS"/>
  </r>
  <r>
    <x v="53"/>
    <x v="105"/>
    <x v="8"/>
    <x v="25"/>
    <x v="179"/>
    <x v="1403"/>
    <x v="0"/>
    <s v="NEGOCIOS"/>
  </r>
  <r>
    <x v="53"/>
    <x v="134"/>
    <x v="8"/>
    <x v="24"/>
    <x v="104"/>
    <x v="811"/>
    <x v="33"/>
    <s v="NEGOCIOS"/>
  </r>
  <r>
    <x v="53"/>
    <x v="143"/>
    <x v="8"/>
    <x v="24"/>
    <x v="166"/>
    <x v="811"/>
    <x v="31"/>
    <s v="NEGOCIOS"/>
  </r>
  <r>
    <x v="53"/>
    <x v="3"/>
    <x v="8"/>
    <x v="25"/>
    <x v="30"/>
    <x v="1404"/>
    <x v="0"/>
    <s v="NEGOCIOS"/>
  </r>
  <r>
    <x v="53"/>
    <x v="35"/>
    <x v="9"/>
    <x v="24"/>
    <x v="35"/>
    <x v="1405"/>
    <x v="0"/>
    <s v="NEGOCIOS"/>
  </r>
  <r>
    <x v="53"/>
    <x v="161"/>
    <x v="9"/>
    <x v="24"/>
    <x v="191"/>
    <x v="1406"/>
    <x v="0"/>
    <s v="NEGOCIOS"/>
  </r>
  <r>
    <x v="53"/>
    <x v="21"/>
    <x v="9"/>
    <x v="25"/>
    <x v="67"/>
    <x v="1299"/>
    <x v="0"/>
    <s v="NEGOCIOS"/>
  </r>
  <r>
    <x v="53"/>
    <x v="152"/>
    <x v="9"/>
    <x v="24"/>
    <x v="161"/>
    <x v="1407"/>
    <x v="0"/>
    <s v="NEGOCIOS"/>
  </r>
  <r>
    <x v="53"/>
    <x v="148"/>
    <x v="9"/>
    <x v="25"/>
    <x v="131"/>
    <x v="1408"/>
    <x v="0"/>
    <s v="NEGOCIOS"/>
  </r>
  <r>
    <x v="53"/>
    <x v="72"/>
    <x v="9"/>
    <x v="24"/>
    <x v="205"/>
    <x v="1409"/>
    <x v="0"/>
    <s v="NEGOCIOS"/>
  </r>
  <r>
    <x v="53"/>
    <x v="62"/>
    <x v="9"/>
    <x v="25"/>
    <x v="123"/>
    <x v="1410"/>
    <x v="0"/>
    <s v="NEGOCIOS"/>
  </r>
  <r>
    <x v="53"/>
    <x v="18"/>
    <x v="9"/>
    <x v="24"/>
    <x v="124"/>
    <x v="1411"/>
    <x v="0"/>
    <s v="NEGOCIOS"/>
  </r>
  <r>
    <x v="53"/>
    <x v="16"/>
    <x v="9"/>
    <x v="25"/>
    <x v="101"/>
    <x v="1412"/>
    <x v="0"/>
    <s v="NEGOCIOS"/>
  </r>
  <r>
    <x v="53"/>
    <x v="49"/>
    <x v="9"/>
    <x v="25"/>
    <x v="78"/>
    <x v="1413"/>
    <x v="0"/>
    <s v="NEGOCIOS"/>
  </r>
  <r>
    <x v="53"/>
    <x v="6"/>
    <x v="9"/>
    <x v="24"/>
    <x v="125"/>
    <x v="1414"/>
    <x v="0"/>
    <s v="NEGOCIOS"/>
  </r>
  <r>
    <x v="53"/>
    <x v="110"/>
    <x v="9"/>
    <x v="24"/>
    <x v="189"/>
    <x v="1415"/>
    <x v="0"/>
    <s v="NEGOCIOS"/>
  </r>
  <r>
    <x v="53"/>
    <x v="46"/>
    <x v="9"/>
    <x v="24"/>
    <x v="95"/>
    <x v="1416"/>
    <x v="0"/>
    <s v="NEGOCIOS"/>
  </r>
  <r>
    <x v="53"/>
    <x v="164"/>
    <x v="9"/>
    <x v="24"/>
    <x v="202"/>
    <x v="1417"/>
    <x v="0"/>
    <s v="NEGOCIOS"/>
  </r>
  <r>
    <x v="53"/>
    <x v="87"/>
    <x v="10"/>
    <x v="25"/>
    <x v="129"/>
    <x v="1418"/>
    <x v="0"/>
    <s v="NEGOCIOS"/>
  </r>
  <r>
    <x v="53"/>
    <x v="39"/>
    <x v="10"/>
    <x v="25"/>
    <x v="212"/>
    <x v="1419"/>
    <x v="0"/>
    <s v="NEGOCIOS"/>
  </r>
  <r>
    <x v="53"/>
    <x v="59"/>
    <x v="10"/>
    <x v="25"/>
    <x v="31"/>
    <x v="1420"/>
    <x v="0"/>
    <s v="NEGOCIOS"/>
  </r>
  <r>
    <x v="53"/>
    <x v="15"/>
    <x v="10"/>
    <x v="25"/>
    <x v="91"/>
    <x v="735"/>
    <x v="0"/>
    <s v="NEGOCIOS"/>
  </r>
  <r>
    <x v="53"/>
    <x v="154"/>
    <x v="10"/>
    <x v="25"/>
    <x v="215"/>
    <x v="735"/>
    <x v="0"/>
    <s v="NEGOCIOS"/>
  </r>
  <r>
    <x v="53"/>
    <x v="78"/>
    <x v="10"/>
    <x v="25"/>
    <x v="147"/>
    <x v="735"/>
    <x v="0"/>
    <s v="NEGOCIOS"/>
  </r>
  <r>
    <x v="53"/>
    <x v="102"/>
    <x v="10"/>
    <x v="25"/>
    <x v="137"/>
    <x v="1421"/>
    <x v="0"/>
    <s v="NEGOCIOS"/>
  </r>
  <r>
    <x v="53"/>
    <x v="143"/>
    <x v="10"/>
    <x v="24"/>
    <x v="166"/>
    <x v="811"/>
    <x v="34"/>
    <s v="NEGOCIOS"/>
  </r>
  <r>
    <x v="53"/>
    <x v="164"/>
    <x v="10"/>
    <x v="24"/>
    <x v="202"/>
    <x v="1422"/>
    <x v="0"/>
    <s v="NEGOCIOS"/>
  </r>
  <r>
    <x v="53"/>
    <x v="135"/>
    <x v="11"/>
    <x v="24"/>
    <x v="111"/>
    <x v="1301"/>
    <x v="0"/>
    <s v="NEGOCIOS"/>
  </r>
  <r>
    <x v="53"/>
    <x v="23"/>
    <x v="11"/>
    <x v="24"/>
    <x v="184"/>
    <x v="1423"/>
    <x v="0"/>
    <s v="NEGOCIOS"/>
  </r>
  <r>
    <x v="53"/>
    <x v="23"/>
    <x v="11"/>
    <x v="25"/>
    <x v="184"/>
    <x v="1424"/>
    <x v="0"/>
    <s v="NEGOCIOS"/>
  </r>
  <r>
    <x v="53"/>
    <x v="84"/>
    <x v="11"/>
    <x v="25"/>
    <x v="49"/>
    <x v="827"/>
    <x v="0"/>
    <s v="NEGOCIOS"/>
  </r>
  <r>
    <x v="53"/>
    <x v="77"/>
    <x v="11"/>
    <x v="25"/>
    <x v="71"/>
    <x v="1425"/>
    <x v="0"/>
    <s v="NEGOCIOS"/>
  </r>
  <r>
    <x v="53"/>
    <x v="5"/>
    <x v="11"/>
    <x v="25"/>
    <x v="206"/>
    <x v="1425"/>
    <x v="0"/>
    <s v="NEGOCIOS"/>
  </r>
  <r>
    <x v="53"/>
    <x v="16"/>
    <x v="11"/>
    <x v="24"/>
    <x v="101"/>
    <x v="1426"/>
    <x v="0"/>
    <s v="NEGOCIOS"/>
  </r>
  <r>
    <x v="53"/>
    <x v="101"/>
    <x v="11"/>
    <x v="25"/>
    <x v="150"/>
    <x v="1427"/>
    <x v="0"/>
    <s v="NEGOCIOS"/>
  </r>
  <r>
    <x v="53"/>
    <x v="101"/>
    <x v="11"/>
    <x v="24"/>
    <x v="150"/>
    <x v="811"/>
    <x v="35"/>
    <s v="NEGOCIOS"/>
  </r>
  <r>
    <x v="53"/>
    <x v="129"/>
    <x v="11"/>
    <x v="25"/>
    <x v="85"/>
    <x v="1428"/>
    <x v="0"/>
    <s v="NEGOCIOS"/>
  </r>
  <r>
    <x v="53"/>
    <x v="144"/>
    <x v="11"/>
    <x v="24"/>
    <x v="199"/>
    <x v="1429"/>
    <x v="0"/>
    <s v="NEGOCIOS"/>
  </r>
  <r>
    <x v="53"/>
    <x v="75"/>
    <x v="11"/>
    <x v="25"/>
    <x v="39"/>
    <x v="1430"/>
    <x v="0"/>
    <s v="NEGOCIOS"/>
  </r>
  <r>
    <x v="53"/>
    <x v="126"/>
    <x v="11"/>
    <x v="25"/>
    <x v="82"/>
    <x v="1431"/>
    <x v="0"/>
    <s v="NEGOCIOS"/>
  </r>
  <r>
    <x v="53"/>
    <x v="137"/>
    <x v="24"/>
    <x v="25"/>
    <x v="108"/>
    <x v="1432"/>
    <x v="0"/>
    <s v="NEGOCIOS"/>
  </r>
  <r>
    <x v="53"/>
    <x v="2"/>
    <x v="24"/>
    <x v="25"/>
    <x v="172"/>
    <x v="875"/>
    <x v="0"/>
    <s v="NEGOCIOS"/>
  </r>
  <r>
    <x v="53"/>
    <x v="103"/>
    <x v="24"/>
    <x v="25"/>
    <x v="198"/>
    <x v="1433"/>
    <x v="0"/>
    <s v="NEGOCIOS"/>
  </r>
  <r>
    <x v="53"/>
    <x v="37"/>
    <x v="12"/>
    <x v="24"/>
    <x v="171"/>
    <x v="1434"/>
    <x v="0"/>
    <s v="NEGOCIOS"/>
  </r>
  <r>
    <x v="53"/>
    <x v="92"/>
    <x v="12"/>
    <x v="24"/>
    <x v="230"/>
    <x v="1435"/>
    <x v="0"/>
    <s v="NEGOCIOS"/>
  </r>
  <r>
    <x v="53"/>
    <x v="31"/>
    <x v="12"/>
    <x v="24"/>
    <x v="72"/>
    <x v="1436"/>
    <x v="0"/>
    <s v="NEGOCIOS"/>
  </r>
  <r>
    <x v="53"/>
    <x v="69"/>
    <x v="12"/>
    <x v="24"/>
    <x v="236"/>
    <x v="1437"/>
    <x v="0"/>
    <s v="NEGOCIOS"/>
  </r>
  <r>
    <x v="53"/>
    <x v="46"/>
    <x v="12"/>
    <x v="24"/>
    <x v="95"/>
    <x v="1438"/>
    <x v="0"/>
    <s v="NEGOCIOS"/>
  </r>
  <r>
    <x v="53"/>
    <x v="143"/>
    <x v="12"/>
    <x v="24"/>
    <x v="166"/>
    <x v="811"/>
    <x v="36"/>
    <s v="NEGOCIOS"/>
  </r>
  <r>
    <x v="53"/>
    <x v="138"/>
    <x v="13"/>
    <x v="25"/>
    <x v="109"/>
    <x v="812"/>
    <x v="0"/>
    <s v="NEGOCIOS"/>
  </r>
  <r>
    <x v="53"/>
    <x v="83"/>
    <x v="13"/>
    <x v="25"/>
    <x v="99"/>
    <x v="735"/>
    <x v="0"/>
    <s v="NEGOCIOS"/>
  </r>
  <r>
    <x v="53"/>
    <x v="37"/>
    <x v="13"/>
    <x v="24"/>
    <x v="171"/>
    <x v="1439"/>
    <x v="0"/>
    <s v="NEGOCIOS"/>
  </r>
  <r>
    <x v="53"/>
    <x v="167"/>
    <x v="13"/>
    <x v="25"/>
    <x v="219"/>
    <x v="1440"/>
    <x v="0"/>
    <s v="NEGOCIOS"/>
  </r>
  <r>
    <x v="53"/>
    <x v="68"/>
    <x v="13"/>
    <x v="25"/>
    <x v="213"/>
    <x v="856"/>
    <x v="0"/>
    <s v="NEGOCIOS"/>
  </r>
  <r>
    <x v="53"/>
    <x v="9"/>
    <x v="13"/>
    <x v="25"/>
    <x v="258"/>
    <x v="1358"/>
    <x v="0"/>
    <s v="NEGOCIOS"/>
  </r>
  <r>
    <x v="53"/>
    <x v="77"/>
    <x v="13"/>
    <x v="25"/>
    <x v="71"/>
    <x v="812"/>
    <x v="0"/>
    <s v="NEGOCIOS"/>
  </r>
  <r>
    <x v="53"/>
    <x v="65"/>
    <x v="13"/>
    <x v="25"/>
    <x v="165"/>
    <x v="1441"/>
    <x v="0"/>
    <s v="NEGOCIOS"/>
  </r>
  <r>
    <x v="53"/>
    <x v="29"/>
    <x v="26"/>
    <x v="24"/>
    <x v="132"/>
    <x v="1442"/>
    <x v="0"/>
    <s v="NEGOCIOS"/>
  </r>
  <r>
    <x v="53"/>
    <x v="164"/>
    <x v="26"/>
    <x v="24"/>
    <x v="202"/>
    <x v="1443"/>
    <x v="0"/>
    <s v="NEGOCIOS"/>
  </r>
  <r>
    <x v="53"/>
    <x v="66"/>
    <x v="27"/>
    <x v="25"/>
    <x v="211"/>
    <x v="1444"/>
    <x v="0"/>
    <s v="NEGOCIOS"/>
  </r>
  <r>
    <x v="53"/>
    <x v="135"/>
    <x v="27"/>
    <x v="24"/>
    <x v="111"/>
    <x v="1445"/>
    <x v="0"/>
    <s v="NEGOCIOS"/>
  </r>
  <r>
    <x v="53"/>
    <x v="73"/>
    <x v="27"/>
    <x v="24"/>
    <x v="227"/>
    <x v="1446"/>
    <x v="0"/>
    <s v="NEGOCIOS"/>
  </r>
  <r>
    <x v="53"/>
    <x v="16"/>
    <x v="27"/>
    <x v="24"/>
    <x v="101"/>
    <x v="1447"/>
    <x v="0"/>
    <s v="NEGOCIOS"/>
  </r>
  <r>
    <x v="53"/>
    <x v="6"/>
    <x v="27"/>
    <x v="24"/>
    <x v="125"/>
    <x v="1448"/>
    <x v="0"/>
    <s v="NEGOCIOS"/>
  </r>
  <r>
    <x v="53"/>
    <x v="144"/>
    <x v="27"/>
    <x v="24"/>
    <x v="199"/>
    <x v="1449"/>
    <x v="0"/>
    <s v="NEGOCIOS"/>
  </r>
  <r>
    <x v="53"/>
    <x v="64"/>
    <x v="27"/>
    <x v="24"/>
    <x v="187"/>
    <x v="1450"/>
    <x v="0"/>
    <s v="NEGOCIOS"/>
  </r>
  <r>
    <x v="53"/>
    <x v="134"/>
    <x v="27"/>
    <x v="24"/>
    <x v="104"/>
    <x v="811"/>
    <x v="37"/>
    <s v="NEGOCIOS"/>
  </r>
  <r>
    <x v="53"/>
    <x v="161"/>
    <x v="28"/>
    <x v="24"/>
    <x v="191"/>
    <x v="1451"/>
    <x v="0"/>
    <s v="NEGOCIOS"/>
  </r>
  <r>
    <x v="53"/>
    <x v="90"/>
    <x v="28"/>
    <x v="24"/>
    <x v="90"/>
    <x v="1452"/>
    <x v="0"/>
    <s v="NEGOCIOS"/>
  </r>
  <r>
    <x v="53"/>
    <x v="36"/>
    <x v="28"/>
    <x v="24"/>
    <x v="168"/>
    <x v="486"/>
    <x v="0"/>
    <s v="NEGOCIOS"/>
  </r>
  <r>
    <x v="53"/>
    <x v="23"/>
    <x v="28"/>
    <x v="25"/>
    <x v="184"/>
    <x v="1453"/>
    <x v="0"/>
    <s v="NEGOCIOS"/>
  </r>
  <r>
    <x v="53"/>
    <x v="29"/>
    <x v="28"/>
    <x v="25"/>
    <x v="132"/>
    <x v="1454"/>
    <x v="0"/>
    <s v="NEGOCIOS"/>
  </r>
  <r>
    <x v="53"/>
    <x v="31"/>
    <x v="28"/>
    <x v="24"/>
    <x v="72"/>
    <x v="1455"/>
    <x v="0"/>
    <s v="NEGOCIOS"/>
  </r>
  <r>
    <x v="53"/>
    <x v="11"/>
    <x v="28"/>
    <x v="24"/>
    <x v="186"/>
    <x v="1456"/>
    <x v="0"/>
    <s v="NEGOCIOS"/>
  </r>
  <r>
    <x v="53"/>
    <x v="69"/>
    <x v="28"/>
    <x v="24"/>
    <x v="236"/>
    <x v="1457"/>
    <x v="0"/>
    <s v="NEGOCIOS"/>
  </r>
  <r>
    <x v="53"/>
    <x v="106"/>
    <x v="29"/>
    <x v="24"/>
    <x v="98"/>
    <x v="1458"/>
    <x v="0"/>
    <s v="NEGOCIOS"/>
  </r>
  <r>
    <x v="53"/>
    <x v="161"/>
    <x v="29"/>
    <x v="24"/>
    <x v="191"/>
    <x v="1459"/>
    <x v="0"/>
    <s v="NEGOCIOS"/>
  </r>
  <r>
    <x v="53"/>
    <x v="90"/>
    <x v="29"/>
    <x v="24"/>
    <x v="90"/>
    <x v="1460"/>
    <x v="0"/>
    <s v="NEGOCIOS"/>
  </r>
  <r>
    <x v="53"/>
    <x v="152"/>
    <x v="29"/>
    <x v="24"/>
    <x v="161"/>
    <x v="1461"/>
    <x v="0"/>
    <s v="NEGOCIOS"/>
  </r>
  <r>
    <x v="53"/>
    <x v="37"/>
    <x v="29"/>
    <x v="24"/>
    <x v="171"/>
    <x v="1462"/>
    <x v="0"/>
    <s v="NEGOCIOS"/>
  </r>
  <r>
    <x v="53"/>
    <x v="56"/>
    <x v="29"/>
    <x v="24"/>
    <x v="193"/>
    <x v="1463"/>
    <x v="0"/>
    <s v="NEGOCIOS"/>
  </r>
  <r>
    <x v="53"/>
    <x v="72"/>
    <x v="29"/>
    <x v="24"/>
    <x v="205"/>
    <x v="1464"/>
    <x v="0"/>
    <s v="NEGOCIOS"/>
  </r>
  <r>
    <x v="53"/>
    <x v="97"/>
    <x v="29"/>
    <x v="24"/>
    <x v="114"/>
    <x v="1465"/>
    <x v="0"/>
    <s v="NEGOCIOS"/>
  </r>
  <r>
    <x v="53"/>
    <x v="143"/>
    <x v="29"/>
    <x v="24"/>
    <x v="166"/>
    <x v="811"/>
    <x v="38"/>
    <s v="NEGOCIOS"/>
  </r>
  <r>
    <x v="53"/>
    <x v="95"/>
    <x v="29"/>
    <x v="24"/>
    <x v="164"/>
    <x v="1466"/>
    <x v="0"/>
    <s v="NEGOCIOS"/>
  </r>
  <r>
    <x v="53"/>
    <x v="45"/>
    <x v="30"/>
    <x v="25"/>
    <x v="107"/>
    <x v="1027"/>
    <x v="0"/>
    <s v="NEGOCIOS"/>
  </r>
  <r>
    <x v="53"/>
    <x v="71"/>
    <x v="31"/>
    <x v="24"/>
    <x v="229"/>
    <x v="1467"/>
    <x v="0"/>
    <s v="NEGOCIOS"/>
  </r>
  <r>
    <x v="53"/>
    <x v="71"/>
    <x v="31"/>
    <x v="25"/>
    <x v="229"/>
    <x v="766"/>
    <x v="0"/>
    <s v="NEGOCIOS"/>
  </r>
  <r>
    <x v="53"/>
    <x v="92"/>
    <x v="15"/>
    <x v="25"/>
    <x v="230"/>
    <x v="1468"/>
    <x v="0"/>
    <s v="NEGOCIOS"/>
  </r>
  <r>
    <x v="54"/>
    <x v="38"/>
    <x v="2"/>
    <x v="25"/>
    <x v="222"/>
    <x v="856"/>
    <x v="0"/>
    <s v="BOULEVARD EL DORADO"/>
  </r>
  <r>
    <x v="54"/>
    <x v="23"/>
    <x v="2"/>
    <x v="24"/>
    <x v="184"/>
    <x v="1469"/>
    <x v="0"/>
    <s v="BOULEVARD EL DORADO"/>
  </r>
  <r>
    <x v="54"/>
    <x v="31"/>
    <x v="2"/>
    <x v="25"/>
    <x v="72"/>
    <x v="874"/>
    <x v="0"/>
    <s v="BOULEVARD EL DORADO"/>
  </r>
  <r>
    <x v="54"/>
    <x v="11"/>
    <x v="2"/>
    <x v="24"/>
    <x v="186"/>
    <x v="1470"/>
    <x v="0"/>
    <s v="BOULEVARD EL DORADO"/>
  </r>
  <r>
    <x v="54"/>
    <x v="69"/>
    <x v="2"/>
    <x v="24"/>
    <x v="236"/>
    <x v="1471"/>
    <x v="0"/>
    <s v="BOULEVARD EL DORADO"/>
  </r>
  <r>
    <x v="54"/>
    <x v="137"/>
    <x v="0"/>
    <x v="25"/>
    <x v="108"/>
    <x v="875"/>
    <x v="0"/>
    <s v="BOULEVARD EL DORADO"/>
  </r>
  <r>
    <x v="54"/>
    <x v="35"/>
    <x v="0"/>
    <x v="25"/>
    <x v="35"/>
    <x v="799"/>
    <x v="0"/>
    <s v="BOULEVARD EL DORADO"/>
  </r>
  <r>
    <x v="54"/>
    <x v="21"/>
    <x v="0"/>
    <x v="25"/>
    <x v="67"/>
    <x v="856"/>
    <x v="0"/>
    <s v="BOULEVARD EL DORADO"/>
  </r>
  <r>
    <x v="54"/>
    <x v="149"/>
    <x v="0"/>
    <x v="25"/>
    <x v="192"/>
    <x v="874"/>
    <x v="0"/>
    <s v="BOULEVARD EL DORADO"/>
  </r>
  <r>
    <x v="54"/>
    <x v="121"/>
    <x v="0"/>
    <x v="25"/>
    <x v="135"/>
    <x v="856"/>
    <x v="0"/>
    <s v="BOULEVARD EL DORADO"/>
  </r>
  <r>
    <x v="54"/>
    <x v="132"/>
    <x v="0"/>
    <x v="25"/>
    <x v="100"/>
    <x v="921"/>
    <x v="0"/>
    <s v="BOULEVARD EL DORADO"/>
  </r>
  <r>
    <x v="54"/>
    <x v="26"/>
    <x v="0"/>
    <x v="25"/>
    <x v="226"/>
    <x v="856"/>
    <x v="0"/>
    <s v="BOULEVARD EL DORADO"/>
  </r>
  <r>
    <x v="54"/>
    <x v="27"/>
    <x v="0"/>
    <x v="25"/>
    <x v="113"/>
    <x v="875"/>
    <x v="0"/>
    <s v="BOULEVARD EL DORADO"/>
  </r>
  <r>
    <x v="54"/>
    <x v="139"/>
    <x v="0"/>
    <x v="25"/>
    <x v="110"/>
    <x v="875"/>
    <x v="0"/>
    <s v="BOULEVARD EL DORADO"/>
  </r>
  <r>
    <x v="54"/>
    <x v="146"/>
    <x v="0"/>
    <x v="25"/>
    <x v="195"/>
    <x v="856"/>
    <x v="0"/>
    <s v="BOULEVARD EL DORADO"/>
  </r>
  <r>
    <x v="54"/>
    <x v="72"/>
    <x v="0"/>
    <x v="25"/>
    <x v="205"/>
    <x v="874"/>
    <x v="0"/>
    <s v="BOULEVARD EL DORADO"/>
  </r>
  <r>
    <x v="54"/>
    <x v="15"/>
    <x v="0"/>
    <x v="25"/>
    <x v="91"/>
    <x v="799"/>
    <x v="0"/>
    <s v="BOULEVARD EL DORADO"/>
  </r>
  <r>
    <x v="54"/>
    <x v="158"/>
    <x v="0"/>
    <x v="25"/>
    <x v="174"/>
    <x v="874"/>
    <x v="0"/>
    <s v="BOULEVARD EL DORADO"/>
  </r>
  <r>
    <x v="54"/>
    <x v="5"/>
    <x v="0"/>
    <x v="25"/>
    <x v="206"/>
    <x v="799"/>
    <x v="0"/>
    <s v="BOULEVARD EL DORADO"/>
  </r>
  <r>
    <x v="54"/>
    <x v="29"/>
    <x v="0"/>
    <x v="25"/>
    <x v="132"/>
    <x v="874"/>
    <x v="0"/>
    <s v="BOULEVARD EL DORADO"/>
  </r>
  <r>
    <x v="54"/>
    <x v="154"/>
    <x v="0"/>
    <x v="25"/>
    <x v="215"/>
    <x v="398"/>
    <x v="0"/>
    <s v="BOULEVARD EL DORADO"/>
  </r>
  <r>
    <x v="54"/>
    <x v="45"/>
    <x v="0"/>
    <x v="25"/>
    <x v="107"/>
    <x v="875"/>
    <x v="0"/>
    <s v="BOULEVARD EL DORADO"/>
  </r>
  <r>
    <x v="54"/>
    <x v="86"/>
    <x v="0"/>
    <x v="25"/>
    <x v="204"/>
    <x v="856"/>
    <x v="0"/>
    <s v="BOULEVARD EL DORADO"/>
  </r>
  <r>
    <x v="54"/>
    <x v="46"/>
    <x v="0"/>
    <x v="25"/>
    <x v="95"/>
    <x v="874"/>
    <x v="0"/>
    <s v="BOULEVARD EL DORADO"/>
  </r>
  <r>
    <x v="54"/>
    <x v="94"/>
    <x v="0"/>
    <x v="25"/>
    <x v="180"/>
    <x v="874"/>
    <x v="0"/>
    <s v="BOULEVARD EL DORADO"/>
  </r>
  <r>
    <x v="54"/>
    <x v="142"/>
    <x v="0"/>
    <x v="25"/>
    <x v="117"/>
    <x v="875"/>
    <x v="0"/>
    <s v="BOULEVARD EL DORADO"/>
  </r>
  <r>
    <x v="54"/>
    <x v="3"/>
    <x v="0"/>
    <x v="25"/>
    <x v="30"/>
    <x v="874"/>
    <x v="0"/>
    <s v="BOULEVARD EL DORADO"/>
  </r>
  <r>
    <x v="54"/>
    <x v="34"/>
    <x v="1"/>
    <x v="25"/>
    <x v="66"/>
    <x v="874"/>
    <x v="0"/>
    <s v="BOULEVARD EL DORADO"/>
  </r>
  <r>
    <x v="54"/>
    <x v="38"/>
    <x v="1"/>
    <x v="25"/>
    <x v="222"/>
    <x v="856"/>
    <x v="0"/>
    <s v="BOULEVARD EL DORADO"/>
  </r>
  <r>
    <x v="54"/>
    <x v="149"/>
    <x v="1"/>
    <x v="25"/>
    <x v="192"/>
    <x v="874"/>
    <x v="0"/>
    <s v="BOULEVARD EL DORADO"/>
  </r>
  <r>
    <x v="54"/>
    <x v="41"/>
    <x v="1"/>
    <x v="25"/>
    <x v="88"/>
    <x v="856"/>
    <x v="0"/>
    <s v="BOULEVARD EL DORADO"/>
  </r>
  <r>
    <x v="54"/>
    <x v="15"/>
    <x v="1"/>
    <x v="25"/>
    <x v="91"/>
    <x v="874"/>
    <x v="0"/>
    <s v="BOULEVARD EL DORADO"/>
  </r>
  <r>
    <x v="54"/>
    <x v="77"/>
    <x v="1"/>
    <x v="25"/>
    <x v="71"/>
    <x v="874"/>
    <x v="0"/>
    <s v="BOULEVARD EL DORADO"/>
  </r>
  <r>
    <x v="54"/>
    <x v="102"/>
    <x v="1"/>
    <x v="25"/>
    <x v="137"/>
    <x v="875"/>
    <x v="0"/>
    <s v="BOULEVARD EL DORADO"/>
  </r>
  <r>
    <x v="54"/>
    <x v="129"/>
    <x v="1"/>
    <x v="25"/>
    <x v="85"/>
    <x v="856"/>
    <x v="0"/>
    <s v="BOULEVARD EL DORADO"/>
  </r>
  <r>
    <x v="54"/>
    <x v="33"/>
    <x v="1"/>
    <x v="25"/>
    <x v="86"/>
    <x v="874"/>
    <x v="0"/>
    <s v="BOULEVARD EL DORADO"/>
  </r>
  <r>
    <x v="54"/>
    <x v="17"/>
    <x v="1"/>
    <x v="25"/>
    <x v="201"/>
    <x v="856"/>
    <x v="0"/>
    <s v="BOULEVARD EL DORADO"/>
  </r>
  <r>
    <x v="54"/>
    <x v="47"/>
    <x v="1"/>
    <x v="25"/>
    <x v="257"/>
    <x v="856"/>
    <x v="0"/>
    <s v="BOULEVARD EL DORADO"/>
  </r>
  <r>
    <x v="54"/>
    <x v="19"/>
    <x v="1"/>
    <x v="25"/>
    <x v="118"/>
    <x v="874"/>
    <x v="0"/>
    <s v="BOULEVARD EL DORADO"/>
  </r>
  <r>
    <x v="55"/>
    <x v="48"/>
    <x v="2"/>
    <x v="25"/>
    <x v="77"/>
    <x v="874"/>
    <x v="0"/>
    <s v="SAN SEBASTIAN"/>
  </r>
  <r>
    <x v="55"/>
    <x v="30"/>
    <x v="2"/>
    <x v="25"/>
    <x v="216"/>
    <x v="874"/>
    <x v="0"/>
    <s v="SAN SEBASTIAN"/>
  </r>
  <r>
    <x v="55"/>
    <x v="123"/>
    <x v="2"/>
    <x v="25"/>
    <x v="176"/>
    <x v="874"/>
    <x v="0"/>
    <s v="SAN SEBASTIAN"/>
  </r>
  <r>
    <x v="55"/>
    <x v="106"/>
    <x v="0"/>
    <x v="25"/>
    <x v="98"/>
    <x v="874"/>
    <x v="0"/>
    <s v="SAN SEBASTIAN"/>
  </r>
  <r>
    <x v="55"/>
    <x v="156"/>
    <x v="0"/>
    <x v="25"/>
    <x v="181"/>
    <x v="801"/>
    <x v="0"/>
    <s v="SAN SEBASTIAN"/>
  </r>
  <r>
    <x v="55"/>
    <x v="107"/>
    <x v="0"/>
    <x v="25"/>
    <x v="256"/>
    <x v="799"/>
    <x v="0"/>
    <s v="SAN SEBASTIAN"/>
  </r>
  <r>
    <x v="55"/>
    <x v="8"/>
    <x v="0"/>
    <x v="25"/>
    <x v="209"/>
    <x v="874"/>
    <x v="0"/>
    <s v="SAN SEBASTIAN"/>
  </r>
  <r>
    <x v="55"/>
    <x v="88"/>
    <x v="0"/>
    <x v="25"/>
    <x v="138"/>
    <x v="874"/>
    <x v="0"/>
    <s v="SAN SEBASTIAN"/>
  </r>
  <r>
    <x v="55"/>
    <x v="54"/>
    <x v="0"/>
    <x v="25"/>
    <x v="210"/>
    <x v="799"/>
    <x v="0"/>
    <s v="SAN SEBASTIAN"/>
  </r>
  <r>
    <x v="55"/>
    <x v="138"/>
    <x v="0"/>
    <x v="25"/>
    <x v="109"/>
    <x v="856"/>
    <x v="0"/>
    <s v="SAN SEBASTIAN"/>
  </r>
  <r>
    <x v="55"/>
    <x v="38"/>
    <x v="0"/>
    <x v="25"/>
    <x v="222"/>
    <x v="1292"/>
    <x v="0"/>
    <s v="SAN SEBASTIAN"/>
  </r>
  <r>
    <x v="55"/>
    <x v="161"/>
    <x v="0"/>
    <x v="25"/>
    <x v="191"/>
    <x v="921"/>
    <x v="0"/>
    <s v="SAN SEBASTIAN"/>
  </r>
  <r>
    <x v="55"/>
    <x v="39"/>
    <x v="0"/>
    <x v="25"/>
    <x v="212"/>
    <x v="1057"/>
    <x v="0"/>
    <s v="SAN SEBASTIAN"/>
  </r>
  <r>
    <x v="55"/>
    <x v="80"/>
    <x v="0"/>
    <x v="25"/>
    <x v="46"/>
    <x v="1208"/>
    <x v="0"/>
    <s v="SAN SEBASTIAN"/>
  </r>
  <r>
    <x v="55"/>
    <x v="21"/>
    <x v="0"/>
    <x v="25"/>
    <x v="67"/>
    <x v="856"/>
    <x v="0"/>
    <s v="SAN SEBASTIAN"/>
  </r>
  <r>
    <x v="55"/>
    <x v="83"/>
    <x v="0"/>
    <x v="25"/>
    <x v="99"/>
    <x v="799"/>
    <x v="0"/>
    <s v="SAN SEBASTIAN"/>
  </r>
  <r>
    <x v="55"/>
    <x v="149"/>
    <x v="0"/>
    <x v="25"/>
    <x v="192"/>
    <x v="874"/>
    <x v="0"/>
    <s v="SAN SEBASTIAN"/>
  </r>
  <r>
    <x v="55"/>
    <x v="90"/>
    <x v="0"/>
    <x v="25"/>
    <x v="90"/>
    <x v="799"/>
    <x v="0"/>
    <s v="SAN SEBASTIAN"/>
  </r>
  <r>
    <x v="55"/>
    <x v="152"/>
    <x v="0"/>
    <x v="25"/>
    <x v="161"/>
    <x v="799"/>
    <x v="0"/>
    <s v="SAN SEBASTIAN"/>
  </r>
  <r>
    <x v="55"/>
    <x v="74"/>
    <x v="0"/>
    <x v="25"/>
    <x v="37"/>
    <x v="801"/>
    <x v="0"/>
    <s v="SAN SEBASTIAN"/>
  </r>
  <r>
    <x v="55"/>
    <x v="25"/>
    <x v="0"/>
    <x v="25"/>
    <x v="169"/>
    <x v="874"/>
    <x v="0"/>
    <s v="SAN SEBASTIAN"/>
  </r>
  <r>
    <x v="55"/>
    <x v="55"/>
    <x v="0"/>
    <x v="25"/>
    <x v="170"/>
    <x v="874"/>
    <x v="0"/>
    <s v="SAN SEBASTIAN"/>
  </r>
  <r>
    <x v="55"/>
    <x v="2"/>
    <x v="0"/>
    <x v="25"/>
    <x v="172"/>
    <x v="875"/>
    <x v="0"/>
    <s v="SAN SEBASTIAN"/>
  </r>
  <r>
    <x v="55"/>
    <x v="14"/>
    <x v="0"/>
    <x v="25"/>
    <x v="61"/>
    <x v="875"/>
    <x v="0"/>
    <s v="SAN SEBASTIAN"/>
  </r>
  <r>
    <x v="55"/>
    <x v="166"/>
    <x v="0"/>
    <x v="25"/>
    <x v="218"/>
    <x v="1056"/>
    <x v="0"/>
    <s v="SAN SEBASTIAN"/>
  </r>
  <r>
    <x v="55"/>
    <x v="132"/>
    <x v="0"/>
    <x v="25"/>
    <x v="100"/>
    <x v="875"/>
    <x v="0"/>
    <s v="SAN SEBASTIAN"/>
  </r>
  <r>
    <x v="55"/>
    <x v="119"/>
    <x v="0"/>
    <x v="25"/>
    <x v="69"/>
    <x v="856"/>
    <x v="0"/>
    <s v="SAN SEBASTIAN"/>
  </r>
  <r>
    <x v="55"/>
    <x v="26"/>
    <x v="0"/>
    <x v="25"/>
    <x v="226"/>
    <x v="1208"/>
    <x v="0"/>
    <s v="SAN SEBASTIAN"/>
  </r>
  <r>
    <x v="55"/>
    <x v="71"/>
    <x v="0"/>
    <x v="25"/>
    <x v="229"/>
    <x v="874"/>
    <x v="0"/>
    <s v="SAN SEBASTIAN"/>
  </r>
  <r>
    <x v="55"/>
    <x v="167"/>
    <x v="0"/>
    <x v="25"/>
    <x v="219"/>
    <x v="856"/>
    <x v="0"/>
    <s v="SAN SEBASTIAN"/>
  </r>
  <r>
    <x v="55"/>
    <x v="7"/>
    <x v="0"/>
    <x v="25"/>
    <x v="136"/>
    <x v="856"/>
    <x v="0"/>
    <s v="SAN SEBASTIAN"/>
  </r>
  <r>
    <x v="55"/>
    <x v="160"/>
    <x v="0"/>
    <x v="25"/>
    <x v="185"/>
    <x v="874"/>
    <x v="0"/>
    <s v="SAN SEBASTIAN"/>
  </r>
  <r>
    <x v="55"/>
    <x v="120"/>
    <x v="0"/>
    <x v="25"/>
    <x v="70"/>
    <x v="874"/>
    <x v="0"/>
    <s v="SAN SEBASTIAN"/>
  </r>
  <r>
    <x v="55"/>
    <x v="59"/>
    <x v="0"/>
    <x v="25"/>
    <x v="31"/>
    <x v="874"/>
    <x v="0"/>
    <s v="SAN SEBASTIAN"/>
  </r>
  <r>
    <x v="55"/>
    <x v="27"/>
    <x v="0"/>
    <x v="25"/>
    <x v="113"/>
    <x v="874"/>
    <x v="0"/>
    <s v="SAN SEBASTIAN"/>
  </r>
  <r>
    <x v="55"/>
    <x v="115"/>
    <x v="0"/>
    <x v="25"/>
    <x v="62"/>
    <x v="1057"/>
    <x v="0"/>
    <s v="SAN SEBASTIAN"/>
  </r>
  <r>
    <x v="55"/>
    <x v="41"/>
    <x v="0"/>
    <x v="25"/>
    <x v="88"/>
    <x v="856"/>
    <x v="0"/>
    <s v="SAN SEBASTIAN"/>
  </r>
  <r>
    <x v="55"/>
    <x v="146"/>
    <x v="0"/>
    <x v="25"/>
    <x v="195"/>
    <x v="874"/>
    <x v="0"/>
    <s v="SAN SEBASTIAN"/>
  </r>
  <r>
    <x v="55"/>
    <x v="60"/>
    <x v="0"/>
    <x v="25"/>
    <x v="196"/>
    <x v="874"/>
    <x v="0"/>
    <s v="SAN SEBASTIAN"/>
  </r>
  <r>
    <x v="55"/>
    <x v="68"/>
    <x v="0"/>
    <x v="25"/>
    <x v="213"/>
    <x v="856"/>
    <x v="0"/>
    <s v="SAN SEBASTIAN"/>
  </r>
  <r>
    <x v="55"/>
    <x v="9"/>
    <x v="0"/>
    <x v="25"/>
    <x v="258"/>
    <x v="856"/>
    <x v="0"/>
    <s v="SAN SEBASTIAN"/>
  </r>
  <r>
    <x v="55"/>
    <x v="97"/>
    <x v="0"/>
    <x v="25"/>
    <x v="114"/>
    <x v="856"/>
    <x v="0"/>
    <s v="SAN SEBASTIAN"/>
  </r>
  <r>
    <x v="55"/>
    <x v="61"/>
    <x v="0"/>
    <x v="25"/>
    <x v="43"/>
    <x v="874"/>
    <x v="0"/>
    <s v="SAN SEBASTIAN"/>
  </r>
  <r>
    <x v="55"/>
    <x v="15"/>
    <x v="0"/>
    <x v="25"/>
    <x v="91"/>
    <x v="856"/>
    <x v="0"/>
    <s v="SAN SEBASTIAN"/>
  </r>
  <r>
    <x v="55"/>
    <x v="158"/>
    <x v="0"/>
    <x v="25"/>
    <x v="174"/>
    <x v="921"/>
    <x v="0"/>
    <s v="SAN SEBASTIAN"/>
  </r>
  <r>
    <x v="55"/>
    <x v="168"/>
    <x v="0"/>
    <x v="25"/>
    <x v="221"/>
    <x v="875"/>
    <x v="0"/>
    <s v="SAN SEBASTIAN"/>
  </r>
  <r>
    <x v="55"/>
    <x v="77"/>
    <x v="0"/>
    <x v="25"/>
    <x v="71"/>
    <x v="874"/>
    <x v="0"/>
    <s v="SAN SEBASTIAN"/>
  </r>
  <r>
    <x v="55"/>
    <x v="62"/>
    <x v="0"/>
    <x v="25"/>
    <x v="123"/>
    <x v="856"/>
    <x v="0"/>
    <s v="SAN SEBASTIAN"/>
  </r>
  <r>
    <x v="55"/>
    <x v="28"/>
    <x v="0"/>
    <x v="25"/>
    <x v="63"/>
    <x v="856"/>
    <x v="0"/>
    <s v="SAN SEBASTIAN"/>
  </r>
  <r>
    <x v="55"/>
    <x v="98"/>
    <x v="0"/>
    <x v="25"/>
    <x v="197"/>
    <x v="875"/>
    <x v="0"/>
    <s v="SAN SEBASTIAN"/>
  </r>
  <r>
    <x v="55"/>
    <x v="111"/>
    <x v="0"/>
    <x v="25"/>
    <x v="146"/>
    <x v="801"/>
    <x v="0"/>
    <s v="SAN SEBASTIAN"/>
  </r>
  <r>
    <x v="55"/>
    <x v="16"/>
    <x v="0"/>
    <x v="25"/>
    <x v="101"/>
    <x v="875"/>
    <x v="0"/>
    <s v="SAN SEBASTIAN"/>
  </r>
  <r>
    <x v="55"/>
    <x v="49"/>
    <x v="0"/>
    <x v="25"/>
    <x v="78"/>
    <x v="856"/>
    <x v="0"/>
    <s v="SAN SEBASTIAN"/>
  </r>
  <r>
    <x v="55"/>
    <x v="6"/>
    <x v="0"/>
    <x v="25"/>
    <x v="125"/>
    <x v="856"/>
    <x v="0"/>
    <s v="SAN SEBASTIAN"/>
  </r>
  <r>
    <x v="55"/>
    <x v="30"/>
    <x v="0"/>
    <x v="25"/>
    <x v="216"/>
    <x v="856"/>
    <x v="0"/>
    <s v="SAN SEBASTIAN"/>
  </r>
  <r>
    <x v="55"/>
    <x v="78"/>
    <x v="0"/>
    <x v="25"/>
    <x v="147"/>
    <x v="874"/>
    <x v="0"/>
    <s v="SAN SEBASTIAN"/>
  </r>
  <r>
    <x v="55"/>
    <x v="131"/>
    <x v="0"/>
    <x v="25"/>
    <x v="97"/>
    <x v="813"/>
    <x v="0"/>
    <s v="SAN SEBASTIAN"/>
  </r>
  <r>
    <x v="55"/>
    <x v="31"/>
    <x v="0"/>
    <x v="25"/>
    <x v="72"/>
    <x v="856"/>
    <x v="0"/>
    <s v="SAN SEBASTIAN"/>
  </r>
  <r>
    <x v="55"/>
    <x v="102"/>
    <x v="0"/>
    <x v="25"/>
    <x v="137"/>
    <x v="874"/>
    <x v="0"/>
    <s v="SAN SEBASTIAN"/>
  </r>
  <r>
    <x v="55"/>
    <x v="140"/>
    <x v="0"/>
    <x v="25"/>
    <x v="234"/>
    <x v="874"/>
    <x v="0"/>
    <s v="SAN SEBASTIAN"/>
  </r>
  <r>
    <x v="55"/>
    <x v="10"/>
    <x v="0"/>
    <x v="25"/>
    <x v="152"/>
    <x v="874"/>
    <x v="0"/>
    <s v="SAN SEBASTIAN"/>
  </r>
  <r>
    <x v="55"/>
    <x v="103"/>
    <x v="0"/>
    <x v="25"/>
    <x v="198"/>
    <x v="856"/>
    <x v="0"/>
    <s v="SAN SEBASTIAN"/>
  </r>
  <r>
    <x v="55"/>
    <x v="104"/>
    <x v="0"/>
    <x v="25"/>
    <x v="74"/>
    <x v="874"/>
    <x v="0"/>
    <s v="SAN SEBASTIAN"/>
  </r>
  <r>
    <x v="55"/>
    <x v="123"/>
    <x v="0"/>
    <x v="25"/>
    <x v="176"/>
    <x v="874"/>
    <x v="0"/>
    <s v="SAN SEBASTIAN"/>
  </r>
  <r>
    <x v="55"/>
    <x v="129"/>
    <x v="0"/>
    <x v="25"/>
    <x v="85"/>
    <x v="1208"/>
    <x v="0"/>
    <s v="SAN SEBASTIAN"/>
  </r>
  <r>
    <x v="55"/>
    <x v="113"/>
    <x v="0"/>
    <x v="25"/>
    <x v="177"/>
    <x v="1057"/>
    <x v="0"/>
    <s v="SAN SEBASTIAN"/>
  </r>
  <r>
    <x v="55"/>
    <x v="51"/>
    <x v="0"/>
    <x v="25"/>
    <x v="178"/>
    <x v="874"/>
    <x v="0"/>
    <s v="SAN SEBASTIAN"/>
  </r>
  <r>
    <x v="55"/>
    <x v="136"/>
    <x v="0"/>
    <x v="25"/>
    <x v="235"/>
    <x v="856"/>
    <x v="0"/>
    <s v="SAN SEBASTIAN"/>
  </r>
  <r>
    <x v="55"/>
    <x v="99"/>
    <x v="0"/>
    <x v="25"/>
    <x v="153"/>
    <x v="856"/>
    <x v="0"/>
    <s v="SAN SEBASTIAN"/>
  </r>
  <r>
    <x v="55"/>
    <x v="45"/>
    <x v="0"/>
    <x v="25"/>
    <x v="107"/>
    <x v="874"/>
    <x v="0"/>
    <s v="SAN SEBASTIAN"/>
  </r>
  <r>
    <x v="55"/>
    <x v="69"/>
    <x v="0"/>
    <x v="25"/>
    <x v="236"/>
    <x v="801"/>
    <x v="0"/>
    <s v="SAN SEBASTIAN"/>
  </r>
  <r>
    <x v="55"/>
    <x v="52"/>
    <x v="0"/>
    <x v="25"/>
    <x v="228"/>
    <x v="875"/>
    <x v="0"/>
    <s v="SAN SEBASTIAN"/>
  </r>
  <r>
    <x v="55"/>
    <x v="145"/>
    <x v="0"/>
    <x v="25"/>
    <x v="127"/>
    <x v="874"/>
    <x v="0"/>
    <s v="SAN SEBASTIAN"/>
  </r>
  <r>
    <x v="55"/>
    <x v="105"/>
    <x v="0"/>
    <x v="25"/>
    <x v="179"/>
    <x v="874"/>
    <x v="0"/>
    <s v="SAN SEBASTIAN"/>
  </r>
  <r>
    <x v="55"/>
    <x v="133"/>
    <x v="0"/>
    <x v="25"/>
    <x v="102"/>
    <x v="874"/>
    <x v="0"/>
    <s v="SAN SEBASTIAN"/>
  </r>
  <r>
    <x v="55"/>
    <x v="12"/>
    <x v="0"/>
    <x v="25"/>
    <x v="103"/>
    <x v="856"/>
    <x v="0"/>
    <s v="SAN SEBASTIAN"/>
  </r>
  <r>
    <x v="55"/>
    <x v="64"/>
    <x v="0"/>
    <x v="25"/>
    <x v="187"/>
    <x v="874"/>
    <x v="0"/>
    <s v="SAN SEBASTIAN"/>
  </r>
  <r>
    <x v="55"/>
    <x v="75"/>
    <x v="0"/>
    <x v="25"/>
    <x v="39"/>
    <x v="874"/>
    <x v="0"/>
    <s v="SAN SEBASTIAN"/>
  </r>
  <r>
    <x v="55"/>
    <x v="93"/>
    <x v="0"/>
    <x v="25"/>
    <x v="80"/>
    <x v="856"/>
    <x v="0"/>
    <s v="SAN SEBASTIAN"/>
  </r>
  <r>
    <x v="55"/>
    <x v="110"/>
    <x v="0"/>
    <x v="25"/>
    <x v="189"/>
    <x v="874"/>
    <x v="0"/>
    <s v="SAN SEBASTIAN"/>
  </r>
  <r>
    <x v="55"/>
    <x v="114"/>
    <x v="0"/>
    <x v="25"/>
    <x v="203"/>
    <x v="875"/>
    <x v="0"/>
    <s v="SAN SEBASTIAN"/>
  </r>
  <r>
    <x v="55"/>
    <x v="46"/>
    <x v="0"/>
    <x v="25"/>
    <x v="95"/>
    <x v="398"/>
    <x v="0"/>
    <s v="SAN SEBASTIAN"/>
  </r>
  <r>
    <x v="55"/>
    <x v="94"/>
    <x v="0"/>
    <x v="25"/>
    <x v="180"/>
    <x v="875"/>
    <x v="0"/>
    <s v="SAN SEBASTIAN"/>
  </r>
  <r>
    <x v="55"/>
    <x v="13"/>
    <x v="0"/>
    <x v="25"/>
    <x v="207"/>
    <x v="874"/>
    <x v="0"/>
    <s v="SAN SEBASTIAN"/>
  </r>
  <r>
    <x v="55"/>
    <x v="143"/>
    <x v="0"/>
    <x v="25"/>
    <x v="166"/>
    <x v="874"/>
    <x v="0"/>
    <s v="SAN SEBASTIAN"/>
  </r>
  <r>
    <x v="55"/>
    <x v="125"/>
    <x v="0"/>
    <x v="25"/>
    <x v="81"/>
    <x v="856"/>
    <x v="0"/>
    <s v="SAN SEBASTIAN"/>
  </r>
  <r>
    <x v="55"/>
    <x v="33"/>
    <x v="0"/>
    <x v="25"/>
    <x v="86"/>
    <x v="856"/>
    <x v="0"/>
    <s v="SAN SEBASTIAN"/>
  </r>
  <r>
    <x v="55"/>
    <x v="126"/>
    <x v="0"/>
    <x v="25"/>
    <x v="82"/>
    <x v="921"/>
    <x v="0"/>
    <s v="SAN SEBASTIAN"/>
  </r>
  <r>
    <x v="55"/>
    <x v="65"/>
    <x v="0"/>
    <x v="25"/>
    <x v="165"/>
    <x v="875"/>
    <x v="0"/>
    <s v="SAN SEBASTIAN"/>
  </r>
  <r>
    <x v="55"/>
    <x v="17"/>
    <x v="0"/>
    <x v="25"/>
    <x v="201"/>
    <x v="874"/>
    <x v="0"/>
    <s v="SAN SEBASTIAN"/>
  </r>
  <r>
    <x v="55"/>
    <x v="142"/>
    <x v="0"/>
    <x v="25"/>
    <x v="117"/>
    <x v="856"/>
    <x v="0"/>
    <s v="SAN SEBASTIAN"/>
  </r>
  <r>
    <x v="55"/>
    <x v="164"/>
    <x v="0"/>
    <x v="25"/>
    <x v="202"/>
    <x v="856"/>
    <x v="0"/>
    <s v="SAN SEBASTIAN"/>
  </r>
  <r>
    <x v="55"/>
    <x v="100"/>
    <x v="0"/>
    <x v="25"/>
    <x v="220"/>
    <x v="874"/>
    <x v="0"/>
    <s v="SAN SEBASTIAN"/>
  </r>
  <r>
    <x v="55"/>
    <x v="3"/>
    <x v="0"/>
    <x v="25"/>
    <x v="30"/>
    <x v="874"/>
    <x v="0"/>
    <s v="SAN SEBASTIAN"/>
  </r>
  <r>
    <x v="55"/>
    <x v="58"/>
    <x v="0"/>
    <x v="25"/>
    <x v="29"/>
    <x v="874"/>
    <x v="0"/>
    <s v="SAN SEBASTIAN"/>
  </r>
  <r>
    <x v="55"/>
    <x v="70"/>
    <x v="0"/>
    <x v="25"/>
    <x v="253"/>
    <x v="874"/>
    <x v="0"/>
    <s v="SAN SEBASTIAN"/>
  </r>
  <r>
    <x v="55"/>
    <x v="107"/>
    <x v="1"/>
    <x v="25"/>
    <x v="256"/>
    <x v="874"/>
    <x v="0"/>
    <s v="SAN SEBASTIAN"/>
  </r>
  <r>
    <x v="55"/>
    <x v="88"/>
    <x v="1"/>
    <x v="25"/>
    <x v="138"/>
    <x v="875"/>
    <x v="0"/>
    <s v="SAN SEBASTIAN"/>
  </r>
  <r>
    <x v="55"/>
    <x v="161"/>
    <x v="1"/>
    <x v="25"/>
    <x v="191"/>
    <x v="874"/>
    <x v="0"/>
    <s v="SAN SEBASTIAN"/>
  </r>
  <r>
    <x v="55"/>
    <x v="90"/>
    <x v="1"/>
    <x v="25"/>
    <x v="90"/>
    <x v="874"/>
    <x v="0"/>
    <s v="SAN SEBASTIAN"/>
  </r>
  <r>
    <x v="55"/>
    <x v="132"/>
    <x v="1"/>
    <x v="25"/>
    <x v="100"/>
    <x v="874"/>
    <x v="0"/>
    <s v="SAN SEBASTIAN"/>
  </r>
  <r>
    <x v="55"/>
    <x v="30"/>
    <x v="1"/>
    <x v="25"/>
    <x v="216"/>
    <x v="874"/>
    <x v="0"/>
    <s v="SAN SEBASTIAN"/>
  </r>
  <r>
    <x v="55"/>
    <x v="104"/>
    <x v="1"/>
    <x v="25"/>
    <x v="74"/>
    <x v="874"/>
    <x v="0"/>
    <s v="SAN SEBASTIAN"/>
  </r>
  <r>
    <x v="55"/>
    <x v="94"/>
    <x v="1"/>
    <x v="25"/>
    <x v="180"/>
    <x v="874"/>
    <x v="0"/>
    <s v="SAN SEBASTIAN"/>
  </r>
  <r>
    <x v="55"/>
    <x v="125"/>
    <x v="1"/>
    <x v="25"/>
    <x v="81"/>
    <x v="874"/>
    <x v="0"/>
    <s v="SAN SEBASTIAN"/>
  </r>
  <r>
    <x v="55"/>
    <x v="33"/>
    <x v="1"/>
    <x v="25"/>
    <x v="86"/>
    <x v="874"/>
    <x v="0"/>
    <s v="SAN SEBASTIAN"/>
  </r>
  <r>
    <x v="55"/>
    <x v="126"/>
    <x v="1"/>
    <x v="25"/>
    <x v="82"/>
    <x v="874"/>
    <x v="0"/>
    <s v="SAN SEBASTIAN"/>
  </r>
  <r>
    <x v="55"/>
    <x v="65"/>
    <x v="1"/>
    <x v="25"/>
    <x v="165"/>
    <x v="874"/>
    <x v="0"/>
    <s v="SAN SEBASTIAN"/>
  </r>
  <r>
    <x v="55"/>
    <x v="17"/>
    <x v="1"/>
    <x v="25"/>
    <x v="201"/>
    <x v="874"/>
    <x v="0"/>
    <s v="SAN SEBASTIAN"/>
  </r>
  <r>
    <x v="55"/>
    <x v="142"/>
    <x v="1"/>
    <x v="25"/>
    <x v="117"/>
    <x v="874"/>
    <x v="0"/>
    <s v="SAN SEBASTIAN"/>
  </r>
  <r>
    <x v="55"/>
    <x v="164"/>
    <x v="1"/>
    <x v="25"/>
    <x v="202"/>
    <x v="874"/>
    <x v="0"/>
    <s v="SAN SEBASTIAN"/>
  </r>
  <r>
    <x v="72"/>
    <x v="23"/>
    <x v="2"/>
    <x v="24"/>
    <x v="184"/>
    <x v="1472"/>
    <x v="0"/>
    <s v="CIUDAD DEL SABER"/>
  </r>
  <r>
    <x v="72"/>
    <x v="154"/>
    <x v="2"/>
    <x v="25"/>
    <x v="215"/>
    <x v="874"/>
    <x v="0"/>
    <s v="CIUDAD DEL SABER"/>
  </r>
  <r>
    <x v="57"/>
    <x v="35"/>
    <x v="0"/>
    <x v="25"/>
    <x v="35"/>
    <x v="874"/>
    <x v="0"/>
    <s v="VILLA ZAITA"/>
  </r>
  <r>
    <x v="73"/>
    <x v="56"/>
    <x v="2"/>
    <x v="24"/>
    <x v="193"/>
    <x v="1299"/>
    <x v="0"/>
    <s v="TOWN CENTER COSTA DEL ESTE"/>
  </r>
  <r>
    <x v="73"/>
    <x v="71"/>
    <x v="2"/>
    <x v="24"/>
    <x v="229"/>
    <x v="1473"/>
    <x v="0"/>
    <s v="TOWN CENTER COSTA DEL ESTE"/>
  </r>
  <r>
    <x v="73"/>
    <x v="43"/>
    <x v="2"/>
    <x v="24"/>
    <x v="73"/>
    <x v="1474"/>
    <x v="0"/>
    <s v="TOWN CENTER COSTA DEL ESTE"/>
  </r>
  <r>
    <x v="73"/>
    <x v="33"/>
    <x v="0"/>
    <x v="25"/>
    <x v="86"/>
    <x v="874"/>
    <x v="0"/>
    <s v="TOWN CENTER COSTA DEL ESTE"/>
  </r>
  <r>
    <x v="59"/>
    <x v="23"/>
    <x v="2"/>
    <x v="24"/>
    <x v="184"/>
    <x v="1475"/>
    <x v="0"/>
    <s v="COSTA VERDE"/>
  </r>
  <r>
    <x v="59"/>
    <x v="71"/>
    <x v="2"/>
    <x v="24"/>
    <x v="229"/>
    <x v="1476"/>
    <x v="0"/>
    <s v="COSTA VERDE"/>
  </r>
  <r>
    <x v="59"/>
    <x v="92"/>
    <x v="2"/>
    <x v="24"/>
    <x v="230"/>
    <x v="1475"/>
    <x v="0"/>
    <s v="COSTA VERDE"/>
  </r>
  <r>
    <x v="59"/>
    <x v="140"/>
    <x v="2"/>
    <x v="24"/>
    <x v="234"/>
    <x v="811"/>
    <x v="23"/>
    <s v="COSTA VERDE"/>
  </r>
  <r>
    <x v="59"/>
    <x v="159"/>
    <x v="2"/>
    <x v="24"/>
    <x v="175"/>
    <x v="1477"/>
    <x v="0"/>
    <s v="COSTA VERDE"/>
  </r>
  <r>
    <x v="59"/>
    <x v="58"/>
    <x v="2"/>
    <x v="24"/>
    <x v="29"/>
    <x v="1478"/>
    <x v="0"/>
    <s v="COSTA VERDE"/>
  </r>
  <r>
    <x v="59"/>
    <x v="131"/>
    <x v="0"/>
    <x v="25"/>
    <x v="97"/>
    <x v="1292"/>
    <x v="0"/>
    <s v="COSTA VERDE"/>
  </r>
  <r>
    <x v="59"/>
    <x v="102"/>
    <x v="0"/>
    <x v="25"/>
    <x v="137"/>
    <x v="856"/>
    <x v="0"/>
    <s v="COSTA VERDE"/>
  </r>
  <r>
    <x v="59"/>
    <x v="10"/>
    <x v="0"/>
    <x v="24"/>
    <x v="152"/>
    <x v="811"/>
    <x v="39"/>
    <s v="COSTA VERDE"/>
  </r>
  <r>
    <x v="59"/>
    <x v="44"/>
    <x v="0"/>
    <x v="25"/>
    <x v="94"/>
    <x v="856"/>
    <x v="0"/>
    <s v="COSTA VERDE"/>
  </r>
  <r>
    <x v="59"/>
    <x v="113"/>
    <x v="0"/>
    <x v="25"/>
    <x v="177"/>
    <x v="856"/>
    <x v="0"/>
    <s v="COSTA VERDE"/>
  </r>
  <r>
    <x v="59"/>
    <x v="45"/>
    <x v="0"/>
    <x v="25"/>
    <x v="107"/>
    <x v="856"/>
    <x v="0"/>
    <s v="COSTA VERDE"/>
  </r>
  <r>
    <x v="59"/>
    <x v="52"/>
    <x v="0"/>
    <x v="25"/>
    <x v="228"/>
    <x v="856"/>
    <x v="0"/>
    <s v="COSTA VERDE"/>
  </r>
  <r>
    <x v="59"/>
    <x v="12"/>
    <x v="0"/>
    <x v="25"/>
    <x v="103"/>
    <x v="874"/>
    <x v="0"/>
    <s v="COSTA VERDE"/>
  </r>
  <r>
    <x v="59"/>
    <x v="114"/>
    <x v="0"/>
    <x v="25"/>
    <x v="203"/>
    <x v="856"/>
    <x v="0"/>
    <s v="COSTA VERDE"/>
  </r>
  <r>
    <x v="59"/>
    <x v="46"/>
    <x v="0"/>
    <x v="25"/>
    <x v="95"/>
    <x v="875"/>
    <x v="0"/>
    <s v="COSTA VERDE"/>
  </r>
  <r>
    <x v="59"/>
    <x v="94"/>
    <x v="0"/>
    <x v="25"/>
    <x v="180"/>
    <x v="874"/>
    <x v="0"/>
    <s v="COSTA VERDE"/>
  </r>
  <r>
    <x v="59"/>
    <x v="13"/>
    <x v="0"/>
    <x v="25"/>
    <x v="207"/>
    <x v="875"/>
    <x v="0"/>
    <s v="COSTA VERDE"/>
  </r>
  <r>
    <x v="59"/>
    <x v="125"/>
    <x v="0"/>
    <x v="25"/>
    <x v="81"/>
    <x v="875"/>
    <x v="0"/>
    <s v="COSTA VERDE"/>
  </r>
  <r>
    <x v="59"/>
    <x v="126"/>
    <x v="0"/>
    <x v="25"/>
    <x v="82"/>
    <x v="921"/>
    <x v="0"/>
    <s v="COSTA VERDE"/>
  </r>
  <r>
    <x v="59"/>
    <x v="142"/>
    <x v="0"/>
    <x v="25"/>
    <x v="117"/>
    <x v="856"/>
    <x v="0"/>
    <s v="COSTA VERDE"/>
  </r>
  <r>
    <x v="59"/>
    <x v="47"/>
    <x v="0"/>
    <x v="25"/>
    <x v="257"/>
    <x v="856"/>
    <x v="0"/>
    <s v="COSTA VERDE"/>
  </r>
  <r>
    <x v="59"/>
    <x v="58"/>
    <x v="0"/>
    <x v="25"/>
    <x v="29"/>
    <x v="799"/>
    <x v="0"/>
    <s v="COSTA VERDE"/>
  </r>
  <r>
    <x v="59"/>
    <x v="20"/>
    <x v="0"/>
    <x v="25"/>
    <x v="87"/>
    <x v="856"/>
    <x v="0"/>
    <s v="COSTA VERDE"/>
  </r>
  <r>
    <x v="59"/>
    <x v="45"/>
    <x v="1"/>
    <x v="25"/>
    <x v="107"/>
    <x v="874"/>
    <x v="0"/>
    <s v="COSTA VERDE"/>
  </r>
  <r>
    <x v="59"/>
    <x v="105"/>
    <x v="1"/>
    <x v="25"/>
    <x v="179"/>
    <x v="856"/>
    <x v="0"/>
    <s v="COSTA VERDE"/>
  </r>
  <r>
    <x v="59"/>
    <x v="93"/>
    <x v="1"/>
    <x v="25"/>
    <x v="80"/>
    <x v="874"/>
    <x v="0"/>
    <s v="COSTA VERDE"/>
  </r>
  <r>
    <x v="59"/>
    <x v="110"/>
    <x v="1"/>
    <x v="25"/>
    <x v="189"/>
    <x v="799"/>
    <x v="0"/>
    <s v="COSTA VERDE"/>
  </r>
  <r>
    <x v="74"/>
    <x v="37"/>
    <x v="2"/>
    <x v="24"/>
    <x v="171"/>
    <x v="1479"/>
    <x v="0"/>
    <s v="PLAZA LOS ANGELES"/>
  </r>
  <r>
    <x v="74"/>
    <x v="144"/>
    <x v="2"/>
    <x v="24"/>
    <x v="199"/>
    <x v="1480"/>
    <x v="0"/>
    <s v="PLAZA LOS ANGELES"/>
  </r>
  <r>
    <x v="74"/>
    <x v="145"/>
    <x v="0"/>
    <x v="25"/>
    <x v="127"/>
    <x v="874"/>
    <x v="0"/>
    <s v="PLAZA LOS ANGELES"/>
  </r>
  <r>
    <x v="75"/>
    <x v="71"/>
    <x v="2"/>
    <x v="24"/>
    <x v="229"/>
    <x v="1481"/>
    <x v="0"/>
    <s v="SAN MATEO"/>
  </r>
  <r>
    <x v="75"/>
    <x v="92"/>
    <x v="2"/>
    <x v="24"/>
    <x v="230"/>
    <x v="1481"/>
    <x v="0"/>
    <s v="SAN MATEO"/>
  </r>
  <r>
    <x v="75"/>
    <x v="16"/>
    <x v="2"/>
    <x v="24"/>
    <x v="101"/>
    <x v="1481"/>
    <x v="0"/>
    <s v="SAN MATEO"/>
  </r>
  <r>
    <x v="75"/>
    <x v="58"/>
    <x v="2"/>
    <x v="24"/>
    <x v="29"/>
    <x v="1401"/>
    <x v="0"/>
    <s v="SAN MATEO"/>
  </r>
  <r>
    <x v="76"/>
    <x v="92"/>
    <x v="2"/>
    <x v="24"/>
    <x v="230"/>
    <x v="1482"/>
    <x v="0"/>
    <s v="BRISAS DEL GOLF ARRAIJAN"/>
  </r>
  <r>
    <x v="76"/>
    <x v="69"/>
    <x v="2"/>
    <x v="24"/>
    <x v="236"/>
    <x v="1483"/>
    <x v="0"/>
    <s v="BRISAS DEL GOLF ARRAIJAN"/>
  </r>
  <r>
    <x v="76"/>
    <x v="93"/>
    <x v="2"/>
    <x v="30"/>
    <x v="260"/>
    <x v="856"/>
    <x v="0"/>
    <s v="BRISAS DEL GOLF ARRAIJAN"/>
  </r>
  <r>
    <x v="61"/>
    <x v="54"/>
    <x v="2"/>
    <x v="24"/>
    <x v="210"/>
    <x v="1484"/>
    <x v="0"/>
    <s v="PASEO ARRAIJAN"/>
  </r>
  <r>
    <x v="61"/>
    <x v="152"/>
    <x v="2"/>
    <x v="24"/>
    <x v="161"/>
    <x v="1485"/>
    <x v="0"/>
    <s v="PASEO ARRAIJAN"/>
  </r>
  <r>
    <x v="61"/>
    <x v="14"/>
    <x v="2"/>
    <x v="24"/>
    <x v="61"/>
    <x v="1486"/>
    <x v="0"/>
    <s v="PASEO ARRAIJAN"/>
  </r>
  <r>
    <x v="61"/>
    <x v="92"/>
    <x v="2"/>
    <x v="24"/>
    <x v="230"/>
    <x v="1487"/>
    <x v="0"/>
    <s v="PASEO ARRAIJAN"/>
  </r>
  <r>
    <x v="62"/>
    <x v="53"/>
    <x v="1"/>
    <x v="25"/>
    <x v="208"/>
    <x v="856"/>
    <x v="0"/>
    <s v="PLAZA NUEVO TOCUMEN"/>
  </r>
  <r>
    <x v="8"/>
    <x v="145"/>
    <x v="2"/>
    <x v="31"/>
    <x v="127"/>
    <x v="896"/>
    <x v="0"/>
    <s v="SANTIAGO"/>
  </r>
  <r>
    <x v="25"/>
    <x v="0"/>
    <x v="2"/>
    <x v="31"/>
    <x v="223"/>
    <x v="1488"/>
    <x v="0"/>
    <s v="CORONADO"/>
  </r>
  <r>
    <x v="30"/>
    <x v="106"/>
    <x v="2"/>
    <x v="31"/>
    <x v="98"/>
    <x v="1489"/>
    <x v="0"/>
    <s v="LAS TABLAS"/>
  </r>
  <r>
    <x v="32"/>
    <x v="155"/>
    <x v="2"/>
    <x v="31"/>
    <x v="217"/>
    <x v="1490"/>
    <x v="0"/>
    <s v="DAVID - TERRONAL"/>
  </r>
  <r>
    <x v="33"/>
    <x v="43"/>
    <x v="2"/>
    <x v="31"/>
    <x v="73"/>
    <x v="1335"/>
    <x v="0"/>
    <s v="COSTA DEL ESTE"/>
  </r>
  <r>
    <x v="70"/>
    <x v="43"/>
    <x v="2"/>
    <x v="31"/>
    <x v="73"/>
    <x v="872"/>
    <x v="0"/>
    <s v="SABANITAS"/>
  </r>
  <r>
    <x v="71"/>
    <x v="106"/>
    <x v="2"/>
    <x v="31"/>
    <x v="98"/>
    <x v="1491"/>
    <x v="0"/>
    <s v="ALTOS DE PANAMA"/>
  </r>
  <r>
    <x v="45"/>
    <x v="117"/>
    <x v="2"/>
    <x v="31"/>
    <x v="233"/>
    <x v="1492"/>
    <x v="0"/>
    <s v="LA CHORRERA - PARQUE 10 DE NOV."/>
  </r>
  <r>
    <x v="47"/>
    <x v="156"/>
    <x v="2"/>
    <x v="31"/>
    <x v="181"/>
    <x v="1493"/>
    <x v="0"/>
    <s v="CLAYTON"/>
  </r>
  <r>
    <x v="53"/>
    <x v="132"/>
    <x v="5"/>
    <x v="32"/>
    <x v="100"/>
    <x v="1494"/>
    <x v="0"/>
    <s v="NEGOCIOS"/>
  </r>
  <r>
    <x v="53"/>
    <x v="167"/>
    <x v="5"/>
    <x v="32"/>
    <x v="219"/>
    <x v="1495"/>
    <x v="0"/>
    <s v="NEGOCIOS"/>
  </r>
  <r>
    <x v="53"/>
    <x v="127"/>
    <x v="5"/>
    <x v="32"/>
    <x v="83"/>
    <x v="1496"/>
    <x v="0"/>
    <s v="NEGOCIOS"/>
  </r>
  <r>
    <x v="53"/>
    <x v="106"/>
    <x v="6"/>
    <x v="31"/>
    <x v="98"/>
    <x v="872"/>
    <x v="0"/>
    <s v="NEGOCIOS"/>
  </r>
  <r>
    <x v="53"/>
    <x v="8"/>
    <x v="6"/>
    <x v="31"/>
    <x v="209"/>
    <x v="1497"/>
    <x v="0"/>
    <s v="NEGOCIOS"/>
  </r>
  <r>
    <x v="53"/>
    <x v="89"/>
    <x v="6"/>
    <x v="31"/>
    <x v="231"/>
    <x v="1498"/>
    <x v="0"/>
    <s v="NEGOCIOS"/>
  </r>
  <r>
    <x v="53"/>
    <x v="66"/>
    <x v="6"/>
    <x v="33"/>
    <x v="261"/>
    <x v="1499"/>
    <x v="0"/>
    <s v="NEGOCIOS"/>
  </r>
  <r>
    <x v="53"/>
    <x v="150"/>
    <x v="6"/>
    <x v="32"/>
    <x v="224"/>
    <x v="1500"/>
    <x v="0"/>
    <s v="NEGOCIOS"/>
  </r>
  <r>
    <x v="53"/>
    <x v="148"/>
    <x v="6"/>
    <x v="34"/>
    <x v="262"/>
    <x v="811"/>
    <x v="40"/>
    <s v="NEGOCIOS"/>
  </r>
  <r>
    <x v="53"/>
    <x v="127"/>
    <x v="6"/>
    <x v="35"/>
    <x v="262"/>
    <x v="811"/>
    <x v="41"/>
    <s v="NEGOCIOS"/>
  </r>
  <r>
    <x v="53"/>
    <x v="127"/>
    <x v="6"/>
    <x v="32"/>
    <x v="83"/>
    <x v="1501"/>
    <x v="0"/>
    <s v="NEGOCIOS"/>
  </r>
  <r>
    <x v="53"/>
    <x v="98"/>
    <x v="6"/>
    <x v="32"/>
    <x v="197"/>
    <x v="1502"/>
    <x v="0"/>
    <s v="NEGOCIOS"/>
  </r>
  <r>
    <x v="53"/>
    <x v="30"/>
    <x v="6"/>
    <x v="31"/>
    <x v="216"/>
    <x v="826"/>
    <x v="0"/>
    <s v="NEGOCIOS"/>
  </r>
  <r>
    <x v="53"/>
    <x v="104"/>
    <x v="6"/>
    <x v="36"/>
    <x v="262"/>
    <x v="811"/>
    <x v="42"/>
    <s v="NEGOCIOS"/>
  </r>
  <r>
    <x v="53"/>
    <x v="164"/>
    <x v="6"/>
    <x v="31"/>
    <x v="202"/>
    <x v="1503"/>
    <x v="0"/>
    <s v="NEGOCIOS"/>
  </r>
  <r>
    <x v="53"/>
    <x v="20"/>
    <x v="6"/>
    <x v="32"/>
    <x v="87"/>
    <x v="1504"/>
    <x v="0"/>
    <s v="NEGOCIOS"/>
  </r>
  <r>
    <x v="53"/>
    <x v="35"/>
    <x v="7"/>
    <x v="31"/>
    <x v="35"/>
    <x v="1505"/>
    <x v="0"/>
    <s v="NEGOCIOS"/>
  </r>
  <r>
    <x v="53"/>
    <x v="46"/>
    <x v="7"/>
    <x v="31"/>
    <x v="95"/>
    <x v="1506"/>
    <x v="0"/>
    <s v="NEGOCIOS"/>
  </r>
  <r>
    <x v="53"/>
    <x v="164"/>
    <x v="7"/>
    <x v="31"/>
    <x v="202"/>
    <x v="1507"/>
    <x v="0"/>
    <s v="NEGOCIOS"/>
  </r>
  <r>
    <x v="53"/>
    <x v="78"/>
    <x v="9"/>
    <x v="31"/>
    <x v="147"/>
    <x v="1508"/>
    <x v="0"/>
    <s v="NEGOCIOS"/>
  </r>
  <r>
    <x v="53"/>
    <x v="49"/>
    <x v="11"/>
    <x v="32"/>
    <x v="78"/>
    <x v="1509"/>
    <x v="0"/>
    <s v="NEGOCIOS"/>
  </r>
  <r>
    <x v="53"/>
    <x v="119"/>
    <x v="24"/>
    <x v="31"/>
    <x v="69"/>
    <x v="1510"/>
    <x v="0"/>
    <s v="NEGOCIOS"/>
  </r>
  <r>
    <x v="53"/>
    <x v="16"/>
    <x v="24"/>
    <x v="31"/>
    <x v="101"/>
    <x v="1511"/>
    <x v="0"/>
    <s v="NEGOCIOS"/>
  </r>
  <r>
    <x v="53"/>
    <x v="161"/>
    <x v="13"/>
    <x v="31"/>
    <x v="191"/>
    <x v="1115"/>
    <x v="0"/>
    <s v="NEGOCIOS"/>
  </r>
  <r>
    <x v="53"/>
    <x v="80"/>
    <x v="13"/>
    <x v="31"/>
    <x v="46"/>
    <x v="776"/>
    <x v="0"/>
    <s v="NEGOCIOS"/>
  </r>
  <r>
    <x v="53"/>
    <x v="160"/>
    <x v="13"/>
    <x v="31"/>
    <x v="185"/>
    <x v="946"/>
    <x v="0"/>
    <s v="NEGOCIOS"/>
  </r>
  <r>
    <x v="53"/>
    <x v="72"/>
    <x v="13"/>
    <x v="31"/>
    <x v="205"/>
    <x v="1512"/>
    <x v="0"/>
    <s v="NEGOCIOS"/>
  </r>
  <r>
    <x v="53"/>
    <x v="159"/>
    <x v="13"/>
    <x v="31"/>
    <x v="175"/>
    <x v="776"/>
    <x v="0"/>
    <s v="NEGOCIOS"/>
  </r>
  <r>
    <x v="53"/>
    <x v="103"/>
    <x v="13"/>
    <x v="31"/>
    <x v="198"/>
    <x v="1513"/>
    <x v="0"/>
    <s v="NEGOCIOS"/>
  </r>
  <r>
    <x v="53"/>
    <x v="144"/>
    <x v="13"/>
    <x v="31"/>
    <x v="199"/>
    <x v="766"/>
    <x v="0"/>
    <s v="NEGOCIOS"/>
  </r>
  <r>
    <x v="53"/>
    <x v="94"/>
    <x v="13"/>
    <x v="31"/>
    <x v="180"/>
    <x v="776"/>
    <x v="0"/>
    <s v="NEGOCIOS"/>
  </r>
  <r>
    <x v="53"/>
    <x v="90"/>
    <x v="14"/>
    <x v="32"/>
    <x v="90"/>
    <x v="766"/>
    <x v="0"/>
    <s v="NEGOCIOS"/>
  </r>
  <r>
    <x v="53"/>
    <x v="102"/>
    <x v="14"/>
    <x v="32"/>
    <x v="137"/>
    <x v="826"/>
    <x v="0"/>
    <s v="NEGOCIOS"/>
  </r>
  <r>
    <x v="53"/>
    <x v="134"/>
    <x v="27"/>
    <x v="31"/>
    <x v="104"/>
    <x v="1514"/>
    <x v="0"/>
    <s v="NEGOCIOS"/>
  </r>
  <r>
    <x v="53"/>
    <x v="143"/>
    <x v="36"/>
    <x v="32"/>
    <x v="166"/>
    <x v="1515"/>
    <x v="0"/>
    <s v="NEGOCIOS"/>
  </r>
  <r>
    <x v="56"/>
    <x v="78"/>
    <x v="2"/>
    <x v="31"/>
    <x v="147"/>
    <x v="826"/>
    <x v="0"/>
    <s v="SANTIAGO INTERAMERICANA"/>
  </r>
  <r>
    <x v="61"/>
    <x v="106"/>
    <x v="2"/>
    <x v="31"/>
    <x v="98"/>
    <x v="1379"/>
    <x v="0"/>
    <s v="PASEO ARRAIJAN"/>
  </r>
  <r>
    <x v="0"/>
    <x v="76"/>
    <x v="2"/>
    <x v="37"/>
    <x v="42"/>
    <x v="1516"/>
    <x v="0"/>
    <s v="CASA MATRIZ"/>
  </r>
  <r>
    <x v="0"/>
    <x v="56"/>
    <x v="2"/>
    <x v="37"/>
    <x v="193"/>
    <x v="1517"/>
    <x v="0"/>
    <s v="CASA MATRIZ"/>
  </r>
  <r>
    <x v="0"/>
    <x v="168"/>
    <x v="2"/>
    <x v="37"/>
    <x v="221"/>
    <x v="1518"/>
    <x v="0"/>
    <s v="CASA MATRIZ"/>
  </r>
  <r>
    <x v="0"/>
    <x v="73"/>
    <x v="2"/>
    <x v="37"/>
    <x v="227"/>
    <x v="1518"/>
    <x v="0"/>
    <s v="CASA MATRIZ"/>
  </r>
  <r>
    <x v="0"/>
    <x v="29"/>
    <x v="2"/>
    <x v="37"/>
    <x v="132"/>
    <x v="371"/>
    <x v="0"/>
    <s v="CASA MATRIZ"/>
  </r>
  <r>
    <x v="0"/>
    <x v="16"/>
    <x v="2"/>
    <x v="37"/>
    <x v="101"/>
    <x v="1519"/>
    <x v="0"/>
    <s v="CASA MATRIZ"/>
  </r>
  <r>
    <x v="0"/>
    <x v="110"/>
    <x v="2"/>
    <x v="37"/>
    <x v="189"/>
    <x v="1430"/>
    <x v="0"/>
    <s v="CASA MATRIZ"/>
  </r>
  <r>
    <x v="1"/>
    <x v="14"/>
    <x v="2"/>
    <x v="38"/>
    <x v="61"/>
    <x v="1520"/>
    <x v="0"/>
    <s v="PAITILLA"/>
  </r>
  <r>
    <x v="1"/>
    <x v="41"/>
    <x v="2"/>
    <x v="38"/>
    <x v="88"/>
    <x v="1521"/>
    <x v="0"/>
    <s v="PAITILLA"/>
  </r>
  <r>
    <x v="2"/>
    <x v="43"/>
    <x v="2"/>
    <x v="38"/>
    <x v="73"/>
    <x v="1522"/>
    <x v="0"/>
    <s v="EL DORADO"/>
  </r>
  <r>
    <x v="2"/>
    <x v="43"/>
    <x v="2"/>
    <x v="37"/>
    <x v="73"/>
    <x v="1523"/>
    <x v="0"/>
    <s v="EL DORADO"/>
  </r>
  <r>
    <x v="3"/>
    <x v="56"/>
    <x v="2"/>
    <x v="37"/>
    <x v="193"/>
    <x v="1524"/>
    <x v="0"/>
    <s v="VIA ARGENTINA"/>
  </r>
  <r>
    <x v="3"/>
    <x v="69"/>
    <x v="2"/>
    <x v="37"/>
    <x v="236"/>
    <x v="1525"/>
    <x v="0"/>
    <s v="VIA ARGENTINA"/>
  </r>
  <r>
    <x v="4"/>
    <x v="148"/>
    <x v="2"/>
    <x v="37"/>
    <x v="131"/>
    <x v="1292"/>
    <x v="0"/>
    <s v="VIA PORRAS"/>
  </r>
  <r>
    <x v="4"/>
    <x v="120"/>
    <x v="2"/>
    <x v="37"/>
    <x v="70"/>
    <x v="1526"/>
    <x v="0"/>
    <s v="VIA PORRAS"/>
  </r>
  <r>
    <x v="4"/>
    <x v="43"/>
    <x v="2"/>
    <x v="37"/>
    <x v="73"/>
    <x v="1527"/>
    <x v="0"/>
    <s v="VIA PORRAS"/>
  </r>
  <r>
    <x v="4"/>
    <x v="69"/>
    <x v="2"/>
    <x v="37"/>
    <x v="236"/>
    <x v="1312"/>
    <x v="0"/>
    <s v="VIA PORRAS"/>
  </r>
  <r>
    <x v="4"/>
    <x v="17"/>
    <x v="2"/>
    <x v="37"/>
    <x v="201"/>
    <x v="1528"/>
    <x v="0"/>
    <s v="VIA PORRAS"/>
  </r>
  <r>
    <x v="5"/>
    <x v="160"/>
    <x v="2"/>
    <x v="37"/>
    <x v="185"/>
    <x v="1529"/>
    <x v="0"/>
    <s v="EL INGENIO"/>
  </r>
  <r>
    <x v="5"/>
    <x v="46"/>
    <x v="2"/>
    <x v="37"/>
    <x v="95"/>
    <x v="1530"/>
    <x v="0"/>
    <s v="EL INGENIO"/>
  </r>
  <r>
    <x v="6"/>
    <x v="161"/>
    <x v="2"/>
    <x v="37"/>
    <x v="191"/>
    <x v="1531"/>
    <x v="0"/>
    <s v="CHANIS"/>
  </r>
  <r>
    <x v="6"/>
    <x v="71"/>
    <x v="2"/>
    <x v="38"/>
    <x v="229"/>
    <x v="1532"/>
    <x v="0"/>
    <s v="CHANIS"/>
  </r>
  <r>
    <x v="6"/>
    <x v="111"/>
    <x v="2"/>
    <x v="37"/>
    <x v="146"/>
    <x v="1533"/>
    <x v="0"/>
    <s v="CHANIS"/>
  </r>
  <r>
    <x v="6"/>
    <x v="6"/>
    <x v="2"/>
    <x v="37"/>
    <x v="125"/>
    <x v="1534"/>
    <x v="0"/>
    <s v="CHANIS"/>
  </r>
  <r>
    <x v="6"/>
    <x v="145"/>
    <x v="2"/>
    <x v="37"/>
    <x v="127"/>
    <x v="1535"/>
    <x v="0"/>
    <s v="CHANIS"/>
  </r>
  <r>
    <x v="7"/>
    <x v="148"/>
    <x v="2"/>
    <x v="37"/>
    <x v="131"/>
    <x v="1536"/>
    <x v="0"/>
    <s v="PLAZA TOCUMEN"/>
  </r>
  <r>
    <x v="7"/>
    <x v="71"/>
    <x v="2"/>
    <x v="37"/>
    <x v="229"/>
    <x v="1537"/>
    <x v="0"/>
    <s v="PLAZA TOCUMEN"/>
  </r>
  <r>
    <x v="7"/>
    <x v="158"/>
    <x v="2"/>
    <x v="38"/>
    <x v="174"/>
    <x v="1538"/>
    <x v="0"/>
    <s v="PLAZA TOCUMEN"/>
  </r>
  <r>
    <x v="7"/>
    <x v="69"/>
    <x v="2"/>
    <x v="37"/>
    <x v="236"/>
    <x v="1068"/>
    <x v="0"/>
    <s v="PLAZA TOCUMEN"/>
  </r>
  <r>
    <x v="7"/>
    <x v="110"/>
    <x v="2"/>
    <x v="37"/>
    <x v="189"/>
    <x v="1539"/>
    <x v="0"/>
    <s v="PLAZA TOCUMEN"/>
  </r>
  <r>
    <x v="8"/>
    <x v="39"/>
    <x v="2"/>
    <x v="37"/>
    <x v="212"/>
    <x v="1540"/>
    <x v="0"/>
    <s v="SANTIAGO"/>
  </r>
  <r>
    <x v="8"/>
    <x v="135"/>
    <x v="2"/>
    <x v="37"/>
    <x v="111"/>
    <x v="1541"/>
    <x v="0"/>
    <s v="SANTIAGO"/>
  </r>
  <r>
    <x v="8"/>
    <x v="139"/>
    <x v="2"/>
    <x v="37"/>
    <x v="110"/>
    <x v="1542"/>
    <x v="0"/>
    <s v="SANTIAGO"/>
  </r>
  <r>
    <x v="8"/>
    <x v="145"/>
    <x v="2"/>
    <x v="37"/>
    <x v="127"/>
    <x v="1543"/>
    <x v="0"/>
    <s v="SANTIAGO"/>
  </r>
  <r>
    <x v="8"/>
    <x v="58"/>
    <x v="2"/>
    <x v="37"/>
    <x v="29"/>
    <x v="970"/>
    <x v="0"/>
    <s v="SANTIAGO"/>
  </r>
  <r>
    <x v="9"/>
    <x v="83"/>
    <x v="2"/>
    <x v="38"/>
    <x v="99"/>
    <x v="1274"/>
    <x v="0"/>
    <s v="OBARRIO"/>
  </r>
  <r>
    <x v="9"/>
    <x v="152"/>
    <x v="2"/>
    <x v="37"/>
    <x v="161"/>
    <x v="1544"/>
    <x v="0"/>
    <s v="OBARRIO"/>
  </r>
  <r>
    <x v="9"/>
    <x v="36"/>
    <x v="2"/>
    <x v="37"/>
    <x v="168"/>
    <x v="1545"/>
    <x v="0"/>
    <s v="OBARRIO"/>
  </r>
  <r>
    <x v="9"/>
    <x v="73"/>
    <x v="2"/>
    <x v="37"/>
    <x v="227"/>
    <x v="1546"/>
    <x v="0"/>
    <s v="OBARRIO"/>
  </r>
  <r>
    <x v="9"/>
    <x v="31"/>
    <x v="2"/>
    <x v="37"/>
    <x v="72"/>
    <x v="1547"/>
    <x v="0"/>
    <s v="OBARRIO"/>
  </r>
  <r>
    <x v="9"/>
    <x v="12"/>
    <x v="2"/>
    <x v="37"/>
    <x v="103"/>
    <x v="1548"/>
    <x v="0"/>
    <s v="OBARRIO"/>
  </r>
  <r>
    <x v="64"/>
    <x v="89"/>
    <x v="2"/>
    <x v="37"/>
    <x v="231"/>
    <x v="1549"/>
    <x v="0"/>
    <s v="COLON"/>
  </r>
  <r>
    <x v="64"/>
    <x v="69"/>
    <x v="2"/>
    <x v="37"/>
    <x v="236"/>
    <x v="1550"/>
    <x v="0"/>
    <s v="COLON"/>
  </r>
  <r>
    <x v="64"/>
    <x v="58"/>
    <x v="2"/>
    <x v="37"/>
    <x v="29"/>
    <x v="1551"/>
    <x v="0"/>
    <s v="COLON"/>
  </r>
  <r>
    <x v="10"/>
    <x v="80"/>
    <x v="2"/>
    <x v="37"/>
    <x v="46"/>
    <x v="1552"/>
    <x v="0"/>
    <s v="HATO PINTADO"/>
  </r>
  <r>
    <x v="10"/>
    <x v="148"/>
    <x v="2"/>
    <x v="37"/>
    <x v="131"/>
    <x v="1553"/>
    <x v="0"/>
    <s v="HATO PINTADO"/>
  </r>
  <r>
    <x v="10"/>
    <x v="135"/>
    <x v="2"/>
    <x v="37"/>
    <x v="111"/>
    <x v="1554"/>
    <x v="0"/>
    <s v="HATO PINTADO"/>
  </r>
  <r>
    <x v="10"/>
    <x v="23"/>
    <x v="2"/>
    <x v="37"/>
    <x v="184"/>
    <x v="1555"/>
    <x v="0"/>
    <s v="HATO PINTADO"/>
  </r>
  <r>
    <x v="10"/>
    <x v="92"/>
    <x v="2"/>
    <x v="37"/>
    <x v="230"/>
    <x v="748"/>
    <x v="0"/>
    <s v="HATO PINTADO"/>
  </r>
  <r>
    <x v="10"/>
    <x v="29"/>
    <x v="2"/>
    <x v="37"/>
    <x v="132"/>
    <x v="1556"/>
    <x v="0"/>
    <s v="HATO PINTADO"/>
  </r>
  <r>
    <x v="10"/>
    <x v="6"/>
    <x v="2"/>
    <x v="37"/>
    <x v="125"/>
    <x v="1557"/>
    <x v="0"/>
    <s v="HATO PINTADO"/>
  </r>
  <r>
    <x v="10"/>
    <x v="43"/>
    <x v="2"/>
    <x v="37"/>
    <x v="73"/>
    <x v="1558"/>
    <x v="0"/>
    <s v="HATO PINTADO"/>
  </r>
  <r>
    <x v="10"/>
    <x v="144"/>
    <x v="2"/>
    <x v="37"/>
    <x v="199"/>
    <x v="1559"/>
    <x v="0"/>
    <s v="HATO PINTADO"/>
  </r>
  <r>
    <x v="10"/>
    <x v="12"/>
    <x v="2"/>
    <x v="37"/>
    <x v="103"/>
    <x v="1560"/>
    <x v="0"/>
    <s v="HATO PINTADO"/>
  </r>
  <r>
    <x v="10"/>
    <x v="46"/>
    <x v="2"/>
    <x v="37"/>
    <x v="95"/>
    <x v="1561"/>
    <x v="0"/>
    <s v="HATO PINTADO"/>
  </r>
  <r>
    <x v="65"/>
    <x v="92"/>
    <x v="2"/>
    <x v="37"/>
    <x v="230"/>
    <x v="1562"/>
    <x v="0"/>
    <s v="RIO ABAJO"/>
  </r>
  <r>
    <x v="65"/>
    <x v="6"/>
    <x v="2"/>
    <x v="37"/>
    <x v="125"/>
    <x v="1563"/>
    <x v="0"/>
    <s v="RIO ABAJO"/>
  </r>
  <r>
    <x v="11"/>
    <x v="67"/>
    <x v="2"/>
    <x v="37"/>
    <x v="173"/>
    <x v="1564"/>
    <x v="0"/>
    <s v="LA CHORRERA"/>
  </r>
  <r>
    <x v="12"/>
    <x v="72"/>
    <x v="2"/>
    <x v="37"/>
    <x v="205"/>
    <x v="1200"/>
    <x v="0"/>
    <s v="AVENIDA CENTRAL"/>
  </r>
  <r>
    <x v="12"/>
    <x v="78"/>
    <x v="2"/>
    <x v="37"/>
    <x v="147"/>
    <x v="1565"/>
    <x v="0"/>
    <s v="AVENIDA CENTRAL"/>
  </r>
  <r>
    <x v="12"/>
    <x v="69"/>
    <x v="2"/>
    <x v="37"/>
    <x v="236"/>
    <x v="1566"/>
    <x v="0"/>
    <s v="AVENIDA CENTRAL"/>
  </r>
  <r>
    <x v="13"/>
    <x v="8"/>
    <x v="2"/>
    <x v="37"/>
    <x v="209"/>
    <x v="1567"/>
    <x v="0"/>
    <s v="LOS ANGELES"/>
  </r>
  <r>
    <x v="13"/>
    <x v="23"/>
    <x v="2"/>
    <x v="37"/>
    <x v="184"/>
    <x v="1568"/>
    <x v="0"/>
    <s v="LOS ANGELES"/>
  </r>
  <r>
    <x v="13"/>
    <x v="92"/>
    <x v="2"/>
    <x v="37"/>
    <x v="230"/>
    <x v="1569"/>
    <x v="0"/>
    <s v="LOS ANGELES"/>
  </r>
  <r>
    <x v="13"/>
    <x v="78"/>
    <x v="2"/>
    <x v="37"/>
    <x v="147"/>
    <x v="1570"/>
    <x v="0"/>
    <s v="LOS ANGELES"/>
  </r>
  <r>
    <x v="13"/>
    <x v="31"/>
    <x v="2"/>
    <x v="37"/>
    <x v="72"/>
    <x v="1571"/>
    <x v="0"/>
    <s v="LOS ANGELES"/>
  </r>
  <r>
    <x v="13"/>
    <x v="69"/>
    <x v="2"/>
    <x v="37"/>
    <x v="236"/>
    <x v="1572"/>
    <x v="0"/>
    <s v="LOS ANGELES"/>
  </r>
  <r>
    <x v="13"/>
    <x v="95"/>
    <x v="2"/>
    <x v="37"/>
    <x v="164"/>
    <x v="1573"/>
    <x v="0"/>
    <s v="LOS ANGELES"/>
  </r>
  <r>
    <x v="14"/>
    <x v="36"/>
    <x v="2"/>
    <x v="37"/>
    <x v="168"/>
    <x v="1574"/>
    <x v="0"/>
    <s v="VILLA LUCRE"/>
  </r>
  <r>
    <x v="14"/>
    <x v="92"/>
    <x v="2"/>
    <x v="37"/>
    <x v="230"/>
    <x v="1575"/>
    <x v="0"/>
    <s v="VILLA LUCRE"/>
  </r>
  <r>
    <x v="14"/>
    <x v="111"/>
    <x v="2"/>
    <x v="37"/>
    <x v="146"/>
    <x v="1576"/>
    <x v="0"/>
    <s v="VILLA LUCRE"/>
  </r>
  <r>
    <x v="14"/>
    <x v="159"/>
    <x v="2"/>
    <x v="37"/>
    <x v="175"/>
    <x v="1577"/>
    <x v="0"/>
    <s v="VILLA LUCRE"/>
  </r>
  <r>
    <x v="14"/>
    <x v="144"/>
    <x v="2"/>
    <x v="37"/>
    <x v="199"/>
    <x v="1578"/>
    <x v="0"/>
    <s v="VILLA LUCRE"/>
  </r>
  <r>
    <x v="14"/>
    <x v="69"/>
    <x v="2"/>
    <x v="37"/>
    <x v="236"/>
    <x v="1579"/>
    <x v="0"/>
    <s v="VILLA LUCRE"/>
  </r>
  <r>
    <x v="14"/>
    <x v="134"/>
    <x v="2"/>
    <x v="37"/>
    <x v="104"/>
    <x v="1580"/>
    <x v="0"/>
    <s v="VILLA LUCRE"/>
  </r>
  <r>
    <x v="14"/>
    <x v="164"/>
    <x v="2"/>
    <x v="37"/>
    <x v="202"/>
    <x v="1013"/>
    <x v="0"/>
    <s v="VILLA LUCRE"/>
  </r>
  <r>
    <x v="14"/>
    <x v="58"/>
    <x v="2"/>
    <x v="37"/>
    <x v="29"/>
    <x v="1581"/>
    <x v="0"/>
    <s v="VILLA LUCRE"/>
  </r>
  <r>
    <x v="15"/>
    <x v="76"/>
    <x v="2"/>
    <x v="37"/>
    <x v="42"/>
    <x v="1582"/>
    <x v="0"/>
    <s v="LOS ANDES"/>
  </r>
  <r>
    <x v="15"/>
    <x v="160"/>
    <x v="2"/>
    <x v="37"/>
    <x v="185"/>
    <x v="1583"/>
    <x v="0"/>
    <s v="LOS ANDES"/>
  </r>
  <r>
    <x v="15"/>
    <x v="73"/>
    <x v="2"/>
    <x v="37"/>
    <x v="227"/>
    <x v="1584"/>
    <x v="0"/>
    <s v="LOS ANDES"/>
  </r>
  <r>
    <x v="15"/>
    <x v="129"/>
    <x v="2"/>
    <x v="38"/>
    <x v="85"/>
    <x v="872"/>
    <x v="0"/>
    <s v="LOS ANDES"/>
  </r>
  <r>
    <x v="15"/>
    <x v="144"/>
    <x v="2"/>
    <x v="37"/>
    <x v="199"/>
    <x v="1585"/>
    <x v="0"/>
    <s v="LOS ANDES"/>
  </r>
  <r>
    <x v="15"/>
    <x v="11"/>
    <x v="2"/>
    <x v="37"/>
    <x v="186"/>
    <x v="1586"/>
    <x v="0"/>
    <s v="LOS ANDES"/>
  </r>
  <r>
    <x v="15"/>
    <x v="93"/>
    <x v="2"/>
    <x v="38"/>
    <x v="80"/>
    <x v="872"/>
    <x v="0"/>
    <s v="LOS ANDES"/>
  </r>
  <r>
    <x v="15"/>
    <x v="110"/>
    <x v="2"/>
    <x v="37"/>
    <x v="189"/>
    <x v="1587"/>
    <x v="0"/>
    <s v="LOS ANDES"/>
  </r>
  <r>
    <x v="15"/>
    <x v="46"/>
    <x v="2"/>
    <x v="38"/>
    <x v="95"/>
    <x v="872"/>
    <x v="0"/>
    <s v="LOS ANDES"/>
  </r>
  <r>
    <x v="16"/>
    <x v="34"/>
    <x v="2"/>
    <x v="37"/>
    <x v="66"/>
    <x v="1532"/>
    <x v="0"/>
    <s v="VIA ESPANA"/>
  </r>
  <r>
    <x v="16"/>
    <x v="0"/>
    <x v="2"/>
    <x v="37"/>
    <x v="223"/>
    <x v="1532"/>
    <x v="0"/>
    <s v="VIA ESPANA"/>
  </r>
  <r>
    <x v="16"/>
    <x v="23"/>
    <x v="2"/>
    <x v="37"/>
    <x v="184"/>
    <x v="1588"/>
    <x v="0"/>
    <s v="VIA ESPANA"/>
  </r>
  <r>
    <x v="16"/>
    <x v="145"/>
    <x v="2"/>
    <x v="37"/>
    <x v="127"/>
    <x v="1589"/>
    <x v="0"/>
    <s v="VIA ESPANA"/>
  </r>
  <r>
    <x v="17"/>
    <x v="139"/>
    <x v="2"/>
    <x v="37"/>
    <x v="110"/>
    <x v="1590"/>
    <x v="0"/>
    <s v="AVENIDA CUBA"/>
  </r>
  <r>
    <x v="17"/>
    <x v="146"/>
    <x v="2"/>
    <x v="38"/>
    <x v="195"/>
    <x v="1591"/>
    <x v="0"/>
    <s v="AVENIDA CUBA"/>
  </r>
  <r>
    <x v="18"/>
    <x v="36"/>
    <x v="2"/>
    <x v="37"/>
    <x v="168"/>
    <x v="1592"/>
    <x v="0"/>
    <s v="CHITRE"/>
  </r>
  <r>
    <x v="18"/>
    <x v="119"/>
    <x v="2"/>
    <x v="37"/>
    <x v="69"/>
    <x v="1593"/>
    <x v="0"/>
    <s v="CHITRE"/>
  </r>
  <r>
    <x v="18"/>
    <x v="11"/>
    <x v="2"/>
    <x v="37"/>
    <x v="186"/>
    <x v="1594"/>
    <x v="0"/>
    <s v="CHITRE"/>
  </r>
  <r>
    <x v="19"/>
    <x v="35"/>
    <x v="2"/>
    <x v="37"/>
    <x v="35"/>
    <x v="1595"/>
    <x v="0"/>
    <s v="LOS PUEBLOS"/>
  </r>
  <r>
    <x v="19"/>
    <x v="56"/>
    <x v="2"/>
    <x v="37"/>
    <x v="193"/>
    <x v="1596"/>
    <x v="0"/>
    <s v="LOS PUEBLOS"/>
  </r>
  <r>
    <x v="19"/>
    <x v="92"/>
    <x v="2"/>
    <x v="37"/>
    <x v="230"/>
    <x v="1597"/>
    <x v="0"/>
    <s v="LOS PUEBLOS"/>
  </r>
  <r>
    <x v="19"/>
    <x v="29"/>
    <x v="2"/>
    <x v="37"/>
    <x v="132"/>
    <x v="1598"/>
    <x v="0"/>
    <s v="LOS PUEBLOS"/>
  </r>
  <r>
    <x v="19"/>
    <x v="144"/>
    <x v="2"/>
    <x v="37"/>
    <x v="199"/>
    <x v="1599"/>
    <x v="0"/>
    <s v="LOS PUEBLOS"/>
  </r>
  <r>
    <x v="19"/>
    <x v="110"/>
    <x v="2"/>
    <x v="37"/>
    <x v="189"/>
    <x v="1600"/>
    <x v="0"/>
    <s v="LOS PUEBLOS"/>
  </r>
  <r>
    <x v="20"/>
    <x v="155"/>
    <x v="2"/>
    <x v="37"/>
    <x v="217"/>
    <x v="1601"/>
    <x v="0"/>
    <s v="TRANSISTMICA"/>
  </r>
  <r>
    <x v="20"/>
    <x v="4"/>
    <x v="2"/>
    <x v="37"/>
    <x v="183"/>
    <x v="1602"/>
    <x v="0"/>
    <s v="TRANSISTMICA"/>
  </r>
  <r>
    <x v="20"/>
    <x v="84"/>
    <x v="2"/>
    <x v="37"/>
    <x v="49"/>
    <x v="948"/>
    <x v="0"/>
    <s v="TRANSISTMICA"/>
  </r>
  <r>
    <x v="20"/>
    <x v="92"/>
    <x v="2"/>
    <x v="37"/>
    <x v="230"/>
    <x v="970"/>
    <x v="0"/>
    <s v="TRANSISTMICA"/>
  </r>
  <r>
    <x v="20"/>
    <x v="29"/>
    <x v="2"/>
    <x v="37"/>
    <x v="132"/>
    <x v="1603"/>
    <x v="0"/>
    <s v="TRANSISTMICA"/>
  </r>
  <r>
    <x v="20"/>
    <x v="43"/>
    <x v="2"/>
    <x v="37"/>
    <x v="73"/>
    <x v="1604"/>
    <x v="0"/>
    <s v="TRANSISTMICA"/>
  </r>
  <r>
    <x v="20"/>
    <x v="164"/>
    <x v="2"/>
    <x v="37"/>
    <x v="202"/>
    <x v="948"/>
    <x v="0"/>
    <s v="TRANSISTMICA"/>
  </r>
  <r>
    <x v="66"/>
    <x v="90"/>
    <x v="2"/>
    <x v="37"/>
    <x v="90"/>
    <x v="1605"/>
    <x v="0"/>
    <s v="ZONA LIBRE"/>
  </r>
  <r>
    <x v="66"/>
    <x v="18"/>
    <x v="2"/>
    <x v="37"/>
    <x v="124"/>
    <x v="1606"/>
    <x v="0"/>
    <s v="ZONA LIBRE"/>
  </r>
  <r>
    <x v="66"/>
    <x v="64"/>
    <x v="2"/>
    <x v="37"/>
    <x v="187"/>
    <x v="1607"/>
    <x v="0"/>
    <s v="ZONA LIBRE"/>
  </r>
  <r>
    <x v="21"/>
    <x v="107"/>
    <x v="2"/>
    <x v="38"/>
    <x v="256"/>
    <x v="1608"/>
    <x v="0"/>
    <s v="PLAZA GALAPAGO"/>
  </r>
  <r>
    <x v="21"/>
    <x v="0"/>
    <x v="2"/>
    <x v="37"/>
    <x v="223"/>
    <x v="811"/>
    <x v="43"/>
    <s v="PLAZA GALAPAGO"/>
  </r>
  <r>
    <x v="21"/>
    <x v="97"/>
    <x v="2"/>
    <x v="37"/>
    <x v="114"/>
    <x v="1609"/>
    <x v="0"/>
    <s v="PLAZA GALAPAGO"/>
  </r>
  <r>
    <x v="21"/>
    <x v="18"/>
    <x v="2"/>
    <x v="37"/>
    <x v="124"/>
    <x v="1308"/>
    <x v="0"/>
    <s v="PLAZA GALAPAGO"/>
  </r>
  <r>
    <x v="21"/>
    <x v="29"/>
    <x v="2"/>
    <x v="37"/>
    <x v="132"/>
    <x v="1610"/>
    <x v="0"/>
    <s v="PLAZA GALAPAGO"/>
  </r>
  <r>
    <x v="22"/>
    <x v="72"/>
    <x v="2"/>
    <x v="37"/>
    <x v="205"/>
    <x v="1611"/>
    <x v="0"/>
    <s v="PARQUE LEFEVRE"/>
  </r>
  <r>
    <x v="22"/>
    <x v="111"/>
    <x v="2"/>
    <x v="37"/>
    <x v="146"/>
    <x v="487"/>
    <x v="0"/>
    <s v="PARQUE LEFEVRE"/>
  </r>
  <r>
    <x v="22"/>
    <x v="31"/>
    <x v="2"/>
    <x v="37"/>
    <x v="72"/>
    <x v="1612"/>
    <x v="0"/>
    <s v="PARQUE LEFEVRE"/>
  </r>
  <r>
    <x v="22"/>
    <x v="46"/>
    <x v="2"/>
    <x v="37"/>
    <x v="95"/>
    <x v="1613"/>
    <x v="0"/>
    <s v="PARQUE LEFEVRE"/>
  </r>
  <r>
    <x v="24"/>
    <x v="35"/>
    <x v="2"/>
    <x v="37"/>
    <x v="35"/>
    <x v="1614"/>
    <x v="0"/>
    <s v="PLAZA LAS AMERICAS"/>
  </r>
  <r>
    <x v="24"/>
    <x v="139"/>
    <x v="2"/>
    <x v="37"/>
    <x v="110"/>
    <x v="1615"/>
    <x v="0"/>
    <s v="PLAZA LAS AMERICAS"/>
  </r>
  <r>
    <x v="24"/>
    <x v="144"/>
    <x v="2"/>
    <x v="37"/>
    <x v="199"/>
    <x v="1616"/>
    <x v="0"/>
    <s v="PLAZA LAS AMERICAS"/>
  </r>
  <r>
    <x v="25"/>
    <x v="89"/>
    <x v="2"/>
    <x v="37"/>
    <x v="231"/>
    <x v="1617"/>
    <x v="0"/>
    <s v="CORONADO"/>
  </r>
  <r>
    <x v="25"/>
    <x v="4"/>
    <x v="2"/>
    <x v="37"/>
    <x v="183"/>
    <x v="1618"/>
    <x v="0"/>
    <s v="CORONADO"/>
  </r>
  <r>
    <x v="25"/>
    <x v="18"/>
    <x v="2"/>
    <x v="37"/>
    <x v="124"/>
    <x v="1619"/>
    <x v="0"/>
    <s v="CORONADO"/>
  </r>
  <r>
    <x v="25"/>
    <x v="11"/>
    <x v="2"/>
    <x v="37"/>
    <x v="186"/>
    <x v="1620"/>
    <x v="0"/>
    <s v="CORONADO"/>
  </r>
  <r>
    <x v="25"/>
    <x v="46"/>
    <x v="2"/>
    <x v="37"/>
    <x v="95"/>
    <x v="1621"/>
    <x v="0"/>
    <s v="CORONADO"/>
  </r>
  <r>
    <x v="25"/>
    <x v="164"/>
    <x v="2"/>
    <x v="37"/>
    <x v="202"/>
    <x v="1622"/>
    <x v="0"/>
    <s v="CORONADO"/>
  </r>
  <r>
    <x v="26"/>
    <x v="71"/>
    <x v="2"/>
    <x v="37"/>
    <x v="229"/>
    <x v="1623"/>
    <x v="0"/>
    <s v="ALBROOK MALL"/>
  </r>
  <r>
    <x v="26"/>
    <x v="59"/>
    <x v="2"/>
    <x v="37"/>
    <x v="31"/>
    <x v="1624"/>
    <x v="0"/>
    <s v="ALBROOK MALL"/>
  </r>
  <r>
    <x v="26"/>
    <x v="159"/>
    <x v="2"/>
    <x v="37"/>
    <x v="175"/>
    <x v="1625"/>
    <x v="0"/>
    <s v="ALBROOK MALL"/>
  </r>
  <r>
    <x v="27"/>
    <x v="76"/>
    <x v="2"/>
    <x v="37"/>
    <x v="42"/>
    <x v="1626"/>
    <x v="0"/>
    <s v="PANAMA PACIFICO"/>
  </r>
  <r>
    <x v="27"/>
    <x v="36"/>
    <x v="2"/>
    <x v="37"/>
    <x v="168"/>
    <x v="1627"/>
    <x v="0"/>
    <s v="PANAMA PACIFICO"/>
  </r>
  <r>
    <x v="27"/>
    <x v="148"/>
    <x v="2"/>
    <x v="37"/>
    <x v="131"/>
    <x v="1628"/>
    <x v="0"/>
    <s v="PANAMA PACIFICO"/>
  </r>
  <r>
    <x v="27"/>
    <x v="11"/>
    <x v="2"/>
    <x v="37"/>
    <x v="186"/>
    <x v="1629"/>
    <x v="0"/>
    <s v="PANAMA PACIFICO"/>
  </r>
  <r>
    <x v="27"/>
    <x v="145"/>
    <x v="2"/>
    <x v="37"/>
    <x v="127"/>
    <x v="1630"/>
    <x v="0"/>
    <s v="PANAMA PACIFICO"/>
  </r>
  <r>
    <x v="67"/>
    <x v="67"/>
    <x v="2"/>
    <x v="37"/>
    <x v="173"/>
    <x v="1631"/>
    <x v="0"/>
    <s v="PENONOME"/>
  </r>
  <r>
    <x v="67"/>
    <x v="72"/>
    <x v="2"/>
    <x v="37"/>
    <x v="205"/>
    <x v="1632"/>
    <x v="0"/>
    <s v="PENONOME"/>
  </r>
  <r>
    <x v="28"/>
    <x v="92"/>
    <x v="2"/>
    <x v="37"/>
    <x v="230"/>
    <x v="1633"/>
    <x v="0"/>
    <s v="ALBROOK"/>
  </r>
  <r>
    <x v="28"/>
    <x v="78"/>
    <x v="2"/>
    <x v="37"/>
    <x v="147"/>
    <x v="890"/>
    <x v="0"/>
    <s v="ALBROOK"/>
  </r>
  <r>
    <x v="28"/>
    <x v="17"/>
    <x v="2"/>
    <x v="38"/>
    <x v="201"/>
    <x v="1634"/>
    <x v="0"/>
    <s v="ALBROOK"/>
  </r>
  <r>
    <x v="29"/>
    <x v="83"/>
    <x v="2"/>
    <x v="38"/>
    <x v="99"/>
    <x v="1635"/>
    <x v="0"/>
    <s v="SUCURSAL DE VISTA ALEGRE"/>
  </r>
  <r>
    <x v="29"/>
    <x v="23"/>
    <x v="2"/>
    <x v="37"/>
    <x v="184"/>
    <x v="1636"/>
    <x v="0"/>
    <s v="SUCURSAL DE VISTA ALEGRE"/>
  </r>
  <r>
    <x v="29"/>
    <x v="29"/>
    <x v="2"/>
    <x v="37"/>
    <x v="132"/>
    <x v="1637"/>
    <x v="0"/>
    <s v="SUCURSAL DE VISTA ALEGRE"/>
  </r>
  <r>
    <x v="29"/>
    <x v="31"/>
    <x v="2"/>
    <x v="37"/>
    <x v="72"/>
    <x v="1140"/>
    <x v="0"/>
    <s v="SUCURSAL DE VISTA ALEGRE"/>
  </r>
  <r>
    <x v="29"/>
    <x v="110"/>
    <x v="2"/>
    <x v="37"/>
    <x v="189"/>
    <x v="1638"/>
    <x v="0"/>
    <s v="SUCURSAL DE VISTA ALEGRE"/>
  </r>
  <r>
    <x v="30"/>
    <x v="76"/>
    <x v="2"/>
    <x v="37"/>
    <x v="42"/>
    <x v="1639"/>
    <x v="0"/>
    <s v="LAS TABLAS"/>
  </r>
  <r>
    <x v="30"/>
    <x v="71"/>
    <x v="2"/>
    <x v="37"/>
    <x v="229"/>
    <x v="1057"/>
    <x v="0"/>
    <s v="LAS TABLAS"/>
  </r>
  <r>
    <x v="30"/>
    <x v="5"/>
    <x v="2"/>
    <x v="37"/>
    <x v="206"/>
    <x v="1380"/>
    <x v="0"/>
    <s v="LAS TABLAS"/>
  </r>
  <r>
    <x v="31"/>
    <x v="76"/>
    <x v="2"/>
    <x v="37"/>
    <x v="42"/>
    <x v="1532"/>
    <x v="0"/>
    <s v="24 DE DICIEMBRE"/>
  </r>
  <r>
    <x v="31"/>
    <x v="4"/>
    <x v="2"/>
    <x v="37"/>
    <x v="183"/>
    <x v="1640"/>
    <x v="0"/>
    <s v="24 DE DICIEMBRE"/>
  </r>
  <r>
    <x v="31"/>
    <x v="158"/>
    <x v="2"/>
    <x v="37"/>
    <x v="174"/>
    <x v="1641"/>
    <x v="0"/>
    <s v="24 DE DICIEMBRE"/>
  </r>
  <r>
    <x v="31"/>
    <x v="78"/>
    <x v="2"/>
    <x v="37"/>
    <x v="147"/>
    <x v="1642"/>
    <x v="0"/>
    <s v="24 DE DICIEMBRE"/>
  </r>
  <r>
    <x v="31"/>
    <x v="69"/>
    <x v="2"/>
    <x v="37"/>
    <x v="236"/>
    <x v="1643"/>
    <x v="0"/>
    <s v="24 DE DICIEMBRE"/>
  </r>
  <r>
    <x v="32"/>
    <x v="8"/>
    <x v="2"/>
    <x v="37"/>
    <x v="209"/>
    <x v="1644"/>
    <x v="0"/>
    <s v="DAVID - TERRONAL"/>
  </r>
  <r>
    <x v="32"/>
    <x v="92"/>
    <x v="2"/>
    <x v="37"/>
    <x v="230"/>
    <x v="1645"/>
    <x v="0"/>
    <s v="DAVID - TERRONAL"/>
  </r>
  <r>
    <x v="32"/>
    <x v="30"/>
    <x v="2"/>
    <x v="37"/>
    <x v="216"/>
    <x v="919"/>
    <x v="0"/>
    <s v="DAVID - TERRONAL"/>
  </r>
  <r>
    <x v="32"/>
    <x v="42"/>
    <x v="2"/>
    <x v="37"/>
    <x v="151"/>
    <x v="811"/>
    <x v="44"/>
    <s v="DAVID - TERRONAL"/>
  </r>
  <r>
    <x v="32"/>
    <x v="145"/>
    <x v="2"/>
    <x v="37"/>
    <x v="127"/>
    <x v="1646"/>
    <x v="0"/>
    <s v="DAVID - TERRONAL"/>
  </r>
  <r>
    <x v="32"/>
    <x v="58"/>
    <x v="2"/>
    <x v="37"/>
    <x v="29"/>
    <x v="1647"/>
    <x v="0"/>
    <s v="DAVID - TERRONAL"/>
  </r>
  <r>
    <x v="33"/>
    <x v="18"/>
    <x v="2"/>
    <x v="37"/>
    <x v="124"/>
    <x v="1648"/>
    <x v="0"/>
    <s v="COSTA DEL ESTE"/>
  </r>
  <r>
    <x v="33"/>
    <x v="144"/>
    <x v="2"/>
    <x v="37"/>
    <x v="199"/>
    <x v="1649"/>
    <x v="0"/>
    <s v="COSTA DEL ESTE"/>
  </r>
  <r>
    <x v="33"/>
    <x v="58"/>
    <x v="2"/>
    <x v="37"/>
    <x v="29"/>
    <x v="1650"/>
    <x v="0"/>
    <s v="COSTA DEL ESTE"/>
  </r>
  <r>
    <x v="34"/>
    <x v="90"/>
    <x v="2"/>
    <x v="37"/>
    <x v="90"/>
    <x v="1651"/>
    <x v="0"/>
    <s v="MULTI PLAZA"/>
  </r>
  <r>
    <x v="34"/>
    <x v="36"/>
    <x v="2"/>
    <x v="37"/>
    <x v="168"/>
    <x v="1652"/>
    <x v="0"/>
    <s v="MULTI PLAZA"/>
  </r>
  <r>
    <x v="34"/>
    <x v="139"/>
    <x v="2"/>
    <x v="37"/>
    <x v="110"/>
    <x v="1653"/>
    <x v="0"/>
    <s v="MULTI PLAZA"/>
  </r>
  <r>
    <x v="34"/>
    <x v="16"/>
    <x v="2"/>
    <x v="37"/>
    <x v="101"/>
    <x v="1654"/>
    <x v="0"/>
    <s v="MULTI PLAZA"/>
  </r>
  <r>
    <x v="34"/>
    <x v="31"/>
    <x v="2"/>
    <x v="37"/>
    <x v="72"/>
    <x v="1655"/>
    <x v="0"/>
    <s v="MULTI PLAZA"/>
  </r>
  <r>
    <x v="34"/>
    <x v="94"/>
    <x v="2"/>
    <x v="37"/>
    <x v="180"/>
    <x v="1656"/>
    <x v="0"/>
    <s v="MULTI PLAZA"/>
  </r>
  <r>
    <x v="34"/>
    <x v="134"/>
    <x v="2"/>
    <x v="37"/>
    <x v="104"/>
    <x v="1331"/>
    <x v="0"/>
    <s v="MULTI PLAZA"/>
  </r>
  <r>
    <x v="35"/>
    <x v="155"/>
    <x v="2"/>
    <x v="37"/>
    <x v="217"/>
    <x v="1657"/>
    <x v="0"/>
    <s v="HOSPITAL PUNTA PACIFICA"/>
  </r>
  <r>
    <x v="35"/>
    <x v="90"/>
    <x v="2"/>
    <x v="38"/>
    <x v="90"/>
    <x v="764"/>
    <x v="0"/>
    <s v="HOSPITAL PUNTA PACIFICA"/>
  </r>
  <r>
    <x v="35"/>
    <x v="135"/>
    <x v="2"/>
    <x v="37"/>
    <x v="111"/>
    <x v="1658"/>
    <x v="0"/>
    <s v="HOSPITAL PUNTA PACIFICA"/>
  </r>
  <r>
    <x v="35"/>
    <x v="56"/>
    <x v="2"/>
    <x v="38"/>
    <x v="193"/>
    <x v="764"/>
    <x v="0"/>
    <s v="HOSPITAL PUNTA PACIFICA"/>
  </r>
  <r>
    <x v="35"/>
    <x v="119"/>
    <x v="2"/>
    <x v="37"/>
    <x v="69"/>
    <x v="1659"/>
    <x v="0"/>
    <s v="HOSPITAL PUNTA PACIFICA"/>
  </r>
  <r>
    <x v="35"/>
    <x v="71"/>
    <x v="2"/>
    <x v="37"/>
    <x v="229"/>
    <x v="1660"/>
    <x v="0"/>
    <s v="HOSPITAL PUNTA PACIFICA"/>
  </r>
  <r>
    <x v="35"/>
    <x v="27"/>
    <x v="2"/>
    <x v="38"/>
    <x v="113"/>
    <x v="764"/>
    <x v="0"/>
    <s v="HOSPITAL PUNTA PACIFICA"/>
  </r>
  <r>
    <x v="35"/>
    <x v="72"/>
    <x v="2"/>
    <x v="37"/>
    <x v="205"/>
    <x v="1661"/>
    <x v="0"/>
    <s v="HOSPITAL PUNTA PACIFICA"/>
  </r>
  <r>
    <x v="35"/>
    <x v="15"/>
    <x v="2"/>
    <x v="38"/>
    <x v="91"/>
    <x v="1662"/>
    <x v="0"/>
    <s v="HOSPITAL PUNTA PACIFICA"/>
  </r>
  <r>
    <x v="35"/>
    <x v="31"/>
    <x v="2"/>
    <x v="37"/>
    <x v="72"/>
    <x v="1628"/>
    <x v="0"/>
    <s v="HOSPITAL PUNTA PACIFICA"/>
  </r>
  <r>
    <x v="35"/>
    <x v="12"/>
    <x v="2"/>
    <x v="38"/>
    <x v="103"/>
    <x v="1663"/>
    <x v="0"/>
    <s v="HOSPITAL PUNTA PACIFICA"/>
  </r>
  <r>
    <x v="35"/>
    <x v="12"/>
    <x v="2"/>
    <x v="37"/>
    <x v="103"/>
    <x v="1664"/>
    <x v="0"/>
    <s v="HOSPITAL PUNTA PACIFICA"/>
  </r>
  <r>
    <x v="36"/>
    <x v="54"/>
    <x v="2"/>
    <x v="37"/>
    <x v="210"/>
    <x v="1665"/>
    <x v="0"/>
    <s v="TERMINAL DE ALBROOK"/>
  </r>
  <r>
    <x v="36"/>
    <x v="161"/>
    <x v="2"/>
    <x v="37"/>
    <x v="191"/>
    <x v="917"/>
    <x v="0"/>
    <s v="TERMINAL DE ALBROOK"/>
  </r>
  <r>
    <x v="36"/>
    <x v="80"/>
    <x v="2"/>
    <x v="37"/>
    <x v="46"/>
    <x v="1666"/>
    <x v="0"/>
    <s v="TERMINAL DE ALBROOK"/>
  </r>
  <r>
    <x v="36"/>
    <x v="90"/>
    <x v="2"/>
    <x v="37"/>
    <x v="90"/>
    <x v="1667"/>
    <x v="0"/>
    <s v="TERMINAL DE ALBROOK"/>
  </r>
  <r>
    <x v="36"/>
    <x v="148"/>
    <x v="2"/>
    <x v="37"/>
    <x v="131"/>
    <x v="815"/>
    <x v="0"/>
    <s v="TERMINAL DE ALBROOK"/>
  </r>
  <r>
    <x v="36"/>
    <x v="92"/>
    <x v="2"/>
    <x v="37"/>
    <x v="230"/>
    <x v="1668"/>
    <x v="0"/>
    <s v="TERMINAL DE ALBROOK"/>
  </r>
  <r>
    <x v="36"/>
    <x v="29"/>
    <x v="2"/>
    <x v="37"/>
    <x v="132"/>
    <x v="1669"/>
    <x v="0"/>
    <s v="TERMINAL DE ALBROOK"/>
  </r>
  <r>
    <x v="36"/>
    <x v="11"/>
    <x v="2"/>
    <x v="37"/>
    <x v="186"/>
    <x v="1670"/>
    <x v="0"/>
    <s v="TERMINAL DE ALBROOK"/>
  </r>
  <r>
    <x v="36"/>
    <x v="164"/>
    <x v="2"/>
    <x v="37"/>
    <x v="202"/>
    <x v="1671"/>
    <x v="0"/>
    <s v="TERMINAL DE ALBROOK"/>
  </r>
  <r>
    <x v="37"/>
    <x v="139"/>
    <x v="2"/>
    <x v="37"/>
    <x v="110"/>
    <x v="1672"/>
    <x v="0"/>
    <s v="CONCEPCION"/>
  </r>
  <r>
    <x v="37"/>
    <x v="159"/>
    <x v="2"/>
    <x v="37"/>
    <x v="175"/>
    <x v="1673"/>
    <x v="0"/>
    <s v="CONCEPCION"/>
  </r>
  <r>
    <x v="68"/>
    <x v="155"/>
    <x v="2"/>
    <x v="37"/>
    <x v="217"/>
    <x v="764"/>
    <x v="0"/>
    <s v="BOQUETE"/>
  </r>
  <r>
    <x v="68"/>
    <x v="23"/>
    <x v="2"/>
    <x v="37"/>
    <x v="184"/>
    <x v="764"/>
    <x v="0"/>
    <s v="BOQUETE"/>
  </r>
  <r>
    <x v="68"/>
    <x v="12"/>
    <x v="2"/>
    <x v="37"/>
    <x v="103"/>
    <x v="764"/>
    <x v="0"/>
    <s v="BOQUETE"/>
  </r>
  <r>
    <x v="68"/>
    <x v="58"/>
    <x v="2"/>
    <x v="37"/>
    <x v="29"/>
    <x v="764"/>
    <x v="0"/>
    <s v="BOQUETE"/>
  </r>
  <r>
    <x v="38"/>
    <x v="8"/>
    <x v="2"/>
    <x v="37"/>
    <x v="209"/>
    <x v="1144"/>
    <x v="0"/>
    <s v="BRISAS DEL GOLF"/>
  </r>
  <r>
    <x v="38"/>
    <x v="135"/>
    <x v="2"/>
    <x v="37"/>
    <x v="111"/>
    <x v="1674"/>
    <x v="0"/>
    <s v="BRISAS DEL GOLF"/>
  </r>
  <r>
    <x v="38"/>
    <x v="91"/>
    <x v="2"/>
    <x v="37"/>
    <x v="162"/>
    <x v="1675"/>
    <x v="0"/>
    <s v="BRISAS DEL GOLF"/>
  </r>
  <r>
    <x v="38"/>
    <x v="48"/>
    <x v="2"/>
    <x v="38"/>
    <x v="77"/>
    <x v="872"/>
    <x v="0"/>
    <s v="BRISAS DEL GOLF"/>
  </r>
  <r>
    <x v="38"/>
    <x v="111"/>
    <x v="2"/>
    <x v="37"/>
    <x v="146"/>
    <x v="1676"/>
    <x v="0"/>
    <s v="BRISAS DEL GOLF"/>
  </r>
  <r>
    <x v="38"/>
    <x v="6"/>
    <x v="2"/>
    <x v="38"/>
    <x v="125"/>
    <x v="872"/>
    <x v="0"/>
    <s v="BRISAS DEL GOLF"/>
  </r>
  <r>
    <x v="38"/>
    <x v="6"/>
    <x v="2"/>
    <x v="37"/>
    <x v="125"/>
    <x v="1677"/>
    <x v="0"/>
    <s v="BRISAS DEL GOLF"/>
  </r>
  <r>
    <x v="38"/>
    <x v="64"/>
    <x v="2"/>
    <x v="37"/>
    <x v="187"/>
    <x v="1678"/>
    <x v="0"/>
    <s v="BRISAS DEL GOLF"/>
  </r>
  <r>
    <x v="38"/>
    <x v="164"/>
    <x v="2"/>
    <x v="37"/>
    <x v="202"/>
    <x v="869"/>
    <x v="0"/>
    <s v="BRISAS DEL GOLF"/>
  </r>
  <r>
    <x v="39"/>
    <x v="115"/>
    <x v="2"/>
    <x v="38"/>
    <x v="62"/>
    <x v="1679"/>
    <x v="0"/>
    <s v="PUENTE CENTENARIO"/>
  </r>
  <r>
    <x v="39"/>
    <x v="92"/>
    <x v="2"/>
    <x v="37"/>
    <x v="230"/>
    <x v="1680"/>
    <x v="0"/>
    <s v="PUENTE CENTENARIO"/>
  </r>
  <r>
    <x v="39"/>
    <x v="17"/>
    <x v="2"/>
    <x v="38"/>
    <x v="201"/>
    <x v="872"/>
    <x v="0"/>
    <s v="PUENTE CENTENARIO"/>
  </r>
  <r>
    <x v="39"/>
    <x v="58"/>
    <x v="2"/>
    <x v="37"/>
    <x v="29"/>
    <x v="1198"/>
    <x v="0"/>
    <s v="PUENTE CENTENARIO"/>
  </r>
  <r>
    <x v="69"/>
    <x v="56"/>
    <x v="2"/>
    <x v="37"/>
    <x v="193"/>
    <x v="1681"/>
    <x v="0"/>
    <s v="AGUADULCE"/>
  </r>
  <r>
    <x v="69"/>
    <x v="18"/>
    <x v="2"/>
    <x v="37"/>
    <x v="124"/>
    <x v="895"/>
    <x v="0"/>
    <s v="AGUADULCE"/>
  </r>
  <r>
    <x v="70"/>
    <x v="152"/>
    <x v="2"/>
    <x v="37"/>
    <x v="161"/>
    <x v="1682"/>
    <x v="0"/>
    <s v="SABANITAS"/>
  </r>
  <r>
    <x v="70"/>
    <x v="111"/>
    <x v="2"/>
    <x v="37"/>
    <x v="146"/>
    <x v="1683"/>
    <x v="0"/>
    <s v="SABANITAS"/>
  </r>
  <r>
    <x v="70"/>
    <x v="43"/>
    <x v="2"/>
    <x v="37"/>
    <x v="73"/>
    <x v="1684"/>
    <x v="0"/>
    <s v="SABANITAS"/>
  </r>
  <r>
    <x v="70"/>
    <x v="94"/>
    <x v="2"/>
    <x v="37"/>
    <x v="180"/>
    <x v="919"/>
    <x v="0"/>
    <s v="SABANITAS"/>
  </r>
  <r>
    <x v="40"/>
    <x v="84"/>
    <x v="2"/>
    <x v="37"/>
    <x v="49"/>
    <x v="1685"/>
    <x v="0"/>
    <s v="METROMALL"/>
  </r>
  <r>
    <x v="40"/>
    <x v="16"/>
    <x v="2"/>
    <x v="37"/>
    <x v="101"/>
    <x v="1686"/>
    <x v="0"/>
    <s v="METROMALL"/>
  </r>
  <r>
    <x v="71"/>
    <x v="37"/>
    <x v="2"/>
    <x v="37"/>
    <x v="171"/>
    <x v="1687"/>
    <x v="0"/>
    <s v="ALTOS DE PANAMA"/>
  </r>
  <r>
    <x v="71"/>
    <x v="160"/>
    <x v="2"/>
    <x v="37"/>
    <x v="185"/>
    <x v="1688"/>
    <x v="0"/>
    <s v="ALTOS DE PANAMA"/>
  </r>
  <r>
    <x v="71"/>
    <x v="49"/>
    <x v="2"/>
    <x v="37"/>
    <x v="78"/>
    <x v="1689"/>
    <x v="0"/>
    <s v="ALTOS DE PANAMA"/>
  </r>
  <r>
    <x v="71"/>
    <x v="64"/>
    <x v="2"/>
    <x v="37"/>
    <x v="187"/>
    <x v="1299"/>
    <x v="0"/>
    <s v="ALTOS DE PANAMA"/>
  </r>
  <r>
    <x v="41"/>
    <x v="90"/>
    <x v="2"/>
    <x v="37"/>
    <x v="90"/>
    <x v="1690"/>
    <x v="0"/>
    <s v="VERSALLES"/>
  </r>
  <r>
    <x v="41"/>
    <x v="69"/>
    <x v="2"/>
    <x v="37"/>
    <x v="236"/>
    <x v="1691"/>
    <x v="0"/>
    <s v="VERSALLES"/>
  </r>
  <r>
    <x v="42"/>
    <x v="97"/>
    <x v="2"/>
    <x v="37"/>
    <x v="114"/>
    <x v="776"/>
    <x v="0"/>
    <s v="BUSINESS PARK"/>
  </r>
  <r>
    <x v="42"/>
    <x v="158"/>
    <x v="2"/>
    <x v="37"/>
    <x v="174"/>
    <x v="1692"/>
    <x v="0"/>
    <s v="BUSINESS PARK"/>
  </r>
  <r>
    <x v="42"/>
    <x v="144"/>
    <x v="2"/>
    <x v="37"/>
    <x v="199"/>
    <x v="1693"/>
    <x v="0"/>
    <s v="BUSINESS PARK"/>
  </r>
  <r>
    <x v="42"/>
    <x v="69"/>
    <x v="2"/>
    <x v="37"/>
    <x v="236"/>
    <x v="1061"/>
    <x v="0"/>
    <s v="BUSINESS PARK"/>
  </r>
  <r>
    <x v="42"/>
    <x v="110"/>
    <x v="2"/>
    <x v="37"/>
    <x v="189"/>
    <x v="1628"/>
    <x v="0"/>
    <s v="BUSINESS PARK"/>
  </r>
  <r>
    <x v="42"/>
    <x v="95"/>
    <x v="2"/>
    <x v="37"/>
    <x v="164"/>
    <x v="844"/>
    <x v="0"/>
    <s v="BUSINESS PARK"/>
  </r>
  <r>
    <x v="42"/>
    <x v="164"/>
    <x v="2"/>
    <x v="37"/>
    <x v="202"/>
    <x v="817"/>
    <x v="0"/>
    <s v="BUSINESS PARK"/>
  </r>
  <r>
    <x v="43"/>
    <x v="156"/>
    <x v="2"/>
    <x v="38"/>
    <x v="181"/>
    <x v="1532"/>
    <x v="0"/>
    <s v="SAN FRANCISCO"/>
  </r>
  <r>
    <x v="43"/>
    <x v="135"/>
    <x v="2"/>
    <x v="37"/>
    <x v="111"/>
    <x v="1694"/>
    <x v="0"/>
    <s v="SAN FRANCISCO"/>
  </r>
  <r>
    <x v="43"/>
    <x v="121"/>
    <x v="2"/>
    <x v="38"/>
    <x v="135"/>
    <x v="1695"/>
    <x v="0"/>
    <s v="SAN FRANCISCO"/>
  </r>
  <r>
    <x v="43"/>
    <x v="139"/>
    <x v="2"/>
    <x v="37"/>
    <x v="110"/>
    <x v="1696"/>
    <x v="0"/>
    <s v="SAN FRANCISCO"/>
  </r>
  <r>
    <x v="43"/>
    <x v="29"/>
    <x v="2"/>
    <x v="37"/>
    <x v="132"/>
    <x v="1696"/>
    <x v="0"/>
    <s v="SAN FRANCISCO"/>
  </r>
  <r>
    <x v="43"/>
    <x v="6"/>
    <x v="2"/>
    <x v="37"/>
    <x v="125"/>
    <x v="1640"/>
    <x v="0"/>
    <s v="SAN FRANCISCO"/>
  </r>
  <r>
    <x v="44"/>
    <x v="90"/>
    <x v="2"/>
    <x v="37"/>
    <x v="90"/>
    <x v="1422"/>
    <x v="0"/>
    <s v="PLAZA BANCO GENERAL"/>
  </r>
  <r>
    <x v="44"/>
    <x v="168"/>
    <x v="2"/>
    <x v="37"/>
    <x v="221"/>
    <x v="1697"/>
    <x v="0"/>
    <s v="PLAZA BANCO GENERAL"/>
  </r>
  <r>
    <x v="44"/>
    <x v="144"/>
    <x v="2"/>
    <x v="37"/>
    <x v="199"/>
    <x v="1698"/>
    <x v="0"/>
    <s v="PLAZA BANCO GENERAL"/>
  </r>
  <r>
    <x v="44"/>
    <x v="110"/>
    <x v="2"/>
    <x v="37"/>
    <x v="189"/>
    <x v="1699"/>
    <x v="0"/>
    <s v="PLAZA BANCO GENERAL"/>
  </r>
  <r>
    <x v="45"/>
    <x v="148"/>
    <x v="2"/>
    <x v="37"/>
    <x v="131"/>
    <x v="1326"/>
    <x v="0"/>
    <s v="LA CHORRERA - PARQUE 10 DE NOV."/>
  </r>
  <r>
    <x v="45"/>
    <x v="71"/>
    <x v="2"/>
    <x v="37"/>
    <x v="229"/>
    <x v="1700"/>
    <x v="0"/>
    <s v="LA CHORRERA - PARQUE 10 DE NOV."/>
  </r>
  <r>
    <x v="45"/>
    <x v="78"/>
    <x v="2"/>
    <x v="37"/>
    <x v="147"/>
    <x v="1701"/>
    <x v="0"/>
    <s v="LA CHORRERA - PARQUE 10 DE NOV."/>
  </r>
  <r>
    <x v="45"/>
    <x v="95"/>
    <x v="2"/>
    <x v="37"/>
    <x v="164"/>
    <x v="1702"/>
    <x v="0"/>
    <s v="LA CHORRERA - PARQUE 10 DE NOV."/>
  </r>
  <r>
    <x v="46"/>
    <x v="37"/>
    <x v="2"/>
    <x v="37"/>
    <x v="171"/>
    <x v="1703"/>
    <x v="0"/>
    <s v="COSTA DEL ESTE - CENTENARIO"/>
  </r>
  <r>
    <x v="46"/>
    <x v="73"/>
    <x v="2"/>
    <x v="37"/>
    <x v="227"/>
    <x v="1704"/>
    <x v="0"/>
    <s v="COSTA DEL ESTE - CENTENARIO"/>
  </r>
  <r>
    <x v="46"/>
    <x v="11"/>
    <x v="2"/>
    <x v="37"/>
    <x v="186"/>
    <x v="1705"/>
    <x v="0"/>
    <s v="COSTA DEL ESTE - CENTENARIO"/>
  </r>
  <r>
    <x v="46"/>
    <x v="12"/>
    <x v="2"/>
    <x v="37"/>
    <x v="103"/>
    <x v="1706"/>
    <x v="0"/>
    <s v="COSTA DEL ESTE - CENTENARIO"/>
  </r>
  <r>
    <x v="47"/>
    <x v="80"/>
    <x v="2"/>
    <x v="37"/>
    <x v="46"/>
    <x v="1493"/>
    <x v="0"/>
    <s v="CLAYTON"/>
  </r>
  <r>
    <x v="47"/>
    <x v="5"/>
    <x v="2"/>
    <x v="37"/>
    <x v="206"/>
    <x v="1707"/>
    <x v="0"/>
    <s v="CLAYTON"/>
  </r>
  <r>
    <x v="47"/>
    <x v="69"/>
    <x v="2"/>
    <x v="37"/>
    <x v="236"/>
    <x v="1708"/>
    <x v="0"/>
    <s v="CLAYTON"/>
  </r>
  <r>
    <x v="47"/>
    <x v="145"/>
    <x v="2"/>
    <x v="37"/>
    <x v="127"/>
    <x v="1709"/>
    <x v="0"/>
    <s v="CLAYTON"/>
  </r>
  <r>
    <x v="47"/>
    <x v="12"/>
    <x v="2"/>
    <x v="37"/>
    <x v="103"/>
    <x v="1635"/>
    <x v="0"/>
    <s v="CLAYTON"/>
  </r>
  <r>
    <x v="47"/>
    <x v="164"/>
    <x v="2"/>
    <x v="37"/>
    <x v="202"/>
    <x v="1710"/>
    <x v="0"/>
    <s v="CLAYTON"/>
  </r>
  <r>
    <x v="48"/>
    <x v="36"/>
    <x v="2"/>
    <x v="37"/>
    <x v="168"/>
    <x v="1711"/>
    <x v="0"/>
    <s v="MARBELLA"/>
  </r>
  <r>
    <x v="48"/>
    <x v="84"/>
    <x v="2"/>
    <x v="37"/>
    <x v="49"/>
    <x v="1712"/>
    <x v="0"/>
    <s v="MARBELLA"/>
  </r>
  <r>
    <x v="48"/>
    <x v="72"/>
    <x v="2"/>
    <x v="37"/>
    <x v="205"/>
    <x v="1713"/>
    <x v="0"/>
    <s v="MARBELLA"/>
  </r>
  <r>
    <x v="48"/>
    <x v="111"/>
    <x v="2"/>
    <x v="37"/>
    <x v="146"/>
    <x v="854"/>
    <x v="0"/>
    <s v="MARBELLA"/>
  </r>
  <r>
    <x v="48"/>
    <x v="110"/>
    <x v="2"/>
    <x v="37"/>
    <x v="189"/>
    <x v="1714"/>
    <x v="0"/>
    <s v="MARBELLA"/>
  </r>
  <r>
    <x v="49"/>
    <x v="92"/>
    <x v="2"/>
    <x v="37"/>
    <x v="230"/>
    <x v="1715"/>
    <x v="0"/>
    <s v="PLAZA CAROLINA"/>
  </r>
  <r>
    <x v="49"/>
    <x v="111"/>
    <x v="2"/>
    <x v="37"/>
    <x v="146"/>
    <x v="1716"/>
    <x v="0"/>
    <s v="PLAZA CAROLINA"/>
  </r>
  <r>
    <x v="49"/>
    <x v="75"/>
    <x v="2"/>
    <x v="38"/>
    <x v="39"/>
    <x v="1717"/>
    <x v="0"/>
    <s v="PLAZA CAROLINA"/>
  </r>
  <r>
    <x v="50"/>
    <x v="148"/>
    <x v="2"/>
    <x v="37"/>
    <x v="131"/>
    <x v="1718"/>
    <x v="0"/>
    <s v="PLAZA CORDOBA"/>
  </r>
  <r>
    <x v="50"/>
    <x v="30"/>
    <x v="2"/>
    <x v="37"/>
    <x v="216"/>
    <x v="1719"/>
    <x v="0"/>
    <s v="PLAZA CORDOBA"/>
  </r>
  <r>
    <x v="51"/>
    <x v="35"/>
    <x v="2"/>
    <x v="37"/>
    <x v="35"/>
    <x v="1640"/>
    <x v="0"/>
    <s v="VIA SIMON BOLIVAR"/>
  </r>
  <r>
    <x v="51"/>
    <x v="66"/>
    <x v="2"/>
    <x v="37"/>
    <x v="211"/>
    <x v="1720"/>
    <x v="0"/>
    <s v="VIA SIMON BOLIVAR"/>
  </r>
  <r>
    <x v="51"/>
    <x v="90"/>
    <x v="2"/>
    <x v="37"/>
    <x v="90"/>
    <x v="1721"/>
    <x v="0"/>
    <s v="VIA SIMON BOLIVAR"/>
  </r>
  <r>
    <x v="51"/>
    <x v="92"/>
    <x v="2"/>
    <x v="37"/>
    <x v="230"/>
    <x v="1722"/>
    <x v="0"/>
    <s v="VIA SIMON BOLIVAR"/>
  </r>
  <r>
    <x v="51"/>
    <x v="29"/>
    <x v="2"/>
    <x v="37"/>
    <x v="132"/>
    <x v="1723"/>
    <x v="0"/>
    <s v="VIA SIMON BOLIVAR"/>
  </r>
  <r>
    <x v="51"/>
    <x v="6"/>
    <x v="2"/>
    <x v="37"/>
    <x v="125"/>
    <x v="1724"/>
    <x v="0"/>
    <s v="VIA SIMON BOLIVAR"/>
  </r>
  <r>
    <x v="51"/>
    <x v="78"/>
    <x v="2"/>
    <x v="37"/>
    <x v="147"/>
    <x v="1725"/>
    <x v="0"/>
    <s v="VIA SIMON BOLIVAR"/>
  </r>
  <r>
    <x v="51"/>
    <x v="43"/>
    <x v="2"/>
    <x v="37"/>
    <x v="73"/>
    <x v="1726"/>
    <x v="0"/>
    <s v="VIA SIMON BOLIVAR"/>
  </r>
  <r>
    <x v="52"/>
    <x v="37"/>
    <x v="2"/>
    <x v="37"/>
    <x v="171"/>
    <x v="1727"/>
    <x v="0"/>
    <s v="JUSTO AROSEMENA"/>
  </r>
  <r>
    <x v="52"/>
    <x v="71"/>
    <x v="2"/>
    <x v="37"/>
    <x v="229"/>
    <x v="1728"/>
    <x v="0"/>
    <s v="JUSTO AROSEMENA"/>
  </r>
  <r>
    <x v="52"/>
    <x v="73"/>
    <x v="2"/>
    <x v="37"/>
    <x v="227"/>
    <x v="1729"/>
    <x v="0"/>
    <s v="JUSTO AROSEMENA"/>
  </r>
  <r>
    <x v="52"/>
    <x v="144"/>
    <x v="2"/>
    <x v="37"/>
    <x v="199"/>
    <x v="1730"/>
    <x v="0"/>
    <s v="JUSTO AROSEMENA"/>
  </r>
  <r>
    <x v="52"/>
    <x v="11"/>
    <x v="2"/>
    <x v="37"/>
    <x v="186"/>
    <x v="1731"/>
    <x v="0"/>
    <s v="JUSTO AROSEMENA"/>
  </r>
  <r>
    <x v="52"/>
    <x v="164"/>
    <x v="2"/>
    <x v="38"/>
    <x v="202"/>
    <x v="1732"/>
    <x v="0"/>
    <s v="JUSTO AROSEMENA"/>
  </r>
  <r>
    <x v="53"/>
    <x v="148"/>
    <x v="16"/>
    <x v="37"/>
    <x v="131"/>
    <x v="1733"/>
    <x v="0"/>
    <s v="NEGOCIOS"/>
  </r>
  <r>
    <x v="53"/>
    <x v="37"/>
    <x v="3"/>
    <x v="38"/>
    <x v="171"/>
    <x v="1734"/>
    <x v="0"/>
    <s v="NEGOCIOS"/>
  </r>
  <r>
    <x v="53"/>
    <x v="98"/>
    <x v="4"/>
    <x v="38"/>
    <x v="197"/>
    <x v="1735"/>
    <x v="0"/>
    <s v="NEGOCIOS"/>
  </r>
  <r>
    <x v="53"/>
    <x v="101"/>
    <x v="4"/>
    <x v="38"/>
    <x v="150"/>
    <x v="1736"/>
    <x v="0"/>
    <s v="NEGOCIOS"/>
  </r>
  <r>
    <x v="53"/>
    <x v="143"/>
    <x v="4"/>
    <x v="38"/>
    <x v="166"/>
    <x v="96"/>
    <x v="0"/>
    <s v="NEGOCIOS"/>
  </r>
  <r>
    <x v="53"/>
    <x v="95"/>
    <x v="4"/>
    <x v="37"/>
    <x v="164"/>
    <x v="1737"/>
    <x v="0"/>
    <s v="NEGOCIOS"/>
  </r>
  <r>
    <x v="53"/>
    <x v="65"/>
    <x v="4"/>
    <x v="38"/>
    <x v="165"/>
    <x v="1738"/>
    <x v="0"/>
    <s v="NEGOCIOS"/>
  </r>
  <r>
    <x v="53"/>
    <x v="97"/>
    <x v="5"/>
    <x v="38"/>
    <x v="114"/>
    <x v="1739"/>
    <x v="0"/>
    <s v="NEGOCIOS"/>
  </r>
  <r>
    <x v="53"/>
    <x v="104"/>
    <x v="5"/>
    <x v="38"/>
    <x v="74"/>
    <x v="1740"/>
    <x v="0"/>
    <s v="NEGOCIOS"/>
  </r>
  <r>
    <x v="53"/>
    <x v="143"/>
    <x v="5"/>
    <x v="38"/>
    <x v="166"/>
    <x v="1741"/>
    <x v="0"/>
    <s v="NEGOCIOS"/>
  </r>
  <r>
    <x v="53"/>
    <x v="89"/>
    <x v="6"/>
    <x v="37"/>
    <x v="231"/>
    <x v="1742"/>
    <x v="0"/>
    <s v="NEGOCIOS"/>
  </r>
  <r>
    <x v="53"/>
    <x v="76"/>
    <x v="6"/>
    <x v="37"/>
    <x v="42"/>
    <x v="1743"/>
    <x v="0"/>
    <s v="NEGOCIOS"/>
  </r>
  <r>
    <x v="53"/>
    <x v="37"/>
    <x v="6"/>
    <x v="37"/>
    <x v="171"/>
    <x v="1744"/>
    <x v="0"/>
    <s v="NEGOCIOS"/>
  </r>
  <r>
    <x v="53"/>
    <x v="148"/>
    <x v="6"/>
    <x v="37"/>
    <x v="131"/>
    <x v="1745"/>
    <x v="0"/>
    <s v="NEGOCIOS"/>
  </r>
  <r>
    <x v="53"/>
    <x v="122"/>
    <x v="6"/>
    <x v="38"/>
    <x v="112"/>
    <x v="1746"/>
    <x v="0"/>
    <s v="NEGOCIOS"/>
  </r>
  <r>
    <x v="53"/>
    <x v="160"/>
    <x v="6"/>
    <x v="37"/>
    <x v="185"/>
    <x v="1747"/>
    <x v="0"/>
    <s v="NEGOCIOS"/>
  </r>
  <r>
    <x v="53"/>
    <x v="84"/>
    <x v="6"/>
    <x v="37"/>
    <x v="49"/>
    <x v="764"/>
    <x v="0"/>
    <s v="NEGOCIOS"/>
  </r>
  <r>
    <x v="53"/>
    <x v="27"/>
    <x v="6"/>
    <x v="38"/>
    <x v="113"/>
    <x v="1020"/>
    <x v="0"/>
    <s v="NEGOCIOS"/>
  </r>
  <r>
    <x v="53"/>
    <x v="72"/>
    <x v="6"/>
    <x v="37"/>
    <x v="205"/>
    <x v="764"/>
    <x v="0"/>
    <s v="NEGOCIOS"/>
  </r>
  <r>
    <x v="53"/>
    <x v="73"/>
    <x v="6"/>
    <x v="37"/>
    <x v="227"/>
    <x v="1748"/>
    <x v="0"/>
    <s v="NEGOCIOS"/>
  </r>
  <r>
    <x v="53"/>
    <x v="73"/>
    <x v="6"/>
    <x v="38"/>
    <x v="227"/>
    <x v="1532"/>
    <x v="0"/>
    <s v="NEGOCIOS"/>
  </r>
  <r>
    <x v="53"/>
    <x v="78"/>
    <x v="6"/>
    <x v="37"/>
    <x v="147"/>
    <x v="1438"/>
    <x v="0"/>
    <s v="NEGOCIOS"/>
  </r>
  <r>
    <x v="53"/>
    <x v="131"/>
    <x v="6"/>
    <x v="38"/>
    <x v="97"/>
    <x v="1749"/>
    <x v="0"/>
    <s v="NEGOCIOS"/>
  </r>
  <r>
    <x v="53"/>
    <x v="31"/>
    <x v="6"/>
    <x v="37"/>
    <x v="72"/>
    <x v="1490"/>
    <x v="0"/>
    <s v="NEGOCIOS"/>
  </r>
  <r>
    <x v="53"/>
    <x v="31"/>
    <x v="6"/>
    <x v="38"/>
    <x v="72"/>
    <x v="1750"/>
    <x v="0"/>
    <s v="NEGOCIOS"/>
  </r>
  <r>
    <x v="53"/>
    <x v="144"/>
    <x v="6"/>
    <x v="37"/>
    <x v="199"/>
    <x v="764"/>
    <x v="0"/>
    <s v="NEGOCIOS"/>
  </r>
  <r>
    <x v="53"/>
    <x v="136"/>
    <x v="6"/>
    <x v="38"/>
    <x v="235"/>
    <x v="878"/>
    <x v="0"/>
    <s v="NEGOCIOS"/>
  </r>
  <r>
    <x v="53"/>
    <x v="46"/>
    <x v="6"/>
    <x v="37"/>
    <x v="95"/>
    <x v="1751"/>
    <x v="0"/>
    <s v="NEGOCIOS"/>
  </r>
  <r>
    <x v="53"/>
    <x v="134"/>
    <x v="6"/>
    <x v="38"/>
    <x v="104"/>
    <x v="1752"/>
    <x v="0"/>
    <s v="NEGOCIOS"/>
  </r>
  <r>
    <x v="53"/>
    <x v="58"/>
    <x v="6"/>
    <x v="37"/>
    <x v="29"/>
    <x v="1753"/>
    <x v="0"/>
    <s v="NEGOCIOS"/>
  </r>
  <r>
    <x v="53"/>
    <x v="58"/>
    <x v="6"/>
    <x v="38"/>
    <x v="29"/>
    <x v="1020"/>
    <x v="0"/>
    <s v="NEGOCIOS"/>
  </r>
  <r>
    <x v="53"/>
    <x v="96"/>
    <x v="21"/>
    <x v="38"/>
    <x v="232"/>
    <x v="1496"/>
    <x v="0"/>
    <s v="NEGOCIOS"/>
  </r>
  <r>
    <x v="53"/>
    <x v="122"/>
    <x v="21"/>
    <x v="37"/>
    <x v="112"/>
    <x v="1496"/>
    <x v="0"/>
    <s v="NEGOCIOS"/>
  </r>
  <r>
    <x v="53"/>
    <x v="44"/>
    <x v="21"/>
    <x v="38"/>
    <x v="94"/>
    <x v="1754"/>
    <x v="0"/>
    <s v="NEGOCIOS"/>
  </r>
  <r>
    <x v="53"/>
    <x v="141"/>
    <x v="21"/>
    <x v="37"/>
    <x v="188"/>
    <x v="1496"/>
    <x v="0"/>
    <s v="NEGOCIOS"/>
  </r>
  <r>
    <x v="53"/>
    <x v="46"/>
    <x v="21"/>
    <x v="37"/>
    <x v="95"/>
    <x v="811"/>
    <x v="45"/>
    <s v="NEGOCIOS"/>
  </r>
  <r>
    <x v="53"/>
    <x v="66"/>
    <x v="7"/>
    <x v="38"/>
    <x v="211"/>
    <x v="1755"/>
    <x v="0"/>
    <s v="NEGOCIOS"/>
  </r>
  <r>
    <x v="53"/>
    <x v="119"/>
    <x v="7"/>
    <x v="37"/>
    <x v="69"/>
    <x v="1756"/>
    <x v="0"/>
    <s v="NEGOCIOS"/>
  </r>
  <r>
    <x v="53"/>
    <x v="27"/>
    <x v="7"/>
    <x v="38"/>
    <x v="113"/>
    <x v="1757"/>
    <x v="0"/>
    <s v="NEGOCIOS"/>
  </r>
  <r>
    <x v="53"/>
    <x v="92"/>
    <x v="7"/>
    <x v="38"/>
    <x v="230"/>
    <x v="1758"/>
    <x v="0"/>
    <s v="NEGOCIOS"/>
  </r>
  <r>
    <x v="53"/>
    <x v="144"/>
    <x v="7"/>
    <x v="37"/>
    <x v="199"/>
    <x v="1759"/>
    <x v="0"/>
    <s v="NEGOCIOS"/>
  </r>
  <r>
    <x v="53"/>
    <x v="144"/>
    <x v="7"/>
    <x v="38"/>
    <x v="199"/>
    <x v="1760"/>
    <x v="0"/>
    <s v="NEGOCIOS"/>
  </r>
  <r>
    <x v="53"/>
    <x v="44"/>
    <x v="7"/>
    <x v="38"/>
    <x v="94"/>
    <x v="1761"/>
    <x v="0"/>
    <s v="NEGOCIOS"/>
  </r>
  <r>
    <x v="53"/>
    <x v="109"/>
    <x v="7"/>
    <x v="38"/>
    <x v="58"/>
    <x v="200"/>
    <x v="0"/>
    <s v="NEGOCIOS"/>
  </r>
  <r>
    <x v="53"/>
    <x v="52"/>
    <x v="7"/>
    <x v="38"/>
    <x v="228"/>
    <x v="1762"/>
    <x v="0"/>
    <s v="NEGOCIOS"/>
  </r>
  <r>
    <x v="53"/>
    <x v="12"/>
    <x v="7"/>
    <x v="38"/>
    <x v="103"/>
    <x v="1763"/>
    <x v="0"/>
    <s v="NEGOCIOS"/>
  </r>
  <r>
    <x v="53"/>
    <x v="110"/>
    <x v="7"/>
    <x v="37"/>
    <x v="189"/>
    <x v="1764"/>
    <x v="0"/>
    <s v="NEGOCIOS"/>
  </r>
  <r>
    <x v="53"/>
    <x v="110"/>
    <x v="7"/>
    <x v="38"/>
    <x v="189"/>
    <x v="1765"/>
    <x v="0"/>
    <s v="NEGOCIOS"/>
  </r>
  <r>
    <x v="53"/>
    <x v="46"/>
    <x v="37"/>
    <x v="37"/>
    <x v="95"/>
    <x v="1766"/>
    <x v="0"/>
    <s v="NEGOCIOS"/>
  </r>
  <r>
    <x v="53"/>
    <x v="33"/>
    <x v="37"/>
    <x v="38"/>
    <x v="86"/>
    <x v="1496"/>
    <x v="0"/>
    <s v="NEGOCIOS"/>
  </r>
  <r>
    <x v="53"/>
    <x v="102"/>
    <x v="23"/>
    <x v="38"/>
    <x v="137"/>
    <x v="1767"/>
    <x v="0"/>
    <s v="NEGOCIOS"/>
  </r>
  <r>
    <x v="53"/>
    <x v="158"/>
    <x v="8"/>
    <x v="38"/>
    <x v="174"/>
    <x v="1766"/>
    <x v="0"/>
    <s v="NEGOCIOS"/>
  </r>
  <r>
    <x v="53"/>
    <x v="163"/>
    <x v="8"/>
    <x v="37"/>
    <x v="200"/>
    <x v="811"/>
    <x v="45"/>
    <s v="NEGOCIOS"/>
  </r>
  <r>
    <x v="53"/>
    <x v="86"/>
    <x v="8"/>
    <x v="38"/>
    <x v="204"/>
    <x v="1768"/>
    <x v="0"/>
    <s v="NEGOCIOS"/>
  </r>
  <r>
    <x v="53"/>
    <x v="134"/>
    <x v="8"/>
    <x v="37"/>
    <x v="104"/>
    <x v="1403"/>
    <x v="0"/>
    <s v="NEGOCIOS"/>
  </r>
  <r>
    <x v="53"/>
    <x v="47"/>
    <x v="8"/>
    <x v="38"/>
    <x v="257"/>
    <x v="1769"/>
    <x v="0"/>
    <s v="NEGOCIOS"/>
  </r>
  <r>
    <x v="53"/>
    <x v="19"/>
    <x v="8"/>
    <x v="38"/>
    <x v="118"/>
    <x v="1770"/>
    <x v="0"/>
    <s v="NEGOCIOS"/>
  </r>
  <r>
    <x v="53"/>
    <x v="20"/>
    <x v="8"/>
    <x v="38"/>
    <x v="87"/>
    <x v="1770"/>
    <x v="0"/>
    <s v="NEGOCIOS"/>
  </r>
  <r>
    <x v="53"/>
    <x v="20"/>
    <x v="8"/>
    <x v="37"/>
    <x v="87"/>
    <x v="811"/>
    <x v="46"/>
    <s v="NEGOCIOS"/>
  </r>
  <r>
    <x v="53"/>
    <x v="1"/>
    <x v="9"/>
    <x v="38"/>
    <x v="225"/>
    <x v="1771"/>
    <x v="0"/>
    <s v="NEGOCIOS"/>
  </r>
  <r>
    <x v="53"/>
    <x v="74"/>
    <x v="9"/>
    <x v="38"/>
    <x v="37"/>
    <x v="1772"/>
    <x v="0"/>
    <s v="NEGOCIOS"/>
  </r>
  <r>
    <x v="53"/>
    <x v="166"/>
    <x v="9"/>
    <x v="38"/>
    <x v="218"/>
    <x v="1773"/>
    <x v="0"/>
    <s v="NEGOCIOS"/>
  </r>
  <r>
    <x v="53"/>
    <x v="122"/>
    <x v="9"/>
    <x v="38"/>
    <x v="112"/>
    <x v="1774"/>
    <x v="0"/>
    <s v="NEGOCIOS"/>
  </r>
  <r>
    <x v="53"/>
    <x v="139"/>
    <x v="9"/>
    <x v="37"/>
    <x v="110"/>
    <x v="1775"/>
    <x v="0"/>
    <s v="NEGOCIOS"/>
  </r>
  <r>
    <x v="53"/>
    <x v="9"/>
    <x v="9"/>
    <x v="38"/>
    <x v="258"/>
    <x v="1776"/>
    <x v="0"/>
    <s v="NEGOCIOS"/>
  </r>
  <r>
    <x v="53"/>
    <x v="61"/>
    <x v="9"/>
    <x v="38"/>
    <x v="43"/>
    <x v="237"/>
    <x v="0"/>
    <s v="NEGOCIOS"/>
  </r>
  <r>
    <x v="53"/>
    <x v="127"/>
    <x v="9"/>
    <x v="37"/>
    <x v="83"/>
    <x v="1777"/>
    <x v="0"/>
    <s v="NEGOCIOS"/>
  </r>
  <r>
    <x v="53"/>
    <x v="6"/>
    <x v="9"/>
    <x v="37"/>
    <x v="125"/>
    <x v="1778"/>
    <x v="0"/>
    <s v="NEGOCIOS"/>
  </r>
  <r>
    <x v="53"/>
    <x v="144"/>
    <x v="9"/>
    <x v="37"/>
    <x v="199"/>
    <x v="1779"/>
    <x v="0"/>
    <s v="NEGOCIOS"/>
  </r>
  <r>
    <x v="53"/>
    <x v="136"/>
    <x v="9"/>
    <x v="38"/>
    <x v="235"/>
    <x v="1644"/>
    <x v="0"/>
    <s v="NEGOCIOS"/>
  </r>
  <r>
    <x v="53"/>
    <x v="86"/>
    <x v="9"/>
    <x v="38"/>
    <x v="204"/>
    <x v="1524"/>
    <x v="0"/>
    <s v="NEGOCIOS"/>
  </r>
  <r>
    <x v="53"/>
    <x v="133"/>
    <x v="9"/>
    <x v="38"/>
    <x v="102"/>
    <x v="1568"/>
    <x v="0"/>
    <s v="NEGOCIOS"/>
  </r>
  <r>
    <x v="53"/>
    <x v="12"/>
    <x v="9"/>
    <x v="37"/>
    <x v="103"/>
    <x v="1780"/>
    <x v="0"/>
    <s v="NEGOCIOS"/>
  </r>
  <r>
    <x v="53"/>
    <x v="110"/>
    <x v="9"/>
    <x v="37"/>
    <x v="189"/>
    <x v="1781"/>
    <x v="0"/>
    <s v="NEGOCIOS"/>
  </r>
  <r>
    <x v="53"/>
    <x v="114"/>
    <x v="9"/>
    <x v="38"/>
    <x v="203"/>
    <x v="922"/>
    <x v="0"/>
    <s v="NEGOCIOS"/>
  </r>
  <r>
    <x v="53"/>
    <x v="87"/>
    <x v="10"/>
    <x v="38"/>
    <x v="129"/>
    <x v="1644"/>
    <x v="0"/>
    <s v="NEGOCIOS"/>
  </r>
  <r>
    <x v="53"/>
    <x v="39"/>
    <x v="10"/>
    <x v="38"/>
    <x v="212"/>
    <x v="1644"/>
    <x v="0"/>
    <s v="NEGOCIOS"/>
  </r>
  <r>
    <x v="53"/>
    <x v="120"/>
    <x v="10"/>
    <x v="38"/>
    <x v="70"/>
    <x v="1782"/>
    <x v="0"/>
    <s v="NEGOCIOS"/>
  </r>
  <r>
    <x v="53"/>
    <x v="146"/>
    <x v="10"/>
    <x v="38"/>
    <x v="195"/>
    <x v="1783"/>
    <x v="0"/>
    <s v="NEGOCIOS"/>
  </r>
  <r>
    <x v="53"/>
    <x v="68"/>
    <x v="10"/>
    <x v="38"/>
    <x v="213"/>
    <x v="1784"/>
    <x v="0"/>
    <s v="NEGOCIOS"/>
  </r>
  <r>
    <x v="53"/>
    <x v="62"/>
    <x v="10"/>
    <x v="38"/>
    <x v="123"/>
    <x v="1785"/>
    <x v="0"/>
    <s v="NEGOCIOS"/>
  </r>
  <r>
    <x v="53"/>
    <x v="154"/>
    <x v="10"/>
    <x v="38"/>
    <x v="215"/>
    <x v="1644"/>
    <x v="0"/>
    <s v="NEGOCIOS"/>
  </r>
  <r>
    <x v="53"/>
    <x v="102"/>
    <x v="10"/>
    <x v="38"/>
    <x v="137"/>
    <x v="1200"/>
    <x v="0"/>
    <s v="NEGOCIOS"/>
  </r>
  <r>
    <x v="53"/>
    <x v="3"/>
    <x v="10"/>
    <x v="38"/>
    <x v="30"/>
    <x v="1644"/>
    <x v="0"/>
    <s v="NEGOCIOS"/>
  </r>
  <r>
    <x v="53"/>
    <x v="148"/>
    <x v="11"/>
    <x v="38"/>
    <x v="131"/>
    <x v="844"/>
    <x v="0"/>
    <s v="NEGOCIOS"/>
  </r>
  <r>
    <x v="53"/>
    <x v="23"/>
    <x v="11"/>
    <x v="38"/>
    <x v="184"/>
    <x v="1571"/>
    <x v="0"/>
    <s v="NEGOCIOS"/>
  </r>
  <r>
    <x v="53"/>
    <x v="84"/>
    <x v="11"/>
    <x v="38"/>
    <x v="49"/>
    <x v="1786"/>
    <x v="0"/>
    <s v="NEGOCIOS"/>
  </r>
  <r>
    <x v="53"/>
    <x v="120"/>
    <x v="11"/>
    <x v="38"/>
    <x v="70"/>
    <x v="1693"/>
    <x v="0"/>
    <s v="NEGOCIOS"/>
  </r>
  <r>
    <x v="53"/>
    <x v="27"/>
    <x v="11"/>
    <x v="38"/>
    <x v="113"/>
    <x v="1787"/>
    <x v="0"/>
    <s v="NEGOCIOS"/>
  </r>
  <r>
    <x v="53"/>
    <x v="146"/>
    <x v="11"/>
    <x v="38"/>
    <x v="195"/>
    <x v="1788"/>
    <x v="0"/>
    <s v="NEGOCIOS"/>
  </r>
  <r>
    <x v="53"/>
    <x v="72"/>
    <x v="11"/>
    <x v="37"/>
    <x v="205"/>
    <x v="1789"/>
    <x v="0"/>
    <s v="NEGOCIOS"/>
  </r>
  <r>
    <x v="53"/>
    <x v="77"/>
    <x v="11"/>
    <x v="38"/>
    <x v="71"/>
    <x v="1790"/>
    <x v="0"/>
    <s v="NEGOCIOS"/>
  </r>
  <r>
    <x v="53"/>
    <x v="98"/>
    <x v="11"/>
    <x v="38"/>
    <x v="197"/>
    <x v="1791"/>
    <x v="0"/>
    <s v="NEGOCIOS"/>
  </r>
  <r>
    <x v="53"/>
    <x v="50"/>
    <x v="11"/>
    <x v="38"/>
    <x v="126"/>
    <x v="1792"/>
    <x v="0"/>
    <s v="NEGOCIOS"/>
  </r>
  <r>
    <x v="53"/>
    <x v="12"/>
    <x v="11"/>
    <x v="37"/>
    <x v="103"/>
    <x v="1793"/>
    <x v="0"/>
    <s v="NEGOCIOS"/>
  </r>
  <r>
    <x v="53"/>
    <x v="75"/>
    <x v="11"/>
    <x v="38"/>
    <x v="39"/>
    <x v="828"/>
    <x v="0"/>
    <s v="NEGOCIOS"/>
  </r>
  <r>
    <x v="53"/>
    <x v="126"/>
    <x v="11"/>
    <x v="38"/>
    <x v="82"/>
    <x v="1528"/>
    <x v="0"/>
    <s v="NEGOCIOS"/>
  </r>
  <r>
    <x v="53"/>
    <x v="58"/>
    <x v="11"/>
    <x v="38"/>
    <x v="29"/>
    <x v="126"/>
    <x v="0"/>
    <s v="NEGOCIOS"/>
  </r>
  <r>
    <x v="53"/>
    <x v="148"/>
    <x v="38"/>
    <x v="37"/>
    <x v="131"/>
    <x v="1794"/>
    <x v="0"/>
    <s v="NEGOCIOS"/>
  </r>
  <r>
    <x v="53"/>
    <x v="92"/>
    <x v="38"/>
    <x v="37"/>
    <x v="230"/>
    <x v="1795"/>
    <x v="0"/>
    <s v="NEGOCIOS"/>
  </r>
  <r>
    <x v="53"/>
    <x v="73"/>
    <x v="38"/>
    <x v="37"/>
    <x v="227"/>
    <x v="1796"/>
    <x v="0"/>
    <s v="NEGOCIOS"/>
  </r>
  <r>
    <x v="53"/>
    <x v="144"/>
    <x v="38"/>
    <x v="37"/>
    <x v="199"/>
    <x v="1797"/>
    <x v="0"/>
    <s v="NEGOCIOS"/>
  </r>
  <r>
    <x v="53"/>
    <x v="80"/>
    <x v="24"/>
    <x v="38"/>
    <x v="46"/>
    <x v="1271"/>
    <x v="0"/>
    <s v="NEGOCIOS"/>
  </r>
  <r>
    <x v="53"/>
    <x v="150"/>
    <x v="24"/>
    <x v="38"/>
    <x v="224"/>
    <x v="776"/>
    <x v="0"/>
    <s v="NEGOCIOS"/>
  </r>
  <r>
    <x v="53"/>
    <x v="25"/>
    <x v="24"/>
    <x v="38"/>
    <x v="169"/>
    <x v="776"/>
    <x v="0"/>
    <s v="NEGOCIOS"/>
  </r>
  <r>
    <x v="53"/>
    <x v="14"/>
    <x v="24"/>
    <x v="38"/>
    <x v="61"/>
    <x v="1208"/>
    <x v="0"/>
    <s v="NEGOCIOS"/>
  </r>
  <r>
    <x v="53"/>
    <x v="7"/>
    <x v="24"/>
    <x v="38"/>
    <x v="136"/>
    <x v="1798"/>
    <x v="0"/>
    <s v="NEGOCIOS"/>
  </r>
  <r>
    <x v="53"/>
    <x v="115"/>
    <x v="24"/>
    <x v="38"/>
    <x v="62"/>
    <x v="919"/>
    <x v="0"/>
    <s v="NEGOCIOS"/>
  </r>
  <r>
    <x v="53"/>
    <x v="168"/>
    <x v="24"/>
    <x v="38"/>
    <x v="221"/>
    <x v="1388"/>
    <x v="0"/>
    <s v="NEGOCIOS"/>
  </r>
  <r>
    <x v="53"/>
    <x v="98"/>
    <x v="24"/>
    <x v="38"/>
    <x v="197"/>
    <x v="872"/>
    <x v="0"/>
    <s v="NEGOCIOS"/>
  </r>
  <r>
    <x v="53"/>
    <x v="128"/>
    <x v="24"/>
    <x v="38"/>
    <x v="84"/>
    <x v="398"/>
    <x v="0"/>
    <s v="NEGOCIOS"/>
  </r>
  <r>
    <x v="53"/>
    <x v="44"/>
    <x v="24"/>
    <x v="38"/>
    <x v="94"/>
    <x v="1799"/>
    <x v="0"/>
    <s v="NEGOCIOS"/>
  </r>
  <r>
    <x v="53"/>
    <x v="11"/>
    <x v="24"/>
    <x v="37"/>
    <x v="186"/>
    <x v="398"/>
    <x v="0"/>
    <s v="NEGOCIOS"/>
  </r>
  <r>
    <x v="53"/>
    <x v="136"/>
    <x v="24"/>
    <x v="38"/>
    <x v="235"/>
    <x v="1800"/>
    <x v="0"/>
    <s v="NEGOCIOS"/>
  </r>
  <r>
    <x v="53"/>
    <x v="145"/>
    <x v="24"/>
    <x v="38"/>
    <x v="127"/>
    <x v="844"/>
    <x v="0"/>
    <s v="NEGOCIOS"/>
  </r>
  <r>
    <x v="53"/>
    <x v="110"/>
    <x v="24"/>
    <x v="38"/>
    <x v="189"/>
    <x v="919"/>
    <x v="0"/>
    <s v="NEGOCIOS"/>
  </r>
  <r>
    <x v="53"/>
    <x v="65"/>
    <x v="24"/>
    <x v="38"/>
    <x v="165"/>
    <x v="1801"/>
    <x v="0"/>
    <s v="NEGOCIOS"/>
  </r>
  <r>
    <x v="53"/>
    <x v="17"/>
    <x v="24"/>
    <x v="38"/>
    <x v="201"/>
    <x v="1802"/>
    <x v="0"/>
    <s v="NEGOCIOS"/>
  </r>
  <r>
    <x v="53"/>
    <x v="92"/>
    <x v="12"/>
    <x v="37"/>
    <x v="230"/>
    <x v="1803"/>
    <x v="0"/>
    <s v="NEGOCIOS"/>
  </r>
  <r>
    <x v="53"/>
    <x v="61"/>
    <x v="12"/>
    <x v="38"/>
    <x v="43"/>
    <x v="1804"/>
    <x v="0"/>
    <s v="NEGOCIOS"/>
  </r>
  <r>
    <x v="53"/>
    <x v="69"/>
    <x v="12"/>
    <x v="37"/>
    <x v="236"/>
    <x v="1805"/>
    <x v="0"/>
    <s v="NEGOCIOS"/>
  </r>
  <r>
    <x v="53"/>
    <x v="46"/>
    <x v="12"/>
    <x v="37"/>
    <x v="95"/>
    <x v="1806"/>
    <x v="0"/>
    <s v="NEGOCIOS"/>
  </r>
  <r>
    <x v="53"/>
    <x v="156"/>
    <x v="13"/>
    <x v="38"/>
    <x v="181"/>
    <x v="1807"/>
    <x v="0"/>
    <s v="NEGOCIOS"/>
  </r>
  <r>
    <x v="53"/>
    <x v="66"/>
    <x v="13"/>
    <x v="37"/>
    <x v="211"/>
    <x v="1808"/>
    <x v="0"/>
    <s v="NEGOCIOS"/>
  </r>
  <r>
    <x v="53"/>
    <x v="108"/>
    <x v="13"/>
    <x v="38"/>
    <x v="255"/>
    <x v="1809"/>
    <x v="0"/>
    <s v="NEGOCIOS"/>
  </r>
  <r>
    <x v="53"/>
    <x v="80"/>
    <x v="13"/>
    <x v="38"/>
    <x v="46"/>
    <x v="1810"/>
    <x v="0"/>
    <s v="NEGOCIOS"/>
  </r>
  <r>
    <x v="53"/>
    <x v="36"/>
    <x v="13"/>
    <x v="37"/>
    <x v="168"/>
    <x v="1811"/>
    <x v="0"/>
    <s v="NEGOCIOS"/>
  </r>
  <r>
    <x v="53"/>
    <x v="166"/>
    <x v="13"/>
    <x v="38"/>
    <x v="218"/>
    <x v="863"/>
    <x v="0"/>
    <s v="NEGOCIOS"/>
  </r>
  <r>
    <x v="53"/>
    <x v="4"/>
    <x v="13"/>
    <x v="37"/>
    <x v="183"/>
    <x v="1812"/>
    <x v="0"/>
    <s v="NEGOCIOS"/>
  </r>
  <r>
    <x v="53"/>
    <x v="23"/>
    <x v="13"/>
    <x v="38"/>
    <x v="184"/>
    <x v="1813"/>
    <x v="0"/>
    <s v="NEGOCIOS"/>
  </r>
  <r>
    <x v="53"/>
    <x v="84"/>
    <x v="13"/>
    <x v="37"/>
    <x v="49"/>
    <x v="1814"/>
    <x v="0"/>
    <s v="NEGOCIOS"/>
  </r>
  <r>
    <x v="53"/>
    <x v="92"/>
    <x v="13"/>
    <x v="37"/>
    <x v="230"/>
    <x v="1815"/>
    <x v="0"/>
    <s v="NEGOCIOS"/>
  </r>
  <r>
    <x v="53"/>
    <x v="139"/>
    <x v="13"/>
    <x v="38"/>
    <x v="110"/>
    <x v="1816"/>
    <x v="0"/>
    <s v="NEGOCIOS"/>
  </r>
  <r>
    <x v="53"/>
    <x v="6"/>
    <x v="13"/>
    <x v="38"/>
    <x v="125"/>
    <x v="1817"/>
    <x v="0"/>
    <s v="NEGOCIOS"/>
  </r>
  <r>
    <x v="53"/>
    <x v="129"/>
    <x v="13"/>
    <x v="38"/>
    <x v="85"/>
    <x v="1588"/>
    <x v="0"/>
    <s v="NEGOCIOS"/>
  </r>
  <r>
    <x v="53"/>
    <x v="144"/>
    <x v="13"/>
    <x v="37"/>
    <x v="199"/>
    <x v="1818"/>
    <x v="0"/>
    <s v="NEGOCIOS"/>
  </r>
  <r>
    <x v="53"/>
    <x v="110"/>
    <x v="13"/>
    <x v="38"/>
    <x v="189"/>
    <x v="828"/>
    <x v="0"/>
    <s v="NEGOCIOS"/>
  </r>
  <r>
    <x v="53"/>
    <x v="94"/>
    <x v="13"/>
    <x v="37"/>
    <x v="180"/>
    <x v="1819"/>
    <x v="0"/>
    <s v="NEGOCIOS"/>
  </r>
  <r>
    <x v="53"/>
    <x v="164"/>
    <x v="13"/>
    <x v="38"/>
    <x v="202"/>
    <x v="812"/>
    <x v="0"/>
    <s v="NEGOCIOS"/>
  </r>
  <r>
    <x v="53"/>
    <x v="83"/>
    <x v="14"/>
    <x v="38"/>
    <x v="99"/>
    <x v="869"/>
    <x v="0"/>
    <s v="NEGOCIOS"/>
  </r>
  <r>
    <x v="53"/>
    <x v="6"/>
    <x v="14"/>
    <x v="38"/>
    <x v="125"/>
    <x v="1820"/>
    <x v="0"/>
    <s v="NEGOCIOS"/>
  </r>
  <r>
    <x v="53"/>
    <x v="83"/>
    <x v="26"/>
    <x v="38"/>
    <x v="99"/>
    <x v="872"/>
    <x v="0"/>
    <s v="NEGOCIOS"/>
  </r>
  <r>
    <x v="53"/>
    <x v="2"/>
    <x v="26"/>
    <x v="38"/>
    <x v="172"/>
    <x v="1743"/>
    <x v="0"/>
    <s v="NEGOCIOS"/>
  </r>
  <r>
    <x v="53"/>
    <x v="16"/>
    <x v="26"/>
    <x v="38"/>
    <x v="101"/>
    <x v="872"/>
    <x v="0"/>
    <s v="NEGOCIOS"/>
  </r>
  <r>
    <x v="53"/>
    <x v="133"/>
    <x v="26"/>
    <x v="38"/>
    <x v="102"/>
    <x v="872"/>
    <x v="0"/>
    <s v="NEGOCIOS"/>
  </r>
  <r>
    <x v="53"/>
    <x v="94"/>
    <x v="26"/>
    <x v="37"/>
    <x v="180"/>
    <x v="813"/>
    <x v="0"/>
    <s v="NEGOCIOS"/>
  </r>
  <r>
    <x v="53"/>
    <x v="17"/>
    <x v="26"/>
    <x v="38"/>
    <x v="201"/>
    <x v="872"/>
    <x v="0"/>
    <s v="NEGOCIOS"/>
  </r>
  <r>
    <x v="53"/>
    <x v="164"/>
    <x v="26"/>
    <x v="37"/>
    <x v="202"/>
    <x v="799"/>
    <x v="0"/>
    <s v="NEGOCIOS"/>
  </r>
  <r>
    <x v="53"/>
    <x v="43"/>
    <x v="27"/>
    <x v="37"/>
    <x v="73"/>
    <x v="1821"/>
    <x v="0"/>
    <s v="NEGOCIOS"/>
  </r>
  <r>
    <x v="53"/>
    <x v="69"/>
    <x v="27"/>
    <x v="37"/>
    <x v="236"/>
    <x v="1020"/>
    <x v="0"/>
    <s v="NEGOCIOS"/>
  </r>
  <r>
    <x v="53"/>
    <x v="164"/>
    <x v="27"/>
    <x v="37"/>
    <x v="202"/>
    <x v="1020"/>
    <x v="0"/>
    <s v="NEGOCIOS"/>
  </r>
  <r>
    <x v="53"/>
    <x v="5"/>
    <x v="29"/>
    <x v="37"/>
    <x v="206"/>
    <x v="1274"/>
    <x v="0"/>
    <s v="NEGOCIOS"/>
  </r>
  <r>
    <x v="53"/>
    <x v="31"/>
    <x v="29"/>
    <x v="37"/>
    <x v="72"/>
    <x v="1732"/>
    <x v="0"/>
    <s v="NEGOCIOS"/>
  </r>
  <r>
    <x v="53"/>
    <x v="44"/>
    <x v="29"/>
    <x v="38"/>
    <x v="94"/>
    <x v="826"/>
    <x v="0"/>
    <s v="NEGOCIOS"/>
  </r>
  <r>
    <x v="53"/>
    <x v="93"/>
    <x v="29"/>
    <x v="38"/>
    <x v="80"/>
    <x v="919"/>
    <x v="0"/>
    <s v="NEGOCIOS"/>
  </r>
  <r>
    <x v="53"/>
    <x v="95"/>
    <x v="29"/>
    <x v="37"/>
    <x v="164"/>
    <x v="1822"/>
    <x v="0"/>
    <s v="NEGOCIOS"/>
  </r>
  <r>
    <x v="53"/>
    <x v="131"/>
    <x v="32"/>
    <x v="38"/>
    <x v="97"/>
    <x v="1823"/>
    <x v="0"/>
    <s v="NEGOCIOS"/>
  </r>
  <r>
    <x v="53"/>
    <x v="114"/>
    <x v="32"/>
    <x v="38"/>
    <x v="203"/>
    <x v="1824"/>
    <x v="0"/>
    <s v="NEGOCIOS"/>
  </r>
  <r>
    <x v="53"/>
    <x v="13"/>
    <x v="32"/>
    <x v="38"/>
    <x v="207"/>
    <x v="1360"/>
    <x v="0"/>
    <s v="NEGOCIOS"/>
  </r>
  <r>
    <x v="53"/>
    <x v="25"/>
    <x v="33"/>
    <x v="38"/>
    <x v="169"/>
    <x v="1825"/>
    <x v="0"/>
    <s v="NEGOCIOS"/>
  </r>
  <r>
    <x v="53"/>
    <x v="48"/>
    <x v="33"/>
    <x v="38"/>
    <x v="77"/>
    <x v="1826"/>
    <x v="0"/>
    <s v="NEGOCIOS"/>
  </r>
  <r>
    <x v="53"/>
    <x v="15"/>
    <x v="33"/>
    <x v="38"/>
    <x v="91"/>
    <x v="1827"/>
    <x v="0"/>
    <s v="NEGOCIOS"/>
  </r>
  <r>
    <x v="53"/>
    <x v="10"/>
    <x v="33"/>
    <x v="38"/>
    <x v="152"/>
    <x v="1828"/>
    <x v="0"/>
    <s v="NEGOCIOS"/>
  </r>
  <r>
    <x v="53"/>
    <x v="156"/>
    <x v="15"/>
    <x v="38"/>
    <x v="181"/>
    <x v="1829"/>
    <x v="0"/>
    <s v="NEGOCIOS"/>
  </r>
  <r>
    <x v="53"/>
    <x v="76"/>
    <x v="15"/>
    <x v="38"/>
    <x v="42"/>
    <x v="1830"/>
    <x v="0"/>
    <s v="NEGOCIOS"/>
  </r>
  <r>
    <x v="53"/>
    <x v="56"/>
    <x v="15"/>
    <x v="38"/>
    <x v="193"/>
    <x v="1831"/>
    <x v="0"/>
    <s v="NEGOCIOS"/>
  </r>
  <r>
    <x v="53"/>
    <x v="139"/>
    <x v="15"/>
    <x v="38"/>
    <x v="110"/>
    <x v="1832"/>
    <x v="0"/>
    <s v="NEGOCIOS"/>
  </r>
  <r>
    <x v="53"/>
    <x v="111"/>
    <x v="15"/>
    <x v="38"/>
    <x v="146"/>
    <x v="1833"/>
    <x v="0"/>
    <s v="NEGOCIOS"/>
  </r>
  <r>
    <x v="53"/>
    <x v="163"/>
    <x v="15"/>
    <x v="38"/>
    <x v="200"/>
    <x v="1834"/>
    <x v="0"/>
    <s v="NEGOCIOS"/>
  </r>
  <r>
    <x v="53"/>
    <x v="46"/>
    <x v="15"/>
    <x v="38"/>
    <x v="95"/>
    <x v="1835"/>
    <x v="0"/>
    <s v="NEGOCIOS"/>
  </r>
  <r>
    <x v="54"/>
    <x v="89"/>
    <x v="2"/>
    <x v="37"/>
    <x v="231"/>
    <x v="1057"/>
    <x v="0"/>
    <s v="BOULEVARD EL DORADO"/>
  </r>
  <r>
    <x v="54"/>
    <x v="150"/>
    <x v="2"/>
    <x v="38"/>
    <x v="224"/>
    <x v="872"/>
    <x v="0"/>
    <s v="BOULEVARD EL DORADO"/>
  </r>
  <r>
    <x v="54"/>
    <x v="90"/>
    <x v="2"/>
    <x v="37"/>
    <x v="90"/>
    <x v="1836"/>
    <x v="0"/>
    <s v="BOULEVARD EL DORADO"/>
  </r>
  <r>
    <x v="54"/>
    <x v="139"/>
    <x v="2"/>
    <x v="37"/>
    <x v="110"/>
    <x v="1837"/>
    <x v="0"/>
    <s v="BOULEVARD EL DORADO"/>
  </r>
  <r>
    <x v="54"/>
    <x v="29"/>
    <x v="2"/>
    <x v="37"/>
    <x v="132"/>
    <x v="1838"/>
    <x v="0"/>
    <s v="BOULEVARD EL DORADO"/>
  </r>
  <r>
    <x v="54"/>
    <x v="78"/>
    <x v="2"/>
    <x v="37"/>
    <x v="147"/>
    <x v="1839"/>
    <x v="0"/>
    <s v="BOULEVARD EL DORADO"/>
  </r>
  <r>
    <x v="54"/>
    <x v="11"/>
    <x v="2"/>
    <x v="37"/>
    <x v="186"/>
    <x v="1840"/>
    <x v="0"/>
    <s v="BOULEVARD EL DORADO"/>
  </r>
  <r>
    <x v="54"/>
    <x v="110"/>
    <x v="2"/>
    <x v="37"/>
    <x v="189"/>
    <x v="1841"/>
    <x v="0"/>
    <s v="BOULEVARD EL DORADO"/>
  </r>
  <r>
    <x v="54"/>
    <x v="46"/>
    <x v="2"/>
    <x v="37"/>
    <x v="95"/>
    <x v="1842"/>
    <x v="0"/>
    <s v="BOULEVARD EL DORADO"/>
  </r>
  <r>
    <x v="55"/>
    <x v="16"/>
    <x v="2"/>
    <x v="37"/>
    <x v="101"/>
    <x v="1843"/>
    <x v="0"/>
    <s v="SAN SEBASTIAN"/>
  </r>
  <r>
    <x v="56"/>
    <x v="76"/>
    <x v="2"/>
    <x v="37"/>
    <x v="42"/>
    <x v="1844"/>
    <x v="0"/>
    <s v="SANTIAGO INTERAMERICANA"/>
  </r>
  <r>
    <x v="56"/>
    <x v="155"/>
    <x v="2"/>
    <x v="37"/>
    <x v="217"/>
    <x v="1845"/>
    <x v="0"/>
    <s v="SANTIAGO INTERAMERICANA"/>
  </r>
  <r>
    <x v="56"/>
    <x v="71"/>
    <x v="2"/>
    <x v="37"/>
    <x v="229"/>
    <x v="1846"/>
    <x v="0"/>
    <s v="SANTIAGO INTERAMERICANA"/>
  </r>
  <r>
    <x v="56"/>
    <x v="49"/>
    <x v="2"/>
    <x v="37"/>
    <x v="78"/>
    <x v="1847"/>
    <x v="0"/>
    <s v="SANTIAGO INTERAMERICANA"/>
  </r>
  <r>
    <x v="56"/>
    <x v="164"/>
    <x v="2"/>
    <x v="37"/>
    <x v="202"/>
    <x v="1848"/>
    <x v="0"/>
    <s v="SANTIAGO INTERAMERICANA"/>
  </r>
  <r>
    <x v="72"/>
    <x v="155"/>
    <x v="2"/>
    <x v="37"/>
    <x v="217"/>
    <x v="1849"/>
    <x v="0"/>
    <s v="CIUDAD DEL SABER"/>
  </r>
  <r>
    <x v="72"/>
    <x v="18"/>
    <x v="2"/>
    <x v="37"/>
    <x v="124"/>
    <x v="818"/>
    <x v="0"/>
    <s v="CIUDAD DEL SABER"/>
  </r>
  <r>
    <x v="72"/>
    <x v="86"/>
    <x v="2"/>
    <x v="38"/>
    <x v="204"/>
    <x v="776"/>
    <x v="0"/>
    <s v="CIUDAD DEL SABER"/>
  </r>
  <r>
    <x v="72"/>
    <x v="95"/>
    <x v="2"/>
    <x v="37"/>
    <x v="164"/>
    <x v="776"/>
    <x v="0"/>
    <s v="CIUDAD DEL SABER"/>
  </r>
  <r>
    <x v="57"/>
    <x v="0"/>
    <x v="2"/>
    <x v="37"/>
    <x v="223"/>
    <x v="1057"/>
    <x v="0"/>
    <s v="VILLA ZAITA"/>
  </r>
  <r>
    <x v="57"/>
    <x v="76"/>
    <x v="2"/>
    <x v="37"/>
    <x v="42"/>
    <x v="1850"/>
    <x v="0"/>
    <s v="VILLA ZAITA"/>
  </r>
  <r>
    <x v="57"/>
    <x v="76"/>
    <x v="2"/>
    <x v="38"/>
    <x v="42"/>
    <x v="764"/>
    <x v="0"/>
    <s v="VILLA ZAITA"/>
  </r>
  <r>
    <x v="57"/>
    <x v="72"/>
    <x v="2"/>
    <x v="37"/>
    <x v="205"/>
    <x v="1321"/>
    <x v="0"/>
    <s v="VILLA ZAITA"/>
  </r>
  <r>
    <x v="57"/>
    <x v="15"/>
    <x v="2"/>
    <x v="38"/>
    <x v="91"/>
    <x v="1851"/>
    <x v="0"/>
    <s v="VILLA ZAITA"/>
  </r>
  <r>
    <x v="57"/>
    <x v="16"/>
    <x v="2"/>
    <x v="37"/>
    <x v="101"/>
    <x v="1852"/>
    <x v="0"/>
    <s v="VILLA ZAITA"/>
  </r>
  <r>
    <x v="57"/>
    <x v="6"/>
    <x v="2"/>
    <x v="38"/>
    <x v="125"/>
    <x v="1853"/>
    <x v="0"/>
    <s v="VILLA ZAITA"/>
  </r>
  <r>
    <x v="57"/>
    <x v="12"/>
    <x v="2"/>
    <x v="38"/>
    <x v="103"/>
    <x v="1854"/>
    <x v="0"/>
    <s v="VILLA ZAITA"/>
  </r>
  <r>
    <x v="58"/>
    <x v="139"/>
    <x v="2"/>
    <x v="37"/>
    <x v="110"/>
    <x v="1855"/>
    <x v="0"/>
    <s v="AZUERO TERMINAL PLAZA"/>
  </r>
  <r>
    <x v="58"/>
    <x v="49"/>
    <x v="2"/>
    <x v="37"/>
    <x v="78"/>
    <x v="931"/>
    <x v="0"/>
    <s v="AZUERO TERMINAL PLAZA"/>
  </r>
  <r>
    <x v="58"/>
    <x v="46"/>
    <x v="2"/>
    <x v="37"/>
    <x v="95"/>
    <x v="1856"/>
    <x v="0"/>
    <s v="AZUERO TERMINAL PLAZA"/>
  </r>
  <r>
    <x v="73"/>
    <x v="91"/>
    <x v="2"/>
    <x v="37"/>
    <x v="162"/>
    <x v="1857"/>
    <x v="0"/>
    <s v="TOWN CENTER COSTA DEL ESTE"/>
  </r>
  <r>
    <x v="73"/>
    <x v="18"/>
    <x v="2"/>
    <x v="37"/>
    <x v="124"/>
    <x v="1858"/>
    <x v="0"/>
    <s v="TOWN CENTER COSTA DEL ESTE"/>
  </r>
  <r>
    <x v="73"/>
    <x v="159"/>
    <x v="2"/>
    <x v="37"/>
    <x v="175"/>
    <x v="1859"/>
    <x v="0"/>
    <s v="TOWN CENTER COSTA DEL ESTE"/>
  </r>
  <r>
    <x v="73"/>
    <x v="11"/>
    <x v="2"/>
    <x v="37"/>
    <x v="186"/>
    <x v="1860"/>
    <x v="0"/>
    <s v="TOWN CENTER COSTA DEL ESTE"/>
  </r>
  <r>
    <x v="73"/>
    <x v="164"/>
    <x v="2"/>
    <x v="37"/>
    <x v="202"/>
    <x v="1861"/>
    <x v="0"/>
    <s v="TOWN CENTER COSTA DEL ESTE"/>
  </r>
  <r>
    <x v="59"/>
    <x v="16"/>
    <x v="2"/>
    <x v="37"/>
    <x v="101"/>
    <x v="1862"/>
    <x v="0"/>
    <s v="COSTA VERDE"/>
  </r>
  <r>
    <x v="59"/>
    <x v="144"/>
    <x v="2"/>
    <x v="37"/>
    <x v="199"/>
    <x v="1863"/>
    <x v="0"/>
    <s v="COSTA VERDE"/>
  </r>
  <r>
    <x v="59"/>
    <x v="69"/>
    <x v="2"/>
    <x v="37"/>
    <x v="236"/>
    <x v="1617"/>
    <x v="0"/>
    <s v="COSTA VERDE"/>
  </r>
  <r>
    <x v="74"/>
    <x v="34"/>
    <x v="2"/>
    <x v="37"/>
    <x v="66"/>
    <x v="1864"/>
    <x v="0"/>
    <s v="PLAZA LOS ANGELES"/>
  </r>
  <r>
    <x v="74"/>
    <x v="151"/>
    <x v="2"/>
    <x v="37"/>
    <x v="254"/>
    <x v="811"/>
    <x v="47"/>
    <s v="PLAZA LOS ANGELES"/>
  </r>
  <r>
    <x v="74"/>
    <x v="92"/>
    <x v="2"/>
    <x v="37"/>
    <x v="230"/>
    <x v="1865"/>
    <x v="0"/>
    <s v="PLAZA LOS ANGELES"/>
  </r>
  <r>
    <x v="74"/>
    <x v="31"/>
    <x v="2"/>
    <x v="37"/>
    <x v="72"/>
    <x v="1866"/>
    <x v="0"/>
    <s v="PLAZA LOS ANGELES"/>
  </r>
  <r>
    <x v="74"/>
    <x v="12"/>
    <x v="2"/>
    <x v="37"/>
    <x v="103"/>
    <x v="1867"/>
    <x v="0"/>
    <s v="PLAZA LOS ANGELES"/>
  </r>
  <r>
    <x v="75"/>
    <x v="71"/>
    <x v="2"/>
    <x v="37"/>
    <x v="229"/>
    <x v="1868"/>
    <x v="0"/>
    <s v="SAN MATEO"/>
  </r>
  <r>
    <x v="75"/>
    <x v="46"/>
    <x v="2"/>
    <x v="37"/>
    <x v="95"/>
    <x v="1869"/>
    <x v="0"/>
    <s v="SAN MATEO"/>
  </r>
  <r>
    <x v="75"/>
    <x v="95"/>
    <x v="2"/>
    <x v="37"/>
    <x v="164"/>
    <x v="1401"/>
    <x v="0"/>
    <s v="SAN MATEO"/>
  </r>
  <r>
    <x v="75"/>
    <x v="17"/>
    <x v="2"/>
    <x v="37"/>
    <x v="201"/>
    <x v="1401"/>
    <x v="0"/>
    <s v="SAN MATEO"/>
  </r>
  <r>
    <x v="76"/>
    <x v="34"/>
    <x v="2"/>
    <x v="37"/>
    <x v="66"/>
    <x v="1870"/>
    <x v="0"/>
    <s v="BRISAS DEL GOLF ARRAIJAN"/>
  </r>
  <r>
    <x v="76"/>
    <x v="155"/>
    <x v="2"/>
    <x v="37"/>
    <x v="217"/>
    <x v="1871"/>
    <x v="0"/>
    <s v="BRISAS DEL GOLF ARRAIJAN"/>
  </r>
  <r>
    <x v="76"/>
    <x v="92"/>
    <x v="2"/>
    <x v="37"/>
    <x v="230"/>
    <x v="856"/>
    <x v="0"/>
    <s v="BRISAS DEL GOLF ARRAIJAN"/>
  </r>
  <r>
    <x v="76"/>
    <x v="12"/>
    <x v="2"/>
    <x v="37"/>
    <x v="103"/>
    <x v="1872"/>
    <x v="0"/>
    <s v="BRISAS DEL GOLF ARRAIJAN"/>
  </r>
  <r>
    <x v="61"/>
    <x v="8"/>
    <x v="2"/>
    <x v="37"/>
    <x v="209"/>
    <x v="1200"/>
    <x v="0"/>
    <s v="PASEO ARRAIJAN"/>
  </r>
  <r>
    <x v="61"/>
    <x v="151"/>
    <x v="2"/>
    <x v="37"/>
    <x v="254"/>
    <x v="1864"/>
    <x v="0"/>
    <s v="PASEO ARRAIJAN"/>
  </r>
  <r>
    <x v="61"/>
    <x v="0"/>
    <x v="2"/>
    <x v="37"/>
    <x v="223"/>
    <x v="1873"/>
    <x v="0"/>
    <s v="PASEO ARRAIJAN"/>
  </r>
  <r>
    <x v="61"/>
    <x v="152"/>
    <x v="2"/>
    <x v="37"/>
    <x v="161"/>
    <x v="1874"/>
    <x v="0"/>
    <s v="PASEO ARRAIJAN"/>
  </r>
  <r>
    <x v="61"/>
    <x v="14"/>
    <x v="2"/>
    <x v="37"/>
    <x v="61"/>
    <x v="1639"/>
    <x v="0"/>
    <s v="PASEO ARRAIJAN"/>
  </r>
  <r>
    <x v="61"/>
    <x v="92"/>
    <x v="2"/>
    <x v="37"/>
    <x v="230"/>
    <x v="1875"/>
    <x v="0"/>
    <s v="PASEO ARRAIJAN"/>
  </r>
  <r>
    <x v="61"/>
    <x v="144"/>
    <x v="2"/>
    <x v="37"/>
    <x v="199"/>
    <x v="1613"/>
    <x v="0"/>
    <s v="PASEO ARRAIJAN"/>
  </r>
  <r>
    <x v="61"/>
    <x v="58"/>
    <x v="2"/>
    <x v="37"/>
    <x v="29"/>
    <x v="872"/>
    <x v="0"/>
    <s v="PASEO ARRAIJAN"/>
  </r>
  <r>
    <x v="62"/>
    <x v="37"/>
    <x v="2"/>
    <x v="37"/>
    <x v="171"/>
    <x v="1876"/>
    <x v="0"/>
    <s v="PLAZA NUEVO TOCUMEN"/>
  </r>
  <r>
    <x v="62"/>
    <x v="160"/>
    <x v="2"/>
    <x v="37"/>
    <x v="185"/>
    <x v="1877"/>
    <x v="0"/>
    <s v="PLAZA NUEVO TOCUMEN"/>
  </r>
  <r>
    <x v="62"/>
    <x v="49"/>
    <x v="2"/>
    <x v="37"/>
    <x v="78"/>
    <x v="1315"/>
    <x v="0"/>
    <s v="PLAZA NUEVO TOCUMEN"/>
  </r>
  <r>
    <x v="62"/>
    <x v="144"/>
    <x v="2"/>
    <x v="37"/>
    <x v="199"/>
    <x v="878"/>
    <x v="0"/>
    <s v="PLAZA NUEVO TOCUMEN"/>
  </r>
  <r>
    <x v="62"/>
    <x v="94"/>
    <x v="2"/>
    <x v="37"/>
    <x v="180"/>
    <x v="1878"/>
    <x v="0"/>
    <s v="PLAZA NUEVO TOCUMEN"/>
  </r>
  <r>
    <x v="62"/>
    <x v="164"/>
    <x v="2"/>
    <x v="37"/>
    <x v="202"/>
    <x v="304"/>
    <x v="0"/>
    <s v="PLAZA NUEVO TOCUMEN"/>
  </r>
  <r>
    <x v="63"/>
    <x v="152"/>
    <x v="2"/>
    <x v="37"/>
    <x v="161"/>
    <x v="1879"/>
    <x v="0"/>
    <s v="SANTA MARIA"/>
  </r>
  <r>
    <x v="63"/>
    <x v="84"/>
    <x v="2"/>
    <x v="37"/>
    <x v="49"/>
    <x v="1880"/>
    <x v="0"/>
    <s v="SANTA MARIA"/>
  </r>
  <r>
    <x v="63"/>
    <x v="49"/>
    <x v="2"/>
    <x v="37"/>
    <x v="78"/>
    <x v="1881"/>
    <x v="0"/>
    <s v="SANTA MARIA"/>
  </r>
  <r>
    <x v="63"/>
    <x v="144"/>
    <x v="2"/>
    <x v="37"/>
    <x v="199"/>
    <x v="1882"/>
    <x v="0"/>
    <s v="SANTA MARI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1" cacheId="0" applyNumberFormats="0" applyBorderFormats="0" applyFontFormats="0" applyPatternFormats="0" applyAlignmentFormats="0" applyWidthHeightFormats="1" dataCaption="Valores" updatedVersion="5" minRefreshableVersion="3" showDrill="0" useAutoFormatting="1" rowGrandTotals="0" colGrandTotals="0" itemPrintTitles="1" createdVersion="5" indent="0" outline="1" outlineData="1" fieldListSortAscending="1">
  <location ref="B5:G3431" firstHeaderRow="1" firstDataRow="1" firstDataCol="6" rowPageCount="1" colPageCount="1"/>
  <pivotFields count="8">
    <pivotField axis="axisPage" showAll="0">
      <items count="78">
        <item x="0"/>
        <item x="1"/>
        <item x="2"/>
        <item x="3"/>
        <item x="4"/>
        <item x="5"/>
        <item x="6"/>
        <item x="7"/>
        <item x="8"/>
        <item x="9"/>
        <item x="64"/>
        <item x="10"/>
        <item x="65"/>
        <item x="11"/>
        <item x="12"/>
        <item x="13"/>
        <item x="14"/>
        <item x="15"/>
        <item x="16"/>
        <item x="17"/>
        <item x="18"/>
        <item x="19"/>
        <item x="20"/>
        <item x="66"/>
        <item x="21"/>
        <item x="22"/>
        <item x="23"/>
        <item x="24"/>
        <item x="25"/>
        <item x="26"/>
        <item x="27"/>
        <item x="67"/>
        <item x="28"/>
        <item x="29"/>
        <item x="30"/>
        <item x="31"/>
        <item x="32"/>
        <item x="33"/>
        <item x="34"/>
        <item x="35"/>
        <item x="36"/>
        <item x="37"/>
        <item x="68"/>
        <item x="38"/>
        <item x="39"/>
        <item x="69"/>
        <item x="70"/>
        <item x="40"/>
        <item x="71"/>
        <item x="41"/>
        <item x="42"/>
        <item x="43"/>
        <item x="44"/>
        <item x="45"/>
        <item x="46"/>
        <item x="47"/>
        <item x="48"/>
        <item x="49"/>
        <item x="50"/>
        <item x="51"/>
        <item x="52"/>
        <item x="53"/>
        <item x="54"/>
        <item x="55"/>
        <item x="56"/>
        <item x="72"/>
        <item x="57"/>
        <item x="58"/>
        <item x="73"/>
        <item x="59"/>
        <item x="74"/>
        <item x="60"/>
        <item x="75"/>
        <item x="76"/>
        <item x="61"/>
        <item x="62"/>
        <item x="63"/>
        <item t="default"/>
      </items>
    </pivotField>
    <pivotField axis="axisRow" outline="0" showAll="0" defaultSubtotal="0">
      <items count="170">
        <item x="137"/>
        <item x="106"/>
        <item x="156"/>
        <item x="107"/>
        <item x="117"/>
        <item x="87"/>
        <item x="8"/>
        <item x="88"/>
        <item x="54"/>
        <item x="138"/>
        <item x="34"/>
        <item x="81"/>
        <item x="35"/>
        <item x="157"/>
        <item x="38"/>
        <item x="161"/>
        <item x="151"/>
        <item x="82"/>
        <item x="0"/>
        <item x="89"/>
        <item x="66"/>
        <item x="39"/>
        <item x="108"/>
        <item x="80"/>
        <item x="150"/>
        <item x="21"/>
        <item x="76"/>
        <item x="118"/>
        <item x="155"/>
        <item x="83"/>
        <item x="1"/>
        <item x="149"/>
        <item x="147"/>
        <item x="90"/>
        <item x="24"/>
        <item x="152"/>
        <item x="96"/>
        <item x="74"/>
        <item x="36"/>
        <item x="25"/>
        <item x="55"/>
        <item x="37"/>
        <item x="2"/>
        <item x="148"/>
        <item x="14"/>
        <item x="169"/>
        <item x="135"/>
        <item x="130"/>
        <item x="166"/>
        <item x="56"/>
        <item x="121"/>
        <item x="4"/>
        <item x="132"/>
        <item x="23"/>
        <item x="119"/>
        <item x="122"/>
        <item x="67"/>
        <item x="162"/>
        <item x="26"/>
        <item x="71"/>
        <item x="40"/>
        <item x="167"/>
        <item x="91"/>
        <item x="48"/>
        <item x="7"/>
        <item x="160"/>
        <item x="84"/>
        <item x="120"/>
        <item x="59"/>
        <item x="57"/>
        <item x="27"/>
        <item x="115"/>
        <item x="92"/>
        <item x="41"/>
        <item x="139"/>
        <item x="146"/>
        <item x="60"/>
        <item x="68"/>
        <item x="9"/>
        <item x="72"/>
        <item x="97"/>
        <item x="165"/>
        <item x="61"/>
        <item x="15"/>
        <item x="158"/>
        <item x="168"/>
        <item x="77"/>
        <item x="73"/>
        <item x="62"/>
        <item x="5"/>
        <item x="28"/>
        <item x="116"/>
        <item x="18"/>
        <item x="127"/>
        <item x="98"/>
        <item x="29"/>
        <item x="154"/>
        <item x="111"/>
        <item x="16"/>
        <item x="101"/>
        <item x="49"/>
        <item x="6"/>
        <item x="112"/>
        <item x="30"/>
        <item x="42"/>
        <item x="78"/>
        <item x="128"/>
        <item x="22"/>
        <item x="131"/>
        <item x="85"/>
        <item x="31"/>
        <item x="102"/>
        <item x="140"/>
        <item x="159"/>
        <item x="10"/>
        <item x="43"/>
        <item x="103"/>
        <item x="104"/>
        <item x="123"/>
        <item x="63"/>
        <item x="129"/>
        <item x="144"/>
        <item x="44"/>
        <item x="163"/>
        <item x="50"/>
        <item x="113"/>
        <item x="51"/>
        <item x="11"/>
        <item x="124"/>
        <item x="136"/>
        <item x="99"/>
        <item x="45"/>
        <item x="109"/>
        <item x="69"/>
        <item x="86"/>
        <item x="52"/>
        <item x="145"/>
        <item x="105"/>
        <item x="133"/>
        <item x="53"/>
        <item x="12"/>
        <item x="64"/>
        <item x="75"/>
        <item x="141"/>
        <item x="79"/>
        <item x="93"/>
        <item x="110"/>
        <item x="114"/>
        <item x="46"/>
        <item x="94"/>
        <item x="134"/>
        <item x="13"/>
        <item x="143"/>
        <item x="95"/>
        <item x="125"/>
        <item x="32"/>
        <item x="33"/>
        <item x="126"/>
        <item x="65"/>
        <item x="17"/>
        <item x="142"/>
        <item x="47"/>
        <item x="164"/>
        <item x="100"/>
        <item x="3"/>
        <item x="58"/>
        <item x="70"/>
        <item x="19"/>
        <item x="20"/>
        <item x="153"/>
      </items>
      <extLst>
        <ext xmlns:x14="http://schemas.microsoft.com/office/spreadsheetml/2009/9/main" uri="{2946ED86-A175-432a-8AC1-64E0C546D7DE}">
          <x14:pivotField fillDownLabels="1"/>
        </ext>
      </extLst>
    </pivotField>
    <pivotField axis="axisRow" outline="0" showAll="0" defaultSubtotal="0">
      <items count="39">
        <item x="2"/>
        <item x="22"/>
        <item x="11"/>
        <item x="10"/>
        <item x="35"/>
        <item x="28"/>
        <item x="30"/>
        <item x="29"/>
        <item x="31"/>
        <item x="16"/>
        <item x="5"/>
        <item x="27"/>
        <item x="0"/>
        <item x="36"/>
        <item x="8"/>
        <item x="6"/>
        <item x="20"/>
        <item x="7"/>
        <item x="18"/>
        <item x="24"/>
        <item x="23"/>
        <item x="14"/>
        <item x="25"/>
        <item x="13"/>
        <item x="4"/>
        <item x="38"/>
        <item x="3"/>
        <item x="15"/>
        <item x="17"/>
        <item x="32"/>
        <item x="33"/>
        <item x="37"/>
        <item x="21"/>
        <item x="26"/>
        <item x="34"/>
        <item x="1"/>
        <item x="9"/>
        <item x="12"/>
        <item x="19"/>
      </items>
      <extLst>
        <ext xmlns:x14="http://schemas.microsoft.com/office/spreadsheetml/2009/9/main" uri="{2946ED86-A175-432a-8AC1-64E0C546D7DE}">
          <x14:pivotField fillDownLabels="1"/>
        </ext>
      </extLst>
    </pivotField>
    <pivotField axis="axisRow" outline="0" showAll="0" defaultSubtotal="0">
      <items count="39">
        <item x="29"/>
        <item x="25"/>
        <item x="27"/>
        <item x="26"/>
        <item x="28"/>
        <item x="23"/>
        <item x="38"/>
        <item x="31"/>
        <item x="24"/>
        <item x="37"/>
        <item x="22"/>
        <item x="30"/>
        <item x="19"/>
        <item x="9"/>
        <item x="8"/>
        <item x="1"/>
        <item x="13"/>
        <item x="11"/>
        <item x="4"/>
        <item x="6"/>
        <item x="5"/>
        <item x="0"/>
        <item x="2"/>
        <item x="3"/>
        <item x="12"/>
        <item x="7"/>
        <item x="10"/>
        <item x="15"/>
        <item x="14"/>
        <item x="17"/>
        <item x="18"/>
        <item x="16"/>
        <item x="33"/>
        <item x="32"/>
        <item x="34"/>
        <item x="35"/>
        <item x="36"/>
        <item x="21"/>
        <item x="20"/>
      </items>
      <extLst>
        <ext xmlns:x14="http://schemas.microsoft.com/office/spreadsheetml/2009/9/main" uri="{2946ED86-A175-432a-8AC1-64E0C546D7DE}">
          <x14:pivotField fillDownLabels="1"/>
        </ext>
      </extLst>
    </pivotField>
    <pivotField axis="axisRow" outline="0" showAll="0" defaultSubtotal="0">
      <items count="263">
        <item x="251"/>
        <item x="159"/>
        <item x="24"/>
        <item x="41"/>
        <item x="241"/>
        <item x="242"/>
        <item x="243"/>
        <item x="44"/>
        <item x="244"/>
        <item x="45"/>
        <item x="47"/>
        <item x="245"/>
        <item x="246"/>
        <item x="51"/>
        <item x="260"/>
        <item x="247"/>
        <item x="248"/>
        <item x="249"/>
        <item x="52"/>
        <item x="53"/>
        <item x="54"/>
        <item x="250"/>
        <item x="25"/>
        <item x="55"/>
        <item x="56"/>
        <item x="57"/>
        <item x="59"/>
        <item x="60"/>
        <item x="64"/>
        <item x="65"/>
        <item x="26"/>
        <item x="75"/>
        <item x="76"/>
        <item x="89"/>
        <item x="92"/>
        <item x="93"/>
        <item x="96"/>
        <item x="105"/>
        <item x="27"/>
        <item x="106"/>
        <item x="115"/>
        <item x="116"/>
        <item x="119"/>
        <item x="120"/>
        <item x="121"/>
        <item x="122"/>
        <item x="128"/>
        <item x="130"/>
        <item x="28"/>
        <item x="133"/>
        <item x="134"/>
        <item x="259"/>
        <item x="32"/>
        <item x="139"/>
        <item x="140"/>
        <item x="141"/>
        <item x="33"/>
        <item x="142"/>
        <item x="143"/>
        <item x="144"/>
        <item x="145"/>
        <item x="148"/>
        <item x="149"/>
        <item x="154"/>
        <item x="155"/>
        <item x="156"/>
        <item x="34"/>
        <item x="157"/>
        <item x="158"/>
        <item x="36"/>
        <item x="237"/>
        <item x="238"/>
        <item x="239"/>
        <item x="240"/>
        <item x="261"/>
        <item x="252"/>
        <item x="262"/>
        <item x="108"/>
        <item x="98"/>
        <item x="181"/>
        <item x="256"/>
        <item x="233"/>
        <item x="129"/>
        <item x="8"/>
        <item x="209"/>
        <item x="138"/>
        <item x="210"/>
        <item x="109"/>
        <item x="66"/>
        <item x="190"/>
        <item x="35"/>
        <item x="160"/>
        <item x="222"/>
        <item x="191"/>
        <item x="254"/>
        <item x="48"/>
        <item x="0"/>
        <item x="223"/>
        <item x="231"/>
        <item x="211"/>
        <item x="212"/>
        <item x="255"/>
        <item x="46"/>
        <item x="224"/>
        <item x="21"/>
        <item x="67"/>
        <item x="42"/>
        <item x="68"/>
        <item x="217"/>
        <item x="99"/>
        <item x="1"/>
        <item x="225"/>
        <item x="192"/>
        <item x="182"/>
        <item x="90"/>
        <item x="167"/>
        <item x="161"/>
        <item x="232"/>
        <item x="37"/>
        <item x="168"/>
        <item x="169"/>
        <item x="170"/>
        <item x="171"/>
        <item x="2"/>
        <item x="172"/>
        <item x="131"/>
        <item x="14"/>
        <item x="61"/>
        <item x="111"/>
        <item x="218"/>
        <item x="193"/>
        <item x="135"/>
        <item x="4"/>
        <item x="183"/>
        <item x="100"/>
        <item x="23"/>
        <item x="184"/>
        <item x="69"/>
        <item x="112"/>
        <item x="173"/>
        <item x="194"/>
        <item x="226"/>
        <item x="229"/>
        <item x="38"/>
        <item x="219"/>
        <item x="162"/>
        <item x="77"/>
        <item x="7"/>
        <item x="136"/>
        <item x="185"/>
        <item x="49"/>
        <item x="70"/>
        <item x="31"/>
        <item x="113"/>
        <item x="62"/>
        <item x="230"/>
        <item x="88"/>
        <item x="110"/>
        <item x="195"/>
        <item x="196"/>
        <item x="213"/>
        <item x="9"/>
        <item x="258"/>
        <item x="205"/>
        <item x="114"/>
        <item x="214"/>
        <item x="43"/>
        <item x="15"/>
        <item x="91"/>
        <item x="174"/>
        <item x="221"/>
        <item x="71"/>
        <item x="227"/>
        <item x="123"/>
        <item x="5"/>
        <item x="206"/>
        <item x="63"/>
        <item x="18"/>
        <item x="124"/>
        <item x="83"/>
        <item x="197"/>
        <item x="132"/>
        <item x="215"/>
        <item x="146"/>
        <item x="16"/>
        <item x="101"/>
        <item x="150"/>
        <item x="78"/>
        <item x="6"/>
        <item x="125"/>
        <item x="216"/>
        <item x="151"/>
        <item x="147"/>
        <item x="84"/>
        <item x="22"/>
        <item x="163"/>
        <item x="97"/>
        <item x="50"/>
        <item x="72"/>
        <item x="137"/>
        <item x="234"/>
        <item x="175"/>
        <item x="10"/>
        <item x="152"/>
        <item x="73"/>
        <item x="198"/>
        <item x="74"/>
        <item x="176"/>
        <item x="85"/>
        <item x="199"/>
        <item x="94"/>
        <item x="200"/>
        <item x="126"/>
        <item x="177"/>
        <item x="178"/>
        <item x="11"/>
        <item x="186"/>
        <item x="79"/>
        <item x="235"/>
        <item x="153"/>
        <item x="107"/>
        <item x="58"/>
        <item x="236"/>
        <item x="204"/>
        <item x="228"/>
        <item x="127"/>
        <item x="179"/>
        <item x="102"/>
        <item x="208"/>
        <item x="12"/>
        <item x="103"/>
        <item x="187"/>
        <item x="39"/>
        <item x="188"/>
        <item x="80"/>
        <item x="189"/>
        <item x="203"/>
        <item x="95"/>
        <item x="180"/>
        <item x="104"/>
        <item x="13"/>
        <item x="207"/>
        <item x="166"/>
        <item x="164"/>
        <item x="81"/>
        <item x="40"/>
        <item x="86"/>
        <item x="82"/>
        <item x="165"/>
        <item x="17"/>
        <item x="201"/>
        <item x="117"/>
        <item x="257"/>
        <item x="202"/>
        <item x="220"/>
        <item x="3"/>
        <item x="30"/>
        <item x="29"/>
        <item x="253"/>
        <item x="19"/>
        <item x="118"/>
        <item x="20"/>
        <item x="87"/>
      </items>
      <extLst>
        <ext xmlns:x14="http://schemas.microsoft.com/office/spreadsheetml/2009/9/main" uri="{2946ED86-A175-432a-8AC1-64E0C546D7DE}">
          <x14:pivotField fillDownLabels="1"/>
        </ext>
      </extLst>
    </pivotField>
    <pivotField axis="axisRow" outline="0" showAll="0" defaultSubtotal="0">
      <items count="1883">
        <item x="811"/>
        <item x="1586"/>
        <item x="893"/>
        <item x="1260"/>
        <item x="894"/>
        <item x="1145"/>
        <item x="749"/>
        <item x="738"/>
        <item x="761"/>
        <item x="736"/>
        <item x="621"/>
        <item x="747"/>
        <item x="739"/>
        <item x="891"/>
        <item x="746"/>
        <item x="830"/>
        <item x="882"/>
        <item x="1660"/>
        <item x="737"/>
        <item x="1113"/>
        <item x="781"/>
        <item x="871"/>
        <item x="1746"/>
        <item x="787"/>
        <item x="785"/>
        <item x="762"/>
        <item x="759"/>
        <item x="831"/>
        <item x="888"/>
        <item x="760"/>
        <item x="1114"/>
        <item x="971"/>
        <item x="743"/>
        <item x="902"/>
        <item x="612"/>
        <item x="745"/>
        <item x="1031"/>
        <item x="754"/>
        <item x="1109"/>
        <item x="734"/>
        <item x="1822"/>
        <item x="1778"/>
        <item x="1447"/>
        <item x="1096"/>
        <item x="780"/>
        <item x="868"/>
        <item x="750"/>
        <item x="473"/>
        <item x="1092"/>
        <item x="752"/>
        <item x="1085"/>
        <item x="866"/>
        <item x="794"/>
        <item x="793"/>
        <item x="705"/>
        <item x="791"/>
        <item x="173"/>
        <item x="755"/>
        <item x="233"/>
        <item x="742"/>
        <item x="903"/>
        <item x="843"/>
        <item x="1708"/>
        <item x="751"/>
        <item x="892"/>
        <item x="44"/>
        <item x="900"/>
        <item x="579"/>
        <item x="1363"/>
        <item x="758"/>
        <item x="880"/>
        <item x="710"/>
        <item x="1354"/>
        <item x="782"/>
        <item x="1308"/>
        <item x="756"/>
        <item x="1103"/>
        <item x="884"/>
        <item x="1030"/>
        <item x="1108"/>
        <item x="874"/>
        <item x="748"/>
        <item x="773"/>
        <item x="1465"/>
        <item x="1117"/>
        <item x="890"/>
        <item x="1807"/>
        <item x="1111"/>
        <item x="1132"/>
        <item x="867"/>
        <item x="772"/>
        <item x="1366"/>
        <item x="744"/>
        <item x="1116"/>
        <item x="929"/>
        <item x="48"/>
        <item x="675"/>
        <item x="926"/>
        <item x="803"/>
        <item x="711"/>
        <item x="532"/>
        <item x="1290"/>
        <item x="1488"/>
        <item x="156"/>
        <item x="1058"/>
        <item x="487"/>
        <item x="1041"/>
        <item x="597"/>
        <item x="1306"/>
        <item x="735"/>
        <item x="537"/>
        <item x="1082"/>
        <item x="1390"/>
        <item x="1307"/>
        <item x="741"/>
        <item x="236"/>
        <item x="226"/>
        <item x="1711"/>
        <item x="1523"/>
        <item x="778"/>
        <item x="1099"/>
        <item x="1088"/>
        <item x="1102"/>
        <item x="264"/>
        <item x="1624"/>
        <item x="1013"/>
        <item x="443"/>
        <item x="1483"/>
        <item x="1628"/>
        <item x="925"/>
        <item x="63"/>
        <item x="802"/>
        <item x="1288"/>
        <item x="1751"/>
        <item x="733"/>
        <item x="1098"/>
        <item x="1872"/>
        <item x="870"/>
        <item x="777"/>
        <item x="1285"/>
        <item x="779"/>
        <item x="471"/>
        <item x="232"/>
        <item x="1023"/>
        <item x="1192"/>
        <item x="1396"/>
        <item x="321"/>
        <item x="1360"/>
        <item x="1347"/>
        <item x="14"/>
        <item x="684"/>
        <item x="1427"/>
        <item x="784"/>
        <item x="1015"/>
        <item x="263"/>
        <item x="1515"/>
        <item x="1055"/>
        <item x="470"/>
        <item x="1813"/>
        <item x="1330"/>
        <item x="562"/>
        <item x="481"/>
        <item x="1480"/>
        <item x="1722"/>
        <item x="41"/>
        <item x="1122"/>
        <item x="46"/>
        <item x="1611"/>
        <item x="1250"/>
        <item x="224"/>
        <item x="1666"/>
        <item x="234"/>
        <item x="663"/>
        <item x="1386"/>
        <item x="540"/>
        <item x="174"/>
        <item x="475"/>
        <item x="1004"/>
        <item x="606"/>
        <item x="1534"/>
        <item x="788"/>
        <item x="1344"/>
        <item x="1032"/>
        <item x="124"/>
        <item x="218"/>
        <item x="123"/>
        <item x="1291"/>
        <item x="1025"/>
        <item x="545"/>
        <item x="228"/>
        <item x="1413"/>
        <item x="1861"/>
        <item x="883"/>
        <item x="999"/>
        <item x="757"/>
        <item x="1468"/>
        <item x="0"/>
        <item x="1289"/>
        <item x="898"/>
        <item x="827"/>
        <item x="1473"/>
        <item x="1734"/>
        <item x="1037"/>
        <item x="1710"/>
        <item x="223"/>
        <item x="1503"/>
        <item x="1325"/>
        <item x="341"/>
        <item x="1356"/>
        <item x="1472"/>
        <item x="1694"/>
        <item x="418"/>
        <item x="1532"/>
        <item x="856"/>
        <item x="1016"/>
        <item x="1332"/>
        <item x="1461"/>
        <item x="1063"/>
        <item x="815"/>
        <item x="771"/>
        <item x="1864"/>
        <item x="368"/>
        <item x="709"/>
        <item x="881"/>
        <item x="1387"/>
        <item x="11"/>
        <item x="102"/>
        <item x="1296"/>
        <item x="1274"/>
        <item x="1632"/>
        <item x="1871"/>
        <item x="1491"/>
        <item x="1009"/>
        <item x="1629"/>
        <item x="1097"/>
        <item x="1138"/>
        <item x="836"/>
        <item x="349"/>
        <item x="1382"/>
        <item x="271"/>
        <item x="1870"/>
        <item x="301"/>
        <item x="533"/>
        <item x="1687"/>
        <item x="722"/>
        <item x="1033"/>
        <item x="265"/>
        <item x="1335"/>
        <item x="764"/>
        <item x="1134"/>
        <item x="1361"/>
        <item x="605"/>
        <item x="753"/>
        <item x="485"/>
        <item x="98"/>
        <item x="1493"/>
        <item x="1079"/>
        <item x="1430"/>
        <item x="1294"/>
        <item x="442"/>
        <item x="1724"/>
        <item x="1855"/>
        <item x="775"/>
        <item x="1860"/>
        <item x="196"/>
        <item x="1725"/>
        <item x="529"/>
        <item x="1539"/>
        <item x="200"/>
        <item x="231"/>
        <item x="963"/>
        <item x="1074"/>
        <item x="1420"/>
        <item x="804"/>
        <item x="1773"/>
        <item x="1507"/>
        <item x="95"/>
        <item x="1588"/>
        <item x="812"/>
        <item x="1771"/>
        <item x="347"/>
        <item x="1034"/>
        <item x="716"/>
        <item x="237"/>
        <item x="1730"/>
        <item x="740"/>
        <item x="1089"/>
        <item x="931"/>
        <item x="1091"/>
        <item x="312"/>
        <item x="486"/>
        <item x="917"/>
        <item x="1068"/>
        <item x="279"/>
        <item x="598"/>
        <item x="951"/>
        <item x="1106"/>
        <item x="1365"/>
        <item x="275"/>
        <item x="1084"/>
        <item x="1640"/>
        <item x="1095"/>
        <item x="202"/>
        <item x="1622"/>
        <item x="993"/>
        <item x="1455"/>
        <item x="786"/>
        <item x="394"/>
        <item x="144"/>
        <item x="1630"/>
        <item x="1297"/>
        <item x="47"/>
        <item x="1696"/>
        <item x="1514"/>
        <item x="860"/>
        <item x="889"/>
        <item x="1471"/>
        <item x="1410"/>
        <item x="923"/>
        <item x="267"/>
        <item x="1478"/>
        <item x="1635"/>
        <item x="1027"/>
        <item x="593"/>
        <item x="714"/>
        <item x="828"/>
        <item x="1642"/>
        <item x="1438"/>
        <item x="374"/>
        <item x="896"/>
        <item x="607"/>
        <item x="1748"/>
        <item x="732"/>
        <item x="1747"/>
        <item x="1732"/>
        <item x="1727"/>
        <item x="15"/>
        <item x="1721"/>
        <item x="1667"/>
        <item x="273"/>
        <item x="1373"/>
        <item x="1856"/>
        <item x="542"/>
        <item x="40"/>
        <item x="1838"/>
        <item x="1874"/>
        <item x="895"/>
        <item x="1105"/>
        <item x="543"/>
        <item x="1345"/>
        <item x="1639"/>
        <item x="1299"/>
        <item x="875"/>
        <item x="1323"/>
        <item x="1538"/>
        <item x="1858"/>
        <item x="1389"/>
        <item x="423"/>
        <item x="1482"/>
        <item x="1662"/>
        <item x="594"/>
        <item x="465"/>
        <item x="681"/>
        <item x="1627"/>
        <item x="1716"/>
        <item x="986"/>
        <item x="1695"/>
        <item x="103"/>
        <item x="1719"/>
        <item x="1100"/>
        <item x="478"/>
        <item x="776"/>
        <item x="1853"/>
        <item x="220"/>
        <item x="585"/>
        <item x="1128"/>
        <item x="1305"/>
        <item x="417"/>
        <item x="544"/>
        <item x="178"/>
        <item x="1882"/>
        <item x="322"/>
        <item x="1862"/>
        <item x="1371"/>
        <item x="396"/>
        <item x="1339"/>
        <item x="770"/>
        <item x="1644"/>
        <item x="1673"/>
        <item x="1343"/>
        <item x="1334"/>
        <item x="816"/>
        <item x="728"/>
        <item x="472"/>
        <item x="1672"/>
        <item x="1011"/>
        <item x="1658"/>
        <item x="996"/>
        <item x="1745"/>
        <item x="157"/>
        <item x="219"/>
        <item x="197"/>
        <item x="588"/>
        <item x="1131"/>
        <item x="1568"/>
        <item x="1067"/>
        <item x="528"/>
        <item x="145"/>
        <item x="1336"/>
        <item x="416"/>
        <item x="1020"/>
        <item x="198"/>
        <item x="1720"/>
        <item x="1283"/>
        <item x="278"/>
        <item x="88"/>
        <item x="628"/>
        <item x="527"/>
        <item x="1001"/>
        <item x="3"/>
        <item x="1863"/>
        <item x="93"/>
        <item x="1439"/>
        <item x="1355"/>
        <item x="1875"/>
        <item x="246"/>
        <item x="726"/>
        <item x="89"/>
        <item x="1350"/>
        <item x="1621"/>
        <item x="1697"/>
        <item x="1857"/>
        <item x="66"/>
        <item x="844"/>
        <item x="541"/>
        <item x="1723"/>
        <item x="235"/>
        <item x="1278"/>
        <item x="222"/>
        <item x="1726"/>
        <item x="1432"/>
        <item x="492"/>
        <item x="303"/>
        <item x="1693"/>
        <item x="725"/>
        <item x="927"/>
        <item x="1"/>
        <item x="94"/>
        <item x="65"/>
        <item x="660"/>
        <item x="1709"/>
        <item x="480"/>
        <item x="1104"/>
        <item x="806"/>
        <item x="538"/>
        <item x="683"/>
        <item x="947"/>
        <item x="680"/>
        <item x="1380"/>
        <item x="1417"/>
        <item x="101"/>
        <item x="1641"/>
        <item x="1731"/>
        <item x="445"/>
        <item x="1759"/>
        <item x="1752"/>
        <item x="1743"/>
        <item x="1661"/>
        <item x="107"/>
        <item x="872"/>
        <item x="1589"/>
        <item x="243"/>
        <item x="372"/>
        <item x="1340"/>
        <item x="966"/>
        <item x="1036"/>
        <item x="7"/>
        <item x="608"/>
        <item x="274"/>
        <item x="346"/>
        <item x="1798"/>
        <item x="810"/>
        <item x="1314"/>
        <item x="1576"/>
        <item x="729"/>
        <item x="1657"/>
        <item x="1570"/>
        <item x="444"/>
        <item x="814"/>
        <item x="1578"/>
        <item x="1140"/>
        <item x="1880"/>
        <item x="227"/>
        <item x="1561"/>
        <item x="1692"/>
        <item x="704"/>
        <item x="39"/>
        <item x="100"/>
        <item x="1239"/>
        <item x="1865"/>
        <item x="799"/>
        <item x="37"/>
        <item x="1618"/>
        <item x="1490"/>
        <item x="304"/>
        <item x="897"/>
        <item x="373"/>
        <item x="687"/>
        <item x="676"/>
        <item x="1272"/>
        <item x="1850"/>
        <item x="1062"/>
        <item x="1750"/>
        <item x="1659"/>
        <item x="1315"/>
        <item x="1689"/>
        <item x="1359"/>
        <item x="1200"/>
        <item x="424"/>
        <item x="175"/>
        <item x="1061"/>
        <item x="1637"/>
        <item x="808"/>
        <item x="1564"/>
        <item x="817"/>
        <item x="142"/>
        <item x="1756"/>
        <item x="294"/>
        <item x="1444"/>
        <item x="1718"/>
        <item x="1029"/>
        <item x="6"/>
        <item x="1253"/>
        <item x="1609"/>
        <item x="13"/>
        <item x="838"/>
        <item x="488"/>
        <item x="1537"/>
        <item x="1620"/>
        <item x="919"/>
        <item x="1579"/>
        <item x="1139"/>
        <item x="1877"/>
        <item x="1671"/>
        <item x="1631"/>
        <item x="1535"/>
        <item x="428"/>
        <item x="1878"/>
        <item x="8"/>
        <item x="1481"/>
        <item x="1313"/>
        <item x="869"/>
        <item x="1681"/>
        <item x="1602"/>
        <item x="721"/>
        <item x="1707"/>
        <item x="901"/>
        <item x="446"/>
        <item x="1815"/>
        <item x="1665"/>
        <item x="1852"/>
        <item x="1040"/>
        <item x="1086"/>
        <item x="1615"/>
        <item x="1185"/>
        <item x="1866"/>
        <item x="99"/>
        <item x="1018"/>
        <item x="229"/>
        <item x="992"/>
        <item x="658"/>
        <item x="715"/>
        <item x="1626"/>
        <item x="4"/>
        <item x="395"/>
        <item x="484"/>
        <item x="1524"/>
        <item x="344"/>
        <item x="1475"/>
        <item x="973"/>
        <item x="5"/>
        <item x="43"/>
        <item x="1728"/>
        <item x="1429"/>
        <item x="1242"/>
        <item x="1484"/>
        <item x="397"/>
        <item x="1531"/>
        <item x="563"/>
        <item x="1879"/>
        <item x="90"/>
        <item x="1445"/>
        <item x="878"/>
        <item x="530"/>
        <item x="431"/>
        <item x="1703"/>
        <item x="1486"/>
        <item x="474"/>
        <item x="419"/>
        <item x="655"/>
        <item x="1847"/>
        <item x="323"/>
        <item x="1404"/>
        <item x="1688"/>
        <item x="950"/>
        <item x="1401"/>
        <item x="1440"/>
        <item x="398"/>
        <item x="421"/>
        <item x="1646"/>
        <item x="1487"/>
        <item x="1706"/>
        <item x="940"/>
        <item x="1476"/>
        <item x="1474"/>
        <item x="1790"/>
        <item x="1324"/>
        <item x="1873"/>
        <item x="339"/>
        <item x="1158"/>
        <item x="1704"/>
        <item x="1424"/>
        <item x="1372"/>
        <item x="1614"/>
        <item x="1338"/>
        <item x="352"/>
        <item x="493"/>
        <item x="1846"/>
        <item x="797"/>
        <item x="1525"/>
        <item x="1479"/>
        <item x="1788"/>
        <item x="1571"/>
        <item x="796"/>
        <item x="1686"/>
        <item x="1705"/>
        <item x="180"/>
        <item x="447"/>
        <item x="678"/>
        <item x="665"/>
        <item x="1518"/>
        <item x="1059"/>
        <item x="1254"/>
        <item x="560"/>
        <item x="221"/>
        <item x="1567"/>
        <item x="68"/>
        <item x="1238"/>
        <item x="1881"/>
        <item x="1651"/>
        <item x="798"/>
        <item x="97"/>
        <item x="1577"/>
        <item x="1081"/>
        <item x="862"/>
        <item x="125"/>
        <item x="730"/>
        <item x="1675"/>
        <item x="1211"/>
        <item x="769"/>
        <item x="105"/>
        <item x="126"/>
        <item x="1876"/>
        <item x="1793"/>
        <item x="1516"/>
        <item x="1379"/>
        <item x="482"/>
        <item x="1309"/>
        <item x="67"/>
        <item x="1358"/>
        <item x="1677"/>
        <item x="539"/>
        <item x="295"/>
        <item x="1451"/>
        <item x="230"/>
        <item x="531"/>
        <item x="800"/>
        <item x="377"/>
        <item x="1207"/>
        <item x="1133"/>
        <item x="1791"/>
        <item x="1682"/>
        <item x="1346"/>
        <item x="1353"/>
        <item x="1376"/>
        <item x="768"/>
        <item x="296"/>
        <item x="1643"/>
        <item x="1867"/>
        <item x="1679"/>
        <item x="106"/>
        <item x="1236"/>
        <item x="1182"/>
        <item x="1520"/>
        <item x="1469"/>
        <item x="982"/>
        <item x="1811"/>
        <item x="1227"/>
        <item x="661"/>
        <item x="70"/>
        <item x="1320"/>
        <item x="1809"/>
        <item x="1057"/>
        <item x="64"/>
        <item x="1684"/>
        <item x="127"/>
        <item x="92"/>
        <item x="1683"/>
        <item x="150"/>
        <item x="38"/>
        <item x="1136"/>
        <item x="1498"/>
        <item x="1849"/>
        <item x="464"/>
        <item x="1466"/>
        <item x="1397"/>
        <item x="1652"/>
        <item x="592"/>
        <item x="1441"/>
        <item x="826"/>
        <item x="477"/>
        <item x="1263"/>
        <item x="300"/>
        <item x="1459"/>
        <item x="270"/>
        <item x="664"/>
        <item x="1555"/>
        <item x="494"/>
        <item x="1129"/>
        <item x="1241"/>
        <item x="679"/>
        <item x="609"/>
        <item x="1670"/>
        <item x="783"/>
        <item x="685"/>
        <item x="491"/>
        <item x="1542"/>
        <item x="1024"/>
        <item x="1442"/>
        <item x="1273"/>
        <item x="795"/>
        <item x="1144"/>
        <item x="589"/>
        <item x="1010"/>
        <item x="819"/>
        <item x="1584"/>
        <item x="87"/>
        <item x="1664"/>
        <item x="837"/>
        <item x="1851"/>
        <item x="1700"/>
        <item x="1464"/>
        <item x="401"/>
        <item x="244"/>
        <item x="1489"/>
        <item x="1125"/>
        <item x="1101"/>
        <item x="1519"/>
        <item x="1505"/>
        <item x="1590"/>
        <item x="1326"/>
        <item x="1143"/>
        <item x="376"/>
        <item x="1220"/>
        <item x="1400"/>
        <item x="1107"/>
        <item x="463"/>
        <item x="1533"/>
        <item x="1319"/>
        <item x="1245"/>
        <item x="299"/>
        <item x="921"/>
        <item x="1251"/>
        <item x="1485"/>
        <item x="1201"/>
        <item x="682"/>
        <item x="1194"/>
        <item x="1655"/>
        <item x="1311"/>
        <item x="1744"/>
        <item x="313"/>
        <item x="954"/>
        <item x="1463"/>
        <item x="499"/>
        <item x="1166"/>
        <item x="1322"/>
        <item x="514"/>
        <item x="723"/>
        <item x="1573"/>
        <item x="1384"/>
        <item x="1787"/>
        <item x="1195"/>
        <item x="199"/>
        <item x="1772"/>
        <item x="1368"/>
        <item x="1608"/>
        <item x="378"/>
        <item x="969"/>
        <item x="1554"/>
        <item x="272"/>
        <item x="879"/>
        <item x="708"/>
        <item x="1804"/>
        <item x="1249"/>
        <item x="1779"/>
        <item x="255"/>
        <item x="1421"/>
        <item x="1607"/>
        <item x="54"/>
        <item x="818"/>
        <item x="148"/>
        <item x="324"/>
        <item x="1678"/>
        <item x="1685"/>
        <item x="516"/>
        <item x="16"/>
        <item x="96"/>
        <item x="1204"/>
        <item x="1541"/>
        <item x="1142"/>
        <item x="17"/>
        <item x="177"/>
        <item x="517"/>
        <item x="343"/>
        <item x="1841"/>
        <item x="1331"/>
        <item x="340"/>
        <item x="618"/>
        <item x="1234"/>
        <item x="238"/>
        <item x="1575"/>
        <item x="1362"/>
        <item x="1407"/>
        <item x="498"/>
        <item x="1146"/>
        <item x="1454"/>
        <item x="1517"/>
        <item x="1616"/>
        <item x="922"/>
        <item x="490"/>
        <item x="1802"/>
        <item x="1512"/>
        <item x="426"/>
        <item x="302"/>
        <item x="1610"/>
        <item x="1141"/>
        <item x="801"/>
        <item x="688"/>
        <item x="1654"/>
        <item x="1137"/>
        <item x="342"/>
        <item x="1381"/>
        <item x="1436"/>
        <item x="91"/>
        <item x="1341"/>
        <item x="1733"/>
        <item x="1569"/>
        <item x="1449"/>
        <item x="1674"/>
        <item x="12"/>
        <item x="689"/>
        <item x="450"/>
        <item x="1749"/>
        <item x="1553"/>
        <item x="1820"/>
        <item x="1422"/>
        <item x="1650"/>
        <item x="1844"/>
        <item x="1257"/>
        <item x="1374"/>
        <item x="1598"/>
        <item x="1845"/>
        <item x="1271"/>
        <item x="49"/>
        <item x="1653"/>
        <item x="1191"/>
        <item x="1676"/>
        <item x="276"/>
        <item x="1321"/>
        <item x="1649"/>
        <item x="9"/>
        <item x="1470"/>
        <item x="1497"/>
        <item x="1388"/>
        <item x="247"/>
        <item x="564"/>
        <item x="1776"/>
        <item x="1395"/>
        <item x="1196"/>
        <item x="242"/>
        <item x="1774"/>
        <item x="1647"/>
        <item x="842"/>
        <item x="420"/>
        <item x="1794"/>
        <item x="789"/>
        <item x="1364"/>
        <item x="961"/>
        <item x="1206"/>
        <item x="104"/>
        <item x="1256"/>
        <item x="1796"/>
        <item x="1801"/>
        <item x="1281"/>
        <item x="707"/>
        <item x="1868"/>
        <item x="1112"/>
        <item x="1563"/>
        <item x="1562"/>
        <item x="1528"/>
        <item x="1301"/>
        <item x="1208"/>
        <item x="10"/>
        <item x="1663"/>
        <item x="1266"/>
        <item x="1842"/>
        <item x="518"/>
        <item x="1648"/>
        <item x="266"/>
        <item x="1217"/>
        <item x="914"/>
        <item x="1613"/>
        <item x="181"/>
        <item x="1477"/>
        <item x="1546"/>
        <item x="1572"/>
        <item x="1038"/>
        <item x="1446"/>
        <item x="422"/>
        <item x="1352"/>
        <item x="918"/>
        <item x="203"/>
        <item x="1795"/>
        <item x="1717"/>
        <item x="1854"/>
        <item x="1419"/>
        <item x="1408"/>
        <item x="1005"/>
        <item x="479"/>
        <item x="1702"/>
        <item x="1606"/>
        <item x="76"/>
        <item x="1645"/>
        <item x="876"/>
        <item x="1213"/>
        <item x="1581"/>
        <item x="298"/>
        <item x="850"/>
        <item x="240"/>
        <item x="305"/>
        <item x="143"/>
        <item x="466"/>
        <item x="320"/>
        <item x="371"/>
        <item x="907"/>
        <item x="1824"/>
        <item x="1418"/>
        <item x="1698"/>
        <item x="1617"/>
        <item x="1530"/>
        <item x="1175"/>
        <item x="483"/>
        <item x="1566"/>
        <item x="1582"/>
        <item x="1292"/>
        <item x="1378"/>
        <item x="1585"/>
        <item x="727"/>
        <item x="427"/>
        <item x="425"/>
        <item x="1428"/>
        <item x="1219"/>
        <item x="1121"/>
        <item x="1729"/>
        <item x="1669"/>
        <item x="69"/>
        <item x="686"/>
        <item x="1411"/>
        <item x="45"/>
        <item x="1817"/>
        <item x="1690"/>
        <item x="1504"/>
        <item x="1214"/>
        <item x="553"/>
        <item x="1656"/>
        <item x="1691"/>
        <item x="1547"/>
        <item x="310"/>
        <item x="1221"/>
        <item x="1536"/>
        <item x="146"/>
        <item x="1205"/>
        <item x="1300"/>
        <item x="630"/>
        <item x="536"/>
        <item x="559"/>
        <item x="1333"/>
        <item x="495"/>
        <item x="71"/>
        <item x="713"/>
        <item x="469"/>
        <item x="852"/>
        <item x="1434"/>
        <item x="1603"/>
        <item x="1543"/>
        <item x="1511"/>
        <item x="307"/>
        <item x="948"/>
        <item x="448"/>
        <item x="1595"/>
        <item x="548"/>
        <item x="1153"/>
        <item x="476"/>
        <item x="1736"/>
        <item x="1612"/>
        <item x="354"/>
        <item x="152"/>
        <item x="913"/>
        <item x="1596"/>
        <item x="1348"/>
        <item x="657"/>
        <item x="497"/>
        <item x="1187"/>
        <item x="561"/>
        <item x="1467"/>
        <item x="1199"/>
        <item x="384"/>
        <item x="1848"/>
        <item x="863"/>
        <item x="496"/>
        <item x="108"/>
        <item x="1083"/>
        <item x="314"/>
        <item x="1714"/>
        <item x="1597"/>
        <item x="1349"/>
        <item x="970"/>
        <item x="958"/>
        <item x="1509"/>
        <item x="590"/>
        <item x="393"/>
        <item x="854"/>
        <item x="399"/>
        <item x="1151"/>
        <item x="1753"/>
        <item x="1448"/>
        <item x="277"/>
        <item x="1785"/>
        <item x="1735"/>
        <item x="1839"/>
        <item x="1124"/>
        <item x="1203"/>
        <item x="904"/>
        <item x="1599"/>
        <item x="489"/>
        <item x="595"/>
        <item x="1409"/>
        <item x="1600"/>
        <item x="1604"/>
        <item x="1383"/>
        <item x="1557"/>
        <item x="1188"/>
        <item x="1668"/>
        <item x="430"/>
        <item x="1076"/>
        <item x="400"/>
        <item x="841"/>
        <item x="1548"/>
        <item x="1123"/>
        <item x="813"/>
        <item x="1043"/>
        <item x="1393"/>
        <item x="42"/>
        <item x="1797"/>
        <item x="1782"/>
        <item x="1560"/>
        <item x="1712"/>
        <item x="1170"/>
        <item x="1625"/>
        <item x="851"/>
        <item x="1443"/>
        <item x="1231"/>
        <item x="670"/>
        <item x="147"/>
        <item x="1715"/>
        <item x="1223"/>
        <item x="1357"/>
        <item x="1840"/>
        <item x="308"/>
        <item x="1699"/>
        <item x="1859"/>
        <item x="1258"/>
        <item x="604"/>
        <item x="766"/>
        <item x="1232"/>
        <item x="1574"/>
        <item x="731"/>
        <item x="1304"/>
        <item x="1282"/>
        <item x="1800"/>
        <item x="549"/>
        <item x="1821"/>
        <item x="245"/>
        <item x="1601"/>
        <item x="1021"/>
        <item x="1587"/>
        <item x="1552"/>
        <item x="909"/>
        <item x="1456"/>
        <item x="1713"/>
        <item x="1127"/>
        <item x="1406"/>
        <item x="306"/>
        <item x="534"/>
        <item x="976"/>
        <item x="1416"/>
        <item x="1836"/>
        <item x="551"/>
        <item x="565"/>
        <item x="1385"/>
        <item x="550"/>
        <item x="179"/>
        <item x="980"/>
        <item x="717"/>
        <item x="1784"/>
        <item x="962"/>
        <item x="1551"/>
        <item x="468"/>
        <item x="1619"/>
        <item x="348"/>
        <item x="521"/>
        <item x="370"/>
        <item x="467"/>
        <item x="1044"/>
        <item x="1623"/>
        <item x="201"/>
        <item x="1295"/>
        <item x="829"/>
        <item x="578"/>
        <item x="1768"/>
        <item x="662"/>
        <item x="1312"/>
        <item x="153"/>
        <item x="1224"/>
        <item x="1247"/>
        <item x="1636"/>
        <item x="1816"/>
        <item x="155"/>
        <item x="1458"/>
        <item x="1810"/>
        <item x="848"/>
        <item x="1593"/>
        <item x="908"/>
        <item x="363"/>
        <item x="515"/>
        <item x="1233"/>
        <item x="1327"/>
        <item x="1298"/>
        <item x="1318"/>
        <item x="1558"/>
        <item x="887"/>
        <item x="525"/>
        <item x="1433"/>
        <item x="1492"/>
        <item x="1210"/>
        <item x="1225"/>
        <item x="1303"/>
        <item x="1275"/>
        <item x="375"/>
        <item x="1403"/>
        <item x="820"/>
        <item x="1165"/>
        <item x="937"/>
        <item x="1521"/>
        <item x="558"/>
        <item x="910"/>
        <item x="1453"/>
        <item x="767"/>
        <item x="1701"/>
        <item x="315"/>
        <item x="151"/>
        <item x="1002"/>
        <item x="599"/>
        <item x="519"/>
        <item x="327"/>
        <item x="644"/>
        <item x="317"/>
        <item x="1328"/>
        <item x="1115"/>
        <item x="1078"/>
        <item x="345"/>
        <item x="333"/>
        <item x="774"/>
        <item x="1786"/>
        <item x="877"/>
        <item x="1190"/>
        <item x="241"/>
        <item x="1494"/>
        <item x="382"/>
        <item x="1056"/>
        <item x="1556"/>
        <item x="21"/>
        <item x="669"/>
        <item x="1638"/>
        <item x="1780"/>
        <item x="1425"/>
        <item x="763"/>
        <item x="1171"/>
        <item x="1003"/>
        <item x="269"/>
        <item x="1869"/>
        <item x="520"/>
        <item x="846"/>
        <item x="1742"/>
        <item x="1392"/>
        <item x="309"/>
        <item x="807"/>
        <item x="225"/>
        <item x="596"/>
        <item x="1506"/>
        <item x="318"/>
        <item x="554"/>
        <item x="432"/>
        <item x="547"/>
        <item x="154"/>
        <item x="956"/>
        <item x="268"/>
        <item x="1783"/>
        <item x="1375"/>
        <item x="1216"/>
        <item x="1529"/>
        <item x="523"/>
        <item x="765"/>
        <item x="1450"/>
        <item x="1198"/>
        <item x="1209"/>
        <item x="353"/>
        <item x="22"/>
        <item x="600"/>
        <item x="332"/>
        <item x="1337"/>
        <item x="1398"/>
        <item x="941"/>
        <item x="1370"/>
        <item x="839"/>
        <item x="556"/>
        <item x="1550"/>
        <item x="328"/>
        <item x="939"/>
        <item x="1755"/>
        <item x="671"/>
        <item x="1565"/>
        <item x="1426"/>
        <item x="1544"/>
        <item x="792"/>
        <item x="297"/>
        <item x="845"/>
        <item x="724"/>
        <item x="1460"/>
        <item x="1237"/>
        <item x="1402"/>
        <item x="1028"/>
        <item x="239"/>
        <item x="1741"/>
        <item x="1342"/>
        <item x="840"/>
        <item x="591"/>
        <item x="1317"/>
        <item x="1738"/>
        <item x="386"/>
        <item x="1180"/>
        <item x="835"/>
        <item x="1316"/>
        <item x="557"/>
        <item x="946"/>
        <item x="149"/>
        <item x="912"/>
        <item x="603"/>
        <item x="632"/>
        <item x="886"/>
        <item x="1135"/>
        <item x="311"/>
        <item x="1837"/>
        <item x="1457"/>
        <item x="1431"/>
        <item x="1090"/>
        <item x="1591"/>
        <item x="433"/>
        <item x="1799"/>
        <item x="1228"/>
        <item x="634"/>
        <item x="1805"/>
        <item x="1302"/>
        <item x="1072"/>
        <item x="1423"/>
        <item x="1452"/>
        <item x="648"/>
        <item x="1351"/>
        <item x="666"/>
        <item x="2"/>
        <item x="555"/>
        <item x="1399"/>
        <item x="1412"/>
        <item x="1527"/>
        <item x="1240"/>
        <item x="1329"/>
        <item x="1230"/>
        <item x="112"/>
        <item x="873"/>
        <item x="1843"/>
        <item x="455"/>
        <item x="654"/>
        <item x="1286"/>
        <item x="602"/>
        <item x="330"/>
        <item x="1235"/>
        <item x="535"/>
        <item x="968"/>
        <item x="1812"/>
        <item x="853"/>
        <item x="435"/>
        <item x="1077"/>
        <item x="1559"/>
        <item x="391"/>
        <item x="1462"/>
        <item x="864"/>
        <item x="809"/>
        <item x="991"/>
        <item x="1437"/>
        <item x="667"/>
        <item x="677"/>
        <item x="319"/>
        <item x="1168"/>
        <item x="1513"/>
        <item x="1150"/>
        <item x="1280"/>
        <item x="1179"/>
        <item x="905"/>
        <item x="1279"/>
        <item x="1792"/>
        <item x="406"/>
        <item x="1222"/>
        <item x="659"/>
        <item x="849"/>
        <item x="1808"/>
        <item x="1634"/>
        <item x="718"/>
        <item x="1818"/>
        <item x="858"/>
        <item x="436"/>
        <item x="911"/>
        <item x="1775"/>
        <item x="719"/>
        <item x="1737"/>
        <item x="865"/>
        <item x="1039"/>
        <item x="1522"/>
        <item x="1218"/>
        <item x="1157"/>
        <item x="1545"/>
        <item x="1592"/>
        <item x="932"/>
        <item x="1177"/>
        <item x="646"/>
        <item x="861"/>
        <item x="1026"/>
        <item x="350"/>
        <item x="955"/>
        <item x="1781"/>
        <item x="1202"/>
        <item x="1163"/>
        <item x="208"/>
        <item x="176"/>
        <item x="111"/>
        <item x="1680"/>
        <item x="995"/>
        <item x="316"/>
        <item x="1184"/>
        <item x="456"/>
        <item x="1119"/>
        <item x="924"/>
        <item x="672"/>
        <item x="438"/>
        <item x="357"/>
        <item x="458"/>
        <item x="1215"/>
        <item x="451"/>
        <item x="1243"/>
        <item x="1583"/>
        <item x="365"/>
        <item x="1255"/>
        <item x="385"/>
        <item x="387"/>
        <item x="405"/>
        <item x="834"/>
        <item x="412"/>
        <item x="414"/>
        <item x="668"/>
        <item x="933"/>
        <item x="825"/>
        <item x="1526"/>
        <item x="1042"/>
        <item x="978"/>
        <item x="1148"/>
        <item x="1803"/>
        <item x="434"/>
        <item x="437"/>
        <item x="1246"/>
        <item x="1161"/>
        <item x="552"/>
        <item x="283"/>
        <item x="360"/>
        <item x="1229"/>
        <item x="673"/>
        <item x="833"/>
        <item x="967"/>
        <item x="959"/>
        <item x="1549"/>
        <item x="1633"/>
        <item x="114"/>
        <item x="439"/>
        <item x="857"/>
        <item x="407"/>
        <item x="452"/>
        <item x="981"/>
        <item x="1594"/>
        <item x="356"/>
        <item x="1053"/>
        <item x="392"/>
        <item x="1000"/>
        <item x="361"/>
        <item x="453"/>
        <item x="575"/>
        <item x="1764"/>
        <item x="1605"/>
        <item x="118"/>
        <item x="334"/>
        <item x="369"/>
        <item x="364"/>
        <item x="338"/>
        <item x="546"/>
        <item x="574"/>
        <item x="1831"/>
        <item x="1806"/>
        <item x="113"/>
        <item x="1277"/>
        <item x="183"/>
        <item x="415"/>
        <item x="1270"/>
        <item x="359"/>
        <item x="1152"/>
        <item x="567"/>
        <item x="410"/>
        <item x="983"/>
        <item x="187"/>
        <item x="990"/>
        <item x="1267"/>
        <item x="186"/>
        <item x="720"/>
        <item x="1830"/>
        <item x="972"/>
        <item x="281"/>
        <item x="404"/>
        <item x="1415"/>
        <item x="1069"/>
        <item x="855"/>
        <item x="1022"/>
        <item x="522"/>
        <item x="1193"/>
        <item x="656"/>
        <item x="1310"/>
        <item x="587"/>
        <item x="524"/>
        <item x="331"/>
        <item x="337"/>
        <item x="329"/>
        <item x="1508"/>
        <item x="1757"/>
        <item x="462"/>
        <item x="162"/>
        <item x="57"/>
        <item x="1833"/>
        <item x="366"/>
        <item x="1093"/>
        <item x="957"/>
        <item x="1814"/>
        <item x="209"/>
        <item x="1367"/>
        <item x="1248"/>
        <item x="381"/>
        <item x="110"/>
        <item x="1075"/>
        <item x="1435"/>
        <item x="383"/>
        <item x="1580"/>
        <item x="1829"/>
        <item x="56"/>
        <item x="1394"/>
        <item x="457"/>
        <item x="280"/>
        <item x="934"/>
        <item x="647"/>
        <item x="388"/>
        <item x="832"/>
        <item x="459"/>
        <item x="60"/>
        <item x="52"/>
        <item x="185"/>
        <item x="847"/>
        <item x="572"/>
        <item x="566"/>
        <item x="413"/>
        <item x="1819"/>
        <item x="367"/>
        <item x="358"/>
        <item x="409"/>
        <item x="408"/>
        <item x="351"/>
        <item x="1405"/>
        <item x="601"/>
        <item x="571"/>
        <item x="652"/>
        <item x="389"/>
        <item x="362"/>
        <item x="390"/>
        <item x="1226"/>
        <item x="712"/>
        <item x="214"/>
        <item x="822"/>
        <item x="171"/>
        <item x="1391"/>
        <item x="19"/>
        <item x="1834"/>
        <item x="1259"/>
        <item x="1019"/>
        <item x="576"/>
        <item x="1832"/>
        <item x="1169"/>
        <item x="115"/>
        <item x="1012"/>
        <item x="205"/>
        <item x="61"/>
        <item x="916"/>
        <item x="1540"/>
        <item x="288"/>
        <item x="691"/>
        <item x="790"/>
        <item x="859"/>
        <item x="1244"/>
        <item x="58"/>
        <item x="674"/>
        <item x="289"/>
        <item x="212"/>
        <item x="953"/>
        <item x="1181"/>
        <item x="1252"/>
        <item x="117"/>
        <item x="253"/>
        <item x="53"/>
        <item x="163"/>
        <item x="287"/>
        <item x="1212"/>
        <item x="885"/>
        <item x="936"/>
        <item x="1035"/>
        <item x="899"/>
        <item x="166"/>
        <item x="379"/>
        <item x="1073"/>
        <item x="402"/>
        <item x="282"/>
        <item x="697"/>
        <item x="335"/>
        <item x="461"/>
        <item x="1064"/>
        <item x="1261"/>
        <item x="1017"/>
        <item x="207"/>
        <item x="256"/>
        <item x="380"/>
        <item x="454"/>
        <item x="1189"/>
        <item x="1789"/>
        <item x="1262"/>
        <item x="700"/>
        <item x="460"/>
        <item x="262"/>
        <item x="1276"/>
        <item x="158"/>
        <item x="165"/>
        <item x="526"/>
        <item x="692"/>
        <item x="930"/>
        <item x="706"/>
        <item x="696"/>
        <item x="184"/>
        <item x="336"/>
        <item x="51"/>
        <item x="1268"/>
        <item x="994"/>
        <item x="1149"/>
        <item x="1265"/>
        <item x="122"/>
        <item x="1120"/>
        <item x="189"/>
        <item x="217"/>
        <item x="135"/>
        <item x="823"/>
        <item x="1066"/>
        <item x="1060"/>
        <item x="190"/>
        <item x="1006"/>
        <item x="286"/>
        <item x="635"/>
        <item x="1008"/>
        <item x="18"/>
        <item x="1007"/>
        <item x="698"/>
        <item x="429"/>
        <item x="979"/>
        <item x="121"/>
        <item x="188"/>
        <item x="1835"/>
        <item x="403"/>
        <item x="285"/>
        <item x="326"/>
        <item x="50"/>
        <item x="1761"/>
        <item x="28"/>
        <item x="59"/>
        <item x="694"/>
        <item x="997"/>
        <item x="62"/>
        <item x="440"/>
        <item x="1284"/>
        <item x="206"/>
        <item x="260"/>
        <item x="284"/>
        <item x="703"/>
        <item x="182"/>
        <item x="1186"/>
        <item x="29"/>
        <item x="411"/>
        <item x="693"/>
        <item x="116"/>
        <item x="55"/>
        <item x="172"/>
        <item x="1739"/>
        <item x="80"/>
        <item x="1762"/>
        <item x="633"/>
        <item x="193"/>
        <item x="1126"/>
        <item x="290"/>
        <item x="1164"/>
        <item x="449"/>
        <item x="1293"/>
        <item x="695"/>
        <item x="629"/>
        <item x="1054"/>
        <item x="569"/>
        <item x="119"/>
        <item x="649"/>
        <item x="584"/>
        <item x="699"/>
        <item x="1176"/>
        <item x="1377"/>
        <item x="133"/>
        <item x="164"/>
        <item x="1046"/>
        <item x="1823"/>
        <item x="109"/>
        <item x="292"/>
        <item x="1070"/>
        <item x="805"/>
        <item x="251"/>
        <item x="640"/>
        <item x="650"/>
        <item x="507"/>
        <item x="293"/>
        <item x="570"/>
        <item x="690"/>
        <item x="1174"/>
        <item x="73"/>
        <item x="261"/>
        <item x="1047"/>
        <item x="191"/>
        <item x="506"/>
        <item x="325"/>
        <item x="254"/>
        <item x="702"/>
        <item x="505"/>
        <item x="86"/>
        <item x="355"/>
        <item x="1048"/>
        <item x="167"/>
        <item x="1765"/>
        <item x="824"/>
        <item x="1369"/>
        <item x="216"/>
        <item x="215"/>
        <item x="1154"/>
        <item x="701"/>
        <item x="257"/>
        <item x="81"/>
        <item x="1767"/>
        <item x="1045"/>
        <item x="1172"/>
        <item x="987"/>
        <item x="577"/>
        <item x="291"/>
        <item x="30"/>
        <item x="1071"/>
        <item x="1825"/>
        <item x="204"/>
        <item x="1183"/>
        <item x="195"/>
        <item x="120"/>
        <item x="32"/>
        <item x="503"/>
        <item x="20"/>
        <item x="211"/>
        <item x="26"/>
        <item x="1147"/>
        <item x="622"/>
        <item x="1065"/>
        <item x="24"/>
        <item x="508"/>
        <item x="631"/>
        <item x="938"/>
        <item x="821"/>
        <item x="31"/>
        <item x="259"/>
        <item x="573"/>
        <item x="170"/>
        <item x="1014"/>
        <item x="210"/>
        <item x="582"/>
        <item x="192"/>
        <item x="168"/>
        <item x="194"/>
        <item x="252"/>
        <item x="74"/>
        <item x="131"/>
        <item x="944"/>
        <item x="72"/>
        <item x="502"/>
        <item x="1414"/>
        <item x="23"/>
        <item x="75"/>
        <item x="1051"/>
        <item x="134"/>
        <item x="79"/>
        <item x="85"/>
        <item x="1777"/>
        <item x="580"/>
        <item x="1052"/>
        <item x="248"/>
        <item x="935"/>
        <item x="928"/>
        <item x="625"/>
        <item x="213"/>
        <item x="441"/>
        <item x="161"/>
        <item x="504"/>
        <item x="512"/>
        <item x="1269"/>
        <item x="513"/>
        <item x="611"/>
        <item x="35"/>
        <item x="1197"/>
        <item x="130"/>
        <item x="33"/>
        <item x="1178"/>
        <item x="36"/>
        <item x="34"/>
        <item x="985"/>
        <item x="1160"/>
        <item x="78"/>
        <item x="641"/>
        <item x="964"/>
        <item x="642"/>
        <item x="258"/>
        <item x="624"/>
        <item x="160"/>
        <item x="25"/>
        <item x="132"/>
        <item x="509"/>
        <item x="1760"/>
        <item x="250"/>
        <item x="614"/>
        <item x="510"/>
        <item x="1770"/>
        <item x="1496"/>
        <item x="159"/>
        <item x="1826"/>
        <item x="952"/>
        <item x="82"/>
        <item x="129"/>
        <item x="949"/>
        <item x="974"/>
        <item x="1156"/>
        <item x="249"/>
        <item x="620"/>
        <item x="169"/>
        <item x="1827"/>
        <item x="960"/>
        <item x="977"/>
        <item x="77"/>
        <item x="141"/>
        <item x="645"/>
        <item x="643"/>
        <item x="136"/>
        <item x="975"/>
        <item x="501"/>
        <item x="83"/>
        <item x="27"/>
        <item x="568"/>
        <item x="84"/>
        <item x="1050"/>
        <item x="1049"/>
        <item x="615"/>
        <item x="616"/>
        <item x="627"/>
        <item x="1167"/>
        <item x="1130"/>
        <item x="965"/>
        <item x="1162"/>
        <item x="137"/>
        <item x="500"/>
        <item x="1287"/>
        <item x="511"/>
        <item x="1173"/>
        <item x="651"/>
        <item x="1763"/>
        <item x="1495"/>
        <item x="626"/>
        <item x="1159"/>
        <item x="139"/>
        <item x="1264"/>
        <item x="920"/>
        <item x="128"/>
        <item x="1155"/>
        <item x="586"/>
        <item x="1828"/>
        <item x="915"/>
        <item x="653"/>
        <item x="945"/>
        <item x="140"/>
        <item x="138"/>
        <item x="619"/>
        <item x="988"/>
        <item x="984"/>
        <item x="1094"/>
        <item x="1110"/>
        <item x="1118"/>
        <item x="998"/>
        <item x="1080"/>
        <item x="1087"/>
        <item x="637"/>
        <item x="638"/>
        <item x="943"/>
        <item x="583"/>
        <item x="1758"/>
        <item x="942"/>
        <item x="1766"/>
        <item x="989"/>
        <item x="610"/>
        <item x="617"/>
        <item x="623"/>
        <item x="1740"/>
        <item x="1769"/>
        <item x="1510"/>
        <item x="1501"/>
        <item x="906"/>
        <item x="1754"/>
        <item x="613"/>
        <item x="581"/>
        <item x="639"/>
        <item x="1500"/>
        <item x="636"/>
        <item x="1502"/>
        <item x="1499"/>
      </items>
      <extLst>
        <ext xmlns:x14="http://schemas.microsoft.com/office/spreadsheetml/2009/9/main" uri="{2946ED86-A175-432a-8AC1-64E0C546D7DE}">
          <x14:pivotField fillDownLabels="1"/>
        </ext>
      </extLst>
    </pivotField>
    <pivotField axis="axisRow" outline="0" showAll="0" sortType="descending" defaultSubtotal="0">
      <items count="48">
        <item x="40"/>
        <item x="42"/>
        <item x="41"/>
        <item x="13"/>
        <item x="45"/>
        <item x="46"/>
        <item x="21"/>
        <item x="17"/>
        <item x="12"/>
        <item x="14"/>
        <item x="25"/>
        <item x="5"/>
        <item x="16"/>
        <item x="6"/>
        <item x="24"/>
        <item x="35"/>
        <item x="33"/>
        <item x="30"/>
        <item x="9"/>
        <item x="29"/>
        <item x="38"/>
        <item x="28"/>
        <item x="26"/>
        <item x="7"/>
        <item x="4"/>
        <item x="3"/>
        <item x="32"/>
        <item x="27"/>
        <item x="1"/>
        <item x="34"/>
        <item x="18"/>
        <item x="2"/>
        <item x="15"/>
        <item x="19"/>
        <item x="8"/>
        <item x="37"/>
        <item x="36"/>
        <item x="47"/>
        <item x="39"/>
        <item x="22"/>
        <item x="31"/>
        <item x="11"/>
        <item x="23"/>
        <item x="44"/>
        <item x="10"/>
        <item x="20"/>
        <item x="43"/>
        <item x="0"/>
      </items>
      <extLst>
        <ext xmlns:x14="http://schemas.microsoft.com/office/spreadsheetml/2009/9/main" uri="{2946ED86-A175-432a-8AC1-64E0C546D7DE}">
          <x14:pivotField fillDownLabels="1"/>
        </ext>
      </extLst>
    </pivotField>
    <pivotField showAll="0"/>
  </pivotFields>
  <rowFields count="6">
    <field x="1"/>
    <field x="2"/>
    <field x="3"/>
    <field x="4"/>
    <field x="5"/>
    <field x="6"/>
  </rowFields>
  <rowItems count="3426">
    <i>
      <x/>
      <x/>
      <x v="1"/>
      <x v="77"/>
      <x v="213"/>
      <x v="47"/>
    </i>
    <i r="2">
      <x v="8"/>
      <x v="77"/>
      <x v="964"/>
      <x v="47"/>
    </i>
    <i r="2">
      <x v="12"/>
      <x v="21"/>
      <x v="24"/>
      <x v="47"/>
    </i>
    <i r="2">
      <x v="37"/>
      <x v="77"/>
      <x v="1421"/>
      <x v="47"/>
    </i>
    <i r="1">
      <x v="10"/>
      <x v="37"/>
      <x v="77"/>
      <x v="1361"/>
      <x v="47"/>
    </i>
    <i r="1">
      <x v="11"/>
      <x v="37"/>
      <x v="77"/>
      <x v="490"/>
      <x v="47"/>
    </i>
    <i r="1">
      <x v="12"/>
      <x v="1"/>
      <x v="77"/>
      <x v="80"/>
      <x v="47"/>
    </i>
    <i r="4">
      <x v="213"/>
      <x v="47"/>
    </i>
    <i r="4">
      <x v="352"/>
      <x v="47"/>
    </i>
    <i r="4">
      <x v="500"/>
      <x v="47"/>
    </i>
    <i r="4">
      <x v="1028"/>
      <x v="47"/>
    </i>
    <i r="2">
      <x v="37"/>
      <x v="77"/>
      <x v="947"/>
      <x v="47"/>
    </i>
    <i r="4">
      <x v="1421"/>
      <x v="47"/>
    </i>
    <i r="1">
      <x v="19"/>
      <x v="1"/>
      <x v="77"/>
      <x v="440"/>
      <x v="47"/>
    </i>
    <i r="1">
      <x v="35"/>
      <x v="1"/>
      <x v="77"/>
      <x v="80"/>
      <x v="47"/>
    </i>
    <i r="2">
      <x v="37"/>
      <x v="77"/>
      <x v="1194"/>
      <x v="47"/>
    </i>
    <i>
      <x v="1"/>
      <x/>
      <x v="1"/>
      <x v="78"/>
      <x v="80"/>
      <x v="47"/>
    </i>
    <i r="2">
      <x v="7"/>
      <x v="78"/>
      <x v="231"/>
      <x v="47"/>
    </i>
    <i r="4">
      <x v="665"/>
      <x v="47"/>
    </i>
    <i r="4">
      <x v="754"/>
      <x v="47"/>
    </i>
    <i r="2">
      <x v="8"/>
      <x v="78"/>
      <x v="667"/>
      <x v="47"/>
    </i>
    <i r="4">
      <x v="1156"/>
      <x v="47"/>
    </i>
    <i r="2">
      <x v="12"/>
      <x v="25"/>
      <x v="180"/>
      <x v="47"/>
    </i>
    <i r="3">
      <x v="37"/>
      <x v="199"/>
      <x v="47"/>
    </i>
    <i r="1">
      <x v="3"/>
      <x v="37"/>
      <x v="78"/>
      <x v="109"/>
      <x v="47"/>
    </i>
    <i r="1">
      <x v="7"/>
      <x v="8"/>
      <x v="78"/>
      <x v="1148"/>
      <x v="47"/>
    </i>
    <i r="1">
      <x v="12"/>
      <x v="1"/>
      <x v="78"/>
      <x v="80"/>
      <x v="47"/>
    </i>
    <i r="4">
      <x v="352"/>
      <x v="47"/>
    </i>
    <i r="4">
      <x v="771"/>
      <x v="47"/>
    </i>
    <i r="2">
      <x v="37"/>
      <x v="78"/>
      <x v="1244"/>
      <x v="47"/>
    </i>
    <i r="1">
      <x v="15"/>
      <x v="7"/>
      <x v="78"/>
      <x v="469"/>
      <x v="47"/>
    </i>
    <i r="2">
      <x v="38"/>
      <x v="78"/>
      <x v="1274"/>
      <x v="47"/>
    </i>
    <i r="1">
      <x v="21"/>
      <x v="37"/>
      <x v="78"/>
      <x v="352"/>
      <x v="47"/>
    </i>
    <i r="2">
      <x v="38"/>
      <x v="78"/>
      <x v="1274"/>
      <x v="47"/>
    </i>
    <i r="1">
      <x v="23"/>
      <x v="38"/>
      <x v="78"/>
      <x v="1857"/>
      <x v="47"/>
    </i>
    <i r="1">
      <x v="35"/>
      <x v="1"/>
      <x v="78"/>
      <x v="80"/>
      <x v="47"/>
    </i>
    <i>
      <x v="2"/>
      <x/>
      <x v="6"/>
      <x v="79"/>
      <x v="212"/>
      <x v="47"/>
    </i>
    <i r="2">
      <x v="7"/>
      <x v="79"/>
      <x v="255"/>
      <x v="47"/>
    </i>
    <i r="2">
      <x v="12"/>
      <x v="68"/>
      <x v="4"/>
      <x v="47"/>
    </i>
    <i r="3">
      <x v="70"/>
      <x v="11"/>
      <x v="47"/>
    </i>
    <i r="1">
      <x v="3"/>
      <x v="38"/>
      <x v="79"/>
      <x v="33"/>
      <x v="47"/>
    </i>
    <i r="1">
      <x v="8"/>
      <x v="37"/>
      <x v="79"/>
      <x v="988"/>
      <x v="47"/>
    </i>
    <i r="1">
      <x v="12"/>
      <x v="1"/>
      <x v="79"/>
      <x v="80"/>
      <x v="47"/>
    </i>
    <i r="4">
      <x v="213"/>
      <x v="47"/>
    </i>
    <i r="4">
      <x v="352"/>
      <x v="47"/>
    </i>
    <i r="4">
      <x v="500"/>
      <x v="47"/>
    </i>
    <i r="4">
      <x v="846"/>
      <x v="47"/>
    </i>
    <i r="1">
      <x v="21"/>
      <x v="37"/>
      <x v="79"/>
      <x v="352"/>
      <x v="47"/>
    </i>
    <i r="1">
      <x v="23"/>
      <x v="6"/>
      <x v="79"/>
      <x v="86"/>
      <x v="47"/>
    </i>
    <i r="1">
      <x v="24"/>
      <x v="37"/>
      <x v="79"/>
      <x v="352"/>
      <x v="47"/>
    </i>
    <i r="1">
      <x v="27"/>
      <x v="6"/>
      <x v="79"/>
      <x v="1495"/>
      <x v="47"/>
    </i>
    <i r="1">
      <x v="35"/>
      <x v="1"/>
      <x v="79"/>
      <x v="80"/>
      <x v="47"/>
    </i>
    <i>
      <x v="3"/>
      <x/>
      <x v="6"/>
      <x v="80"/>
      <x v="795"/>
      <x v="47"/>
    </i>
    <i r="2">
      <x v="12"/>
      <x v="25"/>
      <x v="895"/>
      <x v="47"/>
    </i>
    <i r="1">
      <x v="12"/>
      <x v="1"/>
      <x v="80"/>
      <x v="80"/>
      <x v="47"/>
    </i>
    <i r="4">
      <x v="500"/>
      <x v="47"/>
    </i>
    <i r="4">
      <x v="911"/>
      <x v="47"/>
    </i>
    <i r="1">
      <x v="35"/>
      <x v="1"/>
      <x v="80"/>
      <x v="80"/>
      <x v="47"/>
    </i>
    <i>
      <x v="4"/>
      <x/>
      <x v="7"/>
      <x v="81"/>
      <x v="1163"/>
      <x v="47"/>
    </i>
    <i r="2">
      <x v="8"/>
      <x v="81"/>
      <x v="854"/>
      <x v="47"/>
    </i>
    <i r="2">
      <x v="12"/>
      <x v="29"/>
      <x v="98"/>
      <x v="47"/>
    </i>
    <i r="3">
      <x v="59"/>
      <x v="6"/>
      <x v="47"/>
    </i>
    <i r="3">
      <x v="68"/>
      <x v="11"/>
      <x v="47"/>
    </i>
    <i r="3">
      <x v="71"/>
      <x v="55"/>
      <x v="47"/>
    </i>
    <i r="1">
      <x v="8"/>
      <x v="37"/>
      <x v="81"/>
      <x v="1022"/>
      <x v="47"/>
    </i>
    <i r="1">
      <x v="12"/>
      <x v="1"/>
      <x v="81"/>
      <x v="213"/>
      <x v="47"/>
    </i>
    <i r="4">
      <x v="607"/>
      <x v="47"/>
    </i>
    <i r="1">
      <x v="27"/>
      <x v="37"/>
      <x v="81"/>
      <x v="1587"/>
      <x v="47"/>
    </i>
    <i>
      <x v="5"/>
      <x/>
      <x v="10"/>
      <x v="82"/>
      <x/>
      <x v="11"/>
    </i>
    <i r="2">
      <x v="12"/>
      <x v="18"/>
      <x v="11"/>
      <x v="47"/>
    </i>
    <i r="3">
      <x v="59"/>
      <x v="6"/>
      <x v="47"/>
    </i>
    <i r="1">
      <x v="3"/>
      <x v="1"/>
      <x v="82"/>
      <x v="956"/>
      <x v="47"/>
    </i>
    <i r="2">
      <x v="6"/>
      <x v="82"/>
      <x v="387"/>
      <x v="47"/>
    </i>
    <i r="1">
      <x v="10"/>
      <x v="37"/>
      <x v="82"/>
      <x v="1398"/>
      <x v="47"/>
    </i>
    <i r="1">
      <x v="12"/>
      <x v="1"/>
      <x v="82"/>
      <x v="80"/>
      <x v="47"/>
    </i>
    <i r="4">
      <x v="213"/>
      <x v="47"/>
    </i>
    <i r="4">
      <x v="771"/>
      <x v="47"/>
    </i>
    <i r="1">
      <x v="19"/>
      <x v="37"/>
      <x v="82"/>
      <x v="1427"/>
      <x v="47"/>
    </i>
    <i>
      <x v="6"/>
      <x/>
      <x v="8"/>
      <x v="84"/>
      <x v="113"/>
      <x v="47"/>
    </i>
    <i r="4">
      <x v="854"/>
      <x v="47"/>
    </i>
    <i r="2">
      <x v="9"/>
      <x v="84"/>
      <x v="387"/>
      <x v="47"/>
    </i>
    <i r="4">
      <x v="517"/>
      <x v="47"/>
    </i>
    <i r="4">
      <x v="645"/>
      <x v="47"/>
    </i>
    <i r="4">
      <x v="741"/>
      <x v="47"/>
    </i>
    <i r="2">
      <x v="12"/>
      <x v="16"/>
      <x v="258"/>
      <x v="47"/>
    </i>
    <i r="3">
      <x v="30"/>
      <x v="59"/>
      <x v="47"/>
    </i>
    <i r="3">
      <x v="48"/>
      <x v="6"/>
      <x v="47"/>
    </i>
    <i r="3">
      <x v="58"/>
      <x v="18"/>
      <x v="47"/>
    </i>
    <i r="2">
      <x v="14"/>
      <x v="83"/>
      <x v="546"/>
      <x v="47"/>
    </i>
    <i r="4">
      <x v="668"/>
      <x v="47"/>
    </i>
    <i r="4">
      <x v="821"/>
      <x v="47"/>
    </i>
    <i r="4">
      <x v="829"/>
      <x v="47"/>
    </i>
    <i r="1">
      <x v="2"/>
      <x v="14"/>
      <x v="83"/>
      <x v="1867"/>
      <x v="47"/>
    </i>
    <i r="1">
      <x v="3"/>
      <x v="14"/>
      <x v="83"/>
      <x v="1313"/>
      <x v="47"/>
    </i>
    <i r="2">
      <x v="37"/>
      <x v="84"/>
      <x v="410"/>
      <x v="47"/>
    </i>
    <i r="1">
      <x v="12"/>
      <x v="1"/>
      <x v="84"/>
      <x v="80"/>
      <x v="47"/>
    </i>
    <i r="4">
      <x v="352"/>
      <x v="47"/>
    </i>
    <i r="4">
      <x v="771"/>
      <x v="47"/>
    </i>
    <i r="2">
      <x v="14"/>
      <x v="83"/>
      <x v="164"/>
      <x v="47"/>
    </i>
    <i r="4">
      <x v="242"/>
      <x v="47"/>
    </i>
    <i r="4">
      <x v="254"/>
      <x v="47"/>
    </i>
    <i r="4">
      <x v="417"/>
      <x v="47"/>
    </i>
    <i r="4">
      <x v="548"/>
      <x v="47"/>
    </i>
    <i r="4">
      <x v="568"/>
      <x v="47"/>
    </i>
    <i r="4">
      <x v="949"/>
      <x v="47"/>
    </i>
    <i r="4">
      <x v="1298"/>
      <x v="47"/>
    </i>
    <i r="4">
      <x v="1440"/>
      <x v="47"/>
    </i>
    <i r="4">
      <x v="1499"/>
      <x v="47"/>
    </i>
    <i r="4">
      <x v="1567"/>
      <x v="47"/>
    </i>
    <i r="4">
      <x v="1569"/>
      <x v="47"/>
    </i>
    <i r="4">
      <x v="1618"/>
      <x v="47"/>
    </i>
    <i r="4">
      <x v="1626"/>
      <x v="47"/>
    </i>
    <i r="4">
      <x v="1639"/>
      <x v="47"/>
    </i>
    <i r="4">
      <x v="1655"/>
      <x v="47"/>
    </i>
    <i r="4">
      <x v="1671"/>
      <x v="47"/>
    </i>
    <i r="4">
      <x v="1681"/>
      <x v="47"/>
    </i>
    <i r="4">
      <x v="1688"/>
      <x v="47"/>
    </i>
    <i r="4">
      <x v="1693"/>
      <x v="47"/>
    </i>
    <i r="4">
      <x v="1714"/>
      <x v="47"/>
    </i>
    <i r="4">
      <x v="1745"/>
      <x v="47"/>
    </i>
    <i r="4">
      <x v="1748"/>
      <x v="47"/>
    </i>
    <i r="4">
      <x v="1757"/>
      <x v="47"/>
    </i>
    <i r="4">
      <x v="1794"/>
      <x v="47"/>
    </i>
    <i r="4">
      <x v="1829"/>
      <x v="47"/>
    </i>
    <i r="4">
      <x v="1841"/>
      <x v="47"/>
    </i>
    <i r="1">
      <x v="15"/>
      <x v="7"/>
      <x v="84"/>
      <x v="882"/>
      <x v="47"/>
    </i>
    <i r="1">
      <x v="17"/>
      <x v="14"/>
      <x v="83"/>
      <x v="1471"/>
      <x v="47"/>
    </i>
    <i r="1">
      <x v="21"/>
      <x v="14"/>
      <x v="83"/>
      <x v="1185"/>
      <x v="47"/>
    </i>
    <i r="2">
      <x v="37"/>
      <x v="84"/>
      <x v="1068"/>
      <x v="47"/>
    </i>
    <i r="1">
      <x v="23"/>
      <x v="14"/>
      <x v="83"/>
      <x v="1728"/>
      <x v="47"/>
    </i>
    <i r="1">
      <x v="24"/>
      <x v="14"/>
      <x v="83"/>
      <x v="885"/>
      <x v="47"/>
    </i>
    <i r="1">
      <x v="27"/>
      <x v="14"/>
      <x v="83"/>
      <x v="599"/>
      <x v="47"/>
    </i>
    <i r="1">
      <x v="35"/>
      <x v="1"/>
      <x v="84"/>
      <x v="80"/>
      <x v="47"/>
    </i>
    <i r="4">
      <x v="213"/>
      <x v="47"/>
    </i>
    <i r="2">
      <x v="14"/>
      <x v="83"/>
      <x v="154"/>
      <x v="47"/>
    </i>
    <i r="4">
      <x v="259"/>
      <x v="47"/>
    </i>
    <i r="4">
      <x v="264"/>
      <x v="47"/>
    </i>
    <i r="4">
      <x v="478"/>
      <x v="47"/>
    </i>
    <i r="4">
      <x v="525"/>
      <x v="47"/>
    </i>
    <i r="4">
      <x v="527"/>
      <x v="47"/>
    </i>
    <i r="4">
      <x v="618"/>
      <x v="47"/>
    </i>
    <i r="4">
      <x v="730"/>
      <x v="47"/>
    </i>
    <i r="4">
      <x v="746"/>
      <x v="47"/>
    </i>
    <i r="4">
      <x v="1131"/>
      <x v="47"/>
    </i>
    <i>
      <x v="7"/>
      <x/>
      <x v="1"/>
      <x v="85"/>
      <x v="80"/>
      <x v="47"/>
    </i>
    <i r="2">
      <x v="12"/>
      <x v="16"/>
      <x v="258"/>
      <x v="47"/>
    </i>
    <i r="3">
      <x v="18"/>
      <x v="18"/>
      <x v="47"/>
    </i>
    <i r="1">
      <x v="6"/>
      <x v="37"/>
      <x v="85"/>
      <x v="1234"/>
      <x v="47"/>
    </i>
    <i r="1">
      <x v="9"/>
      <x v="1"/>
      <x v="85"/>
      <x v="1019"/>
      <x v="47"/>
    </i>
    <i r="1">
      <x v="12"/>
      <x v="1"/>
      <x v="85"/>
      <x v="80"/>
      <x v="47"/>
    </i>
    <i r="4">
      <x v="213"/>
      <x v="47"/>
    </i>
    <i r="2">
      <x v="37"/>
      <x v="85"/>
      <x v="800"/>
      <x v="47"/>
    </i>
    <i r="1">
      <x v="15"/>
      <x v="37"/>
      <x v="85"/>
      <x v="456"/>
      <x v="47"/>
    </i>
    <i r="1">
      <x v="19"/>
      <x v="37"/>
      <x v="85"/>
      <x v="137"/>
      <x v="47"/>
    </i>
    <i r="1">
      <x v="21"/>
      <x v="37"/>
      <x v="85"/>
      <x v="352"/>
      <x v="47"/>
    </i>
    <i r="1">
      <x v="26"/>
      <x v="38"/>
      <x v="85"/>
      <x v="371"/>
      <x v="47"/>
    </i>
    <i r="1">
      <x v="35"/>
      <x v="1"/>
      <x v="85"/>
      <x v="80"/>
      <x v="47"/>
    </i>
    <i r="4">
      <x v="213"/>
      <x v="47"/>
    </i>
    <i r="4">
      <x v="352"/>
      <x v="47"/>
    </i>
    <i>
      <x v="8"/>
      <x/>
      <x v="8"/>
      <x v="86"/>
      <x v="585"/>
      <x v="47"/>
    </i>
    <i r="2">
      <x v="9"/>
      <x v="86"/>
      <x v="559"/>
      <x v="47"/>
    </i>
    <i r="2">
      <x v="12"/>
      <x v="4"/>
      <x v="197"/>
      <x v="47"/>
    </i>
    <i r="3">
      <x v="48"/>
      <x v="6"/>
      <x v="47"/>
    </i>
    <i r="1">
      <x v="3"/>
      <x v="38"/>
      <x v="86"/>
      <x v="278"/>
      <x v="47"/>
    </i>
    <i r="1">
      <x v="5"/>
      <x v="37"/>
      <x v="86"/>
      <x v="834"/>
      <x v="47"/>
    </i>
    <i r="2">
      <x v="38"/>
      <x v="86"/>
      <x v="1723"/>
      <x v="47"/>
    </i>
    <i r="1">
      <x v="9"/>
      <x v="8"/>
      <x v="86"/>
      <x v="1035"/>
      <x v="47"/>
    </i>
    <i r="1">
      <x v="12"/>
      <x v="1"/>
      <x v="86"/>
      <x v="80"/>
      <x v="47"/>
    </i>
    <i r="4">
      <x v="352"/>
      <x v="47"/>
    </i>
    <i r="4">
      <x v="500"/>
      <x v="47"/>
    </i>
    <i r="1">
      <x v="23"/>
      <x v="37"/>
      <x v="86"/>
      <x v="653"/>
      <x v="47"/>
    </i>
    <i>
      <x v="9"/>
      <x/>
      <x v="37"/>
      <x v="87"/>
      <x v="744"/>
      <x v="47"/>
    </i>
    <i r="1">
      <x v="8"/>
      <x v="37"/>
      <x v="87"/>
      <x v="1341"/>
      <x v="47"/>
    </i>
    <i r="1">
      <x v="12"/>
      <x v="1"/>
      <x v="87"/>
      <x v="80"/>
      <x v="47"/>
    </i>
    <i r="4">
      <x v="213"/>
      <x v="47"/>
    </i>
    <i r="4">
      <x v="352"/>
      <x v="47"/>
    </i>
    <i r="4">
      <x v="500"/>
      <x v="47"/>
    </i>
    <i r="2">
      <x v="37"/>
      <x v="87"/>
      <x v="1028"/>
      <x v="47"/>
    </i>
    <i r="4">
      <x v="1079"/>
      <x v="47"/>
    </i>
    <i r="1">
      <x v="23"/>
      <x v="1"/>
      <x v="87"/>
      <x v="278"/>
      <x v="47"/>
    </i>
    <i r="2">
      <x v="37"/>
      <x v="87"/>
      <x v="294"/>
      <x v="47"/>
    </i>
    <i r="1">
      <x v="26"/>
      <x v="37"/>
      <x v="87"/>
      <x v="352"/>
      <x v="47"/>
    </i>
    <i r="1">
      <x v="35"/>
      <x v="1"/>
      <x v="87"/>
      <x v="80"/>
      <x v="47"/>
    </i>
    <i>
      <x v="10"/>
      <x/>
      <x v="8"/>
      <x v="88"/>
      <x v="1114"/>
      <x v="47"/>
    </i>
    <i r="2">
      <x v="9"/>
      <x v="88"/>
      <x v="212"/>
      <x v="47"/>
    </i>
    <i r="4">
      <x v="220"/>
      <x v="47"/>
    </i>
    <i r="4">
      <x v="240"/>
      <x v="47"/>
    </i>
    <i r="2">
      <x v="12"/>
      <x v="22"/>
      <x v="18"/>
      <x v="47"/>
    </i>
    <i r="2">
      <x v="37"/>
      <x v="88"/>
      <x v="273"/>
      <x v="47"/>
    </i>
    <i r="1">
      <x v="12"/>
      <x v="1"/>
      <x v="88"/>
      <x v="80"/>
      <x v="47"/>
    </i>
    <i r="4">
      <x v="213"/>
      <x v="47"/>
    </i>
    <i r="4">
      <x v="771"/>
      <x v="47"/>
    </i>
    <i r="4">
      <x v="846"/>
      <x v="47"/>
    </i>
    <i r="1">
      <x v="24"/>
      <x v="1"/>
      <x v="88"/>
      <x v="213"/>
      <x v="47"/>
    </i>
    <i r="1">
      <x v="35"/>
      <x v="1"/>
      <x v="88"/>
      <x v="80"/>
      <x v="47"/>
    </i>
    <i>
      <x v="11"/>
      <x/>
      <x v="12"/>
      <x v="10"/>
      <x v="248"/>
      <x v="47"/>
    </i>
    <i r="3">
      <x v="33"/>
      <x v="18"/>
      <x v="47"/>
    </i>
    <i r="3">
      <x v="39"/>
      <x v="180"/>
      <x v="47"/>
    </i>
    <i r="3">
      <x v="59"/>
      <x v="6"/>
      <x v="47"/>
    </i>
    <i r="3">
      <x v="70"/>
      <x v="14"/>
      <x v="47"/>
    </i>
    <i r="1">
      <x v="5"/>
      <x v="37"/>
      <x v="89"/>
      <x v="1403"/>
      <x v="47"/>
    </i>
    <i r="1">
      <x v="12"/>
      <x v="1"/>
      <x v="89"/>
      <x v="352"/>
      <x v="47"/>
    </i>
    <i r="1">
      <x v="15"/>
      <x v="1"/>
      <x v="89"/>
      <x v="607"/>
      <x v="47"/>
    </i>
    <i r="2">
      <x v="37"/>
      <x v="89"/>
      <x v="213"/>
      <x v="47"/>
    </i>
    <i r="1">
      <x v="23"/>
      <x v="37"/>
      <x v="89"/>
      <x v="111"/>
      <x v="47"/>
    </i>
    <i>
      <x v="12"/>
      <x/>
      <x v="9"/>
      <x v="90"/>
      <x v="300"/>
      <x v="47"/>
    </i>
    <i r="4">
      <x v="623"/>
      <x v="47"/>
    </i>
    <i r="4">
      <x v="1009"/>
      <x v="47"/>
    </i>
    <i r="2">
      <x v="12"/>
      <x v="22"/>
      <x v="18"/>
      <x v="47"/>
    </i>
    <i r="3">
      <x v="26"/>
      <x v="123"/>
      <x v="47"/>
    </i>
    <i r="3">
      <x v="48"/>
      <x v="35"/>
      <x v="47"/>
    </i>
    <i r="3">
      <x v="60"/>
      <x v="138"/>
      <x v="47"/>
    </i>
    <i r="3">
      <x v="65"/>
      <x v="2"/>
      <x v="47"/>
    </i>
    <i r="3">
      <x v="70"/>
      <x v="23"/>
      <x v="47"/>
    </i>
    <i r="2">
      <x v="37"/>
      <x v="90"/>
      <x v="1206"/>
      <x v="47"/>
    </i>
    <i r="1">
      <x v="3"/>
      <x v="37"/>
      <x v="90"/>
      <x v="1104"/>
      <x v="47"/>
    </i>
    <i r="1">
      <x v="5"/>
      <x v="37"/>
      <x v="90"/>
      <x v="1600"/>
      <x v="47"/>
    </i>
    <i r="1">
      <x v="8"/>
      <x v="37"/>
      <x v="90"/>
      <x v="1085"/>
      <x v="47"/>
    </i>
    <i r="1">
      <x v="12"/>
      <x v="1"/>
      <x v="90"/>
      <x v="80"/>
      <x v="47"/>
    </i>
    <i r="4">
      <x v="213"/>
      <x v="47"/>
    </i>
    <i r="4">
      <x v="500"/>
      <x v="47"/>
    </i>
    <i r="4">
      <x v="702"/>
      <x v="47"/>
    </i>
    <i r="1">
      <x v="17"/>
      <x v="7"/>
      <x v="90"/>
      <x v="758"/>
      <x v="47"/>
    </i>
    <i r="1">
      <x v="24"/>
      <x v="1"/>
      <x v="90"/>
      <x v="109"/>
      <x v="47"/>
    </i>
    <i r="2">
      <x v="37"/>
      <x v="90"/>
      <x v="138"/>
      <x v="47"/>
    </i>
    <i r="1">
      <x v="26"/>
      <x v="37"/>
      <x v="90"/>
      <x v="278"/>
      <x v="47"/>
    </i>
    <i r="1">
      <x v="27"/>
      <x v="37"/>
      <x v="90"/>
      <x v="1445"/>
      <x v="47"/>
    </i>
    <i r="1">
      <x v="36"/>
      <x v="8"/>
      <x v="90"/>
      <x v="1518"/>
      <x v="47"/>
    </i>
    <i>
      <x v="13"/>
      <x v="2"/>
      <x v="10"/>
      <x v="91"/>
      <x v="1706"/>
      <x v="47"/>
    </i>
    <i r="1">
      <x v="3"/>
      <x v="10"/>
      <x v="91"/>
      <x v="1466"/>
      <x v="47"/>
    </i>
    <i r="1">
      <x v="9"/>
      <x v="10"/>
      <x v="91"/>
      <x v="346"/>
      <x v="47"/>
    </i>
    <i r="1">
      <x v="11"/>
      <x v="10"/>
      <x v="91"/>
      <x v="845"/>
      <x v="47"/>
    </i>
    <i r="1">
      <x v="36"/>
      <x v="10"/>
      <x v="91"/>
      <x v="1611"/>
      <x v="47"/>
    </i>
    <i r="1">
      <x v="37"/>
      <x v="10"/>
      <x v="91"/>
      <x v="1673"/>
      <x v="47"/>
    </i>
    <i r="1">
      <x v="38"/>
      <x v="10"/>
      <x v="91"/>
      <x v="954"/>
      <x v="47"/>
    </i>
    <i>
      <x v="14"/>
      <x/>
      <x v="1"/>
      <x v="92"/>
      <x v="80"/>
      <x v="47"/>
    </i>
    <i r="4">
      <x v="213"/>
      <x v="47"/>
    </i>
    <i r="2">
      <x v="12"/>
      <x v="30"/>
      <x v="32"/>
      <x v="47"/>
    </i>
    <i r="3">
      <x v="42"/>
      <x v="9"/>
      <x v="47"/>
    </i>
    <i r="1">
      <x v="12"/>
      <x v="1"/>
      <x v="92"/>
      <x v="80"/>
      <x v="47"/>
    </i>
    <i r="4">
      <x v="213"/>
      <x v="47"/>
    </i>
    <i r="4">
      <x v="352"/>
      <x v="47"/>
    </i>
    <i r="4">
      <x v="500"/>
      <x v="47"/>
    </i>
    <i r="4">
      <x v="964"/>
      <x v="47"/>
    </i>
    <i r="4">
      <x v="1028"/>
      <x v="47"/>
    </i>
    <i r="1">
      <x v="23"/>
      <x v="37"/>
      <x v="92"/>
      <x v="1031"/>
      <x v="47"/>
    </i>
    <i r="1">
      <x v="28"/>
      <x v="1"/>
      <x v="92"/>
      <x v="1086"/>
      <x v="47"/>
    </i>
    <i r="1">
      <x v="35"/>
      <x v="1"/>
      <x v="92"/>
      <x v="80"/>
      <x v="47"/>
    </i>
    <i r="4">
      <x v="213"/>
      <x v="47"/>
    </i>
    <i>
      <x v="15"/>
      <x/>
      <x v="9"/>
      <x v="93"/>
      <x v="291"/>
      <x v="47"/>
    </i>
    <i r="4">
      <x v="587"/>
      <x v="47"/>
    </i>
    <i r="1">
      <x v="3"/>
      <x v="37"/>
      <x v="93"/>
      <x v="109"/>
      <x v="47"/>
    </i>
    <i r="1">
      <x v="5"/>
      <x v="8"/>
      <x v="93"/>
      <x v="673"/>
      <x v="47"/>
    </i>
    <i r="2">
      <x v="37"/>
      <x v="93"/>
      <x v="1321"/>
      <x v="47"/>
    </i>
    <i r="1">
      <x v="7"/>
      <x v="8"/>
      <x v="93"/>
      <x v="723"/>
      <x v="47"/>
    </i>
    <i r="2">
      <x v="10"/>
      <x v="93"/>
      <x v="1554"/>
      <x v="47"/>
    </i>
    <i r="1">
      <x v="12"/>
      <x v="1"/>
      <x v="93"/>
      <x v="80"/>
      <x v="47"/>
    </i>
    <i r="4">
      <x v="213"/>
      <x v="47"/>
    </i>
    <i r="4">
      <x v="352"/>
      <x v="47"/>
    </i>
    <i r="4">
      <x v="771"/>
      <x v="47"/>
    </i>
    <i r="4">
      <x v="964"/>
      <x v="47"/>
    </i>
    <i r="1">
      <x v="15"/>
      <x v="37"/>
      <x v="93"/>
      <x v="1007"/>
      <x v="47"/>
    </i>
    <i r="1">
      <x v="23"/>
      <x v="7"/>
      <x v="93"/>
      <x v="1188"/>
      <x v="47"/>
    </i>
    <i r="1">
      <x v="35"/>
      <x v="1"/>
      <x v="93"/>
      <x v="80"/>
      <x v="47"/>
    </i>
    <i r="1">
      <x v="36"/>
      <x v="8"/>
      <x v="93"/>
      <x v="1111"/>
      <x v="47"/>
    </i>
    <i>
      <x v="16"/>
      <x/>
      <x v="9"/>
      <x v="94"/>
      <x/>
      <x v="37"/>
    </i>
    <i r="4">
      <x v="220"/>
      <x v="47"/>
    </i>
    <i r="2">
      <x v="12"/>
      <x v="60"/>
      <x v="32"/>
      <x v="47"/>
    </i>
    <i r="1">
      <x v="12"/>
      <x v="1"/>
      <x v="94"/>
      <x v="702"/>
      <x v="47"/>
    </i>
    <i>
      <x v="17"/>
      <x/>
      <x v="12"/>
      <x v="36"/>
      <x v="236"/>
      <x v="47"/>
    </i>
    <i r="2">
      <x v="37"/>
      <x v="95"/>
      <x v="51"/>
      <x v="47"/>
    </i>
    <i r="4">
      <x v="262"/>
      <x v="47"/>
    </i>
    <i r="1">
      <x v="3"/>
      <x v="37"/>
      <x v="95"/>
      <x v="846"/>
      <x v="47"/>
    </i>
    <i r="1">
      <x v="12"/>
      <x v="1"/>
      <x v="95"/>
      <x v="213"/>
      <x v="47"/>
    </i>
    <i r="1">
      <x v="23"/>
      <x v="37"/>
      <x v="95"/>
      <x v="299"/>
      <x v="47"/>
    </i>
    <i>
      <x v="18"/>
      <x/>
      <x v="7"/>
      <x v="97"/>
      <x v="102"/>
      <x v="47"/>
    </i>
    <i r="2">
      <x v="9"/>
      <x v="97"/>
      <x/>
      <x v="46"/>
    </i>
    <i r="4">
      <x v="212"/>
      <x v="47"/>
    </i>
    <i r="4">
      <x v="617"/>
      <x v="47"/>
    </i>
    <i r="4">
      <x v="702"/>
      <x v="47"/>
    </i>
    <i r="2">
      <x v="12"/>
      <x v="50"/>
      <x v="551"/>
      <x v="47"/>
    </i>
    <i r="2">
      <x v="21"/>
      <x v="96"/>
      <x v="557"/>
      <x v="47"/>
    </i>
    <i r="4">
      <x v="651"/>
      <x v="47"/>
    </i>
    <i r="4">
      <x v="698"/>
      <x v="47"/>
    </i>
    <i r="4">
      <x v="1262"/>
      <x v="47"/>
    </i>
    <i r="2">
      <x v="37"/>
      <x v="97"/>
      <x v="262"/>
      <x v="47"/>
    </i>
    <i r="1">
      <x v="2"/>
      <x v="21"/>
      <x v="96"/>
      <x v="1768"/>
      <x v="47"/>
    </i>
    <i r="1">
      <x v="8"/>
      <x v="37"/>
      <x v="97"/>
      <x v="1143"/>
      <x v="47"/>
    </i>
    <i r="1">
      <x v="12"/>
      <x v="1"/>
      <x v="97"/>
      <x v="80"/>
      <x v="47"/>
    </i>
    <i r="2">
      <x v="21"/>
      <x v="96"/>
      <x v="161"/>
      <x v="47"/>
    </i>
    <i r="4">
      <x v="176"/>
      <x v="47"/>
    </i>
    <i r="4">
      <x v="196"/>
      <x v="47"/>
    </i>
    <i r="4">
      <x v="237"/>
      <x v="47"/>
    </i>
    <i r="4">
      <x v="348"/>
      <x v="47"/>
    </i>
    <i r="4">
      <x v="367"/>
      <x v="47"/>
    </i>
    <i r="4">
      <x v="399"/>
      <x v="47"/>
    </i>
    <i r="4">
      <x v="417"/>
      <x v="47"/>
    </i>
    <i r="4">
      <x v="426"/>
      <x v="47"/>
    </i>
    <i r="4">
      <x v="531"/>
      <x v="47"/>
    </i>
    <i r="4">
      <x v="566"/>
      <x v="47"/>
    </i>
    <i r="4">
      <x v="586"/>
      <x v="47"/>
    </i>
    <i r="4">
      <x v="597"/>
      <x v="47"/>
    </i>
    <i r="4">
      <x v="625"/>
      <x v="47"/>
    </i>
    <i r="4">
      <x v="660"/>
      <x v="47"/>
    </i>
    <i r="4">
      <x v="724"/>
      <x v="47"/>
    </i>
    <i r="4">
      <x v="861"/>
      <x v="47"/>
    </i>
    <i r="4">
      <x v="968"/>
      <x v="47"/>
    </i>
    <i r="4">
      <x v="999"/>
      <x v="47"/>
    </i>
    <i r="4">
      <x v="1023"/>
      <x v="47"/>
    </i>
    <i r="4">
      <x v="1063"/>
      <x v="47"/>
    </i>
    <i r="4">
      <x v="1072"/>
      <x v="47"/>
    </i>
    <i r="4">
      <x v="1096"/>
      <x v="47"/>
    </i>
    <i r="4">
      <x v="1112"/>
      <x v="47"/>
    </i>
    <i r="4">
      <x v="1113"/>
      <x v="47"/>
    </i>
    <i r="4">
      <x v="1142"/>
      <x v="47"/>
    </i>
    <i r="4">
      <x v="1223"/>
      <x v="47"/>
    </i>
    <i r="4">
      <x v="1329"/>
      <x v="47"/>
    </i>
    <i r="4">
      <x v="1426"/>
      <x v="47"/>
    </i>
    <i r="4">
      <x v="1446"/>
      <x v="47"/>
    </i>
    <i r="4">
      <x v="1461"/>
      <x v="47"/>
    </i>
    <i r="4">
      <x v="1490"/>
      <x v="47"/>
    </i>
    <i r="4">
      <x v="1540"/>
      <x v="47"/>
    </i>
    <i r="4">
      <x v="1545"/>
      <x v="47"/>
    </i>
    <i r="4">
      <x v="1579"/>
      <x v="47"/>
    </i>
    <i r="4">
      <x v="1593"/>
      <x v="47"/>
    </i>
    <i r="4">
      <x v="1597"/>
      <x v="47"/>
    </i>
    <i r="4">
      <x v="1623"/>
      <x v="47"/>
    </i>
    <i r="4">
      <x v="1625"/>
      <x v="47"/>
    </i>
    <i r="4">
      <x v="1683"/>
      <x v="47"/>
    </i>
    <i r="4">
      <x v="1726"/>
      <x v="47"/>
    </i>
    <i r="4">
      <x v="1784"/>
      <x v="47"/>
    </i>
    <i r="4">
      <x v="1798"/>
      <x v="47"/>
    </i>
    <i r="4">
      <x v="1802"/>
      <x v="47"/>
    </i>
    <i r="4">
      <x v="1814"/>
      <x v="47"/>
    </i>
    <i r="1">
      <x v="15"/>
      <x v="21"/>
      <x v="96"/>
      <x v="1709"/>
      <x v="47"/>
    </i>
    <i r="1">
      <x v="17"/>
      <x v="21"/>
      <x v="96"/>
      <x v="402"/>
      <x v="47"/>
    </i>
    <i r="1">
      <x v="23"/>
      <x v="21"/>
      <x v="96"/>
      <x v="1278"/>
      <x v="47"/>
    </i>
    <i r="2">
      <x v="37"/>
      <x v="97"/>
      <x v="50"/>
      <x v="47"/>
    </i>
    <i r="1">
      <x v="24"/>
      <x v="21"/>
      <x v="96"/>
      <x v="1118"/>
      <x v="47"/>
    </i>
    <i r="1">
      <x v="35"/>
      <x v="21"/>
      <x v="96"/>
      <x v="56"/>
      <x v="47"/>
    </i>
    <i r="4">
      <x v="409"/>
      <x v="47"/>
    </i>
    <i r="4">
      <x v="457"/>
      <x v="47"/>
    </i>
    <i r="4">
      <x v="786"/>
      <x v="47"/>
    </i>
    <i r="4">
      <x v="950"/>
      <x v="47"/>
    </i>
    <i>
      <x v="19"/>
      <x/>
      <x v="8"/>
      <x v="98"/>
      <x v="351"/>
      <x v="47"/>
    </i>
    <i r="2">
      <x v="9"/>
      <x v="98"/>
      <x v="702"/>
      <x v="47"/>
    </i>
    <i r="4">
      <x v="958"/>
      <x v="47"/>
    </i>
    <i r="4">
      <x v="1417"/>
      <x v="47"/>
    </i>
    <i r="2">
      <x v="12"/>
      <x v="18"/>
      <x v="44"/>
      <x v="47"/>
    </i>
    <i r="3">
      <x v="68"/>
      <x v="18"/>
      <x v="47"/>
    </i>
    <i r="1">
      <x v="6"/>
      <x v="37"/>
      <x v="98"/>
      <x v="1025"/>
      <x v="47"/>
    </i>
    <i r="1">
      <x v="15"/>
      <x v="7"/>
      <x v="98"/>
      <x v="711"/>
      <x v="47"/>
    </i>
    <i r="2">
      <x v="8"/>
      <x v="98"/>
      <x v="794"/>
      <x v="47"/>
    </i>
    <i r="2">
      <x v="9"/>
      <x v="98"/>
      <x v="1213"/>
      <x v="47"/>
    </i>
    <i>
      <x v="20"/>
      <x/>
      <x v="9"/>
      <x v="99"/>
      <x v="412"/>
      <x v="47"/>
    </i>
    <i r="2">
      <x v="12"/>
      <x v="46"/>
      <x v="325"/>
      <x v="47"/>
    </i>
    <i r="3">
      <x v="50"/>
      <x v="137"/>
      <x v="47"/>
    </i>
    <i r="3">
      <x v="56"/>
      <x v="194"/>
      <x v="47"/>
    </i>
    <i r="3">
      <x v="65"/>
      <x v="18"/>
      <x v="47"/>
    </i>
    <i r="1">
      <x v="3"/>
      <x v="37"/>
      <x v="99"/>
      <x v="143"/>
      <x v="47"/>
    </i>
    <i r="1">
      <x v="11"/>
      <x v="1"/>
      <x v="99"/>
      <x v="528"/>
      <x v="47"/>
    </i>
    <i r="1">
      <x v="15"/>
      <x v="32"/>
      <x v="74"/>
      <x v="1882"/>
      <x v="47"/>
    </i>
    <i r="1">
      <x v="17"/>
      <x v="6"/>
      <x v="99"/>
      <x v="1249"/>
      <x v="47"/>
    </i>
    <i r="1">
      <x v="23"/>
      <x v="9"/>
      <x v="99"/>
      <x v="1344"/>
      <x v="47"/>
    </i>
    <i>
      <x v="21"/>
      <x/>
      <x v="9"/>
      <x v="100"/>
      <x v="1543"/>
      <x v="47"/>
    </i>
    <i r="2">
      <x v="12"/>
      <x v="10"/>
      <x v="90"/>
      <x v="47"/>
    </i>
    <i r="3">
      <x v="19"/>
      <x v="39"/>
      <x v="47"/>
    </i>
    <i r="3">
      <x v="30"/>
      <x v="92"/>
      <x v="47"/>
    </i>
    <i r="1">
      <x v="3"/>
      <x v="1"/>
      <x v="100"/>
      <x v="935"/>
      <x v="47"/>
    </i>
    <i r="2">
      <x v="6"/>
      <x v="100"/>
      <x v="387"/>
      <x v="47"/>
    </i>
    <i r="2">
      <x v="37"/>
      <x v="100"/>
      <x v="737"/>
      <x v="47"/>
    </i>
    <i r="1">
      <x v="9"/>
      <x v="8"/>
      <x v="100"/>
      <x v="490"/>
      <x v="47"/>
    </i>
    <i r="1">
      <x v="12"/>
      <x v="1"/>
      <x v="100"/>
      <x v="80"/>
      <x v="47"/>
    </i>
    <i r="4">
      <x v="702"/>
      <x v="47"/>
    </i>
    <i>
      <x v="22"/>
      <x/>
      <x v="12"/>
      <x v="8"/>
      <x v="92"/>
      <x v="47"/>
    </i>
    <i r="3">
      <x v="25"/>
      <x v="180"/>
      <x v="47"/>
    </i>
    <i r="3">
      <x v="26"/>
      <x v="53"/>
      <x v="47"/>
    </i>
    <i r="3">
      <x v="70"/>
      <x v="18"/>
      <x v="47"/>
    </i>
    <i r="1">
      <x v="12"/>
      <x v="1"/>
      <x v="101"/>
      <x v="213"/>
      <x v="47"/>
    </i>
    <i r="1">
      <x v="23"/>
      <x v="6"/>
      <x v="101"/>
      <x v="701"/>
      <x v="47"/>
    </i>
    <i r="1">
      <x v="35"/>
      <x v="1"/>
      <x v="101"/>
      <x v="80"/>
      <x v="47"/>
    </i>
    <i>
      <x v="23"/>
      <x/>
      <x v="8"/>
      <x v="102"/>
      <x v="1114"/>
      <x v="47"/>
    </i>
    <i r="2">
      <x v="9"/>
      <x v="102"/>
      <x v="170"/>
      <x v="47"/>
    </i>
    <i r="4">
      <x v="255"/>
      <x v="47"/>
    </i>
    <i r="4">
      <x v="1106"/>
      <x v="47"/>
    </i>
    <i r="2">
      <x v="12"/>
      <x v="31"/>
      <x v="488"/>
      <x v="47"/>
    </i>
    <i r="3">
      <x v="39"/>
      <x v="61"/>
      <x v="47"/>
    </i>
    <i r="3">
      <x v="70"/>
      <x v="18"/>
      <x v="47"/>
    </i>
    <i r="2">
      <x v="37"/>
      <x v="102"/>
      <x v="1137"/>
      <x v="47"/>
    </i>
    <i r="1">
      <x v="6"/>
      <x v="37"/>
      <x v="102"/>
      <x v="469"/>
      <x v="47"/>
    </i>
    <i r="1">
      <x v="9"/>
      <x v="8"/>
      <x v="102"/>
      <x v="592"/>
      <x v="47"/>
    </i>
    <i r="1">
      <x v="12"/>
      <x v="1"/>
      <x v="102"/>
      <x v="80"/>
      <x v="47"/>
    </i>
    <i r="4">
      <x v="213"/>
      <x v="47"/>
    </i>
    <i r="4">
      <x v="352"/>
      <x v="47"/>
    </i>
    <i r="4">
      <x v="607"/>
      <x v="47"/>
    </i>
    <i r="4">
      <x v="911"/>
      <x v="47"/>
    </i>
    <i r="2">
      <x v="37"/>
      <x v="102"/>
      <x v="248"/>
      <x v="47"/>
    </i>
    <i r="4">
      <x v="1192"/>
      <x v="47"/>
    </i>
    <i r="1">
      <x v="16"/>
      <x v="37"/>
      <x v="102"/>
      <x v="39"/>
      <x v="47"/>
    </i>
    <i r="1">
      <x v="19"/>
      <x v="6"/>
      <x v="102"/>
      <x v="872"/>
      <x v="47"/>
    </i>
    <i r="1">
      <x v="23"/>
      <x v="6"/>
      <x v="102"/>
      <x v="1149"/>
      <x v="47"/>
    </i>
    <i r="2">
      <x v="7"/>
      <x v="102"/>
      <x v="371"/>
      <x v="47"/>
    </i>
    <i r="1">
      <x v="35"/>
      <x v="1"/>
      <x v="102"/>
      <x v="80"/>
      <x v="47"/>
    </i>
    <i>
      <x v="24"/>
      <x/>
      <x v="6"/>
      <x v="103"/>
      <x v="469"/>
      <x v="47"/>
    </i>
    <i r="2">
      <x v="12"/>
      <x v="6"/>
      <x v="101"/>
      <x v="47"/>
    </i>
    <i r="3">
      <x v="57"/>
      <x v="9"/>
      <x v="47"/>
    </i>
    <i r="1">
      <x v="6"/>
      <x v="37"/>
      <x v="103"/>
      <x v="607"/>
      <x v="47"/>
    </i>
    <i r="1">
      <x v="15"/>
      <x v="33"/>
      <x v="103"/>
      <x v="1879"/>
      <x v="47"/>
    </i>
    <i r="1">
      <x v="19"/>
      <x v="6"/>
      <x v="103"/>
      <x v="371"/>
      <x v="47"/>
    </i>
    <i r="1">
      <x v="23"/>
      <x v="37"/>
      <x v="103"/>
      <x v="562"/>
      <x v="47"/>
    </i>
    <i>
      <x v="25"/>
      <x/>
      <x v="10"/>
      <x v="105"/>
      <x/>
      <x v="13"/>
    </i>
    <i r="2">
      <x v="12"/>
      <x v="26"/>
      <x v="52"/>
      <x v="47"/>
    </i>
    <i r="3">
      <x v="29"/>
      <x v="11"/>
      <x v="47"/>
    </i>
    <i r="3">
      <x v="53"/>
      <x v="52"/>
      <x v="47"/>
    </i>
    <i r="2">
      <x v="37"/>
      <x v="105"/>
      <x v="1348"/>
      <x v="47"/>
    </i>
    <i r="4">
      <x v="1674"/>
      <x v="47"/>
    </i>
    <i r="1">
      <x v="2"/>
      <x v="28"/>
      <x v="104"/>
      <x v="34"/>
      <x v="47"/>
    </i>
    <i r="1">
      <x v="8"/>
      <x v="37"/>
      <x v="105"/>
      <x v="1165"/>
      <x v="47"/>
    </i>
    <i r="1">
      <x v="10"/>
      <x v="38"/>
      <x v="105"/>
      <x v="1500"/>
      <x v="47"/>
    </i>
    <i r="1">
      <x v="12"/>
      <x v="1"/>
      <x v="105"/>
      <x v="80"/>
      <x v="47"/>
    </i>
    <i r="4">
      <x v="213"/>
      <x v="47"/>
    </i>
    <i r="4">
      <x v="352"/>
      <x v="47"/>
    </i>
    <i r="4">
      <x v="500"/>
      <x v="47"/>
    </i>
    <i r="4">
      <x v="964"/>
      <x v="47"/>
    </i>
    <i r="4">
      <x v="1069"/>
      <x v="47"/>
    </i>
    <i r="1">
      <x v="15"/>
      <x v="38"/>
      <x v="105"/>
      <x v="1274"/>
      <x v="47"/>
    </i>
    <i r="1">
      <x v="21"/>
      <x v="38"/>
      <x v="105"/>
      <x v="1274"/>
      <x v="47"/>
    </i>
    <i r="1">
      <x v="23"/>
      <x v="38"/>
      <x v="105"/>
      <x v="1858"/>
      <x v="47"/>
    </i>
    <i r="1">
      <x v="36"/>
      <x v="1"/>
      <x v="105"/>
      <x v="351"/>
      <x v="47"/>
    </i>
    <i>
      <x v="26"/>
      <x/>
      <x v="6"/>
      <x v="106"/>
      <x v="248"/>
      <x v="47"/>
    </i>
    <i r="2">
      <x v="9"/>
      <x v="106"/>
      <x v="212"/>
      <x v="47"/>
    </i>
    <i r="4">
      <x v="350"/>
      <x v="47"/>
    </i>
    <i r="4">
      <x v="510"/>
      <x v="47"/>
    </i>
    <i r="4">
      <x v="572"/>
      <x v="47"/>
    </i>
    <i r="4">
      <x v="664"/>
      <x v="47"/>
    </i>
    <i r="4">
      <x v="867"/>
      <x v="47"/>
    </i>
    <i r="4">
      <x v="963"/>
      <x v="47"/>
    </i>
    <i r="2">
      <x v="12"/>
      <x v="26"/>
      <x v="52"/>
      <x v="47"/>
    </i>
    <i r="3">
      <x v="50"/>
      <x v="248"/>
      <x v="47"/>
    </i>
    <i r="2">
      <x v="37"/>
      <x v="106"/>
      <x v="685"/>
      <x v="47"/>
    </i>
    <i r="4">
      <x v="1547"/>
      <x v="47"/>
    </i>
    <i r="1">
      <x v="5"/>
      <x v="37"/>
      <x v="106"/>
      <x v="1334"/>
      <x v="47"/>
    </i>
    <i r="1">
      <x v="9"/>
      <x v="8"/>
      <x v="106"/>
      <x v="428"/>
      <x v="47"/>
    </i>
    <i r="1">
      <x v="12"/>
      <x/>
      <x v="106"/>
      <x v="80"/>
      <x v="47"/>
    </i>
    <i r="2">
      <x v="1"/>
      <x v="106"/>
      <x v="352"/>
      <x v="47"/>
    </i>
    <i r="4">
      <x v="500"/>
      <x v="47"/>
    </i>
    <i r="1">
      <x v="15"/>
      <x v="9"/>
      <x v="106"/>
      <x v="466"/>
      <x v="47"/>
    </i>
    <i r="1">
      <x v="19"/>
      <x v="37"/>
      <x v="106"/>
      <x v="633"/>
      <x v="47"/>
    </i>
    <i r="1">
      <x v="27"/>
      <x v="6"/>
      <x v="106"/>
      <x v="1459"/>
      <x v="47"/>
    </i>
    <i>
      <x v="27"/>
      <x/>
      <x v="12"/>
      <x v="60"/>
      <x v="9"/>
      <x v="47"/>
    </i>
    <i r="2">
      <x v="37"/>
      <x v="107"/>
      <x v="371"/>
      <x v="47"/>
    </i>
    <i r="1">
      <x v="8"/>
      <x v="37"/>
      <x v="107"/>
      <x v="1525"/>
      <x v="47"/>
    </i>
    <i r="1">
      <x v="12"/>
      <x v="1"/>
      <x v="107"/>
      <x v="213"/>
      <x v="47"/>
    </i>
    <i r="1">
      <x v="23"/>
      <x v="37"/>
      <x v="107"/>
      <x v="121"/>
      <x v="47"/>
    </i>
    <i>
      <x v="28"/>
      <x/>
      <x v="7"/>
      <x v="108"/>
      <x v="503"/>
      <x v="47"/>
    </i>
    <i r="2">
      <x v="9"/>
      <x v="108"/>
      <x v="230"/>
      <x v="47"/>
    </i>
    <i r="4">
      <x v="248"/>
      <x v="47"/>
    </i>
    <i r="4">
      <x v="485"/>
      <x v="47"/>
    </i>
    <i r="4">
      <x v="712"/>
      <x v="47"/>
    </i>
    <i r="4">
      <x v="871"/>
      <x v="47"/>
    </i>
    <i r="4">
      <x v="1103"/>
      <x v="47"/>
    </i>
    <i r="2">
      <x v="10"/>
      <x v="108"/>
      <x v="433"/>
      <x v="47"/>
    </i>
    <i r="2">
      <x v="12"/>
      <x v="65"/>
      <x v="11"/>
      <x v="47"/>
    </i>
    <i r="1">
      <x v="12"/>
      <x v="1"/>
      <x v="108"/>
      <x v="80"/>
      <x v="47"/>
    </i>
    <i r="4">
      <x v="213"/>
      <x v="47"/>
    </i>
    <i r="4">
      <x v="846"/>
      <x v="47"/>
    </i>
    <i r="1">
      <x v="19"/>
      <x v="10"/>
      <x v="108"/>
      <x v="1659"/>
      <x v="47"/>
    </i>
    <i r="1">
      <x v="21"/>
      <x v="37"/>
      <x v="108"/>
      <x v="947"/>
      <x v="47"/>
    </i>
    <i r="1">
      <x v="35"/>
      <x v="1"/>
      <x v="108"/>
      <x v="80"/>
      <x v="47"/>
    </i>
    <i>
      <x v="29"/>
      <x/>
      <x v="6"/>
      <x v="109"/>
      <x v="228"/>
      <x v="47"/>
    </i>
    <i r="4">
      <x v="321"/>
      <x v="47"/>
    </i>
    <i r="2">
      <x v="12"/>
      <x v="10"/>
      <x v="9"/>
      <x v="47"/>
    </i>
    <i r="3">
      <x v="58"/>
      <x v="11"/>
      <x v="47"/>
    </i>
    <i r="3">
      <x v="64"/>
      <x v="64"/>
      <x v="47"/>
    </i>
    <i r="1">
      <x v="3"/>
      <x v="37"/>
      <x v="109"/>
      <x v="187"/>
      <x v="47"/>
    </i>
    <i r="1">
      <x v="5"/>
      <x v="37"/>
      <x v="109"/>
      <x v="592"/>
      <x v="47"/>
    </i>
    <i r="1">
      <x v="7"/>
      <x v="37"/>
      <x v="109"/>
      <x v="314"/>
      <x v="47"/>
    </i>
    <i r="1">
      <x v="8"/>
      <x v="37"/>
      <x v="109"/>
      <x v="697"/>
      <x v="47"/>
    </i>
    <i r="1">
      <x v="9"/>
      <x v="8"/>
      <x v="109"/>
      <x v="1297"/>
      <x v="47"/>
    </i>
    <i r="1">
      <x v="12"/>
      <x v="1"/>
      <x v="109"/>
      <x v="80"/>
      <x v="47"/>
    </i>
    <i r="4">
      <x v="213"/>
      <x v="47"/>
    </i>
    <i r="4">
      <x v="352"/>
      <x v="47"/>
    </i>
    <i r="4">
      <x v="500"/>
      <x v="47"/>
    </i>
    <i r="4">
      <x v="607"/>
      <x v="47"/>
    </i>
    <i r="4">
      <x v="911"/>
      <x v="47"/>
    </i>
    <i r="2">
      <x v="37"/>
      <x v="109"/>
      <x v="1244"/>
      <x v="47"/>
    </i>
    <i r="1">
      <x v="15"/>
      <x v="1"/>
      <x v="109"/>
      <x v="1698"/>
      <x v="47"/>
    </i>
    <i r="1">
      <x v="21"/>
      <x v="6"/>
      <x v="109"/>
      <x v="551"/>
      <x v="47"/>
    </i>
    <i r="2">
      <x v="37"/>
      <x v="109"/>
      <x v="352"/>
      <x v="47"/>
    </i>
    <i r="1">
      <x v="23"/>
      <x v="1"/>
      <x v="109"/>
      <x v="109"/>
      <x v="47"/>
    </i>
    <i r="2">
      <x v="37"/>
      <x v="109"/>
      <x v="286"/>
      <x v="47"/>
    </i>
    <i r="1">
      <x v="24"/>
      <x v="37"/>
      <x v="109"/>
      <x v="80"/>
      <x v="47"/>
    </i>
    <i r="1">
      <x v="26"/>
      <x v="37"/>
      <x v="109"/>
      <x v="109"/>
      <x v="47"/>
    </i>
    <i r="1">
      <x v="28"/>
      <x v="8"/>
      <x v="109"/>
      <x v="669"/>
      <x v="47"/>
    </i>
    <i r="1">
      <x v="33"/>
      <x v="6"/>
      <x v="109"/>
      <x v="469"/>
      <x v="47"/>
    </i>
    <i r="1">
      <x v="35"/>
      <x v="1"/>
      <x v="109"/>
      <x v="80"/>
      <x v="47"/>
    </i>
    <i>
      <x v="30"/>
      <x/>
      <x v="15"/>
      <x v="110"/>
      <x v="643"/>
      <x v="47"/>
    </i>
    <i r="4">
      <x v="646"/>
      <x v="47"/>
    </i>
    <i r="4">
      <x v="651"/>
      <x v="47"/>
    </i>
    <i r="4">
      <x v="655"/>
      <x v="47"/>
    </i>
    <i r="4">
      <x v="820"/>
      <x v="47"/>
    </i>
    <i r="4">
      <x v="873"/>
      <x v="47"/>
    </i>
    <i r="4">
      <x v="948"/>
      <x v="47"/>
    </i>
    <i r="4">
      <x v="1135"/>
      <x v="47"/>
    </i>
    <i r="4">
      <x v="1140"/>
      <x v="47"/>
    </i>
    <i r="1">
      <x v="2"/>
      <x v="15"/>
      <x v="110"/>
      <x v="1876"/>
      <x v="47"/>
    </i>
    <i r="1">
      <x v="3"/>
      <x v="15"/>
      <x v="110"/>
      <x v="1277"/>
      <x v="47"/>
    </i>
    <i r="1">
      <x v="12"/>
      <x v="15"/>
      <x v="110"/>
      <x v="222"/>
      <x v="47"/>
    </i>
    <i r="4">
      <x v="324"/>
      <x v="47"/>
    </i>
    <i r="4">
      <x v="594"/>
      <x v="47"/>
    </i>
    <i r="4">
      <x v="1006"/>
      <x v="47"/>
    </i>
    <i r="4">
      <x v="1010"/>
      <x v="47"/>
    </i>
    <i r="4">
      <x v="1184"/>
      <x v="47"/>
    </i>
    <i r="4">
      <x v="1373"/>
      <x v="47"/>
    </i>
    <i r="4">
      <x v="1383"/>
      <x v="47"/>
    </i>
    <i r="4">
      <x v="1386"/>
      <x v="47"/>
    </i>
    <i r="4">
      <x v="1397"/>
      <x v="47"/>
    </i>
    <i r="4">
      <x v="1462"/>
      <x v="47"/>
    </i>
    <i r="4">
      <x v="1489"/>
      <x v="47"/>
    </i>
    <i r="4">
      <x v="1506"/>
      <x v="47"/>
    </i>
    <i r="4">
      <x v="1570"/>
      <x v="47"/>
    </i>
    <i r="4">
      <x v="1591"/>
      <x v="47"/>
    </i>
    <i r="4">
      <x v="1595"/>
      <x v="47"/>
    </i>
    <i r="4">
      <x v="1635"/>
      <x v="47"/>
    </i>
    <i r="4">
      <x v="1742"/>
      <x v="47"/>
    </i>
    <i r="4">
      <x v="1746"/>
      <x v="47"/>
    </i>
    <i r="4">
      <x v="1763"/>
      <x v="47"/>
    </i>
    <i r="4">
      <x v="1771"/>
      <x v="47"/>
    </i>
    <i r="4">
      <x v="1785"/>
      <x v="47"/>
    </i>
    <i r="4">
      <x v="1789"/>
      <x v="47"/>
    </i>
    <i r="1">
      <x v="15"/>
      <x v="15"/>
      <x v="110"/>
      <x v="1138"/>
      <x v="47"/>
    </i>
    <i r="1">
      <x v="17"/>
      <x v="15"/>
      <x v="110"/>
      <x v="742"/>
      <x v="47"/>
    </i>
    <i r="1">
      <x v="21"/>
      <x v="15"/>
      <x v="110"/>
      <x v="1810"/>
      <x v="47"/>
    </i>
    <i r="1">
      <x v="23"/>
      <x v="15"/>
      <x v="110"/>
      <x v="1650"/>
      <x v="47"/>
    </i>
    <i r="2">
      <x v="37"/>
      <x v="111"/>
      <x v="1285"/>
      <x v="47"/>
    </i>
    <i r="1">
      <x v="24"/>
      <x v="15"/>
      <x v="110"/>
      <x v="1510"/>
      <x v="47"/>
    </i>
    <i r="1">
      <x v="27"/>
      <x v="15"/>
      <x v="110"/>
      <x v="1469"/>
      <x v="47"/>
    </i>
    <i r="1">
      <x v="35"/>
      <x v="15"/>
      <x v="110"/>
      <x v="253"/>
      <x v="47"/>
    </i>
    <i r="4">
      <x v="332"/>
      <x v="47"/>
    </i>
    <i r="4">
      <x v="362"/>
      <x v="47"/>
    </i>
    <i r="4">
      <x v="377"/>
      <x v="47"/>
    </i>
    <i r="4">
      <x v="415"/>
      <x v="47"/>
    </i>
    <i r="4">
      <x v="446"/>
      <x v="47"/>
    </i>
    <i r="4">
      <x v="554"/>
      <x v="47"/>
    </i>
    <i r="4">
      <x v="735"/>
      <x v="47"/>
    </i>
    <i r="4">
      <x v="952"/>
      <x v="47"/>
    </i>
    <i r="4">
      <x v="1040"/>
      <x v="47"/>
    </i>
    <i r="4">
      <x v="1154"/>
      <x v="47"/>
    </i>
    <i r="1">
      <x v="36"/>
      <x v="6"/>
      <x v="111"/>
      <x v="279"/>
      <x v="47"/>
    </i>
    <i>
      <x v="31"/>
      <x/>
      <x v="12"/>
      <x v="50"/>
      <x v="248"/>
      <x v="47"/>
    </i>
    <i r="3">
      <x v="60"/>
      <x v="32"/>
      <x v="47"/>
    </i>
    <i r="1">
      <x v="12"/>
      <x v="1"/>
      <x v="112"/>
      <x v="80"/>
      <x v="47"/>
    </i>
    <i r="4">
      <x v="500"/>
      <x v="47"/>
    </i>
    <i r="1">
      <x v="15"/>
      <x v="38"/>
      <x v="112"/>
      <x v="1799"/>
      <x v="47"/>
    </i>
    <i r="1">
      <x v="19"/>
      <x v="37"/>
      <x v="112"/>
      <x v="156"/>
      <x v="47"/>
    </i>
    <i r="1">
      <x v="35"/>
      <x v="1"/>
      <x v="112"/>
      <x v="80"/>
      <x v="47"/>
    </i>
    <i>
      <x v="32"/>
      <x/>
      <x v="12"/>
      <x v="47"/>
      <x v="314"/>
      <x v="47"/>
    </i>
    <i r="3">
      <x v="70"/>
      <x v="18"/>
      <x v="47"/>
    </i>
    <i r="1">
      <x v="5"/>
      <x v="37"/>
      <x v="113"/>
      <x v="1043"/>
      <x v="47"/>
    </i>
    <i r="1">
      <x v="24"/>
      <x v="37"/>
      <x v="113"/>
      <x v="352"/>
      <x v="47"/>
    </i>
    <i>
      <x v="33"/>
      <x/>
      <x v="1"/>
      <x v="114"/>
      <x v="213"/>
      <x v="47"/>
    </i>
    <i r="2">
      <x v="6"/>
      <x v="114"/>
      <x v="248"/>
      <x v="47"/>
    </i>
    <i r="2">
      <x v="8"/>
      <x v="114"/>
      <x v="996"/>
      <x v="47"/>
    </i>
    <i r="2">
      <x v="9"/>
      <x v="114"/>
      <x v="337"/>
      <x v="47"/>
    </i>
    <i r="4">
      <x v="338"/>
      <x v="47"/>
    </i>
    <i r="4">
      <x v="649"/>
      <x v="47"/>
    </i>
    <i r="4">
      <x v="865"/>
      <x v="47"/>
    </i>
    <i r="4">
      <x v="980"/>
      <x v="47"/>
    </i>
    <i r="4">
      <x v="1116"/>
      <x v="47"/>
    </i>
    <i r="4">
      <x v="1434"/>
      <x v="47"/>
    </i>
    <i r="2">
      <x v="12"/>
      <x v="5"/>
      <x v="69"/>
      <x v="47"/>
    </i>
    <i r="3">
      <x v="18"/>
      <x v="11"/>
      <x v="47"/>
    </i>
    <i r="3">
      <x v="32"/>
      <x v="90"/>
      <x v="47"/>
    </i>
    <i r="3">
      <x v="47"/>
      <x v="314"/>
      <x v="47"/>
    </i>
    <i r="3">
      <x v="64"/>
      <x v="9"/>
      <x v="47"/>
    </i>
    <i r="3">
      <x v="67"/>
      <x v="92"/>
      <x v="47"/>
    </i>
    <i r="2">
      <x v="37"/>
      <x v="114"/>
      <x v="138"/>
      <x v="47"/>
    </i>
    <i r="1">
      <x v="3"/>
      <x v="37"/>
      <x v="114"/>
      <x v="278"/>
      <x v="47"/>
    </i>
    <i r="1">
      <x v="5"/>
      <x v="8"/>
      <x v="114"/>
      <x v="1295"/>
      <x v="47"/>
    </i>
    <i r="1">
      <x v="7"/>
      <x v="8"/>
      <x v="114"/>
      <x v="1258"/>
      <x v="47"/>
    </i>
    <i r="2">
      <x v="10"/>
      <x v="114"/>
      <x v="214"/>
      <x v="47"/>
    </i>
    <i r="1">
      <x v="12"/>
      <x v="1"/>
      <x v="114"/>
      <x v="80"/>
      <x v="47"/>
    </i>
    <i r="4">
      <x v="352"/>
      <x v="47"/>
    </i>
    <i r="4">
      <x v="500"/>
      <x v="47"/>
    </i>
    <i r="4">
      <x v="607"/>
      <x v="47"/>
    </i>
    <i r="4">
      <x v="702"/>
      <x v="47"/>
    </i>
    <i r="1">
      <x v="14"/>
      <x v="1"/>
      <x v="114"/>
      <x v="1497"/>
      <x v="47"/>
    </i>
    <i r="1">
      <x v="19"/>
      <x v="37"/>
      <x v="114"/>
      <x v="1199"/>
      <x v="47"/>
    </i>
    <i r="1">
      <x v="21"/>
      <x v="33"/>
      <x v="114"/>
      <x v="1093"/>
      <x v="47"/>
    </i>
    <i r="1">
      <x v="35"/>
      <x v="1"/>
      <x v="114"/>
      <x v="80"/>
      <x v="47"/>
    </i>
    <i>
      <x v="34"/>
      <x/>
      <x v="12"/>
      <x v="2"/>
      <x v="134"/>
      <x v="47"/>
    </i>
    <i r="3">
      <x v="19"/>
      <x v="73"/>
      <x v="47"/>
    </i>
    <i r="3">
      <x v="27"/>
      <x v="92"/>
      <x v="47"/>
    </i>
    <i r="3">
      <x v="42"/>
      <x v="69"/>
      <x v="47"/>
    </i>
    <i r="3">
      <x v="62"/>
      <x v="52"/>
      <x v="47"/>
    </i>
    <i r="1">
      <x v="12"/>
      <x v="1"/>
      <x v="115"/>
      <x v="80"/>
      <x v="47"/>
    </i>
    <i r="1">
      <x v="26"/>
      <x v="37"/>
      <x v="115"/>
      <x v="109"/>
      <x v="47"/>
    </i>
    <i r="1">
      <x v="27"/>
      <x v="37"/>
      <x v="115"/>
      <x v="39"/>
      <x v="47"/>
    </i>
    <i>
      <x v="35"/>
      <x/>
      <x v="1"/>
      <x v="116"/>
      <x v="352"/>
      <x v="47"/>
    </i>
    <i r="2">
      <x v="8"/>
      <x v="116"/>
      <x v="376"/>
      <x v="47"/>
    </i>
    <i r="4">
      <x v="773"/>
      <x v="47"/>
    </i>
    <i r="2">
      <x v="9"/>
      <x v="116"/>
      <x v="345"/>
      <x v="47"/>
    </i>
    <i r="4">
      <x v="589"/>
      <x v="47"/>
    </i>
    <i r="4">
      <x v="681"/>
      <x v="47"/>
    </i>
    <i r="4">
      <x v="1253"/>
      <x v="47"/>
    </i>
    <i r="2">
      <x v="12"/>
      <x v="21"/>
      <x v="69"/>
      <x v="47"/>
    </i>
    <i r="3">
      <x v="61"/>
      <x v="69"/>
      <x v="47"/>
    </i>
    <i r="3">
      <x v="62"/>
      <x v="85"/>
      <x v="47"/>
    </i>
    <i r="3">
      <x v="64"/>
      <x v="69"/>
      <x v="47"/>
    </i>
    <i r="1">
      <x v="2"/>
      <x v="10"/>
      <x v="116"/>
      <x v="1669"/>
      <x v="47"/>
    </i>
    <i r="1">
      <x v="3"/>
      <x v="10"/>
      <x v="116"/>
      <x v="1365"/>
      <x v="47"/>
    </i>
    <i r="1">
      <x v="7"/>
      <x v="8"/>
      <x v="116"/>
      <x v="216"/>
      <x v="47"/>
    </i>
    <i r="2">
      <x v="10"/>
      <x v="116"/>
      <x v="692"/>
      <x v="47"/>
    </i>
    <i r="1">
      <x v="9"/>
      <x v="10"/>
      <x v="116"/>
      <x v="329"/>
      <x v="47"/>
    </i>
    <i r="1">
      <x v="11"/>
      <x v="10"/>
      <x v="116"/>
      <x v="819"/>
      <x v="47"/>
    </i>
    <i r="1">
      <x v="12"/>
      <x v="1"/>
      <x v="116"/>
      <x v="213"/>
      <x v="47"/>
    </i>
    <i r="4">
      <x v="500"/>
      <x v="47"/>
    </i>
    <i r="1">
      <x v="21"/>
      <x v="37"/>
      <x v="116"/>
      <x v="1050"/>
      <x v="47"/>
    </i>
    <i r="1">
      <x v="23"/>
      <x v="37"/>
      <x v="116"/>
      <x v="288"/>
      <x v="47"/>
    </i>
    <i r="1">
      <x v="26"/>
      <x v="37"/>
      <x v="116"/>
      <x v="920"/>
      <x v="47"/>
    </i>
    <i r="1">
      <x v="27"/>
      <x v="37"/>
      <x v="116"/>
      <x v="39"/>
      <x v="47"/>
    </i>
    <i r="1">
      <x v="35"/>
      <x v="1"/>
      <x v="116"/>
      <x v="80"/>
      <x v="47"/>
    </i>
    <i r="1">
      <x v="36"/>
      <x v="8"/>
      <x v="116"/>
      <x v="832"/>
      <x v="47"/>
    </i>
    <i r="2">
      <x v="10"/>
      <x v="116"/>
      <x v="1616"/>
      <x v="47"/>
    </i>
    <i r="1">
      <x v="37"/>
      <x v="10"/>
      <x v="116"/>
      <x v="1712"/>
      <x v="47"/>
    </i>
    <i r="1">
      <x v="38"/>
      <x v="10"/>
      <x v="116"/>
      <x v="1152"/>
      <x v="47"/>
    </i>
    <i>
      <x v="36"/>
      <x/>
      <x v="12"/>
      <x v="20"/>
      <x v="119"/>
      <x v="47"/>
    </i>
    <i r="3">
      <x v="70"/>
      <x v="9"/>
      <x v="47"/>
    </i>
    <i r="1">
      <x v="6"/>
      <x v="37"/>
      <x v="117"/>
      <x v="517"/>
      <x v="47"/>
    </i>
    <i r="1">
      <x v="32"/>
      <x v="6"/>
      <x v="117"/>
      <x v="1793"/>
      <x v="47"/>
    </i>
    <i>
      <x v="37"/>
      <x/>
      <x v="8"/>
      <x v="118"/>
      <x v="964"/>
      <x v="47"/>
    </i>
    <i r="2">
      <x v="12"/>
      <x v="13"/>
      <x v="140"/>
      <x v="47"/>
    </i>
    <i r="3">
      <x v="17"/>
      <x v="96"/>
      <x v="47"/>
    </i>
    <i r="3">
      <x v="28"/>
      <x v="73"/>
      <x v="47"/>
    </i>
    <i r="3">
      <x v="32"/>
      <x v="391"/>
      <x v="47"/>
    </i>
    <i r="3">
      <x v="69"/>
      <x v="248"/>
      <x v="47"/>
    </i>
    <i r="3">
      <x v="70"/>
      <x v="92"/>
      <x v="47"/>
    </i>
    <i r="2">
      <x v="37"/>
      <x v="118"/>
      <x v="138"/>
      <x v="47"/>
    </i>
    <i r="4">
      <x v="453"/>
      <x v="47"/>
    </i>
    <i r="4">
      <x v="1232"/>
      <x v="47"/>
    </i>
    <i r="1">
      <x v="5"/>
      <x v="37"/>
      <x v="118"/>
      <x v="501"/>
      <x v="47"/>
    </i>
    <i r="2">
      <x v="38"/>
      <x v="118"/>
      <x v="1450"/>
      <x v="47"/>
    </i>
    <i r="1">
      <x v="6"/>
      <x v="37"/>
      <x v="118"/>
      <x v="774"/>
      <x v="47"/>
    </i>
    <i r="1">
      <x v="12"/>
      <x v="1"/>
      <x v="118"/>
      <x v="80"/>
      <x v="47"/>
    </i>
    <i r="4">
      <x v="213"/>
      <x v="47"/>
    </i>
    <i r="4">
      <x v="500"/>
      <x v="47"/>
    </i>
    <i r="4">
      <x v="607"/>
      <x v="47"/>
    </i>
    <i r="4">
      <x v="702"/>
      <x v="47"/>
    </i>
    <i r="4">
      <x v="846"/>
      <x v="47"/>
    </i>
    <i r="1">
      <x v="19"/>
      <x v="38"/>
      <x v="118"/>
      <x v="702"/>
      <x v="47"/>
    </i>
    <i r="1">
      <x v="23"/>
      <x v="37"/>
      <x v="118"/>
      <x v="48"/>
      <x v="47"/>
    </i>
    <i r="1">
      <x v="27"/>
      <x v="37"/>
      <x v="118"/>
      <x v="437"/>
      <x v="47"/>
    </i>
    <i r="1">
      <x v="35"/>
      <x v="1"/>
      <x v="118"/>
      <x v="80"/>
      <x v="47"/>
    </i>
    <i r="1">
      <x v="36"/>
      <x v="6"/>
      <x v="118"/>
      <x v="793"/>
      <x v="47"/>
    </i>
    <i>
      <x v="38"/>
      <x/>
      <x v="8"/>
      <x v="119"/>
      <x v="188"/>
      <x v="47"/>
    </i>
    <i r="2">
      <x v="9"/>
      <x v="119"/>
      <x v="117"/>
      <x v="47"/>
    </i>
    <i r="4">
      <x v="363"/>
      <x v="47"/>
    </i>
    <i r="4">
      <x v="716"/>
      <x v="47"/>
    </i>
    <i r="4">
      <x v="1095"/>
      <x v="47"/>
    </i>
    <i r="4">
      <x v="1359"/>
      <x v="47"/>
    </i>
    <i r="4">
      <x v="1360"/>
      <x v="47"/>
    </i>
    <i r="2">
      <x v="12"/>
      <x v="3"/>
      <x v="114"/>
      <x v="47"/>
    </i>
    <i r="3">
      <x v="7"/>
      <x v="386"/>
      <x v="47"/>
    </i>
    <i r="3">
      <x v="10"/>
      <x v="371"/>
      <x v="47"/>
    </i>
    <i r="3">
      <x v="21"/>
      <x v="11"/>
      <x v="47"/>
    </i>
    <i r="3">
      <x v="22"/>
      <x v="285"/>
      <x v="47"/>
    </i>
    <i r="3">
      <x v="34"/>
      <x v="607"/>
      <x v="47"/>
    </i>
    <i r="3">
      <x v="43"/>
      <x v="92"/>
      <x v="47"/>
    </i>
    <i r="3">
      <x v="64"/>
      <x v="69"/>
      <x v="47"/>
    </i>
    <i r="3">
      <x v="68"/>
      <x v="134"/>
      <x v="47"/>
    </i>
    <i r="3">
      <x v="71"/>
      <x v="114"/>
      <x v="47"/>
    </i>
    <i r="1">
      <x v="5"/>
      <x v="8"/>
      <x v="119"/>
      <x v="290"/>
      <x v="47"/>
    </i>
    <i r="1">
      <x v="8"/>
      <x v="37"/>
      <x v="119"/>
      <x v="1289"/>
      <x v="47"/>
    </i>
    <i r="1">
      <x v="12"/>
      <x v="1"/>
      <x v="119"/>
      <x v="213"/>
      <x v="47"/>
    </i>
    <i r="4">
      <x v="500"/>
      <x v="47"/>
    </i>
    <i r="1">
      <x v="15"/>
      <x v="10"/>
      <x v="119"/>
      <x v="604"/>
      <x v="47"/>
    </i>
    <i r="1">
      <x v="23"/>
      <x v="9"/>
      <x v="119"/>
      <x v="696"/>
      <x v="47"/>
    </i>
    <i r="1">
      <x v="26"/>
      <x v="37"/>
      <x v="119"/>
      <x v="846"/>
      <x v="47"/>
    </i>
    <i r="2">
      <x v="38"/>
      <x v="119"/>
      <x v="1845"/>
      <x v="47"/>
    </i>
    <i r="1">
      <x v="35"/>
      <x v="1"/>
      <x v="119"/>
      <x v="80"/>
      <x v="47"/>
    </i>
    <i>
      <x v="39"/>
      <x/>
      <x v="12"/>
      <x v="2"/>
      <x v="39"/>
      <x v="47"/>
    </i>
    <i r="3">
      <x v="3"/>
      <x v="114"/>
      <x v="47"/>
    </i>
    <i r="3">
      <x v="8"/>
      <x v="92"/>
      <x v="47"/>
    </i>
    <i r="3">
      <x v="18"/>
      <x v="92"/>
      <x v="47"/>
    </i>
    <i r="3">
      <x v="48"/>
      <x v="92"/>
      <x v="47"/>
    </i>
    <i r="3">
      <x v="53"/>
      <x v="70"/>
      <x v="47"/>
    </i>
    <i r="3">
      <x v="56"/>
      <x v="69"/>
      <x v="47"/>
    </i>
    <i r="3">
      <x v="61"/>
      <x v="69"/>
      <x v="47"/>
    </i>
    <i r="1">
      <x v="12"/>
      <x v="1"/>
      <x v="120"/>
      <x v="80"/>
      <x v="47"/>
    </i>
    <i r="4">
      <x v="607"/>
      <x v="47"/>
    </i>
    <i r="4">
      <x v="702"/>
      <x v="47"/>
    </i>
    <i r="1">
      <x v="14"/>
      <x v="1"/>
      <x v="120"/>
      <x v="887"/>
      <x v="47"/>
    </i>
    <i r="1">
      <x v="15"/>
      <x v="37"/>
      <x v="120"/>
      <x v="295"/>
      <x v="47"/>
    </i>
    <i r="1">
      <x v="19"/>
      <x v="6"/>
      <x v="120"/>
      <x v="371"/>
      <x v="47"/>
    </i>
    <i r="1">
      <x v="24"/>
      <x v="37"/>
      <x v="120"/>
      <x v="37"/>
      <x v="47"/>
    </i>
    <i r="1">
      <x v="26"/>
      <x v="37"/>
      <x v="120"/>
      <x v="80"/>
      <x v="47"/>
    </i>
    <i r="2">
      <x v="38"/>
      <x v="120"/>
      <x v="1542"/>
      <x v="47"/>
    </i>
    <i r="1">
      <x v="30"/>
      <x v="6"/>
      <x v="120"/>
      <x v="1713"/>
      <x v="47"/>
    </i>
    <i>
      <x v="40"/>
      <x/>
      <x v="12"/>
      <x v="17"/>
      <x v="1136"/>
      <x v="47"/>
    </i>
    <i r="3">
      <x v="19"/>
      <x v="73"/>
      <x v="47"/>
    </i>
    <i r="3">
      <x v="24"/>
      <x v="18"/>
      <x v="47"/>
    </i>
    <i r="3">
      <x v="29"/>
      <x v="11"/>
      <x v="47"/>
    </i>
    <i r="3">
      <x v="43"/>
      <x v="92"/>
      <x v="47"/>
    </i>
    <i r="3">
      <x v="48"/>
      <x v="63"/>
      <x v="47"/>
    </i>
    <i r="3">
      <x v="52"/>
      <x v="252"/>
      <x v="47"/>
    </i>
    <i r="1">
      <x v="12"/>
      <x v="1"/>
      <x v="121"/>
      <x v="80"/>
      <x v="47"/>
    </i>
    <i r="4">
      <x v="213"/>
      <x v="47"/>
    </i>
    <i r="1">
      <x v="26"/>
      <x v="10"/>
      <x v="121"/>
      <x/>
      <x v="44"/>
    </i>
    <i>
      <x v="41"/>
      <x/>
      <x v="8"/>
      <x v="122"/>
      <x v="630"/>
      <x v="47"/>
    </i>
    <i r="2">
      <x v="9"/>
      <x v="122"/>
      <x v="243"/>
      <x v="47"/>
    </i>
    <i r="4">
      <x v="335"/>
      <x v="47"/>
    </i>
    <i r="4">
      <x v="595"/>
      <x v="47"/>
    </i>
    <i r="4">
      <x v="662"/>
      <x v="47"/>
    </i>
    <i r="2">
      <x v="12"/>
      <x v="22"/>
      <x v="114"/>
      <x v="47"/>
    </i>
    <i r="3">
      <x v="23"/>
      <x v="152"/>
      <x v="47"/>
    </i>
    <i r="3">
      <x v="36"/>
      <x v="330"/>
      <x v="47"/>
    </i>
    <i r="3">
      <x v="45"/>
      <x v="18"/>
      <x v="47"/>
    </i>
    <i r="3">
      <x v="48"/>
      <x v="92"/>
      <x v="47"/>
    </i>
    <i r="3">
      <x v="57"/>
      <x v="24"/>
      <x v="47"/>
    </i>
    <i r="3">
      <x v="61"/>
      <x v="16"/>
      <x v="47"/>
    </i>
    <i r="3">
      <x v="73"/>
      <x v="132"/>
      <x v="47"/>
    </i>
    <i r="1">
      <x v="5"/>
      <x v="37"/>
      <x v="122"/>
      <x v="1011"/>
      <x v="47"/>
    </i>
    <i r="1">
      <x v="7"/>
      <x v="8"/>
      <x v="122"/>
      <x v="1324"/>
      <x v="47"/>
    </i>
    <i r="1">
      <x v="8"/>
      <x v="37"/>
      <x v="122"/>
      <x v="1412"/>
      <x v="47"/>
    </i>
    <i r="1">
      <x v="12"/>
      <x v="1"/>
      <x v="122"/>
      <x v="213"/>
      <x v="47"/>
    </i>
    <i r="1">
      <x v="15"/>
      <x v="9"/>
      <x v="122"/>
      <x v="779"/>
      <x v="47"/>
    </i>
    <i r="2">
      <x v="38"/>
      <x v="122"/>
      <x v="1796"/>
      <x v="47"/>
    </i>
    <i r="1">
      <x v="23"/>
      <x v="8"/>
      <x v="122"/>
      <x v="422"/>
      <x v="47"/>
    </i>
    <i r="1">
      <x v="26"/>
      <x v="6"/>
      <x v="122"/>
      <x v="201"/>
      <x v="47"/>
    </i>
    <i r="2">
      <x v="37"/>
      <x v="122"/>
      <x v="291"/>
      <x v="47"/>
    </i>
    <i r="1">
      <x v="27"/>
      <x v="37"/>
      <x v="122"/>
      <x v="109"/>
      <x v="47"/>
    </i>
    <i r="1">
      <x v="37"/>
      <x v="8"/>
      <x v="122"/>
      <x v="1002"/>
      <x v="47"/>
    </i>
    <i r="2">
      <x v="10"/>
      <x v="122"/>
      <x v="1293"/>
      <x v="47"/>
    </i>
    <i>
      <x v="42"/>
      <x/>
      <x v="1"/>
      <x v="124"/>
      <x v="80"/>
      <x v="47"/>
    </i>
    <i r="2">
      <x v="12"/>
      <x v="10"/>
      <x v="371"/>
      <x v="47"/>
    </i>
    <i r="3">
      <x v="50"/>
      <x v="21"/>
      <x v="47"/>
    </i>
    <i r="3">
      <x v="61"/>
      <x v="28"/>
      <x v="47"/>
    </i>
    <i r="2">
      <x v="22"/>
      <x v="123"/>
      <x v="298"/>
      <x v="47"/>
    </i>
    <i r="4">
      <x v="651"/>
      <x v="47"/>
    </i>
    <i r="4">
      <x v="661"/>
      <x v="47"/>
    </i>
    <i r="1">
      <x v="2"/>
      <x v="22"/>
      <x v="123"/>
      <x v="1790"/>
      <x v="47"/>
    </i>
    <i r="1">
      <x v="3"/>
      <x v="22"/>
      <x v="123"/>
      <x v="1092"/>
      <x v="47"/>
    </i>
    <i r="1">
      <x v="6"/>
      <x v="37"/>
      <x v="124"/>
      <x v="539"/>
      <x v="47"/>
    </i>
    <i r="1">
      <x v="12"/>
      <x v="1"/>
      <x v="124"/>
      <x v="80"/>
      <x v="47"/>
    </i>
    <i r="4">
      <x v="213"/>
      <x v="47"/>
    </i>
    <i r="4">
      <x v="352"/>
      <x v="47"/>
    </i>
    <i r="4">
      <x v="500"/>
      <x v="47"/>
    </i>
    <i r="4">
      <x v="702"/>
      <x v="47"/>
    </i>
    <i r="2">
      <x v="22"/>
      <x v="123"/>
      <x v="116"/>
      <x v="47"/>
    </i>
    <i r="4">
      <x v="149"/>
      <x v="47"/>
    </i>
    <i r="4">
      <x v="666"/>
      <x v="47"/>
    </i>
    <i r="4">
      <x v="674"/>
      <x v="47"/>
    </i>
    <i r="4">
      <x v="690"/>
      <x v="47"/>
    </i>
    <i r="4">
      <x v="1088"/>
      <x v="47"/>
    </i>
    <i r="4">
      <x v="1100"/>
      <x v="47"/>
    </i>
    <i r="4">
      <x v="1198"/>
      <x v="47"/>
    </i>
    <i r="4">
      <x v="1202"/>
      <x v="47"/>
    </i>
    <i r="4">
      <x v="1247"/>
      <x v="47"/>
    </i>
    <i r="4">
      <x v="1307"/>
      <x v="47"/>
    </i>
    <i r="4">
      <x v="1393"/>
      <x v="47"/>
    </i>
    <i r="4">
      <x v="1410"/>
      <x v="47"/>
    </i>
    <i r="4">
      <x v="1423"/>
      <x v="47"/>
    </i>
    <i r="4">
      <x v="1479"/>
      <x v="47"/>
    </i>
    <i r="4">
      <x v="1507"/>
      <x v="47"/>
    </i>
    <i r="4">
      <x v="1514"/>
      <x v="47"/>
    </i>
    <i r="4">
      <x v="1558"/>
      <x v="47"/>
    </i>
    <i r="4">
      <x v="1577"/>
      <x v="47"/>
    </i>
    <i r="4">
      <x v="1643"/>
      <x v="47"/>
    </i>
    <i r="4">
      <x v="1675"/>
      <x v="47"/>
    </i>
    <i r="4">
      <x v="1719"/>
      <x v="47"/>
    </i>
    <i r="4">
      <x v="1722"/>
      <x v="47"/>
    </i>
    <i r="4">
      <x v="1743"/>
      <x v="47"/>
    </i>
    <i r="4">
      <x v="1749"/>
      <x v="47"/>
    </i>
    <i r="1">
      <x v="17"/>
      <x v="22"/>
      <x v="123"/>
      <x v="1039"/>
      <x v="47"/>
    </i>
    <i r="1">
      <x v="19"/>
      <x v="1"/>
      <x v="124"/>
      <x v="352"/>
      <x v="47"/>
    </i>
    <i r="2">
      <x v="37"/>
      <x v="124"/>
      <x v="104"/>
      <x v="47"/>
    </i>
    <i r="1">
      <x v="21"/>
      <x v="22"/>
      <x v="123"/>
      <x v="1363"/>
      <x v="47"/>
    </i>
    <i r="1">
      <x v="23"/>
      <x v="22"/>
      <x v="123"/>
      <x v="1290"/>
      <x v="47"/>
    </i>
    <i r="2">
      <x v="37"/>
      <x v="124"/>
      <x v="1483"/>
      <x v="47"/>
    </i>
    <i r="1">
      <x v="26"/>
      <x v="37"/>
      <x v="124"/>
      <x v="930"/>
      <x v="47"/>
    </i>
    <i r="1">
      <x v="33"/>
      <x v="6"/>
      <x v="124"/>
      <x v="466"/>
      <x v="47"/>
    </i>
    <i r="1">
      <x v="35"/>
      <x v="1"/>
      <x v="124"/>
      <x v="80"/>
      <x v="47"/>
    </i>
    <i r="2">
      <x v="22"/>
      <x v="123"/>
      <x v="123"/>
      <x v="47"/>
    </i>
    <i r="4">
      <x v="126"/>
      <x v="47"/>
    </i>
    <i r="4">
      <x v="130"/>
      <x v="47"/>
    </i>
    <i r="4">
      <x v="239"/>
      <x v="47"/>
    </i>
    <i r="4">
      <x v="308"/>
      <x v="47"/>
    </i>
    <i r="4">
      <x v="427"/>
      <x v="47"/>
    </i>
    <i r="4">
      <x v="441"/>
      <x v="47"/>
    </i>
    <i r="4">
      <x v="766"/>
      <x v="47"/>
    </i>
    <i r="4">
      <x v="775"/>
      <x v="47"/>
    </i>
    <i r="4">
      <x v="814"/>
      <x v="47"/>
    </i>
    <i r="4">
      <x v="826"/>
      <x v="47"/>
    </i>
    <i r="4">
      <x v="1299"/>
      <x v="47"/>
    </i>
    <i r="1">
      <x v="36"/>
      <x v="22"/>
      <x v="123"/>
      <x v="1519"/>
      <x v="47"/>
    </i>
    <i>
      <x v="43"/>
      <x/>
      <x v="8"/>
      <x v="125"/>
      <x v="1157"/>
      <x v="47"/>
    </i>
    <i r="4">
      <x v="1292"/>
      <x v="47"/>
    </i>
    <i r="2">
      <x v="9"/>
      <x v="125"/>
      <x v="128"/>
      <x v="47"/>
    </i>
    <i r="4">
      <x v="218"/>
      <x v="47"/>
    </i>
    <i r="4">
      <x v="529"/>
      <x v="47"/>
    </i>
    <i r="4">
      <x v="760"/>
      <x v="47"/>
    </i>
    <i r="4">
      <x v="863"/>
      <x v="47"/>
    </i>
    <i r="4">
      <x v="964"/>
      <x v="47"/>
    </i>
    <i r="4">
      <x v="989"/>
      <x v="47"/>
    </i>
    <i r="2">
      <x v="12"/>
      <x v="6"/>
      <x v="101"/>
      <x v="47"/>
    </i>
    <i r="2">
      <x v="37"/>
      <x v="125"/>
      <x v="592"/>
      <x v="47"/>
    </i>
    <i r="4">
      <x v="1348"/>
      <x v="47"/>
    </i>
    <i r="1">
      <x v="2"/>
      <x v="6"/>
      <x v="125"/>
      <x v="433"/>
      <x v="47"/>
    </i>
    <i r="1">
      <x v="5"/>
      <x v="37"/>
      <x v="125"/>
      <x v="1701"/>
      <x v="47"/>
    </i>
    <i r="1">
      <x v="9"/>
      <x v="9"/>
      <x v="125"/>
      <x v="855"/>
      <x v="47"/>
    </i>
    <i r="1">
      <x v="12"/>
      <x v="1"/>
      <x v="125"/>
      <x v="80"/>
      <x v="47"/>
    </i>
    <i r="1">
      <x v="15"/>
      <x v="9"/>
      <x v="125"/>
      <x v="398"/>
      <x v="47"/>
    </i>
    <i r="2">
      <x v="10"/>
      <x v="125"/>
      <x v="781"/>
      <x v="47"/>
    </i>
    <i r="2">
      <x v="34"/>
      <x v="76"/>
      <x/>
      <x/>
    </i>
    <i r="2">
      <x v="37"/>
      <x v="125"/>
      <x v="1553"/>
      <x v="47"/>
    </i>
    <i r="1">
      <x v="19"/>
      <x v="37"/>
      <x v="125"/>
      <x v="114"/>
      <x v="47"/>
    </i>
    <i r="1">
      <x v="25"/>
      <x v="9"/>
      <x v="125"/>
      <x v="894"/>
      <x v="47"/>
    </i>
    <i r="1">
      <x v="27"/>
      <x v="37"/>
      <x v="125"/>
      <x v="1338"/>
      <x v="47"/>
    </i>
    <i r="1">
      <x v="36"/>
      <x v="1"/>
      <x v="125"/>
      <x v="936"/>
      <x v="47"/>
    </i>
    <i>
      <x v="44"/>
      <x/>
      <x v="6"/>
      <x v="127"/>
      <x v="693"/>
      <x v="47"/>
    </i>
    <i r="2">
      <x v="8"/>
      <x v="127"/>
      <x v="596"/>
      <x v="47"/>
    </i>
    <i r="2">
      <x v="9"/>
      <x v="127"/>
      <x v="350"/>
      <x v="47"/>
    </i>
    <i r="2">
      <x v="12"/>
      <x v="39"/>
      <x v="433"/>
      <x v="47"/>
    </i>
    <i r="2">
      <x v="37"/>
      <x v="127"/>
      <x v="740"/>
      <x v="47"/>
    </i>
    <i r="1">
      <x v="12"/>
      <x v="1"/>
      <x v="127"/>
      <x v="352"/>
      <x v="47"/>
    </i>
    <i r="4">
      <x v="500"/>
      <x v="47"/>
    </i>
    <i r="2">
      <x v="28"/>
      <x v="126"/>
      <x v="941"/>
      <x v="47"/>
    </i>
    <i r="1">
      <x v="15"/>
      <x v="8"/>
      <x v="127"/>
      <x v="654"/>
      <x v="47"/>
    </i>
    <i r="1">
      <x v="19"/>
      <x v="6"/>
      <x v="127"/>
      <x v="911"/>
      <x v="47"/>
    </i>
    <i r="1">
      <x v="35"/>
      <x v="1"/>
      <x v="127"/>
      <x v="80"/>
      <x v="47"/>
    </i>
    <i r="4">
      <x v="213"/>
      <x v="47"/>
    </i>
    <i>
      <x v="45"/>
      <x/>
      <x v="12"/>
      <x v="21"/>
      <x v="69"/>
      <x v="47"/>
    </i>
    <i>
      <x v="46"/>
      <x/>
      <x v="8"/>
      <x v="128"/>
      <x v="156"/>
      <x v="47"/>
    </i>
    <i r="4">
      <x v="700"/>
      <x v="47"/>
    </i>
    <i r="4">
      <x v="964"/>
      <x v="47"/>
    </i>
    <i r="2">
      <x v="9"/>
      <x v="128"/>
      <x v="210"/>
      <x v="47"/>
    </i>
    <i r="4">
      <x v="396"/>
      <x v="47"/>
    </i>
    <i r="4">
      <x v="798"/>
      <x v="47"/>
    </i>
    <i r="4">
      <x v="818"/>
      <x v="47"/>
    </i>
    <i r="4">
      <x v="858"/>
      <x v="47"/>
    </i>
    <i r="2">
      <x v="12"/>
      <x v="39"/>
      <x v="180"/>
      <x v="47"/>
    </i>
    <i r="3">
      <x v="50"/>
      <x v="248"/>
      <x v="47"/>
    </i>
    <i r="1">
      <x v="2"/>
      <x v="8"/>
      <x v="128"/>
      <x v="910"/>
      <x v="47"/>
    </i>
    <i r="1">
      <x v="11"/>
      <x v="8"/>
      <x v="128"/>
      <x v="591"/>
      <x v="47"/>
    </i>
    <i r="1">
      <x v="15"/>
      <x v="38"/>
      <x v="128"/>
      <x v="1274"/>
      <x v="47"/>
    </i>
    <i r="1">
      <x v="19"/>
      <x v="37"/>
      <x v="128"/>
      <x v="445"/>
      <x v="47"/>
    </i>
    <i r="1">
      <x v="21"/>
      <x v="38"/>
      <x v="128"/>
      <x v="1274"/>
      <x v="47"/>
    </i>
    <i r="1">
      <x v="23"/>
      <x v="38"/>
      <x v="128"/>
      <x v="1853"/>
      <x v="47"/>
    </i>
    <i r="1">
      <x v="35"/>
      <x v="37"/>
      <x v="128"/>
      <x v="1245"/>
      <x v="47"/>
    </i>
    <i r="4">
      <x v="1325"/>
      <x v="47"/>
    </i>
    <i>
      <x v="47"/>
      <x/>
      <x v="12"/>
      <x v="36"/>
      <x v="748"/>
      <x v="47"/>
    </i>
    <i>
      <x v="48"/>
      <x v="6"/>
      <x v="37"/>
      <x v="129"/>
      <x v="1369"/>
      <x v="47"/>
    </i>
    <i r="1">
      <x v="8"/>
      <x v="37"/>
      <x v="129"/>
      <x v="1306"/>
      <x v="47"/>
    </i>
    <i r="1">
      <x v="12"/>
      <x v="1"/>
      <x v="129"/>
      <x v="80"/>
      <x v="47"/>
    </i>
    <i r="4">
      <x v="213"/>
      <x v="47"/>
    </i>
    <i r="4">
      <x v="352"/>
      <x v="47"/>
    </i>
    <i r="4">
      <x v="607"/>
      <x v="47"/>
    </i>
    <i r="4">
      <x v="702"/>
      <x v="47"/>
    </i>
    <i r="4">
      <x v="846"/>
      <x v="47"/>
    </i>
    <i r="4">
      <x v="1199"/>
      <x v="47"/>
    </i>
    <i r="1">
      <x v="19"/>
      <x v="37"/>
      <x v="129"/>
      <x v="641"/>
      <x v="47"/>
    </i>
    <i r="1">
      <x v="23"/>
      <x v="6"/>
      <x v="129"/>
      <x v="1028"/>
      <x v="47"/>
    </i>
    <i r="2">
      <x v="37"/>
      <x v="129"/>
      <x v="301"/>
      <x v="47"/>
    </i>
    <i r="1">
      <x v="35"/>
      <x v="1"/>
      <x v="129"/>
      <x v="213"/>
      <x v="47"/>
    </i>
    <i r="1">
      <x v="36"/>
      <x v="6"/>
      <x v="129"/>
      <x v="274"/>
      <x v="47"/>
    </i>
    <i>
      <x v="49"/>
      <x/>
      <x v="6"/>
      <x v="130"/>
      <x v="248"/>
      <x v="47"/>
    </i>
    <i r="2">
      <x v="8"/>
      <x v="130"/>
      <x v="351"/>
      <x v="47"/>
    </i>
    <i r="4">
      <x v="809"/>
      <x v="47"/>
    </i>
    <i r="2">
      <x v="9"/>
      <x v="130"/>
      <x v="552"/>
      <x v="47"/>
    </i>
    <i r="4">
      <x v="576"/>
      <x v="47"/>
    </i>
    <i r="4">
      <x v="836"/>
      <x v="47"/>
    </i>
    <i r="4">
      <x v="1018"/>
      <x v="47"/>
    </i>
    <i r="2">
      <x v="12"/>
      <x v="18"/>
      <x v="20"/>
      <x v="47"/>
    </i>
    <i r="3">
      <x v="48"/>
      <x v="18"/>
      <x v="47"/>
    </i>
    <i r="3">
      <x v="58"/>
      <x v="6"/>
      <x v="47"/>
    </i>
    <i r="1">
      <x v="7"/>
      <x v="8"/>
      <x v="130"/>
      <x v="782"/>
      <x v="47"/>
    </i>
    <i r="2">
      <x v="10"/>
      <x v="130"/>
      <x v="607"/>
      <x v="47"/>
    </i>
    <i r="1">
      <x v="12"/>
      <x v="1"/>
      <x v="130"/>
      <x v="500"/>
      <x v="47"/>
    </i>
    <i r="4">
      <x v="846"/>
      <x v="47"/>
    </i>
    <i r="4">
      <x v="964"/>
      <x v="47"/>
    </i>
    <i r="1">
      <x v="15"/>
      <x v="37"/>
      <x v="130"/>
      <x v="1367"/>
      <x v="47"/>
    </i>
    <i r="1">
      <x v="21"/>
      <x v="37"/>
      <x v="130"/>
      <x v="755"/>
      <x v="47"/>
    </i>
    <i r="1">
      <x v="27"/>
      <x v="6"/>
      <x v="130"/>
      <x v="1442"/>
      <x v="47"/>
    </i>
    <i r="2">
      <x v="37"/>
      <x v="130"/>
      <x v="1335"/>
      <x v="47"/>
    </i>
    <i r="1">
      <x v="35"/>
      <x v="1"/>
      <x v="130"/>
      <x v="80"/>
      <x v="47"/>
    </i>
    <i>
      <x v="50"/>
      <x/>
      <x v="6"/>
      <x v="131"/>
      <x v="366"/>
      <x v="47"/>
    </i>
    <i r="2">
      <x v="12"/>
      <x v="21"/>
      <x v="194"/>
      <x v="47"/>
    </i>
    <i r="3">
      <x v="32"/>
      <x v="391"/>
      <x v="47"/>
    </i>
    <i r="3">
      <x v="47"/>
      <x v="23"/>
      <x v="47"/>
    </i>
    <i r="2">
      <x v="37"/>
      <x v="131"/>
      <x v="633"/>
      <x v="47"/>
    </i>
    <i r="1">
      <x v="3"/>
      <x v="37"/>
      <x v="131"/>
      <x v="92"/>
      <x v="47"/>
    </i>
    <i r="1">
      <x v="8"/>
      <x v="37"/>
      <x v="131"/>
      <x v="1081"/>
      <x v="47"/>
    </i>
    <i r="1">
      <x v="12"/>
      <x v="1"/>
      <x v="131"/>
      <x v="213"/>
      <x v="47"/>
    </i>
    <i r="4">
      <x v="352"/>
      <x v="47"/>
    </i>
    <i r="4">
      <x v="1069"/>
      <x v="47"/>
    </i>
    <i r="1">
      <x v="14"/>
      <x v="37"/>
      <x v="131"/>
      <x v="352"/>
      <x v="47"/>
    </i>
    <i r="1">
      <x v="26"/>
      <x v="37"/>
      <x v="131"/>
      <x v="352"/>
      <x v="47"/>
    </i>
    <i r="1">
      <x v="35"/>
      <x v="1"/>
      <x v="131"/>
      <x v="213"/>
      <x v="47"/>
    </i>
    <i>
      <x v="51"/>
      <x/>
      <x v="8"/>
      <x v="133"/>
      <x v="351"/>
      <x v="47"/>
    </i>
    <i r="4">
      <x v="616"/>
      <x v="47"/>
    </i>
    <i r="2">
      <x v="9"/>
      <x v="133"/>
      <x v="300"/>
      <x v="47"/>
    </i>
    <i r="4">
      <x v="502"/>
      <x v="47"/>
    </i>
    <i r="4">
      <x v="553"/>
      <x v="47"/>
    </i>
    <i r="2">
      <x v="12"/>
      <x v="50"/>
      <x v="248"/>
      <x v="47"/>
    </i>
    <i r="3">
      <x v="58"/>
      <x v="11"/>
      <x v="47"/>
    </i>
    <i r="2">
      <x v="18"/>
      <x v="132"/>
      <x v="302"/>
      <x v="47"/>
    </i>
    <i r="4">
      <x v="507"/>
      <x v="47"/>
    </i>
    <i r="4">
      <x v="573"/>
      <x v="47"/>
    </i>
    <i r="4">
      <x v="626"/>
      <x v="47"/>
    </i>
    <i r="4">
      <x v="637"/>
      <x v="47"/>
    </i>
    <i r="4">
      <x v="1030"/>
      <x v="47"/>
    </i>
    <i r="4">
      <x v="1196"/>
      <x v="47"/>
    </i>
    <i r="1">
      <x v="2"/>
      <x v="18"/>
      <x v="132"/>
      <x v="1821"/>
      <x v="47"/>
    </i>
    <i r="1">
      <x v="10"/>
      <x v="10"/>
      <x v="133"/>
      <x v="1758"/>
      <x v="47"/>
    </i>
    <i r="1">
      <x v="12"/>
      <x v="18"/>
      <x v="132"/>
      <x v="54"/>
      <x v="47"/>
    </i>
    <i r="4">
      <x v="95"/>
      <x v="47"/>
    </i>
    <i r="4">
      <x v="367"/>
      <x v="47"/>
    </i>
    <i r="4">
      <x v="468"/>
      <x v="47"/>
    </i>
    <i r="4">
      <x v="808"/>
      <x v="47"/>
    </i>
    <i r="4">
      <x v="1082"/>
      <x v="47"/>
    </i>
    <i r="4">
      <x v="1120"/>
      <x v="47"/>
    </i>
    <i r="4">
      <x v="1215"/>
      <x v="47"/>
    </i>
    <i r="4">
      <x v="1222"/>
      <x v="47"/>
    </i>
    <i r="4">
      <x v="1340"/>
      <x v="47"/>
    </i>
    <i r="4">
      <x v="1371"/>
      <x v="47"/>
    </i>
    <i r="4">
      <x v="1431"/>
      <x v="47"/>
    </i>
    <i r="4">
      <x v="1444"/>
      <x v="47"/>
    </i>
    <i r="4">
      <x v="1449"/>
      <x v="47"/>
    </i>
    <i r="4">
      <x v="1457"/>
      <x v="47"/>
    </i>
    <i r="4">
      <x v="1475"/>
      <x v="47"/>
    </i>
    <i r="4">
      <x v="1493"/>
      <x v="47"/>
    </i>
    <i r="4">
      <x v="1559"/>
      <x v="47"/>
    </i>
    <i r="4">
      <x v="1630"/>
      <x v="47"/>
    </i>
    <i r="4">
      <x v="1637"/>
      <x v="47"/>
    </i>
    <i r="4">
      <x v="1741"/>
      <x v="47"/>
    </i>
    <i r="4">
      <x v="1764"/>
      <x v="47"/>
    </i>
    <i r="4">
      <x v="1786"/>
      <x v="47"/>
    </i>
    <i r="4">
      <x v="1808"/>
      <x v="47"/>
    </i>
    <i r="4">
      <x v="1816"/>
      <x v="47"/>
    </i>
    <i r="1">
      <x v="21"/>
      <x v="18"/>
      <x v="132"/>
      <x v="1501"/>
      <x v="47"/>
    </i>
    <i r="1">
      <x v="23"/>
      <x v="9"/>
      <x v="133"/>
      <x v="1318"/>
      <x v="47"/>
    </i>
    <i r="2">
      <x v="18"/>
      <x v="132"/>
      <x v="1613"/>
      <x v="47"/>
    </i>
    <i r="1">
      <x v="24"/>
      <x v="18"/>
      <x v="132"/>
      <x v="1451"/>
      <x v="47"/>
    </i>
    <i r="1">
      <x v="27"/>
      <x v="18"/>
      <x v="132"/>
      <x v="1020"/>
      <x v="47"/>
    </i>
    <i r="1">
      <x v="32"/>
      <x v="37"/>
      <x v="133"/>
      <x v="1274"/>
      <x v="47"/>
    </i>
    <i r="1">
      <x v="35"/>
      <x v="18"/>
      <x v="132"/>
      <x v="142"/>
      <x v="47"/>
    </i>
    <i r="4">
      <x v="146"/>
      <x v="47"/>
    </i>
    <i r="4">
      <x v="184"/>
      <x v="47"/>
    </i>
    <i r="4">
      <x v="211"/>
      <x v="47"/>
    </i>
    <i r="4">
      <x v="246"/>
      <x v="47"/>
    </i>
    <i r="4">
      <x v="290"/>
      <x v="47"/>
    </i>
    <i r="4">
      <x v="407"/>
      <x v="47"/>
    </i>
    <i r="4">
      <x v="436"/>
      <x v="47"/>
    </i>
    <i r="4">
      <x v="590"/>
      <x v="47"/>
    </i>
    <i r="4">
      <x v="703"/>
      <x v="47"/>
    </i>
    <i r="4">
      <x v="713"/>
      <x v="47"/>
    </i>
    <i r="4">
      <x v="822"/>
      <x v="47"/>
    </i>
    <i>
      <x v="52"/>
      <x/>
      <x v="8"/>
      <x v="134"/>
      <x/>
      <x v="14"/>
    </i>
    <i r="2">
      <x v="12"/>
      <x v="17"/>
      <x v="29"/>
      <x v="47"/>
    </i>
    <i r="3">
      <x v="50"/>
      <x v="248"/>
      <x v="47"/>
    </i>
    <i r="3">
      <x v="58"/>
      <x v="6"/>
      <x v="47"/>
    </i>
    <i r="3">
      <x v="60"/>
      <x v="9"/>
      <x v="47"/>
    </i>
    <i r="1">
      <x v="3"/>
      <x v="37"/>
      <x v="134"/>
      <x v="322"/>
      <x v="47"/>
    </i>
    <i r="1">
      <x v="6"/>
      <x v="37"/>
      <x v="134"/>
      <x v="1051"/>
      <x v="47"/>
    </i>
    <i r="1">
      <x v="10"/>
      <x v="33"/>
      <x v="134"/>
      <x v="1197"/>
      <x v="47"/>
    </i>
    <i r="1">
      <x v="12"/>
      <x v="1"/>
      <x v="134"/>
      <x v="80"/>
      <x v="47"/>
    </i>
    <i r="4">
      <x v="213"/>
      <x v="47"/>
    </i>
    <i r="4">
      <x v="352"/>
      <x v="47"/>
    </i>
    <i r="4">
      <x v="607"/>
      <x v="47"/>
    </i>
    <i r="4">
      <x v="771"/>
      <x v="47"/>
    </i>
    <i r="4">
      <x v="964"/>
      <x v="47"/>
    </i>
    <i r="2">
      <x v="37"/>
      <x v="134"/>
      <x v="1244"/>
      <x v="47"/>
    </i>
    <i r="1">
      <x v="21"/>
      <x v="37"/>
      <x v="134"/>
      <x v="80"/>
      <x v="47"/>
    </i>
    <i r="1">
      <x v="23"/>
      <x v="37"/>
      <x v="134"/>
      <x v="43"/>
      <x v="47"/>
    </i>
    <i r="1">
      <x v="35"/>
      <x v="1"/>
      <x v="134"/>
      <x v="80"/>
      <x v="47"/>
    </i>
    <i r="2">
      <x v="37"/>
      <x v="134"/>
      <x v="51"/>
      <x v="47"/>
    </i>
    <i>
      <x v="53"/>
      <x/>
      <x v="1"/>
      <x v="136"/>
      <x v="80"/>
      <x v="47"/>
    </i>
    <i r="2">
      <x v="8"/>
      <x v="136"/>
      <x v="209"/>
      <x v="47"/>
    </i>
    <i r="4">
      <x v="578"/>
      <x v="47"/>
    </i>
    <i r="4">
      <x v="694"/>
      <x v="47"/>
    </i>
    <i r="4">
      <x v="1289"/>
      <x v="47"/>
    </i>
    <i r="4">
      <x v="1470"/>
      <x v="47"/>
    </i>
    <i r="2">
      <x v="9"/>
      <x v="136"/>
      <x v="248"/>
      <x v="47"/>
    </i>
    <i r="4">
      <x v="277"/>
      <x v="47"/>
    </i>
    <i r="4">
      <x v="404"/>
      <x v="47"/>
    </i>
    <i r="4">
      <x v="726"/>
      <x v="47"/>
    </i>
    <i r="4">
      <x v="1145"/>
      <x v="47"/>
    </i>
    <i r="2">
      <x v="12"/>
      <x v="48"/>
      <x v="6"/>
      <x v="47"/>
    </i>
    <i r="3">
      <x v="55"/>
      <x v="8"/>
      <x v="47"/>
    </i>
    <i r="3">
      <x v="62"/>
      <x v="20"/>
      <x v="47"/>
    </i>
    <i r="3">
      <x v="68"/>
      <x v="18"/>
      <x v="47"/>
    </i>
    <i r="3">
      <x v="71"/>
      <x v="18"/>
      <x v="47"/>
    </i>
    <i r="1">
      <x v="2"/>
      <x v="1"/>
      <x v="136"/>
      <x v="621"/>
      <x v="47"/>
    </i>
    <i r="2">
      <x v="6"/>
      <x v="136"/>
      <x v="632"/>
      <x v="47"/>
    </i>
    <i r="2">
      <x v="8"/>
      <x v="136"/>
      <x v="1294"/>
      <x v="47"/>
    </i>
    <i r="1">
      <x v="5"/>
      <x v="1"/>
      <x v="136"/>
      <x v="1176"/>
      <x v="47"/>
    </i>
    <i r="1">
      <x v="6"/>
      <x v="37"/>
      <x v="136"/>
      <x v="500"/>
      <x v="47"/>
    </i>
    <i r="1">
      <x v="7"/>
      <x v="10"/>
      <x v="136"/>
      <x v="1715"/>
      <x v="47"/>
    </i>
    <i r="1">
      <x v="10"/>
      <x v="37"/>
      <x v="136"/>
      <x v="1563"/>
      <x v="47"/>
    </i>
    <i r="1">
      <x v="12"/>
      <x v="1"/>
      <x v="136"/>
      <x v="80"/>
      <x v="47"/>
    </i>
    <i r="4">
      <x v="213"/>
      <x v="47"/>
    </i>
    <i r="4">
      <x v="352"/>
      <x v="47"/>
    </i>
    <i r="4">
      <x v="500"/>
      <x v="47"/>
    </i>
    <i r="4">
      <x v="771"/>
      <x v="47"/>
    </i>
    <i r="1">
      <x v="15"/>
      <x v="1"/>
      <x v="136"/>
      <x v="607"/>
      <x v="47"/>
    </i>
    <i r="1">
      <x v="19"/>
      <x v="37"/>
      <x v="136"/>
      <x v="1609"/>
      <x v="47"/>
    </i>
    <i r="1">
      <x v="21"/>
      <x v="30"/>
      <x v="135"/>
      <x v="1296"/>
      <x v="47"/>
    </i>
    <i r="1">
      <x v="23"/>
      <x v="6"/>
      <x v="136"/>
      <x v="158"/>
      <x v="47"/>
    </i>
    <i r="1">
      <x v="26"/>
      <x v="1"/>
      <x v="136"/>
      <x v="109"/>
      <x v="47"/>
    </i>
    <i r="1">
      <x v="35"/>
      <x v="1"/>
      <x v="136"/>
      <x v="80"/>
      <x v="47"/>
    </i>
    <i>
      <x v="54"/>
      <x/>
      <x v="8"/>
      <x v="137"/>
      <x v="878"/>
      <x v="47"/>
    </i>
    <i r="2">
      <x v="9"/>
      <x v="137"/>
      <x v="513"/>
      <x v="47"/>
    </i>
    <i r="4">
      <x v="1151"/>
      <x v="47"/>
    </i>
    <i r="2">
      <x v="12"/>
      <x v="35"/>
      <x v="9"/>
      <x v="47"/>
    </i>
    <i r="3">
      <x v="47"/>
      <x v="61"/>
      <x v="47"/>
    </i>
    <i r="3">
      <x v="49"/>
      <x v="20"/>
      <x v="47"/>
    </i>
    <i r="3">
      <x v="60"/>
      <x v="138"/>
      <x v="47"/>
    </i>
    <i r="3">
      <x v="68"/>
      <x v="18"/>
      <x v="47"/>
    </i>
    <i r="2">
      <x v="38"/>
      <x v="137"/>
      <x v="1170"/>
      <x v="47"/>
    </i>
    <i r="4">
      <x v="1216"/>
      <x v="47"/>
    </i>
    <i r="1">
      <x v="6"/>
      <x v="37"/>
      <x v="137"/>
      <x v="817"/>
      <x v="47"/>
    </i>
    <i r="1">
      <x v="8"/>
      <x v="37"/>
      <x v="137"/>
      <x v="1094"/>
      <x v="47"/>
    </i>
    <i r="1">
      <x v="12"/>
      <x v="1"/>
      <x v="137"/>
      <x v="213"/>
      <x v="47"/>
    </i>
    <i r="1">
      <x v="17"/>
      <x v="8"/>
      <x v="137"/>
      <x v="1530"/>
      <x v="47"/>
    </i>
    <i r="2">
      <x v="9"/>
      <x v="137"/>
      <x v="526"/>
      <x v="47"/>
    </i>
    <i r="1">
      <x v="19"/>
      <x v="7"/>
      <x v="137"/>
      <x v="1872"/>
      <x v="47"/>
    </i>
    <i r="1">
      <x v="22"/>
      <x v="38"/>
      <x v="137"/>
      <x v="1825"/>
      <x v="47"/>
    </i>
    <i r="1">
      <x v="27"/>
      <x v="37"/>
      <x v="137"/>
      <x v="903"/>
      <x v="47"/>
    </i>
    <i r="1">
      <x v="35"/>
      <x v="1"/>
      <x v="137"/>
      <x v="80"/>
      <x v="47"/>
    </i>
    <i r="2">
      <x v="38"/>
      <x v="137"/>
      <x v="1069"/>
      <x v="47"/>
    </i>
    <i r="4">
      <x v="1656"/>
      <x v="47"/>
    </i>
    <i>
      <x v="55"/>
      <x/>
      <x v="12"/>
      <x v="32"/>
      <x v="391"/>
      <x v="47"/>
    </i>
    <i r="3">
      <x v="39"/>
      <x v="180"/>
      <x v="47"/>
    </i>
    <i r="3">
      <x v="42"/>
      <x v="69"/>
      <x v="47"/>
    </i>
    <i r="3">
      <x v="46"/>
      <x v="325"/>
      <x v="47"/>
    </i>
    <i r="1">
      <x v="12"/>
      <x v="1"/>
      <x v="138"/>
      <x v="213"/>
      <x v="47"/>
    </i>
    <i r="1">
      <x v="15"/>
      <x v="6"/>
      <x v="138"/>
      <x v="22"/>
      <x v="47"/>
    </i>
    <i r="1">
      <x v="26"/>
      <x v="38"/>
      <x v="138"/>
      <x v="539"/>
      <x v="47"/>
    </i>
    <i r="1">
      <x v="27"/>
      <x v="37"/>
      <x v="138"/>
      <x v="1098"/>
      <x v="47"/>
    </i>
    <i r="1">
      <x v="32"/>
      <x v="9"/>
      <x v="138"/>
      <x v="1793"/>
      <x v="47"/>
    </i>
    <i r="1">
      <x v="35"/>
      <x v="37"/>
      <x v="138"/>
      <x v="1319"/>
      <x v="47"/>
    </i>
    <i r="4">
      <x v="1354"/>
      <x v="47"/>
    </i>
    <i r="1">
      <x v="36"/>
      <x v="6"/>
      <x v="138"/>
      <x v="890"/>
      <x v="47"/>
    </i>
    <i r="1">
      <x v="38"/>
      <x v="37"/>
      <x v="138"/>
      <x v="33"/>
      <x v="47"/>
    </i>
    <i>
      <x v="56"/>
      <x/>
      <x v="8"/>
      <x v="139"/>
      <x v="37"/>
      <x v="47"/>
    </i>
    <i r="4">
      <x v="95"/>
      <x v="47"/>
    </i>
    <i r="4">
      <x v="215"/>
      <x v="47"/>
    </i>
    <i r="4">
      <x v="760"/>
      <x v="47"/>
    </i>
    <i r="2">
      <x v="9"/>
      <x v="139"/>
      <x v="523"/>
      <x v="47"/>
    </i>
    <i r="4">
      <x v="544"/>
      <x v="47"/>
    </i>
    <i r="2">
      <x v="12"/>
      <x v="18"/>
      <x v="35"/>
      <x v="47"/>
    </i>
    <i r="3">
      <x v="56"/>
      <x v="26"/>
      <x v="47"/>
    </i>
    <i r="3">
      <x v="60"/>
      <x v="119"/>
      <x v="47"/>
    </i>
    <i r="1">
      <x v="3"/>
      <x v="37"/>
      <x v="139"/>
      <x v="199"/>
      <x v="47"/>
    </i>
    <i r="1">
      <x v="12"/>
      <x v="1"/>
      <x v="139"/>
      <x v="213"/>
      <x v="47"/>
    </i>
    <i r="1">
      <x v="14"/>
      <x v="37"/>
      <x v="139"/>
      <x v="1455"/>
      <x v="47"/>
    </i>
    <i r="1">
      <x v="15"/>
      <x v="37"/>
      <x v="139"/>
      <x v="1216"/>
      <x v="47"/>
    </i>
    <i r="1">
      <x v="23"/>
      <x v="37"/>
      <x v="139"/>
      <x v="234"/>
      <x v="47"/>
    </i>
    <i r="1">
      <x v="26"/>
      <x v="37"/>
      <x v="139"/>
      <x v="391"/>
      <x v="47"/>
    </i>
    <i r="1">
      <x v="35"/>
      <x v="1"/>
      <x v="139"/>
      <x v="352"/>
      <x v="47"/>
    </i>
    <i>
      <x v="57"/>
      <x/>
      <x v="8"/>
      <x v="140"/>
      <x v="1114"/>
      <x v="47"/>
    </i>
    <i r="2">
      <x v="12"/>
      <x v="6"/>
      <x v="32"/>
      <x v="47"/>
    </i>
    <i r="1">
      <x v="6"/>
      <x v="37"/>
      <x v="140"/>
      <x v="991"/>
      <x v="47"/>
    </i>
    <i r="1">
      <x v="12"/>
      <x v="1"/>
      <x v="140"/>
      <x v="352"/>
      <x v="47"/>
    </i>
    <i r="1">
      <x v="15"/>
      <x v="37"/>
      <x v="140"/>
      <x v="1225"/>
      <x v="47"/>
    </i>
    <i r="1">
      <x v="26"/>
      <x v="1"/>
      <x v="140"/>
      <x v="352"/>
      <x v="47"/>
    </i>
    <i>
      <x v="58"/>
      <x/>
      <x v="12"/>
      <x v="2"/>
      <x v="39"/>
      <x v="47"/>
    </i>
    <i r="3">
      <x v="18"/>
      <x v="18"/>
      <x v="47"/>
    </i>
    <i r="3">
      <x v="56"/>
      <x v="26"/>
      <x v="47"/>
    </i>
    <i r="3">
      <x v="58"/>
      <x v="6"/>
      <x v="47"/>
    </i>
    <i r="3">
      <x v="71"/>
      <x v="18"/>
      <x v="47"/>
    </i>
    <i r="1">
      <x v="12"/>
      <x v="1"/>
      <x v="141"/>
      <x v="80"/>
      <x v="47"/>
    </i>
    <i r="4">
      <x v="213"/>
      <x v="47"/>
    </i>
    <i r="4">
      <x v="352"/>
      <x v="47"/>
    </i>
    <i r="4">
      <x v="607"/>
      <x v="47"/>
    </i>
    <i r="4">
      <x v="771"/>
      <x v="47"/>
    </i>
    <i r="4">
      <x v="911"/>
      <x v="47"/>
    </i>
    <i r="1">
      <x v="21"/>
      <x v="37"/>
      <x v="141"/>
      <x v="702"/>
      <x v="47"/>
    </i>
    <i r="1">
      <x v="23"/>
      <x v="37"/>
      <x v="141"/>
      <x v="135"/>
      <x v="47"/>
    </i>
    <i r="1">
      <x v="35"/>
      <x v="1"/>
      <x v="141"/>
      <x v="80"/>
      <x v="47"/>
    </i>
    <i r="4">
      <x v="213"/>
      <x v="47"/>
    </i>
    <i>
      <x v="59"/>
      <x/>
      <x v="1"/>
      <x v="142"/>
      <x v="80"/>
      <x v="47"/>
    </i>
    <i r="2">
      <x v="6"/>
      <x v="142"/>
      <x v="212"/>
      <x v="47"/>
    </i>
    <i r="2">
      <x v="8"/>
      <x v="142"/>
      <x v="159"/>
      <x v="47"/>
    </i>
    <i r="4">
      <x v="200"/>
      <x v="47"/>
    </i>
    <i r="4">
      <x v="549"/>
      <x v="47"/>
    </i>
    <i r="4">
      <x v="613"/>
      <x v="47"/>
    </i>
    <i r="4">
      <x v="1264"/>
      <x v="47"/>
    </i>
    <i r="2">
      <x v="9"/>
      <x v="142"/>
      <x v="17"/>
      <x v="47"/>
    </i>
    <i r="4">
      <x v="537"/>
      <x v="47"/>
    </i>
    <i r="4">
      <x v="582"/>
      <x v="47"/>
    </i>
    <i r="4">
      <x v="627"/>
      <x v="47"/>
    </i>
    <i r="4">
      <x v="702"/>
      <x v="47"/>
    </i>
    <i r="4">
      <x v="750"/>
      <x v="47"/>
    </i>
    <i r="4">
      <x v="905"/>
      <x v="47"/>
    </i>
    <i r="4">
      <x v="1134"/>
      <x v="47"/>
    </i>
    <i r="2">
      <x v="12"/>
      <x v="18"/>
      <x v="18"/>
      <x v="47"/>
    </i>
    <i r="3">
      <x v="21"/>
      <x v="11"/>
      <x v="47"/>
    </i>
    <i r="3">
      <x v="66"/>
      <x v="69"/>
      <x v="47"/>
    </i>
    <i r="2">
      <x v="38"/>
      <x v="142"/>
      <x v="964"/>
      <x v="47"/>
    </i>
    <i r="1">
      <x v="5"/>
      <x v="37"/>
      <x v="142"/>
      <x v="524"/>
      <x v="47"/>
    </i>
    <i r="1">
      <x v="8"/>
      <x v="1"/>
      <x v="142"/>
      <x v="1093"/>
      <x v="47"/>
    </i>
    <i r="2">
      <x v="8"/>
      <x v="142"/>
      <x v="1024"/>
      <x v="47"/>
    </i>
    <i r="1">
      <x v="12"/>
      <x v="1"/>
      <x v="142"/>
      <x v="80"/>
      <x v="47"/>
    </i>
    <i r="4">
      <x v="213"/>
      <x v="47"/>
    </i>
    <i r="4">
      <x v="500"/>
      <x v="47"/>
    </i>
    <i r="4">
      <x v="702"/>
      <x v="47"/>
    </i>
    <i r="4">
      <x v="1069"/>
      <x v="47"/>
    </i>
    <i r="1">
      <x v="15"/>
      <x v="1"/>
      <x v="142"/>
      <x v="1243"/>
      <x v="47"/>
    </i>
    <i r="1">
      <x v="35"/>
      <x v="1"/>
      <x v="142"/>
      <x v="80"/>
      <x v="47"/>
    </i>
    <i>
      <x v="60"/>
      <x/>
      <x v="12"/>
      <x v="30"/>
      <x v="59"/>
      <x v="47"/>
    </i>
    <i r="2">
      <x v="38"/>
      <x v="143"/>
      <x v="1206"/>
      <x v="47"/>
    </i>
    <i r="4">
      <x v="1364"/>
      <x v="47"/>
    </i>
    <i r="1">
      <x v="5"/>
      <x v="38"/>
      <x v="143"/>
      <x v="1842"/>
      <x v="47"/>
    </i>
    <i r="1">
      <x v="6"/>
      <x v="37"/>
      <x v="143"/>
      <x v="898"/>
      <x v="47"/>
    </i>
    <i r="1">
      <x v="8"/>
      <x v="37"/>
      <x v="143"/>
      <x v="1155"/>
      <x v="47"/>
    </i>
    <i r="1">
      <x v="10"/>
      <x v="38"/>
      <x v="143"/>
      <x v="1172"/>
      <x v="47"/>
    </i>
    <i r="1">
      <x v="12"/>
      <x v="1"/>
      <x v="143"/>
      <x v="80"/>
      <x v="47"/>
    </i>
    <i r="4">
      <x v="500"/>
      <x v="47"/>
    </i>
    <i r="1">
      <x v="14"/>
      <x v="38"/>
      <x v="143"/>
      <x v="1327"/>
      <x v="47"/>
    </i>
    <i r="1">
      <x v="15"/>
      <x v="38"/>
      <x v="143"/>
      <x v="1484"/>
      <x v="47"/>
    </i>
    <i r="1">
      <x v="23"/>
      <x v="38"/>
      <x v="143"/>
      <x v="120"/>
      <x v="47"/>
    </i>
    <i r="1">
      <x v="26"/>
      <x v="1"/>
      <x v="143"/>
      <x v="39"/>
      <x v="47"/>
    </i>
    <i r="1">
      <x v="36"/>
      <x v="38"/>
      <x v="143"/>
      <x v="252"/>
      <x v="47"/>
    </i>
    <i>
      <x v="61"/>
      <x/>
      <x v="12"/>
      <x v="21"/>
      <x v="69"/>
      <x v="47"/>
    </i>
    <i r="1">
      <x v="7"/>
      <x v="38"/>
      <x v="144"/>
      <x v="1377"/>
      <x v="47"/>
    </i>
    <i r="1">
      <x v="10"/>
      <x v="33"/>
      <x v="144"/>
      <x v="1835"/>
      <x v="47"/>
    </i>
    <i r="1">
      <x v="12"/>
      <x v="1"/>
      <x v="144"/>
      <x v="80"/>
      <x v="47"/>
    </i>
    <i r="4">
      <x v="213"/>
      <x v="47"/>
    </i>
    <i r="1">
      <x v="19"/>
      <x v="38"/>
      <x v="144"/>
      <x v="520"/>
      <x v="47"/>
    </i>
    <i r="1">
      <x v="23"/>
      <x v="1"/>
      <x v="144"/>
      <x v="606"/>
      <x v="47"/>
    </i>
    <i>
      <x v="62"/>
      <x/>
      <x v="5"/>
      <x v="1"/>
      <x v="134"/>
      <x v="47"/>
    </i>
    <i r="2">
      <x v="8"/>
      <x v="145"/>
      <x v="187"/>
      <x v="47"/>
    </i>
    <i r="2">
      <x v="9"/>
      <x v="145"/>
      <x v="431"/>
      <x v="47"/>
    </i>
    <i r="4">
      <x v="657"/>
      <x v="47"/>
    </i>
    <i r="2">
      <x v="12"/>
      <x v="18"/>
      <x v="59"/>
      <x v="47"/>
    </i>
    <i r="3">
      <x v="26"/>
      <x v="53"/>
      <x v="47"/>
    </i>
    <i r="3">
      <x v="32"/>
      <x v="391"/>
      <x v="47"/>
    </i>
    <i r="1">
      <x v="2"/>
      <x v="10"/>
      <x v="145"/>
      <x v="1685"/>
      <x v="47"/>
    </i>
    <i r="1">
      <x v="3"/>
      <x v="10"/>
      <x v="145"/>
      <x v="1261"/>
      <x v="47"/>
    </i>
    <i r="1">
      <x v="9"/>
      <x v="10"/>
      <x v="145"/>
      <x v="505"/>
      <x v="47"/>
    </i>
    <i r="1">
      <x v="11"/>
      <x v="10"/>
      <x v="145"/>
      <x v="761"/>
      <x v="47"/>
    </i>
    <i r="1">
      <x v="12"/>
      <x v="1"/>
      <x v="145"/>
      <x v="213"/>
      <x v="47"/>
    </i>
    <i r="1">
      <x v="26"/>
      <x v="37"/>
      <x v="145"/>
      <x v="469"/>
      <x v="47"/>
    </i>
    <i r="1">
      <x v="29"/>
      <x v="10"/>
      <x v="145"/>
      <x v="1091"/>
      <x v="47"/>
    </i>
    <i r="1">
      <x v="36"/>
      <x v="10"/>
      <x v="145"/>
      <x v="1614"/>
      <x v="47"/>
    </i>
    <i r="1">
      <x v="37"/>
      <x v="10"/>
      <x v="145"/>
      <x v="1568"/>
      <x v="47"/>
    </i>
    <i r="1">
      <x v="38"/>
      <x v="10"/>
      <x v="145"/>
      <x v="1107"/>
      <x v="47"/>
    </i>
    <i>
      <x v="63"/>
      <x/>
      <x v="1"/>
      <x v="146"/>
      <x v="80"/>
      <x v="47"/>
    </i>
    <i r="2">
      <x v="6"/>
      <x v="146"/>
      <x v="469"/>
      <x v="47"/>
    </i>
    <i r="2">
      <x v="12"/>
      <x v="8"/>
      <x v="37"/>
      <x v="47"/>
    </i>
    <i r="3">
      <x v="38"/>
      <x v="46"/>
      <x v="47"/>
    </i>
    <i r="2">
      <x v="38"/>
      <x v="146"/>
      <x v="524"/>
      <x v="47"/>
    </i>
    <i r="1">
      <x v="8"/>
      <x v="38"/>
      <x v="146"/>
      <x v="846"/>
      <x v="47"/>
    </i>
    <i r="1">
      <x v="9"/>
      <x v="38"/>
      <x v="146"/>
      <x v="198"/>
      <x v="47"/>
    </i>
    <i r="1">
      <x v="12"/>
      <x v="1"/>
      <x v="146"/>
      <x v="80"/>
      <x v="47"/>
    </i>
    <i r="4">
      <x v="352"/>
      <x v="47"/>
    </i>
    <i r="1">
      <x v="15"/>
      <x v="1"/>
      <x v="146"/>
      <x v="383"/>
      <x v="47"/>
    </i>
    <i r="1">
      <x v="30"/>
      <x v="6"/>
      <x v="146"/>
      <x v="1795"/>
      <x v="47"/>
    </i>
    <i>
      <x v="64"/>
      <x/>
      <x v="1"/>
      <x v="148"/>
      <x v="80"/>
      <x v="47"/>
    </i>
    <i r="2">
      <x v="11"/>
      <x v="51"/>
      <x v="39"/>
      <x v="47"/>
    </i>
    <i r="2">
      <x v="12"/>
      <x v="10"/>
      <x v="9"/>
      <x v="47"/>
    </i>
    <i r="3">
      <x v="50"/>
      <x v="469"/>
      <x v="47"/>
    </i>
    <i r="2">
      <x v="25"/>
      <x v="147"/>
      <x v="454"/>
      <x v="47"/>
    </i>
    <i r="4">
      <x v="727"/>
      <x v="47"/>
    </i>
    <i r="4">
      <x v="1042"/>
      <x v="47"/>
    </i>
    <i r="4">
      <x v="1615"/>
      <x v="47"/>
    </i>
    <i r="2">
      <x v="38"/>
      <x v="148"/>
      <x v="592"/>
      <x v="47"/>
    </i>
    <i r="1">
      <x v="2"/>
      <x v="25"/>
      <x v="147"/>
      <x v="1822"/>
      <x v="47"/>
    </i>
    <i r="1">
      <x v="12"/>
      <x v="1"/>
      <x v="148"/>
      <x v="213"/>
      <x v="47"/>
    </i>
    <i r="4">
      <x v="352"/>
      <x v="47"/>
    </i>
    <i r="4">
      <x v="607"/>
      <x v="47"/>
    </i>
    <i r="2">
      <x v="25"/>
      <x v="147"/>
      <x v="476"/>
      <x v="47"/>
    </i>
    <i r="4">
      <x v="961"/>
      <x v="47"/>
    </i>
    <i r="4">
      <x v="987"/>
      <x v="47"/>
    </i>
    <i r="4">
      <x v="1026"/>
      <x v="47"/>
    </i>
    <i r="4">
      <x v="1117"/>
      <x v="47"/>
    </i>
    <i r="4">
      <x v="1250"/>
      <x v="47"/>
    </i>
    <i r="4">
      <x v="1287"/>
      <x v="47"/>
    </i>
    <i r="4">
      <x v="1314"/>
      <x v="47"/>
    </i>
    <i r="4">
      <x v="1411"/>
      <x v="47"/>
    </i>
    <i r="4">
      <x v="1419"/>
      <x v="47"/>
    </i>
    <i r="4">
      <x v="1422"/>
      <x v="47"/>
    </i>
    <i r="4">
      <x v="1454"/>
      <x v="47"/>
    </i>
    <i r="4">
      <x v="1486"/>
      <x v="47"/>
    </i>
    <i r="4">
      <x v="1557"/>
      <x v="47"/>
    </i>
    <i r="4">
      <x v="1580"/>
      <x v="47"/>
    </i>
    <i r="4">
      <x v="1624"/>
      <x v="47"/>
    </i>
    <i r="4">
      <x v="1628"/>
      <x v="47"/>
    </i>
    <i r="4">
      <x v="1645"/>
      <x v="47"/>
    </i>
    <i r="4">
      <x v="1657"/>
      <x v="47"/>
    </i>
    <i r="4">
      <x v="1667"/>
      <x v="47"/>
    </i>
    <i r="4">
      <x v="1668"/>
      <x v="47"/>
    </i>
    <i r="4">
      <x v="1691"/>
      <x v="47"/>
    </i>
    <i r="4">
      <x v="1778"/>
      <x v="47"/>
    </i>
    <i r="1">
      <x v="15"/>
      <x v="25"/>
      <x v="147"/>
      <x v="67"/>
      <x v="47"/>
    </i>
    <i r="1">
      <x v="19"/>
      <x v="6"/>
      <x v="148"/>
      <x v="480"/>
      <x v="47"/>
    </i>
    <i r="1">
      <x v="23"/>
      <x v="25"/>
      <x v="147"/>
      <x v="1880"/>
      <x v="47"/>
    </i>
    <i r="1">
      <x v="24"/>
      <x v="25"/>
      <x v="147"/>
      <x v="1817"/>
      <x v="47"/>
    </i>
    <i r="1">
      <x v="27"/>
      <x v="25"/>
      <x v="147"/>
      <x v="570"/>
      <x v="47"/>
    </i>
    <i r="1">
      <x v="35"/>
      <x v="25"/>
      <x v="147"/>
      <x v="207"/>
      <x v="47"/>
    </i>
    <i r="4">
      <x v="244"/>
      <x v="47"/>
    </i>
    <i r="4">
      <x v="361"/>
      <x v="47"/>
    </i>
    <i r="4">
      <x v="406"/>
      <x v="47"/>
    </i>
    <i r="4">
      <x v="598"/>
      <x v="47"/>
    </i>
    <i r="4">
      <x v="916"/>
      <x v="47"/>
    </i>
    <i r="4">
      <x v="953"/>
      <x v="47"/>
    </i>
    <i r="4">
      <x v="990"/>
      <x v="47"/>
    </i>
    <i r="1">
      <x v="37"/>
      <x v="25"/>
      <x v="147"/>
      <x v="1823"/>
      <x v="47"/>
    </i>
    <i>
      <x v="65"/>
      <x/>
      <x v="9"/>
      <x v="149"/>
      <x v="542"/>
      <x v="47"/>
    </i>
    <i r="4">
      <x v="603"/>
      <x v="47"/>
    </i>
    <i r="4">
      <x v="1230"/>
      <x v="47"/>
    </i>
    <i r="4">
      <x v="1388"/>
      <x v="47"/>
    </i>
    <i r="2">
      <x v="38"/>
      <x v="149"/>
      <x v="262"/>
      <x v="47"/>
    </i>
    <i r="4">
      <x v="469"/>
      <x v="47"/>
    </i>
    <i r="1">
      <x v="3"/>
      <x v="38"/>
      <x v="149"/>
      <x v="109"/>
      <x v="47"/>
    </i>
    <i r="1">
      <x v="5"/>
      <x v="38"/>
      <x v="149"/>
      <x v="1801"/>
      <x v="47"/>
    </i>
    <i r="1">
      <x v="6"/>
      <x v="38"/>
      <x v="149"/>
      <x v="678"/>
      <x v="47"/>
    </i>
    <i r="1">
      <x v="8"/>
      <x v="10"/>
      <x v="149"/>
      <x v="1315"/>
      <x v="47"/>
    </i>
    <i r="2">
      <x v="38"/>
      <x v="149"/>
      <x v="828"/>
      <x v="47"/>
    </i>
    <i r="1">
      <x v="10"/>
      <x v="38"/>
      <x v="149"/>
      <x v="1729"/>
      <x v="47"/>
    </i>
    <i r="1">
      <x v="12"/>
      <x v="1"/>
      <x v="149"/>
      <x v="80"/>
      <x v="47"/>
    </i>
    <i r="4">
      <x v="213"/>
      <x v="47"/>
    </i>
    <i r="1">
      <x v="15"/>
      <x v="8"/>
      <x v="149"/>
      <x v="622"/>
      <x v="47"/>
    </i>
    <i r="2">
      <x v="9"/>
      <x v="149"/>
      <x v="333"/>
      <x v="47"/>
    </i>
    <i r="2">
      <x v="10"/>
      <x v="149"/>
      <x v="1416"/>
      <x v="47"/>
    </i>
    <i r="2">
      <x v="38"/>
      <x v="149"/>
      <x v="1037"/>
      <x v="47"/>
    </i>
    <i r="1">
      <x v="23"/>
      <x v="7"/>
      <x v="149"/>
      <x v="1274"/>
      <x v="47"/>
    </i>
    <i>
      <x v="66"/>
      <x/>
      <x v="1"/>
      <x v="150"/>
      <x v="80"/>
      <x v="47"/>
    </i>
    <i r="2">
      <x v="9"/>
      <x v="150"/>
      <x v="491"/>
      <x v="47"/>
    </i>
    <i r="4">
      <x v="813"/>
      <x v="47"/>
    </i>
    <i r="4">
      <x v="1007"/>
      <x v="47"/>
    </i>
    <i r="4">
      <x v="1076"/>
      <x v="47"/>
    </i>
    <i r="2">
      <x v="12"/>
      <x v="18"/>
      <x v="20"/>
      <x v="47"/>
    </i>
    <i r="3">
      <x v="23"/>
      <x v="9"/>
      <x v="47"/>
    </i>
    <i r="3">
      <x v="32"/>
      <x v="391"/>
      <x v="47"/>
    </i>
    <i r="3">
      <x v="36"/>
      <x v="236"/>
      <x v="47"/>
    </i>
    <i r="2">
      <x v="38"/>
      <x v="150"/>
      <x v="262"/>
      <x v="47"/>
    </i>
    <i r="4">
      <x v="1041"/>
      <x v="47"/>
    </i>
    <i r="4">
      <x v="1254"/>
      <x v="47"/>
    </i>
    <i r="4">
      <x v="1308"/>
      <x v="47"/>
    </i>
    <i r="1">
      <x v="2"/>
      <x v="1"/>
      <x v="150"/>
      <x v="199"/>
      <x v="47"/>
    </i>
    <i r="2">
      <x v="6"/>
      <x v="150"/>
      <x v="1193"/>
      <x v="47"/>
    </i>
    <i r="1">
      <x v="3"/>
      <x v="38"/>
      <x v="150"/>
      <x v="530"/>
      <x v="47"/>
    </i>
    <i r="1">
      <x v="4"/>
      <x v="1"/>
      <x v="150"/>
      <x v="112"/>
      <x v="47"/>
    </i>
    <i r="1">
      <x v="9"/>
      <x v="38"/>
      <x v="150"/>
      <x v="1565"/>
      <x v="47"/>
    </i>
    <i r="1">
      <x v="10"/>
      <x v="37"/>
      <x v="150"/>
      <x v="1248"/>
      <x v="47"/>
    </i>
    <i r="1">
      <x v="12"/>
      <x v="1"/>
      <x v="150"/>
      <x v="80"/>
      <x v="47"/>
    </i>
    <i r="4">
      <x v="213"/>
      <x v="47"/>
    </i>
    <i r="2">
      <x v="38"/>
      <x v="150"/>
      <x v="1414"/>
      <x v="47"/>
    </i>
    <i r="1">
      <x v="15"/>
      <x v="9"/>
      <x v="150"/>
      <x v="248"/>
      <x v="47"/>
    </i>
    <i r="2">
      <x v="37"/>
      <x v="150"/>
      <x v="897"/>
      <x v="47"/>
    </i>
    <i r="2">
      <x v="38"/>
      <x v="150"/>
      <x v="1806"/>
      <x v="47"/>
    </i>
    <i r="1">
      <x v="19"/>
      <x v="10"/>
      <x v="150"/>
      <x v="511"/>
      <x v="47"/>
    </i>
    <i r="1">
      <x v="23"/>
      <x v="9"/>
      <x v="150"/>
      <x v="1485"/>
      <x v="47"/>
    </i>
    <i r="1">
      <x v="26"/>
      <x v="1"/>
      <x v="150"/>
      <x v="68"/>
      <x v="47"/>
    </i>
    <i r="1">
      <x v="29"/>
      <x v="10"/>
      <x v="150"/>
      <x v="1533"/>
      <x v="47"/>
    </i>
    <i r="2">
      <x v="38"/>
      <x v="150"/>
      <x v="352"/>
      <x v="47"/>
    </i>
    <i r="1">
      <x v="35"/>
      <x v="38"/>
      <x v="150"/>
      <x v="1160"/>
      <x v="47"/>
    </i>
    <i r="4">
      <x v="1254"/>
      <x v="47"/>
    </i>
    <i r="4">
      <x v="1414"/>
      <x v="47"/>
    </i>
    <i r="1">
      <x v="36"/>
      <x v="38"/>
      <x v="150"/>
      <x v="232"/>
      <x v="47"/>
    </i>
    <i>
      <x v="67"/>
      <x/>
      <x v="9"/>
      <x v="151"/>
      <x v="1400"/>
      <x v="47"/>
    </i>
    <i r="2">
      <x v="38"/>
      <x v="151"/>
      <x v="522"/>
      <x v="47"/>
    </i>
    <i r="1">
      <x v="2"/>
      <x v="6"/>
      <x v="151"/>
      <x v="443"/>
      <x v="47"/>
    </i>
    <i r="1">
      <x v="3"/>
      <x v="6"/>
      <x v="151"/>
      <x v="1074"/>
      <x v="47"/>
    </i>
    <i r="1">
      <x v="12"/>
      <x v="1"/>
      <x v="151"/>
      <x v="80"/>
      <x v="47"/>
    </i>
    <i r="4">
      <x v="213"/>
      <x v="47"/>
    </i>
    <i r="1">
      <x v="24"/>
      <x v="38"/>
      <x v="151"/>
      <x v="129"/>
      <x v="47"/>
    </i>
    <i r="1">
      <x v="35"/>
      <x v="1"/>
      <x v="151"/>
      <x v="80"/>
      <x v="47"/>
    </i>
    <i r="4">
      <x v="500"/>
      <x v="47"/>
    </i>
    <i>
      <x v="68"/>
      <x/>
      <x v="1"/>
      <x v="152"/>
      <x v="80"/>
      <x v="47"/>
    </i>
    <i r="4">
      <x v="895"/>
      <x v="47"/>
    </i>
    <i r="2">
      <x v="9"/>
      <x v="152"/>
      <x v="124"/>
      <x v="47"/>
    </i>
    <i r="2">
      <x v="12"/>
      <x v="50"/>
      <x v="80"/>
      <x v="47"/>
    </i>
    <i r="2">
      <x v="38"/>
      <x v="152"/>
      <x v="633"/>
      <x v="47"/>
    </i>
    <i r="1">
      <x v="3"/>
      <x v="1"/>
      <x v="152"/>
      <x v="272"/>
      <x v="47"/>
    </i>
    <i r="1">
      <x v="6"/>
      <x v="38"/>
      <x v="152"/>
      <x v="524"/>
      <x v="47"/>
    </i>
    <i r="1">
      <x v="12"/>
      <x v="1"/>
      <x v="152"/>
      <x v="80"/>
      <x v="47"/>
    </i>
    <i r="1">
      <x v="15"/>
      <x v="38"/>
      <x v="152"/>
      <x v="1125"/>
      <x v="47"/>
    </i>
    <i r="1">
      <x v="26"/>
      <x v="1"/>
      <x v="152"/>
      <x v="539"/>
      <x v="47"/>
    </i>
    <i r="1">
      <x v="27"/>
      <x v="10"/>
      <x v="152"/>
      <x v="1172"/>
      <x v="47"/>
    </i>
    <i r="1">
      <x v="35"/>
      <x v="1"/>
      <x v="152"/>
      <x v="80"/>
      <x v="47"/>
    </i>
    <i r="2">
      <x v="38"/>
      <x v="152"/>
      <x v="92"/>
      <x v="47"/>
    </i>
    <i>
      <x v="69"/>
      <x/>
      <x v="12"/>
      <x v="48"/>
      <x v="11"/>
      <x v="47"/>
    </i>
    <i r="3">
      <x v="58"/>
      <x v="6"/>
      <x v="47"/>
    </i>
    <i>
      <x v="70"/>
      <x/>
      <x v="6"/>
      <x v="153"/>
      <x v="248"/>
      <x v="47"/>
    </i>
    <i r="2">
      <x v="8"/>
      <x v="153"/>
      <x v="1114"/>
      <x v="47"/>
    </i>
    <i r="2">
      <x v="12"/>
      <x v="2"/>
      <x v="109"/>
      <x v="47"/>
    </i>
    <i r="3">
      <x v="27"/>
      <x v="11"/>
      <x v="47"/>
    </i>
    <i r="3">
      <x v="37"/>
      <x v="90"/>
      <x v="47"/>
    </i>
    <i r="3">
      <x v="52"/>
      <x v="14"/>
      <x v="47"/>
    </i>
    <i r="1">
      <x v="2"/>
      <x v="6"/>
      <x v="153"/>
      <x v="790"/>
      <x v="47"/>
    </i>
    <i r="1">
      <x v="12"/>
      <x v="1"/>
      <x v="153"/>
      <x v="80"/>
      <x v="47"/>
    </i>
    <i r="4">
      <x v="352"/>
      <x v="47"/>
    </i>
    <i r="4">
      <x v="500"/>
      <x v="47"/>
    </i>
    <i r="1">
      <x v="14"/>
      <x v="38"/>
      <x v="153"/>
      <x v="569"/>
      <x v="47"/>
    </i>
    <i r="1">
      <x v="15"/>
      <x v="1"/>
      <x v="153"/>
      <x v="895"/>
      <x v="47"/>
    </i>
    <i r="2">
      <x v="6"/>
      <x v="153"/>
      <x v="410"/>
      <x v="47"/>
    </i>
    <i r="1">
      <x v="17"/>
      <x v="6"/>
      <x v="153"/>
      <x v="1477"/>
      <x v="47"/>
    </i>
    <i r="1">
      <x v="28"/>
      <x v="1"/>
      <x v="153"/>
      <x v="811"/>
      <x v="47"/>
    </i>
    <i r="1">
      <x v="35"/>
      <x v="1"/>
      <x v="153"/>
      <x v="80"/>
      <x v="47"/>
    </i>
    <i r="2">
      <x v="38"/>
      <x v="153"/>
      <x v="1041"/>
      <x v="47"/>
    </i>
    <i>
      <x v="71"/>
      <x/>
      <x v="6"/>
      <x v="154"/>
      <x v="689"/>
      <x v="47"/>
    </i>
    <i r="2">
      <x v="38"/>
      <x v="154"/>
      <x v="628"/>
      <x v="47"/>
    </i>
    <i r="1">
      <x v="6"/>
      <x v="38"/>
      <x v="154"/>
      <x v="911"/>
      <x v="47"/>
    </i>
    <i r="1">
      <x v="7"/>
      <x v="38"/>
      <x v="154"/>
      <x v="564"/>
      <x v="47"/>
    </i>
    <i r="1">
      <x v="8"/>
      <x v="38"/>
      <x v="154"/>
      <x v="691"/>
      <x v="47"/>
    </i>
    <i r="1">
      <x v="12"/>
      <x v="1"/>
      <x v="154"/>
      <x v="213"/>
      <x v="47"/>
    </i>
    <i r="4">
      <x v="352"/>
      <x v="47"/>
    </i>
    <i r="4">
      <x v="702"/>
      <x v="47"/>
    </i>
    <i r="4">
      <x v="846"/>
      <x v="47"/>
    </i>
    <i r="1">
      <x v="15"/>
      <x v="38"/>
      <x v="154"/>
      <x v="1274"/>
      <x v="47"/>
    </i>
    <i r="1">
      <x v="19"/>
      <x v="6"/>
      <x v="154"/>
      <x v="539"/>
      <x v="47"/>
    </i>
    <i r="1">
      <x v="21"/>
      <x v="38"/>
      <x v="154"/>
      <x v="1274"/>
      <x v="47"/>
    </i>
    <i r="1">
      <x v="23"/>
      <x v="38"/>
      <x v="154"/>
      <x v="1857"/>
      <x v="47"/>
    </i>
    <i r="1">
      <x v="34"/>
      <x v="38"/>
      <x v="154"/>
      <x v="872"/>
      <x v="47"/>
    </i>
    <i r="1">
      <x v="35"/>
      <x v="1"/>
      <x v="154"/>
      <x v="80"/>
      <x v="47"/>
    </i>
    <i r="4">
      <x v="213"/>
      <x v="47"/>
    </i>
    <i>
      <x v="72"/>
      <x/>
      <x v="8"/>
      <x v="155"/>
      <x v="148"/>
      <x v="47"/>
    </i>
    <i r="4">
      <x v="358"/>
      <x v="47"/>
    </i>
    <i r="4">
      <x v="390"/>
      <x v="47"/>
    </i>
    <i r="4">
      <x v="482"/>
      <x v="47"/>
    </i>
    <i r="4">
      <x v="549"/>
      <x v="47"/>
    </i>
    <i r="4">
      <x v="578"/>
      <x v="47"/>
    </i>
    <i r="4">
      <x v="610"/>
      <x v="47"/>
    </i>
    <i r="4">
      <x v="1272"/>
      <x v="47"/>
    </i>
    <i r="2">
      <x v="9"/>
      <x v="155"/>
      <x v="81"/>
      <x v="47"/>
    </i>
    <i r="4">
      <x v="163"/>
      <x v="47"/>
    </i>
    <i r="4">
      <x v="213"/>
      <x v="47"/>
    </i>
    <i r="4">
      <x v="424"/>
      <x v="47"/>
    </i>
    <i r="4">
      <x v="499"/>
      <x v="47"/>
    </i>
    <i r="4">
      <x v="830"/>
      <x v="47"/>
    </i>
    <i r="4">
      <x v="856"/>
      <x v="47"/>
    </i>
    <i r="4">
      <x v="908"/>
      <x v="47"/>
    </i>
    <i r="4">
      <x v="942"/>
      <x v="47"/>
    </i>
    <i r="4">
      <x v="1034"/>
      <x v="47"/>
    </i>
    <i r="4">
      <x v="1036"/>
      <x v="47"/>
    </i>
    <i r="4">
      <x v="1062"/>
      <x v="47"/>
    </i>
    <i r="4">
      <x v="1084"/>
      <x v="47"/>
    </i>
    <i r="4">
      <x v="1374"/>
      <x v="47"/>
    </i>
    <i r="4">
      <x v="1418"/>
      <x v="47"/>
    </i>
    <i r="2">
      <x v="12"/>
      <x v="19"/>
      <x v="188"/>
      <x v="47"/>
    </i>
    <i r="3">
      <x v="26"/>
      <x v="52"/>
      <x v="47"/>
    </i>
    <i r="3">
      <x v="50"/>
      <x v="90"/>
      <x v="47"/>
    </i>
    <i r="3">
      <x v="70"/>
      <x v="11"/>
      <x v="47"/>
    </i>
    <i r="1">
      <x v="5"/>
      <x v="38"/>
      <x v="155"/>
      <x v="213"/>
      <x v="47"/>
    </i>
    <i r="1">
      <x v="7"/>
      <x v="10"/>
      <x v="155"/>
      <x v="1640"/>
      <x v="47"/>
    </i>
    <i r="1">
      <x v="8"/>
      <x v="10"/>
      <x v="155"/>
      <x v="647"/>
      <x v="47"/>
    </i>
    <i r="2">
      <x v="38"/>
      <x v="155"/>
      <x v="1259"/>
      <x v="47"/>
    </i>
    <i r="1">
      <x v="9"/>
      <x v="8"/>
      <x v="155"/>
      <x v="290"/>
      <x v="47"/>
    </i>
    <i r="1">
      <x v="12"/>
      <x v="1"/>
      <x v="155"/>
      <x v="80"/>
      <x v="47"/>
    </i>
    <i r="4">
      <x v="352"/>
      <x v="47"/>
    </i>
    <i r="4">
      <x v="607"/>
      <x v="47"/>
    </i>
    <i r="4">
      <x v="702"/>
      <x v="47"/>
    </i>
    <i r="4">
      <x v="846"/>
      <x v="47"/>
    </i>
    <i r="1">
      <x v="15"/>
      <x v="8"/>
      <x v="155"/>
      <x v="340"/>
      <x v="47"/>
    </i>
    <i r="1">
      <x v="17"/>
      <x v="6"/>
      <x v="155"/>
      <x v="1863"/>
      <x v="47"/>
    </i>
    <i r="1">
      <x v="23"/>
      <x v="9"/>
      <x v="155"/>
      <x v="558"/>
      <x v="47"/>
    </i>
    <i r="1">
      <x v="25"/>
      <x v="9"/>
      <x v="155"/>
      <x v="932"/>
      <x v="47"/>
    </i>
    <i r="1">
      <x v="27"/>
      <x v="1"/>
      <x v="155"/>
      <x v="195"/>
      <x v="47"/>
    </i>
    <i r="2">
      <x v="38"/>
      <x v="155"/>
      <x v="413"/>
      <x v="47"/>
    </i>
    <i r="1">
      <x v="29"/>
      <x v="10"/>
      <x v="155"/>
      <x v="3"/>
      <x v="47"/>
    </i>
    <i r="1">
      <x v="35"/>
      <x v="1"/>
      <x v="155"/>
      <x v="80"/>
      <x v="47"/>
    </i>
    <i r="1">
      <x v="37"/>
      <x v="8"/>
      <x v="155"/>
      <x v="1492"/>
      <x v="47"/>
    </i>
    <i r="2">
      <x v="9"/>
      <x v="155"/>
      <x v="1404"/>
      <x v="47"/>
    </i>
    <i>
      <x v="73"/>
      <x/>
      <x v="6"/>
      <x v="156"/>
      <x v="1173"/>
      <x v="47"/>
    </i>
    <i r="2">
      <x v="12"/>
      <x v="30"/>
      <x v="35"/>
      <x v="47"/>
    </i>
    <i r="1">
      <x v="12"/>
      <x v="1"/>
      <x v="156"/>
      <x v="80"/>
      <x v="47"/>
    </i>
    <i r="4">
      <x v="213"/>
      <x v="47"/>
    </i>
    <i r="1">
      <x v="21"/>
      <x v="38"/>
      <x v="156"/>
      <x v="1652"/>
      <x v="47"/>
    </i>
    <i r="1">
      <x v="23"/>
      <x v="38"/>
      <x v="156"/>
      <x v="352"/>
      <x v="47"/>
    </i>
    <i r="1">
      <x v="35"/>
      <x v="1"/>
      <x v="156"/>
      <x v="213"/>
      <x v="47"/>
    </i>
    <i r="2">
      <x v="38"/>
      <x v="156"/>
      <x v="1399"/>
      <x v="47"/>
    </i>
    <i>
      <x v="74"/>
      <x/>
      <x v="8"/>
      <x v="157"/>
      <x v="389"/>
      <x v="47"/>
    </i>
    <i r="4">
      <x v="785"/>
      <x v="47"/>
    </i>
    <i r="4">
      <x v="1187"/>
      <x v="47"/>
    </i>
    <i r="2">
      <x v="9"/>
      <x v="157"/>
      <x v="261"/>
      <x v="47"/>
    </i>
    <i r="4">
      <x v="312"/>
      <x v="47"/>
    </i>
    <i r="4">
      <x v="394"/>
      <x v="47"/>
    </i>
    <i r="4">
      <x v="563"/>
      <x v="47"/>
    </i>
    <i r="4">
      <x v="736"/>
      <x v="47"/>
    </i>
    <i r="4">
      <x v="759"/>
      <x v="47"/>
    </i>
    <i r="4">
      <x v="874"/>
      <x v="47"/>
    </i>
    <i r="4">
      <x v="1282"/>
      <x v="47"/>
    </i>
    <i r="1">
      <x v="5"/>
      <x v="38"/>
      <x v="157"/>
      <x v="1358"/>
      <x v="47"/>
    </i>
    <i r="1">
      <x v="8"/>
      <x v="38"/>
      <x v="157"/>
      <x v="517"/>
      <x v="47"/>
    </i>
    <i r="1">
      <x v="12"/>
      <x v="1"/>
      <x v="157"/>
      <x v="213"/>
      <x v="47"/>
    </i>
    <i r="4">
      <x v="352"/>
      <x v="47"/>
    </i>
    <i r="2">
      <x v="38"/>
      <x v="157"/>
      <x v="1001"/>
      <x v="47"/>
    </i>
    <i r="4">
      <x v="1265"/>
      <x v="47"/>
    </i>
    <i r="1">
      <x v="15"/>
      <x v="8"/>
      <x v="157"/>
      <x v="869"/>
      <x v="47"/>
    </i>
    <i r="2">
      <x v="10"/>
      <x v="157"/>
      <x v="314"/>
      <x v="47"/>
    </i>
    <i r="1">
      <x v="17"/>
      <x v="8"/>
      <x v="157"/>
      <x v="1214"/>
      <x v="47"/>
    </i>
    <i r="1">
      <x v="23"/>
      <x v="6"/>
      <x v="157"/>
      <x v="1146"/>
      <x v="47"/>
    </i>
    <i r="2">
      <x v="38"/>
      <x v="157"/>
      <x v="369"/>
      <x v="47"/>
    </i>
    <i r="1">
      <x v="26"/>
      <x v="38"/>
      <x v="157"/>
      <x v="371"/>
      <x v="47"/>
    </i>
    <i r="1">
      <x v="27"/>
      <x v="6"/>
      <x v="157"/>
      <x v="1536"/>
      <x v="47"/>
    </i>
    <i r="1">
      <x v="35"/>
      <x v="1"/>
      <x v="157"/>
      <x v="80"/>
      <x v="47"/>
    </i>
    <i r="1">
      <x v="36"/>
      <x v="9"/>
      <x v="157"/>
      <x v="1351"/>
      <x v="47"/>
    </i>
    <i r="2">
      <x v="38"/>
      <x v="157"/>
      <x v="743"/>
      <x v="47"/>
    </i>
    <i>
      <x v="75"/>
      <x/>
      <x v="1"/>
      <x v="158"/>
      <x v="213"/>
      <x v="47"/>
    </i>
    <i r="2">
      <x v="6"/>
      <x v="158"/>
      <x v="1286"/>
      <x v="47"/>
    </i>
    <i r="2">
      <x v="12"/>
      <x v="46"/>
      <x v="325"/>
      <x v="47"/>
    </i>
    <i r="1">
      <x v="2"/>
      <x v="6"/>
      <x v="158"/>
      <x v="631"/>
      <x v="47"/>
    </i>
    <i r="1">
      <x v="3"/>
      <x v="6"/>
      <x v="158"/>
      <x v="1227"/>
      <x v="47"/>
    </i>
    <i r="2">
      <x v="38"/>
      <x v="158"/>
      <x v="109"/>
      <x v="47"/>
    </i>
    <i r="1">
      <x v="7"/>
      <x v="37"/>
      <x v="158"/>
      <x v="1022"/>
      <x v="47"/>
    </i>
    <i r="1">
      <x v="12"/>
      <x v="1"/>
      <x v="158"/>
      <x v="80"/>
      <x v="47"/>
    </i>
    <i r="4">
      <x v="213"/>
      <x v="47"/>
    </i>
    <i r="4">
      <x v="352"/>
      <x v="47"/>
    </i>
    <i r="4">
      <x v="607"/>
      <x v="47"/>
    </i>
    <i r="1">
      <x v="15"/>
      <x v="38"/>
      <x v="158"/>
      <x v="270"/>
      <x v="47"/>
    </i>
    <i r="1">
      <x v="23"/>
      <x v="38"/>
      <x v="158"/>
      <x v="756"/>
      <x v="47"/>
    </i>
    <i r="1">
      <x v="35"/>
      <x v="1"/>
      <x v="158"/>
      <x v="80"/>
      <x v="47"/>
    </i>
    <i>
      <x v="76"/>
      <x/>
      <x v="12"/>
      <x v="21"/>
      <x v="6"/>
      <x v="47"/>
    </i>
    <i r="3">
      <x v="23"/>
      <x v="11"/>
      <x v="47"/>
    </i>
    <i r="3">
      <x v="39"/>
      <x v="180"/>
      <x v="47"/>
    </i>
    <i r="3">
      <x v="52"/>
      <x v="37"/>
      <x v="47"/>
    </i>
    <i r="1">
      <x v="8"/>
      <x v="38"/>
      <x v="159"/>
      <x v="498"/>
      <x v="47"/>
    </i>
    <i r="1">
      <x v="12"/>
      <x v="1"/>
      <x v="159"/>
      <x v="80"/>
      <x v="47"/>
    </i>
    <i r="1">
      <x v="15"/>
      <x v="37"/>
      <x v="159"/>
      <x v="1780"/>
      <x v="47"/>
    </i>
    <i r="1">
      <x v="19"/>
      <x v="38"/>
      <x v="159"/>
      <x v="217"/>
      <x v="47"/>
    </i>
    <i>
      <x v="77"/>
      <x/>
      <x v="12"/>
      <x v="16"/>
      <x v="32"/>
      <x v="47"/>
    </i>
    <i r="3">
      <x v="54"/>
      <x v="35"/>
      <x v="47"/>
    </i>
    <i r="3">
      <x v="56"/>
      <x v="18"/>
      <x v="47"/>
    </i>
    <i r="1">
      <x v="3"/>
      <x v="6"/>
      <x v="160"/>
      <x v="1124"/>
      <x v="47"/>
    </i>
    <i r="2">
      <x v="38"/>
      <x v="160"/>
      <x v="371"/>
      <x v="47"/>
    </i>
    <i r="1">
      <x v="5"/>
      <x v="38"/>
      <x v="160"/>
      <x v="619"/>
      <x v="47"/>
    </i>
    <i r="1">
      <x v="12"/>
      <x v="1"/>
      <x v="160"/>
      <x v="80"/>
      <x v="47"/>
    </i>
    <i r="4">
      <x v="213"/>
      <x v="47"/>
    </i>
    <i r="1">
      <x v="23"/>
      <x v="1"/>
      <x v="160"/>
      <x v="213"/>
      <x v="47"/>
    </i>
    <i r="1">
      <x v="35"/>
      <x v="1"/>
      <x v="160"/>
      <x v="80"/>
      <x v="47"/>
    </i>
    <i>
      <x v="78"/>
      <x/>
      <x v="12"/>
      <x v="19"/>
      <x v="8"/>
      <x v="47"/>
    </i>
    <i r="3">
      <x v="23"/>
      <x v="11"/>
      <x v="47"/>
    </i>
    <i r="3">
      <x v="42"/>
      <x v="59"/>
      <x v="47"/>
    </i>
    <i r="3">
      <x v="47"/>
      <x v="654"/>
      <x v="47"/>
    </i>
    <i r="2">
      <x v="13"/>
      <x v="161"/>
      <x v="172"/>
      <x v="47"/>
    </i>
    <i r="4">
      <x v="534"/>
      <x v="47"/>
    </i>
    <i r="4">
      <x v="889"/>
      <x v="47"/>
    </i>
    <i r="4">
      <x v="899"/>
      <x v="47"/>
    </i>
    <i r="4">
      <x v="975"/>
      <x v="47"/>
    </i>
    <i r="4">
      <x v="997"/>
      <x v="47"/>
    </i>
    <i r="1">
      <x v="2"/>
      <x v="13"/>
      <x v="161"/>
      <x v="1868"/>
      <x v="47"/>
    </i>
    <i r="1">
      <x v="3"/>
      <x v="13"/>
      <x v="161"/>
      <x v="666"/>
      <x v="47"/>
    </i>
    <i r="1">
      <x v="12"/>
      <x v="1"/>
      <x v="162"/>
      <x v="213"/>
      <x v="47"/>
    </i>
    <i r="2">
      <x v="13"/>
      <x v="161"/>
      <x v="571"/>
      <x v="47"/>
    </i>
    <i r="4">
      <x v="575"/>
      <x v="47"/>
    </i>
    <i r="4">
      <x v="593"/>
      <x v="47"/>
    </i>
    <i r="4">
      <x v="671"/>
      <x v="47"/>
    </i>
    <i r="4">
      <x v="880"/>
      <x v="47"/>
    </i>
    <i r="4">
      <x v="904"/>
      <x v="47"/>
    </i>
    <i r="4">
      <x v="978"/>
      <x v="47"/>
    </i>
    <i r="4">
      <x v="1012"/>
      <x v="47"/>
    </i>
    <i r="4">
      <x v="1054"/>
      <x v="47"/>
    </i>
    <i r="4">
      <x v="1224"/>
      <x v="47"/>
    </i>
    <i r="4">
      <x v="1281"/>
      <x v="47"/>
    </i>
    <i r="4">
      <x v="1310"/>
      <x v="47"/>
    </i>
    <i r="4">
      <x v="1316"/>
      <x v="47"/>
    </i>
    <i r="4">
      <x v="1381"/>
      <x v="47"/>
    </i>
    <i r="4">
      <x v="1391"/>
      <x v="47"/>
    </i>
    <i r="4">
      <x v="1405"/>
      <x v="47"/>
    </i>
    <i r="4">
      <x v="1409"/>
      <x v="47"/>
    </i>
    <i r="4">
      <x v="1430"/>
      <x v="47"/>
    </i>
    <i r="4">
      <x v="1473"/>
      <x v="47"/>
    </i>
    <i r="4">
      <x v="1496"/>
      <x v="47"/>
    </i>
    <i r="4">
      <x v="1516"/>
      <x v="47"/>
    </i>
    <i r="4">
      <x v="1538"/>
      <x v="47"/>
    </i>
    <i r="4">
      <x v="1589"/>
      <x v="47"/>
    </i>
    <i r="4">
      <x v="1594"/>
      <x v="47"/>
    </i>
    <i r="4">
      <x v="1612"/>
      <x v="47"/>
    </i>
    <i r="4">
      <x v="1621"/>
      <x v="47"/>
    </i>
    <i r="4">
      <x v="1641"/>
      <x v="47"/>
    </i>
    <i r="4">
      <x v="1687"/>
      <x v="47"/>
    </i>
    <i r="4">
      <x v="1689"/>
      <x v="47"/>
    </i>
    <i r="4">
      <x v="1736"/>
      <x v="47"/>
    </i>
    <i r="4">
      <x v="1751"/>
      <x v="47"/>
    </i>
    <i r="4">
      <x v="1752"/>
      <x v="47"/>
    </i>
    <i r="1">
      <x v="14"/>
      <x v="13"/>
      <x v="161"/>
      <x v="1055"/>
      <x v="47"/>
    </i>
    <i r="1">
      <x v="15"/>
      <x v="13"/>
      <x v="161"/>
      <x v="1755"/>
      <x v="47"/>
    </i>
    <i r="1">
      <x v="17"/>
      <x v="13"/>
      <x v="161"/>
      <x v="1266"/>
      <x v="47"/>
    </i>
    <i r="1">
      <x v="21"/>
      <x v="13"/>
      <x v="161"/>
      <x v="1662"/>
      <x v="47"/>
    </i>
    <i r="1">
      <x v="23"/>
      <x v="1"/>
      <x v="162"/>
      <x v="669"/>
      <x v="47"/>
    </i>
    <i r="2">
      <x v="13"/>
      <x v="161"/>
      <x v="1245"/>
      <x v="47"/>
    </i>
    <i r="1">
      <x v="26"/>
      <x v="1"/>
      <x v="162"/>
      <x v="278"/>
      <x v="47"/>
    </i>
    <i r="1">
      <x v="35"/>
      <x v="1"/>
      <x v="162"/>
      <x v="80"/>
      <x v="47"/>
    </i>
    <i r="2">
      <x v="13"/>
      <x v="161"/>
      <x v="175"/>
      <x v="47"/>
    </i>
    <i r="4">
      <x v="307"/>
      <x v="47"/>
    </i>
    <i r="4">
      <x v="308"/>
      <x v="47"/>
    </i>
    <i r="4">
      <x v="400"/>
      <x v="47"/>
    </i>
    <i r="4">
      <x v="472"/>
      <x v="47"/>
    </i>
    <i r="4">
      <x v="484"/>
      <x v="47"/>
    </i>
    <i r="4">
      <x v="672"/>
      <x v="47"/>
    </i>
    <i r="4">
      <x v="850"/>
      <x v="47"/>
    </i>
    <i r="4">
      <x v="853"/>
      <x v="47"/>
    </i>
    <i r="4">
      <x v="893"/>
      <x v="47"/>
    </i>
    <i r="4">
      <x v="951"/>
      <x v="47"/>
    </i>
    <i r="4">
      <x v="1083"/>
      <x v="47"/>
    </i>
    <i r="4">
      <x v="1183"/>
      <x v="47"/>
    </i>
    <i r="1">
      <x v="36"/>
      <x v="6"/>
      <x v="162"/>
      <x v="886"/>
      <x v="47"/>
    </i>
    <i r="1">
      <x v="37"/>
      <x v="13"/>
      <x v="161"/>
      <x v="416"/>
      <x v="47"/>
    </i>
    <i>
      <x v="79"/>
      <x/>
      <x v="8"/>
      <x v="163"/>
      <x v="181"/>
      <x v="47"/>
    </i>
    <i r="4">
      <x v="351"/>
      <x v="47"/>
    </i>
    <i r="2">
      <x v="9"/>
      <x v="163"/>
      <x v="167"/>
      <x v="47"/>
    </i>
    <i r="4">
      <x v="229"/>
      <x v="47"/>
    </i>
    <i r="4">
      <x v="467"/>
      <x v="47"/>
    </i>
    <i r="4">
      <x v="517"/>
      <x v="47"/>
    </i>
    <i r="4">
      <x v="878"/>
      <x v="47"/>
    </i>
    <i r="4">
      <x v="1109"/>
      <x v="47"/>
    </i>
    <i r="2">
      <x v="12"/>
      <x v="63"/>
      <x v="6"/>
      <x v="47"/>
    </i>
    <i r="3">
      <x v="66"/>
      <x v="8"/>
      <x v="47"/>
    </i>
    <i r="1">
      <x v="2"/>
      <x v="9"/>
      <x v="163"/>
      <x v="1582"/>
      <x v="47"/>
    </i>
    <i r="1">
      <x v="7"/>
      <x v="8"/>
      <x v="163"/>
      <x v="751"/>
      <x v="47"/>
    </i>
    <i r="1">
      <x v="12"/>
      <x v="1"/>
      <x v="163"/>
      <x v="80"/>
      <x v="47"/>
    </i>
    <i r="1">
      <x v="14"/>
      <x v="1"/>
      <x v="163"/>
      <x v="109"/>
      <x v="47"/>
    </i>
    <i r="2">
      <x v="38"/>
      <x v="163"/>
      <x v="304"/>
      <x v="47"/>
    </i>
    <i r="1">
      <x v="15"/>
      <x v="8"/>
      <x v="163"/>
      <x v="1228"/>
      <x v="47"/>
    </i>
    <i r="2">
      <x v="9"/>
      <x v="163"/>
      <x v="248"/>
      <x v="47"/>
    </i>
    <i r="1">
      <x v="23"/>
      <x v="7"/>
      <x v="163"/>
      <x v="841"/>
      <x v="47"/>
    </i>
    <i r="2">
      <x v="38"/>
      <x v="163"/>
      <x v="122"/>
      <x v="47"/>
    </i>
    <i r="1">
      <x v="28"/>
      <x v="1"/>
      <x v="163"/>
      <x v="516"/>
      <x v="47"/>
    </i>
    <i r="1">
      <x v="36"/>
      <x v="8"/>
      <x v="163"/>
      <x v="1056"/>
      <x v="47"/>
    </i>
    <i>
      <x v="80"/>
      <x/>
      <x v="9"/>
      <x v="164"/>
      <x v="371"/>
      <x v="47"/>
    </i>
    <i r="4">
      <x v="533"/>
      <x v="47"/>
    </i>
    <i r="2">
      <x v="10"/>
      <x v="164"/>
      <x v="539"/>
      <x v="47"/>
    </i>
    <i r="2">
      <x v="12"/>
      <x v="17"/>
      <x v="188"/>
      <x v="47"/>
    </i>
    <i r="3">
      <x v="23"/>
      <x v="11"/>
      <x v="47"/>
    </i>
    <i r="3">
      <x v="40"/>
      <x v="188"/>
      <x v="47"/>
    </i>
    <i r="1">
      <x v="3"/>
      <x v="38"/>
      <x v="164"/>
      <x v="371"/>
      <x v="47"/>
    </i>
    <i r="1">
      <x v="7"/>
      <x v="8"/>
      <x v="164"/>
      <x v="83"/>
      <x v="47"/>
    </i>
    <i r="1">
      <x v="10"/>
      <x v="6"/>
      <x v="164"/>
      <x v="1647"/>
      <x v="47"/>
    </i>
    <i r="2">
      <x v="8"/>
      <x v="164"/>
      <x v="23"/>
      <x v="47"/>
    </i>
    <i r="1">
      <x v="12"/>
      <x v="1"/>
      <x v="164"/>
      <x v="80"/>
      <x v="47"/>
    </i>
    <i r="4">
      <x v="213"/>
      <x v="47"/>
    </i>
    <i r="2">
      <x v="38"/>
      <x v="164"/>
      <x v="1414"/>
      <x v="47"/>
    </i>
    <i r="1">
      <x v="15"/>
      <x v="8"/>
      <x v="164"/>
      <x v="684"/>
      <x v="47"/>
    </i>
    <i r="1">
      <x v="24"/>
      <x v="38"/>
      <x v="164"/>
      <x v="97"/>
      <x v="47"/>
    </i>
    <i r="1">
      <x v="35"/>
      <x v="1"/>
      <x v="164"/>
      <x v="80"/>
      <x v="47"/>
    </i>
    <i r="2">
      <x v="38"/>
      <x v="164"/>
      <x v="1343"/>
      <x v="47"/>
    </i>
    <i r="4">
      <x v="1528"/>
      <x v="47"/>
    </i>
    <i>
      <x v="81"/>
      <x v="3"/>
      <x v="10"/>
      <x v="165"/>
      <x/>
      <x v="32"/>
    </i>
    <i>
      <x v="82"/>
      <x/>
      <x v="12"/>
      <x v="52"/>
      <x v="9"/>
      <x v="47"/>
    </i>
    <i r="3">
      <x v="62"/>
      <x v="59"/>
      <x v="47"/>
    </i>
    <i r="2">
      <x v="38"/>
      <x v="166"/>
      <x v="39"/>
      <x v="47"/>
    </i>
    <i r="4">
      <x v="659"/>
      <x v="47"/>
    </i>
    <i r="1">
      <x v="12"/>
      <x v="1"/>
      <x v="166"/>
      <x v="80"/>
      <x v="47"/>
    </i>
    <i r="4">
      <x v="213"/>
      <x v="47"/>
    </i>
    <i r="4">
      <x v="352"/>
      <x v="47"/>
    </i>
    <i r="4">
      <x v="607"/>
      <x v="47"/>
    </i>
    <i r="1">
      <x v="14"/>
      <x v="1"/>
      <x v="166"/>
      <x v="145"/>
      <x v="47"/>
    </i>
    <i r="1">
      <x v="23"/>
      <x v="38"/>
      <x v="166"/>
      <x v="100"/>
      <x v="47"/>
    </i>
    <i r="1">
      <x v="34"/>
      <x v="38"/>
      <x v="166"/>
      <x v="509"/>
      <x v="47"/>
    </i>
    <i r="1">
      <x v="35"/>
      <x v="1"/>
      <x v="166"/>
      <x v="80"/>
      <x v="47"/>
    </i>
    <i r="1">
      <x v="36"/>
      <x v="6"/>
      <x v="166"/>
      <x v="283"/>
      <x v="47"/>
    </i>
    <i r="2">
      <x v="38"/>
      <x v="166"/>
      <x v="395"/>
      <x v="47"/>
    </i>
    <i r="1">
      <x v="37"/>
      <x v="6"/>
      <x v="166"/>
      <x v="802"/>
      <x v="47"/>
    </i>
    <i>
      <x v="83"/>
      <x/>
      <x v="6"/>
      <x v="168"/>
      <x v="359"/>
      <x v="47"/>
    </i>
    <i r="4">
      <x v="749"/>
      <x v="47"/>
    </i>
    <i r="2">
      <x v="8"/>
      <x v="168"/>
      <x v="1028"/>
      <x v="47"/>
    </i>
    <i r="2">
      <x v="12"/>
      <x v="5"/>
      <x v="69"/>
      <x v="47"/>
    </i>
    <i r="3">
      <x v="52"/>
      <x v="9"/>
      <x v="47"/>
    </i>
    <i r="3">
      <x v="57"/>
      <x v="16"/>
      <x v="47"/>
    </i>
    <i r="2">
      <x v="38"/>
      <x v="168"/>
      <x v="138"/>
      <x v="47"/>
    </i>
    <i r="1">
      <x v="2"/>
      <x v="27"/>
      <x v="167"/>
      <x v="827"/>
      <x v="47"/>
    </i>
    <i r="1">
      <x v="3"/>
      <x v="1"/>
      <x v="168"/>
      <x v="109"/>
      <x v="47"/>
    </i>
    <i r="2">
      <x v="38"/>
      <x v="168"/>
      <x v="33"/>
      <x v="47"/>
    </i>
    <i r="1">
      <x v="6"/>
      <x v="38"/>
      <x v="168"/>
      <x v="1235"/>
      <x v="47"/>
    </i>
    <i r="1">
      <x v="12"/>
      <x v="1"/>
      <x v="168"/>
      <x v="80"/>
      <x v="47"/>
    </i>
    <i r="4">
      <x v="213"/>
      <x v="47"/>
    </i>
    <i r="4">
      <x v="352"/>
      <x v="47"/>
    </i>
    <i r="4">
      <x v="500"/>
      <x v="47"/>
    </i>
    <i r="4">
      <x v="607"/>
      <x v="47"/>
    </i>
    <i r="4">
      <x v="771"/>
      <x v="47"/>
    </i>
    <i r="2">
      <x v="27"/>
      <x v="167"/>
      <x v="289"/>
      <x v="47"/>
    </i>
    <i r="4">
      <x v="805"/>
      <x v="47"/>
    </i>
    <i r="1">
      <x v="15"/>
      <x v="1"/>
      <x v="168"/>
      <x v="1666"/>
      <x v="47"/>
    </i>
    <i r="1">
      <x v="30"/>
      <x v="6"/>
      <x v="168"/>
      <x v="1805"/>
      <x v="47"/>
    </i>
    <i r="1">
      <x v="35"/>
      <x v="1"/>
      <x v="168"/>
      <x v="80"/>
      <x v="47"/>
    </i>
    <i r="4">
      <x v="213"/>
      <x v="47"/>
    </i>
    <i>
      <x v="84"/>
      <x/>
      <x v="6"/>
      <x v="169"/>
      <x v="354"/>
      <x v="47"/>
    </i>
    <i r="2">
      <x v="8"/>
      <x v="169"/>
      <x v="825"/>
      <x v="47"/>
    </i>
    <i r="2">
      <x v="9"/>
      <x v="169"/>
      <x v="461"/>
      <x v="47"/>
    </i>
    <i r="4">
      <x v="494"/>
      <x v="47"/>
    </i>
    <i r="2">
      <x v="12"/>
      <x v="21"/>
      <x v="227"/>
      <x v="47"/>
    </i>
    <i r="2">
      <x v="38"/>
      <x v="169"/>
      <x v="138"/>
      <x v="47"/>
    </i>
    <i r="1">
      <x v="12"/>
      <x v="1"/>
      <x v="169"/>
      <x v="80"/>
      <x v="47"/>
    </i>
    <i r="4">
      <x v="213"/>
      <x v="47"/>
    </i>
    <i r="4">
      <x v="352"/>
      <x v="47"/>
    </i>
    <i r="4">
      <x v="607"/>
      <x v="47"/>
    </i>
    <i r="4">
      <x v="702"/>
      <x v="47"/>
    </i>
    <i r="4">
      <x v="771"/>
      <x v="47"/>
    </i>
    <i r="1">
      <x v="14"/>
      <x v="6"/>
      <x v="169"/>
      <x v="1865"/>
      <x v="47"/>
    </i>
    <i r="1">
      <x v="26"/>
      <x v="38"/>
      <x v="169"/>
      <x v="1840"/>
      <x v="47"/>
    </i>
    <i r="1">
      <x v="35"/>
      <x v="1"/>
      <x v="169"/>
      <x v="80"/>
      <x v="47"/>
    </i>
    <i r="1">
      <x v="37"/>
      <x v="38"/>
      <x v="169"/>
      <x v="271"/>
      <x v="47"/>
    </i>
    <i>
      <x v="85"/>
      <x/>
      <x v="8"/>
      <x v="170"/>
      <x v="108"/>
      <x v="47"/>
    </i>
    <i r="2">
      <x v="9"/>
      <x v="170"/>
      <x v="430"/>
      <x v="47"/>
    </i>
    <i r="4">
      <x v="640"/>
      <x v="47"/>
    </i>
    <i r="1">
      <x v="8"/>
      <x v="10"/>
      <x v="170"/>
      <x v="1304"/>
      <x v="47"/>
    </i>
    <i r="1">
      <x v="12"/>
      <x v="1"/>
      <x v="170"/>
      <x v="80"/>
      <x v="47"/>
    </i>
    <i r="4">
      <x v="213"/>
      <x v="47"/>
    </i>
    <i r="4">
      <x v="352"/>
      <x v="47"/>
    </i>
    <i r="4">
      <x v="500"/>
      <x v="47"/>
    </i>
    <i r="4">
      <x v="702"/>
      <x v="47"/>
    </i>
    <i r="1">
      <x v="19"/>
      <x v="6"/>
      <x v="170"/>
      <x v="883"/>
      <x v="47"/>
    </i>
    <i r="1">
      <x v="37"/>
      <x v="10"/>
      <x v="170"/>
      <x v="1491"/>
      <x v="47"/>
    </i>
    <i>
      <x v="86"/>
      <x/>
      <x v="1"/>
      <x v="171"/>
      <x v="80"/>
      <x v="47"/>
    </i>
    <i r="4">
      <x v="778"/>
      <x v="47"/>
    </i>
    <i r="2">
      <x v="12"/>
      <x v="7"/>
      <x v="219"/>
      <x v="47"/>
    </i>
    <i r="3">
      <x v="32"/>
      <x v="391"/>
      <x v="47"/>
    </i>
    <i r="2">
      <x v="37"/>
      <x v="171"/>
      <x v="1312"/>
      <x v="47"/>
    </i>
    <i r="2">
      <x v="38"/>
      <x v="171"/>
      <x v="1326"/>
      <x v="47"/>
    </i>
    <i r="1">
      <x v="2"/>
      <x v="1"/>
      <x v="171"/>
      <x v="1205"/>
      <x v="47"/>
    </i>
    <i r="2">
      <x v="6"/>
      <x v="171"/>
      <x v="615"/>
      <x v="47"/>
    </i>
    <i r="1">
      <x v="3"/>
      <x v="38"/>
      <x v="171"/>
      <x v="322"/>
      <x v="47"/>
    </i>
    <i r="1">
      <x v="5"/>
      <x v="37"/>
      <x v="171"/>
      <x v="1777"/>
      <x v="47"/>
    </i>
    <i r="2">
      <x v="38"/>
      <x v="171"/>
      <x v="1837"/>
      <x v="47"/>
    </i>
    <i r="1">
      <x v="6"/>
      <x v="38"/>
      <x v="171"/>
      <x v="1164"/>
      <x v="47"/>
    </i>
    <i r="1">
      <x v="7"/>
      <x v="38"/>
      <x v="171"/>
      <x v="1061"/>
      <x v="47"/>
    </i>
    <i r="1">
      <x v="9"/>
      <x v="38"/>
      <x v="171"/>
      <x v="66"/>
      <x v="47"/>
    </i>
    <i r="1">
      <x v="10"/>
      <x v="38"/>
      <x v="171"/>
      <x v="612"/>
      <x v="47"/>
    </i>
    <i r="1">
      <x v="12"/>
      <x v="1"/>
      <x v="171"/>
      <x v="80"/>
      <x v="47"/>
    </i>
    <i r="4">
      <x v="213"/>
      <x v="47"/>
    </i>
    <i r="4">
      <x v="352"/>
      <x v="47"/>
    </i>
    <i r="1">
      <x v="14"/>
      <x v="37"/>
      <x v="171"/>
      <x v="1375"/>
      <x v="47"/>
    </i>
    <i r="2">
      <x v="38"/>
      <x v="171"/>
      <x v="1599"/>
      <x v="47"/>
    </i>
    <i r="1">
      <x v="15"/>
      <x v="38"/>
      <x v="171"/>
      <x v="1826"/>
      <x v="47"/>
    </i>
    <i r="1">
      <x v="19"/>
      <x v="37"/>
      <x v="171"/>
      <x v="1574"/>
      <x v="47"/>
    </i>
    <i r="2">
      <x v="38"/>
      <x v="171"/>
      <x v="1725"/>
      <x v="47"/>
    </i>
    <i r="1">
      <x v="21"/>
      <x v="10"/>
      <x v="171"/>
      <x/>
      <x v="33"/>
    </i>
    <i r="1">
      <x v="23"/>
      <x v="1"/>
      <x v="171"/>
      <x v="278"/>
      <x v="47"/>
    </i>
    <i r="1">
      <x v="33"/>
      <x v="38"/>
      <x v="171"/>
      <x v="659"/>
      <x v="47"/>
    </i>
    <i r="1">
      <x v="35"/>
      <x v="1"/>
      <x v="171"/>
      <x v="80"/>
      <x v="47"/>
    </i>
    <i>
      <x v="87"/>
      <x/>
      <x v="9"/>
      <x v="172"/>
      <x v="620"/>
      <x v="47"/>
    </i>
    <i r="4">
      <x v="640"/>
      <x v="47"/>
    </i>
    <i r="4">
      <x v="745"/>
      <x v="47"/>
    </i>
    <i r="4">
      <x v="924"/>
      <x v="47"/>
    </i>
    <i r="4">
      <x v="973"/>
      <x v="47"/>
    </i>
    <i r="2">
      <x v="12"/>
      <x v="32"/>
      <x v="391"/>
      <x v="47"/>
    </i>
    <i r="3">
      <x v="44"/>
      <x v="11"/>
      <x v="47"/>
    </i>
    <i r="3">
      <x v="53"/>
      <x v="25"/>
      <x v="47"/>
    </i>
    <i r="3">
      <x v="61"/>
      <x v="6"/>
      <x v="47"/>
    </i>
    <i r="3">
      <x v="65"/>
      <x v="18"/>
      <x v="47"/>
    </i>
    <i r="3">
      <x v="66"/>
      <x v="25"/>
      <x v="47"/>
    </i>
    <i r="3">
      <x v="71"/>
      <x v="11"/>
      <x v="47"/>
    </i>
    <i r="1">
      <x v="11"/>
      <x v="8"/>
      <x v="172"/>
      <x v="927"/>
      <x v="47"/>
    </i>
    <i r="1">
      <x v="12"/>
      <x v="1"/>
      <x v="172"/>
      <x v="213"/>
      <x v="47"/>
    </i>
    <i r="4">
      <x v="500"/>
      <x v="47"/>
    </i>
    <i r="4">
      <x v="702"/>
      <x v="47"/>
    </i>
    <i r="1">
      <x v="15"/>
      <x v="6"/>
      <x v="172"/>
      <x v="212"/>
      <x v="47"/>
    </i>
    <i r="2">
      <x v="9"/>
      <x v="172"/>
      <x v="331"/>
      <x v="47"/>
    </i>
    <i r="1">
      <x v="23"/>
      <x v="38"/>
      <x v="172"/>
      <x v="76"/>
      <x v="47"/>
    </i>
    <i r="1">
      <x v="24"/>
      <x v="8"/>
      <x v="172"/>
      <x v="896"/>
      <x v="47"/>
    </i>
    <i r="1">
      <x v="25"/>
      <x v="9"/>
      <x v="172"/>
      <x v="901"/>
      <x v="47"/>
    </i>
    <i r="1">
      <x v="27"/>
      <x v="38"/>
      <x v="172"/>
      <x v="633"/>
      <x v="47"/>
    </i>
    <i>
      <x v="88"/>
      <x/>
      <x v="12"/>
      <x v="21"/>
      <x v="69"/>
      <x v="47"/>
    </i>
    <i r="3">
      <x v="52"/>
      <x v="92"/>
      <x v="47"/>
    </i>
    <i r="2">
      <x v="38"/>
      <x v="173"/>
      <x v="138"/>
      <x v="47"/>
    </i>
    <i r="1">
      <x v="3"/>
      <x v="6"/>
      <x v="173"/>
      <x v="1047"/>
      <x v="47"/>
    </i>
    <i r="1">
      <x v="5"/>
      <x v="37"/>
      <x v="173"/>
      <x v="1408"/>
      <x v="47"/>
    </i>
    <i r="1">
      <x v="10"/>
      <x v="37"/>
      <x v="173"/>
      <x v="1242"/>
      <x v="47"/>
    </i>
    <i r="1">
      <x v="12"/>
      <x v="1"/>
      <x v="173"/>
      <x v="80"/>
      <x v="47"/>
    </i>
    <i r="4">
      <x v="213"/>
      <x v="47"/>
    </i>
    <i r="4">
      <x v="500"/>
      <x v="47"/>
    </i>
    <i r="4">
      <x v="771"/>
      <x v="47"/>
    </i>
    <i r="4">
      <x v="1114"/>
      <x v="47"/>
    </i>
    <i r="1">
      <x v="26"/>
      <x v="38"/>
      <x v="173"/>
      <x v="771"/>
      <x v="47"/>
    </i>
    <i r="1">
      <x v="35"/>
      <x v="1"/>
      <x v="173"/>
      <x v="213"/>
      <x v="47"/>
    </i>
    <i r="1">
      <x v="36"/>
      <x v="1"/>
      <x v="173"/>
      <x v="317"/>
      <x v="47"/>
    </i>
    <i>
      <x v="89"/>
      <x/>
      <x v="9"/>
      <x v="175"/>
      <x v="458"/>
      <x v="47"/>
    </i>
    <i r="4">
      <x v="555"/>
      <x v="47"/>
    </i>
    <i r="2">
      <x v="12"/>
      <x v="6"/>
      <x v="32"/>
      <x v="47"/>
    </i>
    <i r="3">
      <x v="8"/>
      <x v="14"/>
      <x v="47"/>
    </i>
    <i r="3">
      <x v="17"/>
      <x v="219"/>
      <x v="47"/>
    </i>
    <i r="3">
      <x v="18"/>
      <x v="11"/>
      <x v="47"/>
    </i>
    <i r="3">
      <x v="34"/>
      <x v="719"/>
      <x v="47"/>
    </i>
    <i r="3">
      <x v="50"/>
      <x v="80"/>
      <x v="47"/>
    </i>
    <i r="3">
      <x v="52"/>
      <x v="14"/>
      <x v="47"/>
    </i>
    <i r="3">
      <x v="55"/>
      <x v="82"/>
      <x v="47"/>
    </i>
    <i r="2">
      <x v="20"/>
      <x v="174"/>
      <x v="471"/>
      <x v="47"/>
    </i>
    <i r="4">
      <x v="580"/>
      <x v="47"/>
    </i>
    <i r="4">
      <x v="699"/>
      <x v="47"/>
    </i>
    <i r="4">
      <x v="1029"/>
      <x v="47"/>
    </i>
    <i r="4">
      <x v="1236"/>
      <x v="47"/>
    </i>
    <i r="1">
      <x v="2"/>
      <x v="1"/>
      <x v="175"/>
      <x v="1205"/>
      <x v="47"/>
    </i>
    <i r="2">
      <x v="20"/>
      <x v="174"/>
      <x v="1850"/>
      <x v="47"/>
    </i>
    <i r="1">
      <x v="6"/>
      <x v="38"/>
      <x v="175"/>
      <x v="658"/>
      <x v="47"/>
    </i>
    <i r="1">
      <x v="7"/>
      <x v="9"/>
      <x v="175"/>
      <x v="228"/>
      <x v="47"/>
    </i>
    <i r="2">
      <x v="10"/>
      <x v="175"/>
      <x v="1581"/>
      <x v="47"/>
    </i>
    <i r="1">
      <x v="12"/>
      <x v="1"/>
      <x v="175"/>
      <x v="80"/>
      <x v="47"/>
    </i>
    <i r="4">
      <x v="213"/>
      <x v="47"/>
    </i>
    <i r="4">
      <x v="500"/>
      <x v="47"/>
    </i>
    <i r="4">
      <x v="702"/>
      <x v="47"/>
    </i>
    <i r="2">
      <x v="20"/>
      <x v="174"/>
      <x v="71"/>
      <x v="47"/>
    </i>
    <i r="4">
      <x v="166"/>
      <x v="47"/>
    </i>
    <i r="4">
      <x v="174"/>
      <x v="47"/>
    </i>
    <i r="4">
      <x v="282"/>
      <x v="47"/>
    </i>
    <i r="4">
      <x v="336"/>
      <x v="47"/>
    </i>
    <i r="4">
      <x v="675"/>
      <x v="47"/>
    </i>
    <i r="4">
      <x v="720"/>
      <x v="47"/>
    </i>
    <i r="4">
      <x v="780"/>
      <x v="47"/>
    </i>
    <i r="4">
      <x v="801"/>
      <x v="47"/>
    </i>
    <i r="4">
      <x v="839"/>
      <x v="47"/>
    </i>
    <i r="4">
      <x v="912"/>
      <x v="47"/>
    </i>
    <i r="4">
      <x v="967"/>
      <x v="47"/>
    </i>
    <i r="4">
      <x v="983"/>
      <x v="47"/>
    </i>
    <i r="4">
      <x v="994"/>
      <x v="47"/>
    </i>
    <i r="4">
      <x v="1147"/>
      <x v="47"/>
    </i>
    <i r="4">
      <x v="1239"/>
      <x v="47"/>
    </i>
    <i r="4">
      <x v="1269"/>
      <x v="47"/>
    </i>
    <i r="4">
      <x v="1320"/>
      <x v="47"/>
    </i>
    <i r="4">
      <x v="1378"/>
      <x v="47"/>
    </i>
    <i r="4">
      <x v="1413"/>
      <x v="47"/>
    </i>
    <i r="4">
      <x v="1480"/>
      <x v="47"/>
    </i>
    <i r="4">
      <x v="1515"/>
      <x v="47"/>
    </i>
    <i r="4">
      <x v="1523"/>
      <x v="47"/>
    </i>
    <i r="4">
      <x v="1560"/>
      <x v="47"/>
    </i>
    <i r="4">
      <x v="1566"/>
      <x v="47"/>
    </i>
    <i r="4">
      <x v="1571"/>
      <x v="47"/>
    </i>
    <i r="4">
      <x v="1578"/>
      <x v="47"/>
    </i>
    <i r="4">
      <x v="1604"/>
      <x v="47"/>
    </i>
    <i r="4">
      <x v="1606"/>
      <x v="47"/>
    </i>
    <i r="4">
      <x v="1644"/>
      <x v="47"/>
    </i>
    <i r="4">
      <x v="1648"/>
      <x v="47"/>
    </i>
    <i r="4">
      <x v="1678"/>
      <x v="47"/>
    </i>
    <i r="4">
      <x v="1711"/>
      <x v="47"/>
    </i>
    <i r="4">
      <x v="1721"/>
      <x v="47"/>
    </i>
    <i r="1">
      <x v="14"/>
      <x v="38"/>
      <x v="175"/>
      <x v="397"/>
      <x v="47"/>
    </i>
    <i r="1">
      <x v="15"/>
      <x v="20"/>
      <x v="174"/>
      <x v="1877"/>
      <x v="47"/>
    </i>
    <i r="1">
      <x v="17"/>
      <x v="20"/>
      <x v="174"/>
      <x v="717"/>
      <x v="47"/>
    </i>
    <i r="1">
      <x v="21"/>
      <x v="20"/>
      <x v="174"/>
      <x v="1677"/>
      <x v="47"/>
    </i>
    <i r="1">
      <x v="23"/>
      <x v="20"/>
      <x v="174"/>
      <x v="1859"/>
      <x v="47"/>
    </i>
    <i r="1">
      <x v="24"/>
      <x v="20"/>
      <x v="174"/>
      <x v="1660"/>
      <x v="47"/>
    </i>
    <i r="1">
      <x v="26"/>
      <x v="20"/>
      <x v="174"/>
      <x v="160"/>
      <x v="47"/>
    </i>
    <i r="1">
      <x v="27"/>
      <x v="20"/>
      <x v="174"/>
      <x v="1342"/>
      <x v="47"/>
    </i>
    <i r="1">
      <x v="29"/>
      <x v="10"/>
      <x v="175"/>
      <x v="1575"/>
      <x v="47"/>
    </i>
    <i r="1">
      <x v="35"/>
      <x v="1"/>
      <x v="175"/>
      <x v="80"/>
      <x v="47"/>
    </i>
    <i r="4">
      <x v="500"/>
      <x v="47"/>
    </i>
    <i r="2">
      <x v="20"/>
      <x v="174"/>
      <x v="105"/>
      <x v="47"/>
    </i>
    <i r="4">
      <x v="226"/>
      <x v="47"/>
    </i>
    <i r="4">
      <x v="311"/>
      <x v="47"/>
    </i>
    <i r="4">
      <x v="373"/>
      <x v="47"/>
    </i>
    <i r="4">
      <x v="401"/>
      <x v="47"/>
    </i>
    <i r="4">
      <x v="455"/>
      <x v="47"/>
    </i>
    <i r="4">
      <x v="519"/>
      <x v="47"/>
    </i>
    <i r="4">
      <x v="686"/>
      <x v="47"/>
    </i>
    <i r="4">
      <x v="706"/>
      <x v="47"/>
    </i>
    <i r="4">
      <x v="823"/>
      <x v="47"/>
    </i>
    <i r="4">
      <x v="1132"/>
      <x v="47"/>
    </i>
    <i r="4">
      <x v="1211"/>
      <x v="47"/>
    </i>
    <i r="4">
      <x v="1366"/>
      <x v="47"/>
    </i>
    <i>
      <x v="90"/>
      <x/>
      <x v="1"/>
      <x v="176"/>
      <x v="80"/>
      <x v="47"/>
    </i>
    <i r="2">
      <x v="12"/>
      <x v="2"/>
      <x v="39"/>
      <x v="47"/>
    </i>
    <i r="3">
      <x v="21"/>
      <x v="9"/>
      <x v="47"/>
    </i>
    <i r="3">
      <x v="40"/>
      <x v="219"/>
      <x v="47"/>
    </i>
    <i r="3">
      <x v="55"/>
      <x v="92"/>
      <x v="47"/>
    </i>
    <i r="3">
      <x v="66"/>
      <x v="92"/>
      <x v="47"/>
    </i>
    <i r="2">
      <x v="38"/>
      <x v="176"/>
      <x v="650"/>
      <x v="47"/>
    </i>
    <i r="1">
      <x v="2"/>
      <x v="10"/>
      <x v="176"/>
      <x v="1694"/>
      <x v="47"/>
    </i>
    <i r="1">
      <x v="3"/>
      <x v="10"/>
      <x v="176"/>
      <x v="1254"/>
      <x v="47"/>
    </i>
    <i r="1">
      <x v="11"/>
      <x v="10"/>
      <x v="176"/>
      <x v="741"/>
      <x v="47"/>
    </i>
    <i r="1">
      <x v="12"/>
      <x v="1"/>
      <x v="176"/>
      <x v="213"/>
      <x v="47"/>
    </i>
    <i r="4">
      <x v="352"/>
      <x v="47"/>
    </i>
    <i r="1">
      <x v="15"/>
      <x v="38"/>
      <x v="176"/>
      <x v="1028"/>
      <x v="47"/>
    </i>
    <i r="1">
      <x v="23"/>
      <x v="38"/>
      <x v="176"/>
      <x v="452"/>
      <x v="47"/>
    </i>
    <i r="1">
      <x v="35"/>
      <x v="1"/>
      <x v="176"/>
      <x v="80"/>
      <x v="47"/>
    </i>
    <i r="1">
      <x v="36"/>
      <x v="10"/>
      <x v="176"/>
      <x v="1539"/>
      <x v="47"/>
    </i>
    <i r="1">
      <x v="38"/>
      <x v="10"/>
      <x v="176"/>
      <x v="1175"/>
      <x v="47"/>
    </i>
    <i>
      <x v="91"/>
      <x/>
      <x v="12"/>
      <x v="28"/>
      <x v="35"/>
      <x v="47"/>
    </i>
    <i r="3">
      <x v="32"/>
      <x v="391"/>
      <x v="47"/>
    </i>
    <i r="3">
      <x v="54"/>
      <x v="55"/>
      <x v="47"/>
    </i>
    <i>
      <x v="92"/>
      <x/>
      <x v="8"/>
      <x v="178"/>
      <x v="514"/>
      <x v="47"/>
    </i>
    <i r="2">
      <x v="9"/>
      <x v="178"/>
      <x v="74"/>
      <x v="47"/>
    </i>
    <i r="4">
      <x v="346"/>
      <x v="47"/>
    </i>
    <i r="4">
      <x v="355"/>
      <x v="47"/>
    </i>
    <i r="4">
      <x v="809"/>
      <x v="47"/>
    </i>
    <i r="4">
      <x v="917"/>
      <x v="47"/>
    </i>
    <i r="4">
      <x v="940"/>
      <x v="47"/>
    </i>
    <i r="4">
      <x v="1128"/>
      <x v="47"/>
    </i>
    <i r="2">
      <x v="38"/>
      <x v="178"/>
      <x v="138"/>
      <x v="47"/>
    </i>
    <i r="4">
      <x v="500"/>
      <x v="47"/>
    </i>
    <i r="1">
      <x v="3"/>
      <x v="38"/>
      <x v="178"/>
      <x v="78"/>
      <x v="47"/>
    </i>
    <i r="1">
      <x v="8"/>
      <x v="10"/>
      <x v="178"/>
      <x v="729"/>
      <x v="47"/>
    </i>
    <i r="1">
      <x v="12"/>
      <x v="1"/>
      <x v="178"/>
      <x v="80"/>
      <x v="47"/>
    </i>
    <i r="4">
      <x v="352"/>
      <x v="47"/>
    </i>
    <i r="1">
      <x v="15"/>
      <x v="27"/>
      <x v="177"/>
      <x v="1737"/>
      <x v="47"/>
    </i>
    <i r="1">
      <x v="23"/>
      <x v="38"/>
      <x v="178"/>
      <x v="80"/>
      <x v="47"/>
    </i>
    <i r="1">
      <x v="35"/>
      <x v="1"/>
      <x v="178"/>
      <x v="80"/>
      <x v="47"/>
    </i>
    <i r="4">
      <x v="352"/>
      <x v="47"/>
    </i>
    <i r="1">
      <x v="36"/>
      <x v="8"/>
      <x v="178"/>
      <x v="977"/>
      <x v="47"/>
    </i>
    <i>
      <x v="93"/>
      <x v="10"/>
      <x v="33"/>
      <x v="179"/>
      <x v="1793"/>
      <x v="47"/>
    </i>
    <i r="1">
      <x v="12"/>
      <x v="38"/>
      <x v="179"/>
      <x v="1137"/>
      <x v="47"/>
    </i>
    <i r="4">
      <x v="1343"/>
      <x v="47"/>
    </i>
    <i r="4">
      <x v="1730"/>
      <x v="47"/>
    </i>
    <i r="1">
      <x v="15"/>
      <x v="33"/>
      <x v="179"/>
      <x v="1873"/>
      <x v="47"/>
    </i>
    <i r="2">
      <x v="35"/>
      <x v="76"/>
      <x/>
      <x v="2"/>
    </i>
    <i r="1">
      <x v="36"/>
      <x v="9"/>
      <x v="179"/>
      <x v="1754"/>
      <x v="47"/>
    </i>
    <i>
      <x v="94"/>
      <x/>
      <x v="1"/>
      <x v="180"/>
      <x v="80"/>
      <x v="47"/>
    </i>
    <i r="2">
      <x v="11"/>
      <x v="51"/>
      <x v="39"/>
      <x v="47"/>
    </i>
    <i r="2">
      <x v="12"/>
      <x v="23"/>
      <x v="109"/>
      <x v="47"/>
    </i>
    <i r="1">
      <x v="2"/>
      <x v="6"/>
      <x v="180"/>
      <x v="680"/>
      <x v="47"/>
    </i>
    <i r="1">
      <x v="3"/>
      <x v="38"/>
      <x v="180"/>
      <x v="78"/>
      <x v="47"/>
    </i>
    <i r="1">
      <x v="12"/>
      <x v="1"/>
      <x v="180"/>
      <x v="80"/>
      <x v="47"/>
    </i>
    <i r="4">
      <x v="213"/>
      <x v="47"/>
    </i>
    <i r="4">
      <x v="352"/>
      <x v="47"/>
    </i>
    <i r="4">
      <x v="1028"/>
      <x v="47"/>
    </i>
    <i r="1">
      <x v="15"/>
      <x v="33"/>
      <x v="180"/>
      <x v="1881"/>
      <x v="47"/>
    </i>
    <i r="2">
      <x v="38"/>
      <x v="180"/>
      <x v="474"/>
      <x v="47"/>
    </i>
    <i r="1">
      <x v="19"/>
      <x v="6"/>
      <x v="180"/>
      <x v="469"/>
      <x v="47"/>
    </i>
    <i r="1">
      <x v="23"/>
      <x v="38"/>
      <x v="180"/>
      <x v="109"/>
      <x v="47"/>
    </i>
    <i r="1">
      <x v="24"/>
      <x v="6"/>
      <x v="180"/>
      <x v="1048"/>
      <x v="47"/>
    </i>
    <i r="1">
      <x v="29"/>
      <x v="38"/>
      <x v="180"/>
      <x v="180"/>
      <x v="47"/>
    </i>
    <i r="1">
      <x v="33"/>
      <x v="38"/>
      <x v="180"/>
      <x v="325"/>
      <x v="47"/>
    </i>
    <i r="1">
      <x v="35"/>
      <x v="1"/>
      <x v="180"/>
      <x v="80"/>
      <x v="47"/>
    </i>
    <i r="4">
      <x v="213"/>
      <x v="47"/>
    </i>
    <i>
      <x v="95"/>
      <x/>
      <x v="8"/>
      <x v="181"/>
      <x v="351"/>
      <x v="47"/>
    </i>
    <i r="4">
      <x v="1069"/>
      <x v="47"/>
    </i>
    <i r="4">
      <x v="1166"/>
      <x v="47"/>
    </i>
    <i r="4">
      <x v="1305"/>
      <x v="47"/>
    </i>
    <i r="2">
      <x v="9"/>
      <x v="181"/>
      <x v="312"/>
      <x v="47"/>
    </i>
    <i r="4">
      <x v="344"/>
      <x v="47"/>
    </i>
    <i r="4">
      <x v="435"/>
      <x v="47"/>
    </i>
    <i r="4">
      <x v="521"/>
      <x v="47"/>
    </i>
    <i r="4">
      <x v="844"/>
      <x v="47"/>
    </i>
    <i r="4">
      <x v="870"/>
      <x v="47"/>
    </i>
    <i r="4">
      <x v="953"/>
      <x v="47"/>
    </i>
    <i r="4">
      <x v="974"/>
      <x v="47"/>
    </i>
    <i r="4">
      <x v="1003"/>
      <x v="47"/>
    </i>
    <i r="4">
      <x v="1200"/>
      <x v="47"/>
    </i>
    <i r="2">
      <x v="12"/>
      <x v="2"/>
      <x v="9"/>
      <x v="47"/>
    </i>
    <i r="3">
      <x v="42"/>
      <x v="23"/>
      <x v="47"/>
    </i>
    <i r="2">
      <x v="37"/>
      <x v="181"/>
      <x v="1424"/>
      <x v="47"/>
    </i>
    <i r="2">
      <x v="38"/>
      <x v="181"/>
      <x v="89"/>
      <x v="47"/>
    </i>
    <i r="1">
      <x v="3"/>
      <x v="37"/>
      <x v="181"/>
      <x v="897"/>
      <x v="47"/>
    </i>
    <i r="1">
      <x v="5"/>
      <x v="1"/>
      <x v="181"/>
      <x v="835"/>
      <x v="47"/>
    </i>
    <i r="2">
      <x v="37"/>
      <x v="181"/>
      <x v="897"/>
      <x v="47"/>
    </i>
    <i r="2">
      <x v="38"/>
      <x v="181"/>
      <x v="1827"/>
      <x v="47"/>
    </i>
    <i r="1">
      <x v="6"/>
      <x v="38"/>
      <x v="181"/>
      <x v="1561"/>
      <x v="47"/>
    </i>
    <i r="1">
      <x v="8"/>
      <x v="38"/>
      <x v="181"/>
      <x v="584"/>
      <x v="47"/>
    </i>
    <i r="1">
      <x v="9"/>
      <x v="10"/>
      <x v="181"/>
      <x v="556"/>
      <x v="47"/>
    </i>
    <i r="1">
      <x v="12"/>
      <x v="1"/>
      <x v="181"/>
      <x v="80"/>
      <x v="47"/>
    </i>
    <i r="4">
      <x v="213"/>
      <x v="47"/>
    </i>
    <i r="4">
      <x v="500"/>
      <x v="47"/>
    </i>
    <i r="1">
      <x v="14"/>
      <x v="10"/>
      <x v="181"/>
      <x v="1856"/>
      <x v="47"/>
    </i>
    <i r="2">
      <x v="38"/>
      <x v="181"/>
      <x v="1631"/>
      <x v="47"/>
    </i>
    <i r="1">
      <x v="15"/>
      <x v="1"/>
      <x v="181"/>
      <x v="665"/>
      <x v="47"/>
    </i>
    <i r="2">
      <x v="8"/>
      <x v="181"/>
      <x v="965"/>
      <x v="47"/>
    </i>
    <i r="2">
      <x v="38"/>
      <x v="181"/>
      <x v="1415"/>
      <x v="47"/>
    </i>
    <i r="1">
      <x v="19"/>
      <x v="38"/>
      <x v="181"/>
      <x v="1608"/>
      <x v="47"/>
    </i>
    <i r="1">
      <x v="21"/>
      <x v="38"/>
      <x v="181"/>
      <x v="1274"/>
      <x v="47"/>
    </i>
    <i r="1">
      <x v="23"/>
      <x v="38"/>
      <x v="181"/>
      <x v="1857"/>
      <x v="47"/>
    </i>
    <i r="1">
      <x v="29"/>
      <x v="38"/>
      <x v="181"/>
      <x v="1321"/>
      <x v="47"/>
    </i>
    <i r="1">
      <x v="33"/>
      <x v="8"/>
      <x v="181"/>
      <x v="738"/>
      <x v="47"/>
    </i>
    <i r="1">
      <x v="35"/>
      <x v="1"/>
      <x v="181"/>
      <x v="80"/>
      <x v="47"/>
    </i>
    <i>
      <x v="96"/>
      <x/>
      <x v="1"/>
      <x v="182"/>
      <x v="80"/>
      <x v="47"/>
    </i>
    <i r="2">
      <x v="12"/>
      <x v="62"/>
      <x v="13"/>
      <x v="47"/>
    </i>
    <i r="1">
      <x v="3"/>
      <x v="1"/>
      <x v="182"/>
      <x v="109"/>
      <x v="47"/>
    </i>
    <i r="2">
      <x v="6"/>
      <x v="182"/>
      <x v="387"/>
      <x v="47"/>
    </i>
    <i r="2">
      <x v="38"/>
      <x v="182"/>
      <x v="33"/>
      <x v="47"/>
    </i>
    <i r="1">
      <x v="12"/>
      <x v="1"/>
      <x v="182"/>
      <x v="80"/>
      <x v="47"/>
    </i>
    <i r="4">
      <x v="213"/>
      <x v="47"/>
    </i>
    <i r="4">
      <x v="500"/>
      <x v="47"/>
    </i>
    <i r="4">
      <x v="607"/>
      <x v="47"/>
    </i>
    <i r="4">
      <x v="702"/>
      <x v="47"/>
    </i>
    <i r="4">
      <x v="964"/>
      <x v="47"/>
    </i>
    <i r="4">
      <x v="1069"/>
      <x v="47"/>
    </i>
    <i r="1">
      <x v="23"/>
      <x v="38"/>
      <x v="182"/>
      <x v="182"/>
      <x v="47"/>
    </i>
    <i r="1">
      <x v="35"/>
      <x v="1"/>
      <x v="182"/>
      <x v="213"/>
      <x v="47"/>
    </i>
    <i>
      <x v="97"/>
      <x/>
      <x v="1"/>
      <x v="183"/>
      <x v="213"/>
      <x v="47"/>
    </i>
    <i r="2">
      <x v="9"/>
      <x v="183"/>
      <x v="105"/>
      <x v="47"/>
    </i>
    <i r="4">
      <x v="364"/>
      <x v="47"/>
    </i>
    <i r="4">
      <x v="483"/>
      <x v="47"/>
    </i>
    <i r="4">
      <x v="707"/>
      <x v="47"/>
    </i>
    <i r="4">
      <x v="767"/>
      <x v="47"/>
    </i>
    <i r="4">
      <x v="876"/>
      <x v="47"/>
    </i>
    <i r="4">
      <x v="1041"/>
      <x v="47"/>
    </i>
    <i r="2">
      <x v="12"/>
      <x v="26"/>
      <x v="18"/>
      <x v="47"/>
    </i>
    <i r="3">
      <x v="47"/>
      <x v="314"/>
      <x v="47"/>
    </i>
    <i r="3">
      <x v="49"/>
      <x v="20"/>
      <x v="47"/>
    </i>
    <i r="1">
      <x v="3"/>
      <x v="38"/>
      <x v="183"/>
      <x v="36"/>
      <x v="47"/>
    </i>
    <i r="1">
      <x v="6"/>
      <x v="38"/>
      <x v="183"/>
      <x v="944"/>
      <x v="47"/>
    </i>
    <i r="1">
      <x v="8"/>
      <x v="38"/>
      <x v="183"/>
      <x v="1387"/>
      <x v="47"/>
    </i>
    <i r="1">
      <x v="12"/>
      <x v="1"/>
      <x v="183"/>
      <x v="80"/>
      <x v="47"/>
    </i>
    <i r="4">
      <x v="213"/>
      <x v="47"/>
    </i>
    <i r="4">
      <x v="352"/>
      <x v="47"/>
    </i>
    <i r="4">
      <x v="500"/>
      <x v="47"/>
    </i>
    <i r="4">
      <x v="607"/>
      <x v="47"/>
    </i>
    <i r="4">
      <x v="771"/>
      <x v="47"/>
    </i>
    <i r="4">
      <x v="846"/>
      <x v="47"/>
    </i>
    <i r="4">
      <x v="1028"/>
      <x v="47"/>
    </i>
    <i r="2">
      <x v="38"/>
      <x v="183"/>
      <x v="1562"/>
      <x v="47"/>
    </i>
    <i r="1">
      <x v="14"/>
      <x v="1"/>
      <x v="183"/>
      <x v="715"/>
      <x v="47"/>
    </i>
    <i r="1">
      <x v="15"/>
      <x v="8"/>
      <x v="183"/>
      <x v="295"/>
      <x v="47"/>
    </i>
    <i r="1">
      <x v="27"/>
      <x v="6"/>
      <x v="183"/>
      <x v="1481"/>
      <x v="47"/>
    </i>
    <i r="1">
      <x v="34"/>
      <x v="38"/>
      <x v="183"/>
      <x v="739"/>
      <x v="47"/>
    </i>
    <i>
      <x v="98"/>
      <x/>
      <x v="8"/>
      <x v="185"/>
      <x v="549"/>
      <x v="47"/>
    </i>
    <i r="2">
      <x v="9"/>
      <x v="185"/>
      <x v="382"/>
      <x v="47"/>
    </i>
    <i r="4">
      <x v="560"/>
      <x v="47"/>
    </i>
    <i r="4">
      <x v="634"/>
      <x v="47"/>
    </i>
    <i r="4">
      <x v="757"/>
      <x v="47"/>
    </i>
    <i r="4">
      <x v="848"/>
      <x v="47"/>
    </i>
    <i r="4">
      <x v="1309"/>
      <x v="47"/>
    </i>
    <i r="2">
      <x v="11"/>
      <x v="51"/>
      <x v="109"/>
      <x v="47"/>
    </i>
    <i r="2">
      <x v="12"/>
      <x v="47"/>
      <x v="314"/>
      <x v="47"/>
    </i>
    <i r="1">
      <x v="2"/>
      <x v="8"/>
      <x v="185"/>
      <x v="1252"/>
      <x v="47"/>
    </i>
    <i r="1">
      <x v="8"/>
      <x v="38"/>
      <x v="185"/>
      <x v="1548"/>
      <x v="47"/>
    </i>
    <i r="1">
      <x v="11"/>
      <x v="8"/>
      <x v="185"/>
      <x v="42"/>
      <x v="47"/>
    </i>
    <i r="1">
      <x v="12"/>
      <x v="1"/>
      <x v="185"/>
      <x v="80"/>
      <x v="47"/>
    </i>
    <i r="4">
      <x v="213"/>
      <x v="47"/>
    </i>
    <i r="4">
      <x v="352"/>
      <x v="47"/>
    </i>
    <i r="4">
      <x v="771"/>
      <x v="47"/>
    </i>
    <i r="4">
      <x v="964"/>
      <x v="47"/>
    </i>
    <i r="2">
      <x v="31"/>
      <x v="184"/>
      <x v="1153"/>
      <x v="47"/>
    </i>
    <i r="2">
      <x v="38"/>
      <x v="185"/>
      <x v="1265"/>
      <x v="47"/>
    </i>
    <i r="1">
      <x v="14"/>
      <x v="38"/>
      <x v="185"/>
      <x v="397"/>
      <x v="47"/>
    </i>
    <i r="1">
      <x v="19"/>
      <x v="7"/>
      <x v="185"/>
      <x v="1005"/>
      <x v="47"/>
    </i>
    <i r="2">
      <x v="38"/>
      <x v="185"/>
      <x v="330"/>
      <x v="47"/>
    </i>
    <i r="1">
      <x v="24"/>
      <x v="1"/>
      <x v="185"/>
      <x v="297"/>
      <x v="47"/>
    </i>
    <i r="1">
      <x v="33"/>
      <x v="6"/>
      <x v="185"/>
      <x v="469"/>
      <x v="47"/>
    </i>
    <i r="1">
      <x v="35"/>
      <x v="1"/>
      <x v="185"/>
      <x v="80"/>
      <x v="47"/>
    </i>
    <i r="1">
      <x v="36"/>
      <x v="1"/>
      <x v="185"/>
      <x v="1302"/>
      <x v="47"/>
    </i>
    <i>
      <x v="99"/>
      <x/>
      <x v="12"/>
      <x v="24"/>
      <x v="24"/>
      <x v="47"/>
    </i>
    <i r="3">
      <x v="31"/>
      <x v="218"/>
      <x v="47"/>
    </i>
    <i r="3">
      <x v="71"/>
      <x v="37"/>
      <x v="47"/>
    </i>
    <i r="2">
      <x v="38"/>
      <x v="186"/>
      <x v="138"/>
      <x v="47"/>
    </i>
    <i r="1">
      <x v="2"/>
      <x v="1"/>
      <x v="186"/>
      <x v="151"/>
      <x v="47"/>
    </i>
    <i r="2">
      <x v="8"/>
      <x v="186"/>
      <x/>
      <x v="15"/>
    </i>
    <i r="1">
      <x v="3"/>
      <x v="38"/>
      <x v="186"/>
      <x v="352"/>
      <x v="47"/>
    </i>
    <i r="1">
      <x v="6"/>
      <x v="38"/>
      <x v="186"/>
      <x v="579"/>
      <x v="47"/>
    </i>
    <i r="1">
      <x v="12"/>
      <x v="1"/>
      <x v="186"/>
      <x v="80"/>
      <x v="47"/>
    </i>
    <i r="4">
      <x v="213"/>
      <x v="47"/>
    </i>
    <i r="4">
      <x v="352"/>
      <x v="47"/>
    </i>
    <i r="1">
      <x v="24"/>
      <x v="6"/>
      <x v="186"/>
      <x v="1013"/>
      <x v="47"/>
    </i>
    <i>
      <x v="100"/>
      <x/>
      <x v="1"/>
      <x v="187"/>
      <x v="352"/>
      <x v="47"/>
    </i>
    <i r="2">
      <x v="9"/>
      <x v="187"/>
      <x v="287"/>
      <x v="47"/>
    </i>
    <i r="4">
      <x v="514"/>
      <x v="47"/>
    </i>
    <i r="4">
      <x v="515"/>
      <x v="47"/>
    </i>
    <i r="4">
      <x v="600"/>
      <x v="47"/>
    </i>
    <i r="4">
      <x v="648"/>
      <x v="47"/>
    </i>
    <i r="2">
      <x v="12"/>
      <x v="20"/>
      <x v="46"/>
      <x v="47"/>
    </i>
    <i r="3">
      <x v="38"/>
      <x v="6"/>
      <x v="47"/>
    </i>
    <i r="2">
      <x v="38"/>
      <x v="187"/>
      <x v="45"/>
      <x v="47"/>
    </i>
    <i r="4">
      <x v="809"/>
      <x v="47"/>
    </i>
    <i r="1">
      <x v="2"/>
      <x v="33"/>
      <x v="187"/>
      <x v="1038"/>
      <x v="47"/>
    </i>
    <i r="1">
      <x v="12"/>
      <x v="1"/>
      <x v="187"/>
      <x v="80"/>
      <x v="47"/>
    </i>
    <i r="4">
      <x v="213"/>
      <x v="47"/>
    </i>
    <i r="4">
      <x v="771"/>
      <x v="47"/>
    </i>
    <i r="1">
      <x v="15"/>
      <x v="8"/>
      <x v="187"/>
      <x v="458"/>
      <x v="47"/>
    </i>
    <i r="1">
      <x v="21"/>
      <x v="38"/>
      <x v="187"/>
      <x v="80"/>
      <x v="47"/>
    </i>
    <i r="1">
      <x v="24"/>
      <x v="10"/>
      <x v="187"/>
      <x v="445"/>
      <x v="47"/>
    </i>
    <i r="1">
      <x v="35"/>
      <x v="1"/>
      <x v="187"/>
      <x v="80"/>
      <x v="47"/>
    </i>
    <i r="1">
      <x v="36"/>
      <x v="1"/>
      <x v="187"/>
      <x v="190"/>
      <x v="47"/>
    </i>
    <i>
      <x v="101"/>
      <x/>
      <x v="1"/>
      <x v="189"/>
      <x v="500"/>
      <x v="47"/>
    </i>
    <i r="2">
      <x v="6"/>
      <x v="189"/>
      <x v="372"/>
      <x v="47"/>
    </i>
    <i r="4">
      <x v="469"/>
      <x v="47"/>
    </i>
    <i r="2">
      <x v="8"/>
      <x v="189"/>
      <x v="95"/>
      <x v="47"/>
    </i>
    <i r="2">
      <x v="9"/>
      <x v="189"/>
      <x v="179"/>
      <x v="47"/>
    </i>
    <i r="4">
      <x v="260"/>
      <x v="47"/>
    </i>
    <i r="4">
      <x v="300"/>
      <x v="47"/>
    </i>
    <i r="4">
      <x v="670"/>
      <x v="47"/>
    </i>
    <i r="4">
      <x v="907"/>
      <x v="47"/>
    </i>
    <i r="4">
      <x v="1060"/>
      <x v="47"/>
    </i>
    <i r="2">
      <x v="12"/>
      <x v="16"/>
      <x v="138"/>
      <x v="47"/>
    </i>
    <i r="3">
      <x v="17"/>
      <x v="96"/>
      <x v="47"/>
    </i>
    <i r="3">
      <x v="34"/>
      <x v="199"/>
      <x v="47"/>
    </i>
    <i r="2">
      <x v="19"/>
      <x v="188"/>
      <x v="580"/>
      <x v="47"/>
    </i>
    <i r="4">
      <x v="753"/>
      <x v="47"/>
    </i>
    <i r="4">
      <x v="877"/>
      <x v="47"/>
    </i>
    <i r="4">
      <x v="931"/>
      <x v="47"/>
    </i>
    <i r="4">
      <x v="998"/>
      <x v="47"/>
    </i>
    <i r="4">
      <x v="1008"/>
      <x v="47"/>
    </i>
    <i r="4">
      <x v="1021"/>
      <x v="47"/>
    </i>
    <i r="4">
      <x v="1588"/>
      <x v="47"/>
    </i>
    <i r="2">
      <x v="38"/>
      <x v="189"/>
      <x v="138"/>
      <x v="47"/>
    </i>
    <i r="1">
      <x v="2"/>
      <x v="19"/>
      <x v="188"/>
      <x v="1803"/>
      <x v="47"/>
    </i>
    <i r="1">
      <x v="3"/>
      <x v="19"/>
      <x v="188"/>
      <x v="251"/>
      <x v="47"/>
    </i>
    <i r="2">
      <x v="38"/>
      <x v="189"/>
      <x v="182"/>
      <x v="47"/>
    </i>
    <i r="1">
      <x v="10"/>
      <x v="19"/>
      <x v="188"/>
      <x v="1535"/>
      <x v="47"/>
    </i>
    <i r="1">
      <x v="11"/>
      <x v="8"/>
      <x v="189"/>
      <x v="1045"/>
      <x v="47"/>
    </i>
    <i r="1">
      <x v="12"/>
      <x v="1"/>
      <x v="189"/>
      <x v="213"/>
      <x v="47"/>
    </i>
    <i r="2">
      <x v="19"/>
      <x v="188"/>
      <x v="99"/>
      <x v="47"/>
    </i>
    <i r="4">
      <x v="110"/>
      <x v="47"/>
    </i>
    <i r="4">
      <x v="370"/>
      <x v="47"/>
    </i>
    <i r="4">
      <x v="1032"/>
      <x v="47"/>
    </i>
    <i r="4">
      <x v="1191"/>
      <x v="47"/>
    </i>
    <i r="4">
      <x v="1221"/>
      <x v="47"/>
    </i>
    <i r="4">
      <x v="1349"/>
      <x v="47"/>
    </i>
    <i r="4">
      <x v="1392"/>
      <x v="47"/>
    </i>
    <i r="4">
      <x v="1438"/>
      <x v="47"/>
    </i>
    <i r="4">
      <x v="1452"/>
      <x v="47"/>
    </i>
    <i r="4">
      <x v="1498"/>
      <x v="47"/>
    </i>
    <i r="4">
      <x v="1544"/>
      <x v="47"/>
    </i>
    <i r="4">
      <x v="1549"/>
      <x v="47"/>
    </i>
    <i r="4">
      <x v="1550"/>
      <x v="47"/>
    </i>
    <i r="4">
      <x v="1552"/>
      <x v="47"/>
    </i>
    <i r="4">
      <x v="1556"/>
      <x v="47"/>
    </i>
    <i r="4">
      <x v="1610"/>
      <x v="47"/>
    </i>
    <i r="4">
      <x v="1617"/>
      <x v="47"/>
    </i>
    <i r="4">
      <x v="1695"/>
      <x v="47"/>
    </i>
    <i r="4">
      <x v="1703"/>
      <x v="47"/>
    </i>
    <i r="4">
      <x v="1704"/>
      <x v="47"/>
    </i>
    <i r="4">
      <x v="1727"/>
      <x v="47"/>
    </i>
    <i r="4">
      <x v="1731"/>
      <x v="47"/>
    </i>
    <i r="4">
      <x v="1812"/>
      <x v="47"/>
    </i>
    <i r="1">
      <x v="15"/>
      <x v="19"/>
      <x v="188"/>
      <x v="1862"/>
      <x v="47"/>
    </i>
    <i r="1">
      <x v="17"/>
      <x v="19"/>
      <x v="188"/>
      <x v="323"/>
      <x v="47"/>
    </i>
    <i r="1">
      <x v="21"/>
      <x v="6"/>
      <x v="189"/>
      <x v="864"/>
      <x v="47"/>
    </i>
    <i r="2">
      <x v="19"/>
      <x v="188"/>
      <x v="1833"/>
      <x v="47"/>
    </i>
    <i r="1">
      <x v="23"/>
      <x v="6"/>
      <x v="189"/>
      <x v="979"/>
      <x v="47"/>
    </i>
    <i r="2">
      <x v="19"/>
      <x v="188"/>
      <x v="1860"/>
      <x v="47"/>
    </i>
    <i r="2">
      <x v="38"/>
      <x v="189"/>
      <x v="347"/>
      <x v="47"/>
    </i>
    <i r="1">
      <x v="24"/>
      <x v="19"/>
      <x v="188"/>
      <x v="1680"/>
      <x v="47"/>
    </i>
    <i r="1">
      <x v="26"/>
      <x v="19"/>
      <x v="188"/>
      <x v="588"/>
      <x v="47"/>
    </i>
    <i r="1">
      <x v="35"/>
      <x v="1"/>
      <x v="189"/>
      <x v="80"/>
      <x v="47"/>
    </i>
    <i r="2">
      <x v="19"/>
      <x v="188"/>
      <x v="100"/>
      <x v="47"/>
    </i>
    <i r="4">
      <x v="150"/>
      <x v="47"/>
    </i>
    <i r="4">
      <x v="185"/>
      <x v="47"/>
    </i>
    <i r="4">
      <x v="381"/>
      <x v="47"/>
    </i>
    <i r="4">
      <x v="411"/>
      <x v="47"/>
    </i>
    <i r="4">
      <x v="421"/>
      <x v="47"/>
    </i>
    <i r="4">
      <x v="501"/>
      <x v="47"/>
    </i>
    <i r="4">
      <x v="506"/>
      <x v="47"/>
    </i>
    <i r="4">
      <x v="577"/>
      <x v="47"/>
    </i>
    <i r="4">
      <x v="608"/>
      <x v="47"/>
    </i>
    <i r="4">
      <x v="644"/>
      <x v="47"/>
    </i>
    <i r="4">
      <x v="810"/>
      <x v="47"/>
    </i>
    <i r="4">
      <x v="1127"/>
      <x v="47"/>
    </i>
    <i r="4">
      <x v="1130"/>
      <x v="47"/>
    </i>
    <i r="4">
      <x v="1255"/>
      <x v="47"/>
    </i>
    <i r="4">
      <x v="1517"/>
      <x v="47"/>
    </i>
    <i r="4">
      <x v="1526"/>
      <x v="47"/>
    </i>
    <i r="1">
      <x v="36"/>
      <x v="8"/>
      <x v="189"/>
      <x v="1747"/>
      <x v="47"/>
    </i>
    <i r="2">
      <x v="9"/>
      <x v="189"/>
      <x v="41"/>
      <x v="47"/>
    </i>
    <i r="1">
      <x v="37"/>
      <x v="38"/>
      <x v="189"/>
      <x v="114"/>
      <x v="47"/>
    </i>
    <i>
      <x v="102"/>
      <x/>
      <x v="12"/>
      <x v="26"/>
      <x v="52"/>
      <x v="47"/>
    </i>
    <i>
      <x v="103"/>
      <x/>
      <x v="1"/>
      <x v="190"/>
      <x v="80"/>
      <x v="47"/>
    </i>
    <i r="2">
      <x v="9"/>
      <x v="190"/>
      <x v="368"/>
      <x v="47"/>
    </i>
    <i r="4">
      <x v="539"/>
      <x v="47"/>
    </i>
    <i r="2">
      <x v="12"/>
      <x v="2"/>
      <x v="18"/>
      <x v="47"/>
    </i>
    <i r="3">
      <x v="17"/>
      <x v="29"/>
      <x v="47"/>
    </i>
    <i r="3">
      <x v="32"/>
      <x v="391"/>
      <x v="47"/>
    </i>
    <i r="1">
      <x v="3"/>
      <x v="38"/>
      <x v="190"/>
      <x v="129"/>
      <x v="47"/>
    </i>
    <i r="1">
      <x v="12"/>
      <x v="1"/>
      <x v="190"/>
      <x v="80"/>
      <x v="47"/>
    </i>
    <i r="4">
      <x v="213"/>
      <x v="47"/>
    </i>
    <i r="4">
      <x v="607"/>
      <x v="47"/>
    </i>
    <i r="4">
      <x v="702"/>
      <x v="47"/>
    </i>
    <i r="1">
      <x v="15"/>
      <x v="7"/>
      <x v="190"/>
      <x v="719"/>
      <x v="47"/>
    </i>
    <i r="2">
      <x v="8"/>
      <x v="190"/>
      <x v="851"/>
      <x v="47"/>
    </i>
    <i r="1">
      <x v="35"/>
      <x v="1"/>
      <x v="190"/>
      <x v="80"/>
      <x v="47"/>
    </i>
    <i r="4">
      <x v="352"/>
      <x v="47"/>
    </i>
    <i>
      <x v="104"/>
      <x/>
      <x v="1"/>
      <x v="191"/>
      <x v="80"/>
      <x v="47"/>
    </i>
    <i r="2">
      <x v="9"/>
      <x v="191"/>
      <x/>
      <x v="43"/>
    </i>
    <i r="2">
      <x v="12"/>
      <x v="30"/>
      <x v="18"/>
      <x v="47"/>
    </i>
    <i r="3">
      <x v="32"/>
      <x v="391"/>
      <x v="47"/>
    </i>
    <i r="2">
      <x v="38"/>
      <x v="191"/>
      <x v="138"/>
      <x v="47"/>
    </i>
    <i r="1">
      <x v="3"/>
      <x v="38"/>
      <x v="191"/>
      <x v="245"/>
      <x v="47"/>
    </i>
    <i r="1">
      <x v="26"/>
      <x v="38"/>
      <x v="191"/>
      <x v="371"/>
      <x v="47"/>
    </i>
    <i>
      <x v="105"/>
      <x/>
      <x v="1"/>
      <x v="192"/>
      <x v="1206"/>
      <x v="47"/>
    </i>
    <i r="2">
      <x v="7"/>
      <x v="192"/>
      <x v="719"/>
      <x v="47"/>
    </i>
    <i r="2">
      <x v="8"/>
      <x v="192"/>
      <x v="854"/>
      <x v="47"/>
    </i>
    <i r="2">
      <x v="9"/>
      <x v="192"/>
      <x v="85"/>
      <x v="47"/>
    </i>
    <i r="4">
      <x v="265"/>
      <x v="47"/>
    </i>
    <i r="4">
      <x v="326"/>
      <x v="47"/>
    </i>
    <i r="4">
      <x v="486"/>
      <x v="47"/>
    </i>
    <i r="4">
      <x v="1049"/>
      <x v="47"/>
    </i>
    <i r="4">
      <x v="1178"/>
      <x v="47"/>
    </i>
    <i r="4">
      <x v="1251"/>
      <x v="47"/>
    </i>
    <i r="2">
      <x v="12"/>
      <x v="7"/>
      <x v="18"/>
      <x v="47"/>
    </i>
    <i r="3">
      <x v="62"/>
      <x v="85"/>
      <x v="47"/>
    </i>
    <i r="1">
      <x v="3"/>
      <x v="1"/>
      <x v="192"/>
      <x v="109"/>
      <x v="47"/>
    </i>
    <i r="1">
      <x v="7"/>
      <x v="38"/>
      <x v="192"/>
      <x v="1195"/>
      <x v="47"/>
    </i>
    <i r="1">
      <x v="12"/>
      <x v="1"/>
      <x v="192"/>
      <x v="80"/>
      <x v="47"/>
    </i>
    <i r="4">
      <x v="213"/>
      <x v="47"/>
    </i>
    <i r="4">
      <x v="607"/>
      <x v="47"/>
    </i>
    <i r="4">
      <x v="846"/>
      <x v="47"/>
    </i>
    <i r="2">
      <x v="38"/>
      <x v="192"/>
      <x v="1279"/>
      <x v="47"/>
    </i>
    <i r="1">
      <x v="14"/>
      <x v="1"/>
      <x v="192"/>
      <x v="1241"/>
      <x v="47"/>
    </i>
    <i r="1">
      <x v="15"/>
      <x v="9"/>
      <x v="192"/>
      <x v="327"/>
      <x v="47"/>
    </i>
    <i r="1">
      <x v="30"/>
      <x v="38"/>
      <x v="192"/>
      <x v="1448"/>
      <x v="47"/>
    </i>
    <i r="1">
      <x v="36"/>
      <x v="7"/>
      <x v="192"/>
      <x v="1476"/>
      <x v="47"/>
    </i>
    <i r="2">
      <x v="38"/>
      <x v="192"/>
      <x v="125"/>
      <x v="47"/>
    </i>
    <i>
      <x v="106"/>
      <x/>
      <x v="8"/>
      <x v="193"/>
      <x v="1141"/>
      <x v="47"/>
    </i>
    <i r="2">
      <x v="12"/>
      <x v="21"/>
      <x v="18"/>
      <x v="47"/>
    </i>
    <i r="3">
      <x v="46"/>
      <x v="325"/>
      <x v="47"/>
    </i>
    <i r="3">
      <x v="60"/>
      <x v="39"/>
      <x v="47"/>
    </i>
    <i r="2">
      <x v="38"/>
      <x v="193"/>
      <x v="1137"/>
      <x v="47"/>
    </i>
    <i r="1">
      <x v="2"/>
      <x v="10"/>
      <x v="193"/>
      <x/>
      <x v="7"/>
    </i>
    <i r="1">
      <x v="3"/>
      <x v="10"/>
      <x v="193"/>
      <x/>
      <x v="12"/>
    </i>
    <i r="1">
      <x v="6"/>
      <x v="38"/>
      <x v="193"/>
      <x v="719"/>
      <x v="47"/>
    </i>
    <i r="1">
      <x v="9"/>
      <x v="10"/>
      <x v="193"/>
      <x/>
      <x v="34"/>
    </i>
    <i r="1">
      <x v="11"/>
      <x v="10"/>
      <x v="193"/>
      <x/>
      <x v="45"/>
    </i>
    <i r="1">
      <x v="12"/>
      <x v="1"/>
      <x v="193"/>
      <x v="80"/>
      <x v="47"/>
    </i>
    <i r="4">
      <x v="213"/>
      <x v="47"/>
    </i>
    <i r="4">
      <x v="352"/>
      <x v="47"/>
    </i>
    <i r="4">
      <x v="607"/>
      <x v="47"/>
    </i>
    <i r="4">
      <x v="702"/>
      <x v="47"/>
    </i>
    <i r="2">
      <x v="38"/>
      <x v="193"/>
      <x v="1730"/>
      <x v="47"/>
    </i>
    <i r="1">
      <x v="14"/>
      <x v="1"/>
      <x v="193"/>
      <x v="1301"/>
      <x v="47"/>
    </i>
    <i r="1">
      <x v="19"/>
      <x v="6"/>
      <x v="193"/>
      <x v="607"/>
      <x v="47"/>
    </i>
    <i r="1">
      <x v="23"/>
      <x v="38"/>
      <x v="193"/>
      <x v="296"/>
      <x v="47"/>
    </i>
    <i r="1">
      <x v="35"/>
      <x v="1"/>
      <x v="193"/>
      <x v="80"/>
      <x v="47"/>
    </i>
    <i r="2">
      <x v="38"/>
      <x v="193"/>
      <x v="1343"/>
      <x v="47"/>
    </i>
    <i r="1">
      <x v="36"/>
      <x v="10"/>
      <x v="193"/>
      <x/>
      <x v="9"/>
    </i>
    <i r="1">
      <x v="38"/>
      <x v="10"/>
      <x v="193"/>
      <x/>
      <x v="18"/>
    </i>
    <i>
      <x v="107"/>
      <x/>
      <x v="12"/>
      <x v="6"/>
      <x v="90"/>
      <x v="47"/>
    </i>
    <i r="3">
      <x v="46"/>
      <x v="325"/>
      <x v="47"/>
    </i>
    <i r="1">
      <x v="2"/>
      <x v="10"/>
      <x v="195"/>
      <x v="1820"/>
      <x v="47"/>
    </i>
    <i r="2">
      <x v="31"/>
      <x v="194"/>
      <x v="10"/>
      <x v="47"/>
    </i>
    <i r="1">
      <x v="3"/>
      <x v="10"/>
      <x v="195"/>
      <x v="1564"/>
      <x v="47"/>
    </i>
    <i r="2">
      <x v="38"/>
      <x v="195"/>
      <x v="281"/>
      <x v="47"/>
    </i>
    <i r="1">
      <x v="9"/>
      <x v="1"/>
      <x v="195"/>
      <x v="929"/>
      <x v="47"/>
    </i>
    <i r="2">
      <x v="10"/>
      <x v="195"/>
      <x v="676"/>
      <x v="47"/>
    </i>
    <i r="1">
      <x v="11"/>
      <x v="10"/>
      <x v="195"/>
      <x v="5"/>
      <x v="47"/>
    </i>
    <i r="1">
      <x v="15"/>
      <x v="38"/>
      <x v="195"/>
      <x v="352"/>
      <x v="47"/>
    </i>
    <i r="1">
      <x v="17"/>
      <x v="38"/>
      <x v="195"/>
      <x v="695"/>
      <x v="47"/>
    </i>
    <i r="1">
      <x v="19"/>
      <x v="37"/>
      <x v="195"/>
      <x v="405"/>
      <x v="47"/>
    </i>
    <i r="1">
      <x v="21"/>
      <x v="38"/>
      <x v="195"/>
      <x v="1110"/>
      <x v="47"/>
    </i>
    <i r="1">
      <x v="24"/>
      <x v="38"/>
      <x v="195"/>
      <x v="352"/>
      <x v="47"/>
    </i>
    <i r="1">
      <x v="26"/>
      <x v="38"/>
      <x v="195"/>
      <x v="838"/>
      <x v="47"/>
    </i>
    <i r="1">
      <x v="36"/>
      <x v="10"/>
      <x v="195"/>
      <x v="1735"/>
      <x v="47"/>
    </i>
    <i r="1">
      <x v="38"/>
      <x v="10"/>
      <x v="195"/>
      <x v="1350"/>
      <x v="47"/>
    </i>
    <i>
      <x v="108"/>
      <x/>
      <x v="38"/>
      <x v="196"/>
      <x v="138"/>
      <x v="47"/>
    </i>
    <i r="4">
      <x v="607"/>
      <x v="47"/>
    </i>
    <i r="1">
      <x v="12"/>
      <x v="1"/>
      <x v="196"/>
      <x v="80"/>
      <x v="47"/>
    </i>
    <i r="4">
      <x v="213"/>
      <x v="47"/>
    </i>
    <i r="4">
      <x v="352"/>
      <x v="47"/>
    </i>
    <i r="4">
      <x v="500"/>
      <x v="47"/>
    </i>
    <i r="4">
      <x v="607"/>
      <x v="47"/>
    </i>
    <i r="4">
      <x v="771"/>
      <x v="47"/>
    </i>
    <i r="4">
      <x v="846"/>
      <x v="47"/>
    </i>
    <i r="4">
      <x v="964"/>
      <x v="47"/>
    </i>
    <i r="4">
      <x v="1069"/>
      <x v="47"/>
    </i>
    <i r="1">
      <x v="15"/>
      <x v="6"/>
      <x v="196"/>
      <x v="862"/>
      <x v="47"/>
    </i>
    <i r="1">
      <x v="21"/>
      <x v="38"/>
      <x v="196"/>
      <x v="375"/>
      <x v="47"/>
    </i>
    <i r="1">
      <x v="28"/>
      <x v="1"/>
      <x v="196"/>
      <x v="147"/>
      <x v="47"/>
    </i>
    <i r="1">
      <x v="29"/>
      <x v="6"/>
      <x v="196"/>
      <x v="1670"/>
      <x v="47"/>
    </i>
    <i>
      <x v="109"/>
      <x/>
      <x v="38"/>
      <x v="197"/>
      <x v="262"/>
      <x v="47"/>
    </i>
    <i r="1">
      <x v="12"/>
      <x v="1"/>
      <x v="197"/>
      <x v="771"/>
      <x v="47"/>
    </i>
    <i r="1">
      <x v="26"/>
      <x v="10"/>
      <x v="197"/>
      <x/>
      <x v="41"/>
    </i>
    <i>
      <x v="110"/>
      <x/>
      <x v="1"/>
      <x v="198"/>
      <x v="80"/>
      <x v="47"/>
    </i>
    <i r="2">
      <x v="8"/>
      <x v="198"/>
      <x v="624"/>
      <x v="47"/>
    </i>
    <i r="2">
      <x v="9"/>
      <x v="198"/>
      <x v="128"/>
      <x v="47"/>
    </i>
    <i r="4">
      <x v="490"/>
      <x v="47"/>
    </i>
    <i r="4">
      <x v="565"/>
      <x v="47"/>
    </i>
    <i r="4">
      <x v="632"/>
      <x v="47"/>
    </i>
    <i r="4">
      <x v="777"/>
      <x v="47"/>
    </i>
    <i r="4">
      <x v="986"/>
      <x v="47"/>
    </i>
    <i r="4">
      <x v="1014"/>
      <x v="47"/>
    </i>
    <i r="2">
      <x v="10"/>
      <x v="198"/>
      <x v="433"/>
      <x v="47"/>
    </i>
    <i r="2">
      <x v="12"/>
      <x v="2"/>
      <x v="7"/>
      <x v="47"/>
    </i>
    <i r="3">
      <x v="38"/>
      <x v="114"/>
      <x v="47"/>
    </i>
    <i r="3">
      <x v="47"/>
      <x v="314"/>
      <x v="47"/>
    </i>
    <i r="2">
      <x v="38"/>
      <x v="198"/>
      <x v="481"/>
      <x v="47"/>
    </i>
    <i r="1">
      <x v="3"/>
      <x v="38"/>
      <x v="198"/>
      <x v="475"/>
      <x v="47"/>
    </i>
    <i r="1">
      <x v="5"/>
      <x v="8"/>
      <x v="198"/>
      <x v="305"/>
      <x v="47"/>
    </i>
    <i r="2">
      <x v="10"/>
      <x v="198"/>
      <x v="1370"/>
      <x v="47"/>
    </i>
    <i r="1">
      <x v="7"/>
      <x v="9"/>
      <x v="198"/>
      <x v="334"/>
      <x v="47"/>
    </i>
    <i r="1">
      <x v="8"/>
      <x v="10"/>
      <x v="198"/>
      <x v="539"/>
      <x v="47"/>
    </i>
    <i r="1">
      <x v="12"/>
      <x v="1"/>
      <x v="198"/>
      <x v="80"/>
      <x v="47"/>
    </i>
    <i r="4">
      <x v="213"/>
      <x v="47"/>
    </i>
    <i r="4">
      <x v="352"/>
      <x v="47"/>
    </i>
    <i r="4">
      <x v="771"/>
      <x v="47"/>
    </i>
    <i r="4">
      <x v="911"/>
      <x v="47"/>
    </i>
    <i r="1">
      <x v="15"/>
      <x v="6"/>
      <x v="198"/>
      <x v="512"/>
      <x v="47"/>
    </i>
    <i r="2">
      <x v="8"/>
      <x v="198"/>
      <x/>
      <x v="26"/>
    </i>
    <i r="2">
      <x v="9"/>
      <x v="198"/>
      <x v="503"/>
      <x v="47"/>
    </i>
    <i r="1">
      <x v="23"/>
      <x v="38"/>
      <x v="198"/>
      <x v="765"/>
      <x v="47"/>
    </i>
    <i r="1">
      <x v="35"/>
      <x v="1"/>
      <x v="198"/>
      <x v="80"/>
      <x v="47"/>
    </i>
    <i r="1">
      <x v="37"/>
      <x v="8"/>
      <x v="198"/>
      <x v="852"/>
      <x v="47"/>
    </i>
    <i>
      <x v="111"/>
      <x/>
      <x v="12"/>
      <x v="17"/>
      <x v="219"/>
      <x v="47"/>
    </i>
    <i r="3">
      <x v="24"/>
      <x v="306"/>
      <x v="47"/>
    </i>
    <i r="3">
      <x v="31"/>
      <x v="219"/>
      <x v="47"/>
    </i>
    <i r="3">
      <x v="36"/>
      <x v="535"/>
      <x v="47"/>
    </i>
    <i r="3">
      <x v="53"/>
      <x v="223"/>
      <x v="47"/>
    </i>
    <i r="3">
      <x v="55"/>
      <x v="92"/>
      <x v="47"/>
    </i>
    <i r="2">
      <x v="38"/>
      <x v="199"/>
      <x v="469"/>
      <x v="47"/>
    </i>
    <i r="4">
      <x v="592"/>
      <x v="47"/>
    </i>
    <i r="1">
      <x v="3"/>
      <x v="1"/>
      <x v="199"/>
      <x v="806"/>
      <x v="47"/>
    </i>
    <i r="2">
      <x v="6"/>
      <x v="199"/>
      <x v="517"/>
      <x v="47"/>
    </i>
    <i r="2">
      <x v="38"/>
      <x v="199"/>
      <x v="109"/>
      <x v="47"/>
    </i>
    <i r="1">
      <x v="12"/>
      <x v="1"/>
      <x v="199"/>
      <x v="80"/>
      <x v="47"/>
    </i>
    <i r="4">
      <x v="213"/>
      <x v="47"/>
    </i>
    <i r="1">
      <x v="20"/>
      <x v="6"/>
      <x v="199"/>
      <x v="1705"/>
      <x v="47"/>
    </i>
    <i r="1">
      <x v="21"/>
      <x v="33"/>
      <x v="199"/>
      <x v="719"/>
      <x v="47"/>
    </i>
    <i r="1">
      <x v="23"/>
      <x v="38"/>
      <x v="199"/>
      <x v="79"/>
      <x v="47"/>
    </i>
    <i r="1">
      <x v="35"/>
      <x v="1"/>
      <x v="199"/>
      <x v="80"/>
      <x v="47"/>
    </i>
    <i r="4">
      <x v="352"/>
      <x v="47"/>
    </i>
    <i>
      <x v="112"/>
      <x/>
      <x v="8"/>
      <x v="200"/>
      <x/>
      <x v="42"/>
    </i>
    <i r="2">
      <x v="12"/>
      <x v="40"/>
      <x v="219"/>
      <x v="47"/>
    </i>
    <i r="1">
      <x v="8"/>
      <x v="38"/>
      <x v="200"/>
      <x v="769"/>
      <x v="47"/>
    </i>
    <i r="1">
      <x v="12"/>
      <x v="1"/>
      <x v="200"/>
      <x v="80"/>
      <x v="47"/>
    </i>
    <i r="4">
      <x v="213"/>
      <x v="47"/>
    </i>
    <i r="4">
      <x v="607"/>
      <x v="47"/>
    </i>
    <i r="1">
      <x v="27"/>
      <x v="10"/>
      <x v="200"/>
      <x v="180"/>
      <x v="47"/>
    </i>
    <i r="1">
      <x v="29"/>
      <x v="10"/>
      <x v="200"/>
      <x/>
      <x v="39"/>
    </i>
    <i r="1">
      <x v="35"/>
      <x v="1"/>
      <x v="200"/>
      <x v="771"/>
      <x v="47"/>
    </i>
    <i>
      <x v="113"/>
      <x/>
      <x v="8"/>
      <x v="201"/>
      <x v="349"/>
      <x v="47"/>
    </i>
    <i r="4">
      <x v="351"/>
      <x v="47"/>
    </i>
    <i r="4">
      <x v="385"/>
      <x v="47"/>
    </i>
    <i r="4">
      <x v="923"/>
      <x v="47"/>
    </i>
    <i r="4">
      <x v="1267"/>
      <x v="47"/>
    </i>
    <i r="2">
      <x v="9"/>
      <x v="201"/>
      <x v="388"/>
      <x v="47"/>
    </i>
    <i r="4">
      <x v="652"/>
      <x v="47"/>
    </i>
    <i r="4">
      <x v="1078"/>
      <x v="47"/>
    </i>
    <i r="4">
      <x v="1090"/>
      <x v="47"/>
    </i>
    <i r="1">
      <x v="5"/>
      <x v="38"/>
      <x v="201"/>
      <x v="1654"/>
      <x v="47"/>
    </i>
    <i r="1">
      <x v="6"/>
      <x v="37"/>
      <x v="201"/>
      <x v="654"/>
      <x v="47"/>
    </i>
    <i r="1">
      <x v="9"/>
      <x v="8"/>
      <x v="201"/>
      <x v="490"/>
      <x v="47"/>
    </i>
    <i r="1">
      <x v="12"/>
      <x v="1"/>
      <x v="201"/>
      <x v="80"/>
      <x v="47"/>
    </i>
    <i r="1">
      <x v="14"/>
      <x v="38"/>
      <x v="201"/>
      <x v="109"/>
      <x v="47"/>
    </i>
    <i r="1">
      <x v="15"/>
      <x v="8"/>
      <x v="201"/>
      <x v="238"/>
      <x v="47"/>
    </i>
    <i r="2">
      <x v="38"/>
      <x v="201"/>
      <x v="1317"/>
      <x v="47"/>
    </i>
    <i r="1">
      <x v="21"/>
      <x v="38"/>
      <x v="201"/>
      <x v="728"/>
      <x v="47"/>
    </i>
    <i r="1">
      <x v="23"/>
      <x v="7"/>
      <x v="201"/>
      <x v="371"/>
      <x v="47"/>
    </i>
    <i r="1">
      <x v="24"/>
      <x v="38"/>
      <x v="201"/>
      <x v="1759"/>
      <x v="47"/>
    </i>
    <i r="1">
      <x v="26"/>
      <x v="38"/>
      <x v="201"/>
      <x v="109"/>
      <x v="47"/>
    </i>
    <i r="1">
      <x v="27"/>
      <x v="38"/>
      <x v="201"/>
      <x v="39"/>
      <x v="47"/>
    </i>
    <i r="1">
      <x v="29"/>
      <x v="38"/>
      <x v="201"/>
      <x v="1583"/>
      <x v="47"/>
    </i>
    <i r="1">
      <x v="35"/>
      <x v="1"/>
      <x v="201"/>
      <x v="80"/>
      <x v="47"/>
    </i>
    <i>
      <x v="114"/>
      <x/>
      <x v="12"/>
      <x v="62"/>
      <x v="77"/>
      <x v="47"/>
    </i>
    <i r="2">
      <x v="26"/>
      <x v="202"/>
      <x v="601"/>
      <x v="47"/>
    </i>
    <i r="4">
      <x v="725"/>
      <x v="47"/>
    </i>
    <i r="4">
      <x v="796"/>
      <x v="47"/>
    </i>
    <i r="4">
      <x v="1046"/>
      <x v="47"/>
    </i>
    <i r="4">
      <x v="1102"/>
      <x v="47"/>
    </i>
    <i r="4">
      <x v="1531"/>
      <x v="47"/>
    </i>
    <i r="2">
      <x v="38"/>
      <x v="203"/>
      <x v="138"/>
      <x v="47"/>
    </i>
    <i r="1">
      <x v="2"/>
      <x v="26"/>
      <x v="202"/>
      <x v="1724"/>
      <x v="47"/>
    </i>
    <i r="1">
      <x v="3"/>
      <x v="26"/>
      <x v="202"/>
      <x v="178"/>
      <x v="47"/>
    </i>
    <i r="2">
      <x v="38"/>
      <x v="203"/>
      <x v="202"/>
      <x v="47"/>
    </i>
    <i r="1">
      <x v="10"/>
      <x v="1"/>
      <x v="203"/>
      <x v="1487"/>
      <x v="47"/>
    </i>
    <i r="1">
      <x v="12"/>
      <x v="1"/>
      <x v="203"/>
      <x v="80"/>
      <x v="47"/>
    </i>
    <i r="4">
      <x v="352"/>
      <x v="47"/>
    </i>
    <i r="4">
      <x v="607"/>
      <x v="47"/>
    </i>
    <i r="2">
      <x v="8"/>
      <x v="203"/>
      <x/>
      <x v="38"/>
    </i>
    <i r="2">
      <x v="26"/>
      <x v="202"/>
      <x v="269"/>
      <x v="47"/>
    </i>
    <i r="4">
      <x v="378"/>
      <x v="47"/>
    </i>
    <i r="4">
      <x v="442"/>
      <x v="47"/>
    </i>
    <i r="4">
      <x v="492"/>
      <x v="47"/>
    </i>
    <i r="4">
      <x v="799"/>
      <x v="47"/>
    </i>
    <i r="4">
      <x v="815"/>
      <x v="47"/>
    </i>
    <i r="4">
      <x v="1179"/>
      <x v="47"/>
    </i>
    <i r="4">
      <x v="1300"/>
      <x v="47"/>
    </i>
    <i r="4">
      <x v="1384"/>
      <x v="47"/>
    </i>
    <i r="4">
      <x v="1389"/>
      <x v="47"/>
    </i>
    <i r="4">
      <x v="1406"/>
      <x v="47"/>
    </i>
    <i r="4">
      <x v="1435"/>
      <x v="47"/>
    </i>
    <i r="4">
      <x v="1436"/>
      <x v="47"/>
    </i>
    <i r="4">
      <x v="1474"/>
      <x v="47"/>
    </i>
    <i r="4">
      <x v="1502"/>
      <x v="47"/>
    </i>
    <i r="4">
      <x v="1551"/>
      <x v="47"/>
    </i>
    <i r="4">
      <x v="1629"/>
      <x v="47"/>
    </i>
    <i r="4">
      <x v="1642"/>
      <x v="47"/>
    </i>
    <i r="4">
      <x v="1664"/>
      <x v="47"/>
    </i>
    <i r="4">
      <x v="1686"/>
      <x v="47"/>
    </i>
    <i r="4">
      <x v="1718"/>
      <x v="47"/>
    </i>
    <i r="4">
      <x v="1739"/>
      <x v="47"/>
    </i>
    <i r="4">
      <x v="1761"/>
      <x v="47"/>
    </i>
    <i r="4">
      <x v="1782"/>
      <x v="47"/>
    </i>
    <i r="4">
      <x v="1787"/>
      <x v="47"/>
    </i>
    <i r="4">
      <x v="1797"/>
      <x v="47"/>
    </i>
    <i r="4">
      <x v="1828"/>
      <x v="47"/>
    </i>
    <i r="2">
      <x v="38"/>
      <x v="203"/>
      <x v="352"/>
      <x v="47"/>
    </i>
    <i r="1">
      <x v="23"/>
      <x v="26"/>
      <x v="202"/>
      <x v="1878"/>
      <x v="47"/>
    </i>
    <i r="1">
      <x v="24"/>
      <x v="26"/>
      <x v="202"/>
      <x v="1520"/>
      <x v="47"/>
    </i>
    <i r="1">
      <x v="26"/>
      <x v="38"/>
      <x v="203"/>
      <x v="109"/>
      <x v="47"/>
    </i>
    <i r="1">
      <x v="29"/>
      <x v="37"/>
      <x v="203"/>
      <x v="721"/>
      <x v="47"/>
    </i>
    <i r="1">
      <x v="30"/>
      <x v="6"/>
      <x v="203"/>
      <x v="1844"/>
      <x v="47"/>
    </i>
    <i r="1">
      <x v="35"/>
      <x v="1"/>
      <x v="203"/>
      <x v="80"/>
      <x v="47"/>
    </i>
    <i r="2">
      <x v="26"/>
      <x v="202"/>
      <x v="115"/>
      <x v="47"/>
    </i>
    <i r="4">
      <x v="130"/>
      <x v="47"/>
    </i>
    <i r="4">
      <x v="266"/>
      <x v="47"/>
    </i>
    <i r="4">
      <x v="487"/>
      <x v="47"/>
    </i>
    <i r="4">
      <x v="504"/>
      <x v="47"/>
    </i>
    <i r="4">
      <x v="574"/>
      <x v="47"/>
    </i>
    <i r="4">
      <x v="581"/>
      <x v="47"/>
    </i>
    <i r="4">
      <x v="734"/>
      <x v="47"/>
    </i>
    <i r="4">
      <x v="928"/>
      <x v="47"/>
    </i>
    <i r="4">
      <x v="946"/>
      <x v="47"/>
    </i>
    <i r="4">
      <x v="1000"/>
      <x v="47"/>
    </i>
    <i r="4">
      <x v="1190"/>
      <x v="47"/>
    </i>
    <i r="4">
      <x v="1275"/>
      <x v="47"/>
    </i>
    <i r="4">
      <x v="1372"/>
      <x v="47"/>
    </i>
    <i r="4">
      <x v="1467"/>
      <x v="47"/>
    </i>
    <i r="1">
      <x v="37"/>
      <x v="26"/>
      <x v="202"/>
      <x v="1658"/>
      <x v="47"/>
    </i>
    <i>
      <x v="115"/>
      <x/>
      <x v="6"/>
      <x v="204"/>
      <x v="1356"/>
      <x v="47"/>
    </i>
    <i r="2">
      <x v="7"/>
      <x v="204"/>
      <x v="247"/>
      <x v="47"/>
    </i>
    <i r="4">
      <x v="469"/>
      <x v="47"/>
    </i>
    <i r="2">
      <x v="8"/>
      <x v="204"/>
      <x v="113"/>
      <x v="47"/>
    </i>
    <i r="4">
      <x v="550"/>
      <x v="47"/>
    </i>
    <i r="4">
      <x v="614"/>
      <x v="47"/>
    </i>
    <i r="4">
      <x v="768"/>
      <x v="47"/>
    </i>
    <i r="2">
      <x v="9"/>
      <x v="204"/>
      <x v="118"/>
      <x v="47"/>
    </i>
    <i r="4">
      <x v="439"/>
      <x v="47"/>
    </i>
    <i r="4">
      <x v="704"/>
      <x v="47"/>
    </i>
    <i r="4">
      <x v="1058"/>
      <x v="47"/>
    </i>
    <i r="4">
      <x v="1159"/>
      <x v="47"/>
    </i>
    <i r="4">
      <x v="1303"/>
      <x v="47"/>
    </i>
    <i r="2">
      <x v="12"/>
      <x v="30"/>
      <x v="14"/>
      <x v="47"/>
    </i>
    <i r="3">
      <x v="58"/>
      <x v="11"/>
      <x v="47"/>
    </i>
    <i r="3">
      <x v="60"/>
      <x v="138"/>
      <x v="47"/>
    </i>
    <i r="2">
      <x v="38"/>
      <x v="204"/>
      <x v="481"/>
      <x v="47"/>
    </i>
    <i r="1">
      <x v="7"/>
      <x v="10"/>
      <x v="204"/>
      <x v="875"/>
      <x v="47"/>
    </i>
    <i r="1">
      <x v="11"/>
      <x v="9"/>
      <x v="204"/>
      <x v="1101"/>
      <x v="47"/>
    </i>
    <i r="1">
      <x v="12"/>
      <x v="1"/>
      <x v="204"/>
      <x v="213"/>
      <x v="47"/>
    </i>
    <i r="1">
      <x v="15"/>
      <x v="8"/>
      <x v="204"/>
      <x v="352"/>
      <x v="47"/>
    </i>
    <i r="2">
      <x v="38"/>
      <x v="204"/>
      <x v="797"/>
      <x v="47"/>
    </i>
    <i r="1">
      <x v="26"/>
      <x v="38"/>
      <x v="204"/>
      <x v="352"/>
      <x v="47"/>
    </i>
    <i>
      <x v="116"/>
      <x/>
      <x v="1"/>
      <x v="205"/>
      <x v="80"/>
      <x v="47"/>
    </i>
    <i r="2">
      <x v="8"/>
      <x v="205"/>
      <x v="206"/>
      <x v="47"/>
    </i>
    <i r="2">
      <x v="10"/>
      <x v="205"/>
      <x v="524"/>
      <x v="47"/>
    </i>
    <i r="2">
      <x v="12"/>
      <x v="24"/>
      <x v="32"/>
      <x v="47"/>
    </i>
    <i r="3">
      <x v="50"/>
      <x v="352"/>
      <x v="47"/>
    </i>
    <i r="1">
      <x v="5"/>
      <x v="38"/>
      <x v="205"/>
      <x v="1171"/>
      <x v="47"/>
    </i>
    <i r="1">
      <x v="8"/>
      <x v="38"/>
      <x v="205"/>
      <x v="1407"/>
      <x v="47"/>
    </i>
    <i r="1">
      <x v="12"/>
      <x v="1"/>
      <x v="205"/>
      <x v="80"/>
      <x v="47"/>
    </i>
    <i r="4">
      <x v="213"/>
      <x v="47"/>
    </i>
    <i r="1">
      <x v="14"/>
      <x v="1"/>
      <x v="205"/>
      <x v="764"/>
      <x v="47"/>
    </i>
    <i r="2">
      <x v="38"/>
      <x v="205"/>
      <x v="193"/>
      <x v="47"/>
    </i>
    <i r="1">
      <x v="15"/>
      <x v="38"/>
      <x v="205"/>
      <x v="1206"/>
      <x v="47"/>
    </i>
    <i r="1">
      <x v="19"/>
      <x v="1"/>
      <x v="205"/>
      <x v="1162"/>
      <x v="47"/>
    </i>
    <i r="1">
      <x v="23"/>
      <x v="7"/>
      <x v="205"/>
      <x v="1333"/>
      <x v="47"/>
    </i>
    <i>
      <x v="117"/>
      <x/>
      <x v="1"/>
      <x v="206"/>
      <x v="80"/>
      <x v="47"/>
    </i>
    <i r="2">
      <x v="10"/>
      <x v="206"/>
      <x/>
      <x v="23"/>
    </i>
    <i r="5">
      <x v="28"/>
    </i>
    <i r="2">
      <x v="12"/>
      <x v="24"/>
      <x v="32"/>
      <x v="47"/>
    </i>
    <i r="3">
      <x v="32"/>
      <x v="90"/>
      <x v="47"/>
    </i>
    <i r="2">
      <x v="38"/>
      <x v="206"/>
      <x v="262"/>
      <x v="47"/>
    </i>
    <i r="1">
      <x v="3"/>
      <x v="38"/>
      <x v="206"/>
      <x v="39"/>
      <x v="47"/>
    </i>
    <i r="1">
      <x v="7"/>
      <x v="38"/>
      <x v="206"/>
      <x v="633"/>
      <x v="47"/>
    </i>
    <i r="1">
      <x v="10"/>
      <x v="6"/>
      <x v="206"/>
      <x v="1870"/>
      <x v="47"/>
    </i>
    <i r="1">
      <x v="12"/>
      <x v="1"/>
      <x v="206"/>
      <x v="80"/>
      <x v="47"/>
    </i>
    <i r="4">
      <x v="213"/>
      <x v="47"/>
    </i>
    <i r="1">
      <x v="15"/>
      <x v="36"/>
      <x v="76"/>
      <x/>
      <x v="1"/>
    </i>
    <i r="1">
      <x v="24"/>
      <x v="1"/>
      <x v="206"/>
      <x v="91"/>
      <x v="47"/>
    </i>
    <i r="1">
      <x v="27"/>
      <x v="10"/>
      <x v="206"/>
      <x v="433"/>
      <x v="47"/>
    </i>
    <i r="1">
      <x v="35"/>
      <x v="1"/>
      <x v="206"/>
      <x v="80"/>
      <x v="47"/>
    </i>
    <i>
      <x v="118"/>
      <x/>
      <x v="1"/>
      <x v="207"/>
      <x v="80"/>
      <x v="47"/>
    </i>
    <i r="2">
      <x v="12"/>
      <x v="32"/>
      <x v="90"/>
      <x v="47"/>
    </i>
    <i r="2">
      <x v="38"/>
      <x v="207"/>
      <x v="262"/>
      <x v="47"/>
    </i>
    <i r="1">
      <x v="12"/>
      <x v="1"/>
      <x v="207"/>
      <x v="80"/>
      <x v="47"/>
    </i>
    <i r="4">
      <x v="213"/>
      <x v="47"/>
    </i>
    <i r="4">
      <x v="352"/>
      <x v="47"/>
    </i>
    <i r="4">
      <x v="500"/>
      <x v="47"/>
    </i>
    <i r="1">
      <x v="26"/>
      <x v="37"/>
      <x v="207"/>
      <x v="278"/>
      <x v="47"/>
    </i>
    <i r="1">
      <x v="37"/>
      <x v="38"/>
      <x v="207"/>
      <x v="1064"/>
      <x v="47"/>
    </i>
    <i>
      <x v="119"/>
      <x/>
      <x v="12"/>
      <x v="52"/>
      <x v="57"/>
      <x v="47"/>
    </i>
    <i r="3">
      <x v="65"/>
      <x v="9"/>
      <x v="47"/>
    </i>
    <i r="3">
      <x v="72"/>
      <x v="13"/>
      <x v="47"/>
    </i>
    <i>
      <x v="120"/>
      <x/>
      <x v="1"/>
      <x v="208"/>
      <x v="80"/>
      <x v="47"/>
    </i>
    <i r="2">
      <x v="6"/>
      <x v="208"/>
      <x v="469"/>
      <x v="47"/>
    </i>
    <i r="2">
      <x v="38"/>
      <x v="208"/>
      <x v="1256"/>
      <x v="47"/>
    </i>
    <i r="1">
      <x v="2"/>
      <x v="1"/>
      <x v="208"/>
      <x v="970"/>
      <x v="47"/>
    </i>
    <i r="2">
      <x v="10"/>
      <x v="208"/>
      <x v="1819"/>
      <x v="47"/>
    </i>
    <i r="1">
      <x v="3"/>
      <x v="38"/>
      <x v="208"/>
      <x v="109"/>
      <x v="47"/>
    </i>
    <i r="1">
      <x v="5"/>
      <x v="38"/>
      <x v="208"/>
      <x v="278"/>
      <x v="47"/>
    </i>
    <i r="1">
      <x v="7"/>
      <x v="38"/>
      <x v="208"/>
      <x v="539"/>
      <x v="47"/>
    </i>
    <i r="1">
      <x v="8"/>
      <x v="38"/>
      <x v="208"/>
      <x v="1310"/>
      <x v="47"/>
    </i>
    <i r="1">
      <x v="12"/>
      <x v="1"/>
      <x v="208"/>
      <x v="213"/>
      <x v="47"/>
    </i>
    <i r="4">
      <x v="500"/>
      <x v="47"/>
    </i>
    <i r="4">
      <x v="771"/>
      <x v="47"/>
    </i>
    <i r="4">
      <x v="911"/>
      <x v="47"/>
    </i>
    <i r="4">
      <x v="1028"/>
      <x v="47"/>
    </i>
    <i r="2">
      <x v="38"/>
      <x v="208"/>
      <x v="1414"/>
      <x v="47"/>
    </i>
    <i r="4">
      <x v="1528"/>
      <x v="47"/>
    </i>
    <i r="1">
      <x v="23"/>
      <x v="6"/>
      <x v="208"/>
      <x v="277"/>
      <x v="47"/>
    </i>
    <i r="1">
      <x v="27"/>
      <x v="38"/>
      <x v="208"/>
      <x v="109"/>
      <x v="47"/>
    </i>
    <i r="1">
      <x v="35"/>
      <x v="1"/>
      <x v="208"/>
      <x v="80"/>
      <x v="47"/>
    </i>
    <i r="4">
      <x v="213"/>
      <x v="47"/>
    </i>
    <i r="2">
      <x v="38"/>
      <x v="208"/>
      <x v="1465"/>
      <x v="47"/>
    </i>
    <i>
      <x v="121"/>
      <x/>
      <x v="8"/>
      <x v="209"/>
      <x v="98"/>
      <x v="47"/>
    </i>
    <i r="4">
      <x v="162"/>
      <x v="47"/>
    </i>
    <i r="4">
      <x v="351"/>
      <x v="47"/>
    </i>
    <i r="4">
      <x v="353"/>
      <x v="47"/>
    </i>
    <i r="4">
      <x v="1114"/>
      <x v="47"/>
    </i>
    <i r="2">
      <x v="9"/>
      <x v="209"/>
      <x v="284"/>
      <x v="47"/>
    </i>
    <i r="4">
      <x v="380"/>
      <x v="47"/>
    </i>
    <i r="4">
      <x v="420"/>
      <x v="47"/>
    </i>
    <i r="4">
      <x v="443"/>
      <x v="47"/>
    </i>
    <i r="4">
      <x v="489"/>
      <x v="47"/>
    </i>
    <i r="4">
      <x v="592"/>
      <x v="47"/>
    </i>
    <i r="4">
      <x v="837"/>
      <x v="47"/>
    </i>
    <i r="4">
      <x v="879"/>
      <x v="47"/>
    </i>
    <i r="4">
      <x v="921"/>
      <x v="47"/>
    </i>
    <i r="4">
      <x v="957"/>
      <x v="47"/>
    </i>
    <i r="4">
      <x v="966"/>
      <x v="47"/>
    </i>
    <i r="4">
      <x v="1053"/>
      <x v="47"/>
    </i>
    <i r="4">
      <x v="1322"/>
      <x v="47"/>
    </i>
    <i r="2">
      <x v="12"/>
      <x v="43"/>
      <x v="9"/>
      <x v="47"/>
    </i>
    <i r="1">
      <x v="2"/>
      <x v="8"/>
      <x v="209"/>
      <x v="583"/>
      <x v="47"/>
    </i>
    <i r="1">
      <x v="5"/>
      <x v="38"/>
      <x v="209"/>
      <x v="784"/>
      <x v="47"/>
    </i>
    <i r="1">
      <x v="11"/>
      <x v="8"/>
      <x v="209"/>
      <x v="857"/>
      <x v="47"/>
    </i>
    <i r="1">
      <x v="12"/>
      <x v="1"/>
      <x v="209"/>
      <x v="80"/>
      <x v="47"/>
    </i>
    <i r="4">
      <x v="352"/>
      <x v="47"/>
    </i>
    <i r="4">
      <x v="702"/>
      <x v="47"/>
    </i>
    <i r="1">
      <x v="15"/>
      <x v="8"/>
      <x v="209"/>
      <x v="1059"/>
      <x v="47"/>
    </i>
    <i r="2">
      <x v="9"/>
      <x v="209"/>
      <x v="248"/>
      <x v="47"/>
    </i>
    <i r="2">
      <x v="38"/>
      <x v="209"/>
      <x v="1036"/>
      <x v="47"/>
    </i>
    <i r="1">
      <x v="17"/>
      <x v="6"/>
      <x v="209"/>
      <x v="1788"/>
      <x v="47"/>
    </i>
    <i r="2">
      <x v="9"/>
      <x v="209"/>
      <x v="464"/>
      <x v="47"/>
    </i>
    <i r="1">
      <x v="19"/>
      <x v="10"/>
      <x v="209"/>
      <x/>
      <x v="30"/>
    </i>
    <i r="1">
      <x v="23"/>
      <x v="7"/>
      <x v="209"/>
      <x v="1093"/>
      <x v="47"/>
    </i>
    <i r="2">
      <x v="9"/>
      <x v="209"/>
      <x v="1347"/>
      <x v="47"/>
    </i>
    <i r="1">
      <x v="25"/>
      <x v="9"/>
      <x v="209"/>
      <x v="1073"/>
      <x v="47"/>
    </i>
    <i r="1">
      <x v="35"/>
      <x v="1"/>
      <x v="209"/>
      <x v="80"/>
      <x v="47"/>
    </i>
    <i r="1">
      <x v="36"/>
      <x v="9"/>
      <x v="209"/>
      <x v="804"/>
      <x v="47"/>
    </i>
    <i>
      <x v="122"/>
      <x/>
      <x v="10"/>
      <x v="210"/>
      <x/>
      <x v="31"/>
    </i>
    <i r="2">
      <x v="12"/>
      <x v="30"/>
      <x v="11"/>
      <x v="47"/>
    </i>
    <i r="3">
      <x v="42"/>
      <x v="69"/>
      <x v="47"/>
    </i>
    <i r="1">
      <x v="7"/>
      <x v="6"/>
      <x v="210"/>
      <x v="719"/>
      <x v="47"/>
    </i>
    <i r="1">
      <x v="8"/>
      <x v="38"/>
      <x v="210"/>
      <x v="1144"/>
      <x v="47"/>
    </i>
    <i r="1">
      <x v="12"/>
      <x v="1"/>
      <x v="210"/>
      <x v="80"/>
      <x v="47"/>
    </i>
    <i r="4">
      <x v="213"/>
      <x v="47"/>
    </i>
    <i r="4">
      <x v="702"/>
      <x v="47"/>
    </i>
    <i r="4">
      <x v="911"/>
      <x v="47"/>
    </i>
    <i r="4">
      <x v="1114"/>
      <x v="47"/>
    </i>
    <i r="1">
      <x v="17"/>
      <x v="6"/>
      <x v="210"/>
      <x v="1627"/>
      <x v="47"/>
    </i>
    <i r="1">
      <x v="18"/>
      <x v="38"/>
      <x v="210"/>
      <x v="1337"/>
      <x v="47"/>
    </i>
    <i r="1">
      <x v="19"/>
      <x v="6"/>
      <x v="210"/>
      <x v="1288"/>
      <x v="47"/>
    </i>
    <i r="1">
      <x v="23"/>
      <x v="38"/>
      <x v="210"/>
      <x v="38"/>
      <x v="47"/>
    </i>
    <i r="1">
      <x v="32"/>
      <x v="6"/>
      <x v="210"/>
      <x v="1875"/>
      <x v="47"/>
    </i>
    <i>
      <x v="123"/>
      <x v="5"/>
      <x v="37"/>
      <x v="211"/>
      <x v="1824"/>
      <x v="47"/>
    </i>
    <i r="1">
      <x v="6"/>
      <x v="38"/>
      <x v="211"/>
      <x v="982"/>
      <x v="47"/>
    </i>
    <i r="1">
      <x v="12"/>
      <x v="1"/>
      <x v="211"/>
      <x v="80"/>
      <x v="47"/>
    </i>
    <i r="4">
      <x v="352"/>
      <x v="47"/>
    </i>
    <i r="1">
      <x v="14"/>
      <x v="1"/>
      <x v="211"/>
      <x v="605"/>
      <x v="47"/>
    </i>
    <i r="2">
      <x v="9"/>
      <x v="211"/>
      <x/>
      <x v="4"/>
    </i>
    <i r="1">
      <x v="15"/>
      <x v="10"/>
      <x v="211"/>
      <x v="31"/>
      <x v="47"/>
    </i>
    <i r="1">
      <x v="27"/>
      <x v="6"/>
      <x v="211"/>
      <x v="1532"/>
      <x v="47"/>
    </i>
    <i r="1">
      <x v="29"/>
      <x v="10"/>
      <x v="211"/>
      <x v="1839"/>
      <x v="47"/>
    </i>
    <i r="1">
      <x v="35"/>
      <x v="1"/>
      <x v="211"/>
      <x v="80"/>
      <x v="47"/>
    </i>
    <i r="1">
      <x v="37"/>
      <x v="10"/>
      <x v="211"/>
      <x v="1321"/>
      <x v="47"/>
    </i>
    <i>
      <x v="124"/>
      <x/>
      <x v="12"/>
      <x v="38"/>
      <x v="11"/>
      <x v="47"/>
    </i>
    <i r="3">
      <x v="64"/>
      <x v="53"/>
      <x v="47"/>
    </i>
    <i r="2">
      <x v="38"/>
      <x v="212"/>
      <x v="138"/>
      <x v="47"/>
    </i>
    <i r="1">
      <x v="2"/>
      <x v="6"/>
      <x v="212"/>
      <x v="1339"/>
      <x v="47"/>
    </i>
    <i r="1">
      <x v="6"/>
      <x v="38"/>
      <x v="212"/>
      <x v="561"/>
      <x v="47"/>
    </i>
    <i r="1">
      <x v="12"/>
      <x v="1"/>
      <x v="212"/>
      <x v="80"/>
      <x v="47"/>
    </i>
    <i r="4">
      <x v="213"/>
      <x v="47"/>
    </i>
    <i r="4">
      <x v="500"/>
      <x v="47"/>
    </i>
    <i r="2">
      <x v="3"/>
      <x/>
      <x v="80"/>
      <x v="47"/>
    </i>
    <i r="2">
      <x v="4"/>
      <x/>
      <x v="352"/>
      <x v="47"/>
    </i>
    <i r="4">
      <x v="500"/>
      <x v="47"/>
    </i>
    <i r="4">
      <x v="964"/>
      <x v="47"/>
    </i>
    <i r="1">
      <x v="21"/>
      <x v="38"/>
      <x v="212"/>
      <x v="1274"/>
      <x v="47"/>
    </i>
    <i r="1">
      <x v="23"/>
      <x v="38"/>
      <x v="212"/>
      <x v="1854"/>
      <x v="47"/>
    </i>
    <i r="1">
      <x v="35"/>
      <x v="1"/>
      <x v="212"/>
      <x v="80"/>
      <x v="47"/>
    </i>
    <i r="1">
      <x v="36"/>
      <x v="38"/>
      <x v="212"/>
      <x v="153"/>
      <x v="47"/>
    </i>
    <i>
      <x v="125"/>
      <x/>
      <x v="12"/>
      <x v="26"/>
      <x v="25"/>
      <x v="47"/>
    </i>
    <i r="3">
      <x v="57"/>
      <x v="6"/>
      <x v="47"/>
    </i>
    <i r="1">
      <x v="5"/>
      <x v="10"/>
      <x v="213"/>
      <x v="1332"/>
      <x v="47"/>
    </i>
    <i r="1">
      <x v="12"/>
      <x v="1"/>
      <x v="213"/>
      <x v="80"/>
      <x v="47"/>
    </i>
    <i r="4">
      <x v="213"/>
      <x v="47"/>
    </i>
    <i r="4">
      <x v="500"/>
      <x v="47"/>
    </i>
    <i r="4">
      <x v="702"/>
      <x v="47"/>
    </i>
    <i r="1">
      <x v="14"/>
      <x v="38"/>
      <x v="213"/>
      <x v="1429"/>
      <x v="47"/>
    </i>
    <i r="1">
      <x v="21"/>
      <x v="38"/>
      <x v="213"/>
      <x v="755"/>
      <x v="47"/>
    </i>
    <i r="1">
      <x v="23"/>
      <x v="38"/>
      <x v="213"/>
      <x v="87"/>
      <x v="47"/>
    </i>
    <i r="1">
      <x v="24"/>
      <x v="38"/>
      <x v="213"/>
      <x v="94"/>
      <x v="47"/>
    </i>
    <i r="1">
      <x v="26"/>
      <x v="38"/>
      <x v="213"/>
      <x v="352"/>
      <x v="47"/>
    </i>
    <i r="1">
      <x v="29"/>
      <x v="10"/>
      <x v="213"/>
      <x v="1601"/>
      <x v="47"/>
    </i>
    <i r="1">
      <x v="35"/>
      <x v="1"/>
      <x v="213"/>
      <x v="80"/>
      <x v="47"/>
    </i>
    <i>
      <x v="126"/>
      <x/>
      <x v="12"/>
      <x v="38"/>
      <x v="18"/>
      <x v="47"/>
    </i>
    <i r="1">
      <x v="12"/>
      <x v="1"/>
      <x v="214"/>
      <x v="80"/>
      <x v="47"/>
    </i>
    <i r="4">
      <x v="213"/>
      <x v="47"/>
    </i>
    <i r="4">
      <x v="607"/>
      <x v="47"/>
    </i>
    <i r="2">
      <x v="8"/>
      <x v="214"/>
      <x v="80"/>
      <x v="47"/>
    </i>
    <i r="4">
      <x v="352"/>
      <x v="47"/>
    </i>
    <i r="4">
      <x v="500"/>
      <x v="47"/>
    </i>
    <i r="4">
      <x v="964"/>
      <x v="47"/>
    </i>
    <i r="1">
      <x v="15"/>
      <x v="38"/>
      <x v="214"/>
      <x v="809"/>
      <x v="47"/>
    </i>
    <i r="1">
      <x v="26"/>
      <x v="38"/>
      <x v="214"/>
      <x v="278"/>
      <x v="47"/>
    </i>
    <i r="1">
      <x v="29"/>
      <x v="38"/>
      <x v="214"/>
      <x v="1170"/>
      <x v="47"/>
    </i>
    <i r="1">
      <x v="35"/>
      <x v="1"/>
      <x v="214"/>
      <x v="80"/>
      <x v="47"/>
    </i>
    <i r="2">
      <x v="8"/>
      <x v="214"/>
      <x v="80"/>
      <x v="47"/>
    </i>
    <i>
      <x v="127"/>
      <x/>
      <x v="1"/>
      <x v="216"/>
      <x v="80"/>
      <x v="47"/>
    </i>
    <i r="2">
      <x v="8"/>
      <x v="216"/>
      <x v="473"/>
      <x v="47"/>
    </i>
    <i r="4">
      <x v="881"/>
      <x v="47"/>
    </i>
    <i r="4">
      <x v="992"/>
      <x v="47"/>
    </i>
    <i r="2">
      <x v="9"/>
      <x v="216"/>
      <x v="1"/>
      <x v="47"/>
    </i>
    <i r="4">
      <x v="233"/>
      <x v="47"/>
    </i>
    <i r="4">
      <x v="263"/>
      <x v="47"/>
    </i>
    <i r="4">
      <x v="462"/>
      <x v="47"/>
    </i>
    <i r="4">
      <x v="538"/>
      <x v="47"/>
    </i>
    <i r="4">
      <x v="635"/>
      <x v="47"/>
    </i>
    <i r="4">
      <x v="732"/>
      <x v="47"/>
    </i>
    <i r="4">
      <x v="1087"/>
      <x v="47"/>
    </i>
    <i r="4">
      <x v="1425"/>
      <x v="47"/>
    </i>
    <i r="2">
      <x v="12"/>
      <x v="21"/>
      <x v="11"/>
      <x v="47"/>
    </i>
    <i r="3">
      <x v="22"/>
      <x v="18"/>
      <x v="47"/>
    </i>
    <i r="2">
      <x v="17"/>
      <x v="215"/>
      <x v="379"/>
      <x v="47"/>
    </i>
    <i r="4">
      <x v="414"/>
      <x v="47"/>
    </i>
    <i r="4">
      <x v="425"/>
      <x v="47"/>
    </i>
    <i r="4">
      <x v="639"/>
      <x v="47"/>
    </i>
    <i r="4">
      <x v="847"/>
      <x v="47"/>
    </i>
    <i r="4">
      <x v="1065"/>
      <x v="47"/>
    </i>
    <i r="4">
      <x v="1720"/>
      <x v="47"/>
    </i>
    <i r="1">
      <x v="2"/>
      <x v="17"/>
      <x v="215"/>
      <x v="1869"/>
      <x v="47"/>
    </i>
    <i r="1">
      <x v="5"/>
      <x v="8"/>
      <x v="216"/>
      <x v="1108"/>
      <x v="47"/>
    </i>
    <i r="1">
      <x v="7"/>
      <x v="10"/>
      <x v="216"/>
      <x v="1468"/>
      <x v="47"/>
    </i>
    <i r="2">
      <x v="38"/>
      <x v="216"/>
      <x v="144"/>
      <x v="47"/>
    </i>
    <i r="1">
      <x v="8"/>
      <x v="10"/>
      <x v="216"/>
      <x v="1488"/>
      <x v="47"/>
    </i>
    <i r="1">
      <x v="10"/>
      <x v="10"/>
      <x v="216"/>
      <x v="1864"/>
      <x v="47"/>
    </i>
    <i r="1">
      <x v="12"/>
      <x v="1"/>
      <x v="216"/>
      <x v="80"/>
      <x v="47"/>
    </i>
    <i r="4">
      <x v="213"/>
      <x v="47"/>
    </i>
    <i r="2">
      <x v="2"/>
      <x v="75"/>
      <x/>
      <x v="19"/>
    </i>
    <i r="5">
      <x v="27"/>
    </i>
    <i r="5">
      <x v="33"/>
    </i>
    <i r="5">
      <x v="42"/>
    </i>
    <i r="2">
      <x v="17"/>
      <x v="215"/>
      <x v="96"/>
      <x v="47"/>
    </i>
    <i r="4">
      <x v="103"/>
      <x v="47"/>
    </i>
    <i r="4">
      <x v="142"/>
      <x v="47"/>
    </i>
    <i r="4">
      <x v="497"/>
      <x v="47"/>
    </i>
    <i r="4">
      <x v="938"/>
      <x v="47"/>
    </i>
    <i r="4">
      <x v="1123"/>
      <x v="47"/>
    </i>
    <i r="4">
      <x v="1245"/>
      <x v="47"/>
    </i>
    <i r="4">
      <x v="1376"/>
      <x v="47"/>
    </i>
    <i r="4">
      <x v="1382"/>
      <x v="47"/>
    </i>
    <i r="4">
      <x v="1395"/>
      <x v="47"/>
    </i>
    <i r="4">
      <x v="1482"/>
      <x v="47"/>
    </i>
    <i r="4">
      <x v="1504"/>
      <x v="47"/>
    </i>
    <i r="4">
      <x v="1505"/>
      <x v="47"/>
    </i>
    <i r="4">
      <x v="1522"/>
      <x v="47"/>
    </i>
    <i r="4">
      <x v="1527"/>
      <x v="47"/>
    </i>
    <i r="4">
      <x v="1572"/>
      <x v="47"/>
    </i>
    <i r="4">
      <x v="1584"/>
      <x v="47"/>
    </i>
    <i r="4">
      <x v="1653"/>
      <x v="47"/>
    </i>
    <i r="4">
      <x v="1661"/>
      <x v="47"/>
    </i>
    <i r="4">
      <x v="1732"/>
      <x v="47"/>
    </i>
    <i r="4">
      <x v="1738"/>
      <x v="47"/>
    </i>
    <i r="4">
      <x v="1772"/>
      <x v="47"/>
    </i>
    <i r="4">
      <x v="1791"/>
      <x v="47"/>
    </i>
    <i r="4">
      <x v="1804"/>
      <x v="47"/>
    </i>
    <i r="4">
      <x v="1815"/>
      <x v="47"/>
    </i>
    <i r="4">
      <x v="1849"/>
      <x v="47"/>
    </i>
    <i r="1">
      <x v="14"/>
      <x v="17"/>
      <x v="215"/>
      <x v="1218"/>
      <x v="47"/>
    </i>
    <i r="1">
      <x v="15"/>
      <x v="38"/>
      <x v="216"/>
      <x v="1460"/>
      <x v="47"/>
    </i>
    <i r="1">
      <x v="17"/>
      <x v="17"/>
      <x v="215"/>
      <x v="360"/>
      <x v="47"/>
    </i>
    <i r="1">
      <x v="19"/>
      <x v="9"/>
      <x v="216"/>
      <x v="607"/>
      <x v="47"/>
    </i>
    <i r="1">
      <x v="21"/>
      <x v="17"/>
      <x v="215"/>
      <x v="1521"/>
      <x v="47"/>
    </i>
    <i r="1">
      <x v="23"/>
      <x v="17"/>
      <x v="215"/>
      <x v="1676"/>
      <x v="47"/>
    </i>
    <i r="1">
      <x v="24"/>
      <x v="17"/>
      <x v="215"/>
      <x v="1509"/>
      <x v="47"/>
    </i>
    <i r="1">
      <x v="27"/>
      <x v="17"/>
      <x v="215"/>
      <x v="449"/>
      <x v="47"/>
    </i>
    <i r="1">
      <x v="33"/>
      <x v="38"/>
      <x v="216"/>
      <x v="403"/>
      <x v="47"/>
    </i>
    <i r="1">
      <x v="35"/>
      <x v="1"/>
      <x v="216"/>
      <x v="80"/>
      <x v="47"/>
    </i>
    <i r="2">
      <x v="17"/>
      <x v="215"/>
      <x v="157"/>
      <x v="47"/>
    </i>
    <i r="4">
      <x v="328"/>
      <x v="47"/>
    </i>
    <i r="4">
      <x v="438"/>
      <x v="47"/>
    </i>
    <i r="4">
      <x v="495"/>
      <x v="47"/>
    </i>
    <i r="4">
      <x v="708"/>
      <x v="47"/>
    </i>
    <i r="4">
      <x v="709"/>
      <x v="47"/>
    </i>
    <i r="4">
      <x v="770"/>
      <x v="47"/>
    </i>
    <i r="4">
      <x v="918"/>
      <x v="47"/>
    </i>
    <i r="4">
      <x v="1231"/>
      <x v="47"/>
    </i>
    <i>
      <x v="128"/>
      <x/>
      <x v="38"/>
      <x v="217"/>
      <x v="391"/>
      <x v="47"/>
    </i>
    <i r="1">
      <x v="8"/>
      <x v="38"/>
      <x v="217"/>
      <x v="803"/>
      <x v="47"/>
    </i>
    <i r="1">
      <x v="10"/>
      <x v="38"/>
      <x v="217"/>
      <x v="1563"/>
      <x v="47"/>
    </i>
    <i r="1">
      <x v="12"/>
      <x v="1"/>
      <x v="217"/>
      <x v="213"/>
      <x v="47"/>
    </i>
    <i r="1">
      <x v="35"/>
      <x v="1"/>
      <x v="217"/>
      <x v="80"/>
      <x v="47"/>
    </i>
    <i>
      <x v="129"/>
      <x/>
      <x v="12"/>
      <x v="15"/>
      <x v="18"/>
      <x v="47"/>
    </i>
    <i r="3">
      <x v="39"/>
      <x v="180"/>
      <x v="47"/>
    </i>
    <i r="1">
      <x v="8"/>
      <x v="38"/>
      <x v="218"/>
      <x v="168"/>
      <x v="47"/>
    </i>
    <i r="1">
      <x v="12"/>
      <x v="1"/>
      <x v="218"/>
      <x v="80"/>
      <x v="47"/>
    </i>
    <i r="4">
      <x v="213"/>
      <x v="47"/>
    </i>
    <i r="1">
      <x v="14"/>
      <x v="1"/>
      <x v="218"/>
      <x v="1260"/>
      <x v="47"/>
    </i>
    <i r="1">
      <x v="15"/>
      <x v="6"/>
      <x v="218"/>
      <x v="592"/>
      <x v="47"/>
    </i>
    <i r="1">
      <x v="19"/>
      <x v="6"/>
      <x v="218"/>
      <x v="1099"/>
      <x v="47"/>
    </i>
    <i r="1">
      <x v="27"/>
      <x v="38"/>
      <x v="218"/>
      <x v="633"/>
      <x v="47"/>
    </i>
    <i r="1">
      <x v="34"/>
      <x v="38"/>
      <x v="218"/>
      <x v="228"/>
      <x v="47"/>
    </i>
    <i r="1">
      <x v="36"/>
      <x v="6"/>
      <x v="218"/>
      <x v="387"/>
      <x v="47"/>
    </i>
    <i>
      <x v="130"/>
      <x/>
      <x v="12"/>
      <x v="23"/>
      <x v="114"/>
      <x v="47"/>
    </i>
    <i r="3">
      <x v="26"/>
      <x v="20"/>
      <x v="47"/>
    </i>
    <i r="3">
      <x v="35"/>
      <x v="15"/>
      <x v="47"/>
    </i>
    <i r="3">
      <x v="64"/>
      <x v="49"/>
      <x v="47"/>
    </i>
    <i r="2">
      <x v="38"/>
      <x v="219"/>
      <x v="138"/>
      <x v="47"/>
    </i>
    <i r="1">
      <x v="5"/>
      <x v="10"/>
      <x v="219"/>
      <x v="1537"/>
      <x v="47"/>
    </i>
    <i r="1">
      <x v="12"/>
      <x v="1"/>
      <x v="219"/>
      <x v="80"/>
      <x v="47"/>
    </i>
    <i r="4">
      <x v="213"/>
      <x v="47"/>
    </i>
    <i r="1">
      <x v="15"/>
      <x v="38"/>
      <x v="219"/>
      <x v="579"/>
      <x v="47"/>
    </i>
    <i r="1">
      <x v="23"/>
      <x v="38"/>
      <x v="219"/>
      <x v="906"/>
      <x v="47"/>
    </i>
    <i r="1">
      <x v="26"/>
      <x v="38"/>
      <x v="219"/>
      <x v="318"/>
      <x v="47"/>
    </i>
    <i r="1">
      <x v="29"/>
      <x v="10"/>
      <x v="219"/>
      <x v="914"/>
      <x v="47"/>
    </i>
    <i r="1">
      <x v="33"/>
      <x v="38"/>
      <x v="219"/>
      <x v="88"/>
      <x v="47"/>
    </i>
    <i r="1">
      <x v="35"/>
      <x v="1"/>
      <x v="219"/>
      <x v="352"/>
      <x v="47"/>
    </i>
    <i>
      <x v="131"/>
      <x/>
      <x v="12"/>
      <x v="23"/>
      <x v="11"/>
      <x v="47"/>
    </i>
    <i r="3">
      <x v="30"/>
      <x v="81"/>
      <x v="47"/>
    </i>
    <i r="2">
      <x v="38"/>
      <x v="220"/>
      <x v="138"/>
      <x v="47"/>
    </i>
    <i r="4">
      <x v="433"/>
      <x v="47"/>
    </i>
    <i r="4">
      <x v="1212"/>
      <x v="47"/>
    </i>
    <i r="1">
      <x v="5"/>
      <x v="38"/>
      <x v="220"/>
      <x v="1077"/>
      <x v="47"/>
    </i>
    <i r="1">
      <x v="6"/>
      <x v="1"/>
      <x v="220"/>
      <x v="322"/>
      <x v="47"/>
    </i>
    <i r="1">
      <x v="12"/>
      <x v="1"/>
      <x v="220"/>
      <x v="80"/>
      <x v="47"/>
    </i>
    <i r="4">
      <x v="213"/>
      <x v="47"/>
    </i>
    <i r="4">
      <x v="352"/>
      <x v="47"/>
    </i>
    <i r="4">
      <x v="702"/>
      <x v="47"/>
    </i>
    <i r="1">
      <x v="23"/>
      <x v="38"/>
      <x v="220"/>
      <x v="371"/>
      <x v="47"/>
    </i>
    <i r="1">
      <x v="35"/>
      <x v="1"/>
      <x v="220"/>
      <x v="80"/>
      <x v="47"/>
    </i>
    <i r="4">
      <x v="500"/>
      <x v="47"/>
    </i>
    <i r="1">
      <x v="36"/>
      <x v="38"/>
      <x v="220"/>
      <x v="214"/>
      <x v="47"/>
    </i>
    <i>
      <x v="132"/>
      <x/>
      <x v="38"/>
      <x v="221"/>
      <x v="138"/>
      <x v="47"/>
    </i>
    <i r="4">
      <x v="1508"/>
      <x v="47"/>
    </i>
    <i r="4">
      <x v="1546"/>
      <x v="47"/>
    </i>
    <i r="1">
      <x v="3"/>
      <x v="38"/>
      <x v="221"/>
      <x v="926"/>
      <x v="47"/>
    </i>
    <i r="1">
      <x v="6"/>
      <x v="38"/>
      <x v="221"/>
      <x v="1385"/>
      <x v="47"/>
    </i>
    <i r="1">
      <x v="12"/>
      <x v="1"/>
      <x v="221"/>
      <x v="80"/>
      <x v="47"/>
    </i>
    <i r="4">
      <x v="607"/>
      <x v="47"/>
    </i>
    <i r="4">
      <x v="702"/>
      <x v="47"/>
    </i>
    <i r="2">
      <x v="38"/>
      <x v="221"/>
      <x v="1394"/>
      <x v="47"/>
    </i>
    <i r="4">
      <x v="1607"/>
      <x v="47"/>
    </i>
    <i r="1">
      <x v="17"/>
      <x v="6"/>
      <x v="221"/>
      <x v="268"/>
      <x v="47"/>
    </i>
    <i r="1">
      <x v="33"/>
      <x v="38"/>
      <x v="221"/>
      <x v="679"/>
      <x v="47"/>
    </i>
    <i r="1">
      <x v="35"/>
      <x v="1"/>
      <x v="221"/>
      <x v="80"/>
      <x v="47"/>
    </i>
    <i>
      <x v="133"/>
      <x/>
      <x v="8"/>
      <x v="222"/>
      <x v="127"/>
      <x v="47"/>
    </i>
    <i r="4">
      <x v="316"/>
      <x v="47"/>
    </i>
    <i r="4">
      <x v="700"/>
      <x v="47"/>
    </i>
    <i r="4">
      <x v="1097"/>
      <x v="47"/>
    </i>
    <i r="4">
      <x v="1240"/>
      <x v="47"/>
    </i>
    <i r="2">
      <x v="9"/>
      <x v="222"/>
      <x v="62"/>
      <x v="47"/>
    </i>
    <i r="4">
      <x v="292"/>
      <x v="47"/>
    </i>
    <i r="4">
      <x v="520"/>
      <x v="47"/>
    </i>
    <i r="4">
      <x v="540"/>
      <x v="47"/>
    </i>
    <i r="4">
      <x v="629"/>
      <x v="47"/>
    </i>
    <i r="4">
      <x v="687"/>
      <x v="47"/>
    </i>
    <i r="4">
      <x v="925"/>
      <x v="47"/>
    </i>
    <i r="4">
      <x v="958"/>
      <x v="47"/>
    </i>
    <i r="4">
      <x v="962"/>
      <x v="47"/>
    </i>
    <i r="4">
      <x v="985"/>
      <x v="47"/>
    </i>
    <i r="4">
      <x v="1141"/>
      <x v="47"/>
    </i>
    <i r="4">
      <x v="1246"/>
      <x v="47"/>
    </i>
    <i r="2">
      <x v="12"/>
      <x v="50"/>
      <x v="248"/>
      <x v="47"/>
    </i>
    <i r="3">
      <x v="56"/>
      <x v="29"/>
      <x v="47"/>
    </i>
    <i r="1">
      <x v="5"/>
      <x v="8"/>
      <x v="222"/>
      <x v="1283"/>
      <x v="47"/>
    </i>
    <i r="1">
      <x v="8"/>
      <x v="10"/>
      <x v="222"/>
      <x v="772"/>
      <x v="47"/>
    </i>
    <i r="1">
      <x v="11"/>
      <x v="9"/>
      <x v="222"/>
      <x v="410"/>
      <x v="47"/>
    </i>
    <i r="1">
      <x v="12"/>
      <x v="1"/>
      <x v="222"/>
      <x v="352"/>
      <x v="47"/>
    </i>
    <i r="4">
      <x v="846"/>
      <x v="47"/>
    </i>
    <i r="1">
      <x v="15"/>
      <x v="8"/>
      <x v="222"/>
      <x v="789"/>
      <x v="47"/>
    </i>
    <i r="1">
      <x v="29"/>
      <x v="10"/>
      <x v="222"/>
      <x v="1456"/>
      <x v="47"/>
    </i>
    <i r="1">
      <x v="37"/>
      <x v="8"/>
      <x v="222"/>
      <x v="1328"/>
      <x v="47"/>
    </i>
    <i r="2">
      <x v="9"/>
      <x v="222"/>
      <x v="1291"/>
      <x v="47"/>
    </i>
    <i>
      <x v="134"/>
      <x/>
      <x v="1"/>
      <x v="223"/>
      <x v="80"/>
      <x v="47"/>
    </i>
    <i r="2">
      <x v="6"/>
      <x v="223"/>
      <x v="371"/>
      <x v="47"/>
    </i>
    <i r="2">
      <x v="12"/>
      <x v="10"/>
      <x v="138"/>
      <x v="47"/>
    </i>
    <i r="3">
      <x v="16"/>
      <x v="332"/>
      <x v="47"/>
    </i>
    <i r="3">
      <x v="17"/>
      <x v="96"/>
      <x v="47"/>
    </i>
    <i r="3">
      <x v="26"/>
      <x v="20"/>
      <x v="47"/>
    </i>
    <i r="2">
      <x v="38"/>
      <x v="223"/>
      <x v="138"/>
      <x v="47"/>
    </i>
    <i r="1">
      <x v="6"/>
      <x v="38"/>
      <x v="223"/>
      <x v="592"/>
      <x v="47"/>
    </i>
    <i r="1">
      <x v="12"/>
      <x v="1"/>
      <x v="223"/>
      <x v="80"/>
      <x v="47"/>
    </i>
    <i r="4">
      <x v="213"/>
      <x v="47"/>
    </i>
    <i r="4">
      <x v="352"/>
      <x v="47"/>
    </i>
    <i r="4">
      <x v="500"/>
      <x v="47"/>
    </i>
    <i r="4">
      <x v="607"/>
      <x v="47"/>
    </i>
    <i r="1">
      <x v="14"/>
      <x v="6"/>
      <x v="223"/>
      <x v="1139"/>
      <x v="47"/>
    </i>
    <i r="1">
      <x v="20"/>
      <x v="10"/>
      <x v="223"/>
      <x v="1866"/>
      <x v="47"/>
    </i>
    <i r="1">
      <x v="23"/>
      <x v="38"/>
      <x v="223"/>
      <x v="19"/>
      <x v="47"/>
    </i>
    <i r="1">
      <x v="29"/>
      <x v="10"/>
      <x v="223"/>
      <x v="1598"/>
      <x v="47"/>
    </i>
    <i r="1">
      <x v="36"/>
      <x v="6"/>
      <x v="223"/>
      <x v="576"/>
      <x v="47"/>
    </i>
    <i>
      <x v="135"/>
      <x/>
      <x v="12"/>
      <x v="18"/>
      <x v="18"/>
      <x v="47"/>
    </i>
    <i r="3">
      <x v="34"/>
      <x v="325"/>
      <x v="47"/>
    </i>
    <i r="3">
      <x v="38"/>
      <x v="11"/>
      <x v="47"/>
    </i>
    <i r="3">
      <x v="50"/>
      <x v="352"/>
      <x v="47"/>
    </i>
    <i r="3">
      <x v="52"/>
      <x v="75"/>
      <x v="47"/>
    </i>
    <i r="1">
      <x v="5"/>
      <x v="37"/>
      <x v="224"/>
      <x v="1207"/>
      <x v="47"/>
    </i>
    <i r="1">
      <x v="6"/>
      <x v="38"/>
      <x v="224"/>
      <x v="619"/>
      <x v="47"/>
    </i>
    <i r="1">
      <x v="12"/>
      <x v="1"/>
      <x v="224"/>
      <x v="80"/>
      <x v="47"/>
    </i>
    <i r="4">
      <x v="213"/>
      <x v="47"/>
    </i>
    <i r="4">
      <x v="352"/>
      <x v="47"/>
    </i>
    <i r="4">
      <x v="771"/>
      <x v="47"/>
    </i>
    <i r="4">
      <x v="964"/>
      <x v="47"/>
    </i>
    <i r="1">
      <x v="17"/>
      <x v="6"/>
      <x v="224"/>
      <x v="1649"/>
      <x v="47"/>
    </i>
    <i r="1">
      <x v="33"/>
      <x v="38"/>
      <x v="224"/>
      <x v="249"/>
      <x v="47"/>
    </i>
    <i>
      <x v="136"/>
      <x/>
      <x v="7"/>
      <x v="225"/>
      <x v="329"/>
      <x v="47"/>
    </i>
    <i r="2">
      <x v="8"/>
      <x v="225"/>
      <x v="247"/>
      <x v="47"/>
    </i>
    <i r="2">
      <x v="9"/>
      <x v="225"/>
      <x v="309"/>
      <x v="47"/>
    </i>
    <i r="4">
      <x v="450"/>
      <x v="47"/>
    </i>
    <i r="4">
      <x v="470"/>
      <x v="47"/>
    </i>
    <i r="4">
      <x v="545"/>
      <x v="47"/>
    </i>
    <i r="4">
      <x v="609"/>
      <x v="47"/>
    </i>
    <i r="4">
      <x v="1004"/>
      <x v="47"/>
    </i>
    <i r="2">
      <x v="12"/>
      <x v="63"/>
      <x v="6"/>
      <x v="47"/>
    </i>
    <i r="2">
      <x v="38"/>
      <x v="225"/>
      <x v="138"/>
      <x v="47"/>
    </i>
    <i r="1">
      <x v="2"/>
      <x v="10"/>
      <x v="225"/>
      <x v="1750"/>
      <x v="47"/>
    </i>
    <i r="1">
      <x v="3"/>
      <x v="10"/>
      <x v="225"/>
      <x v="1355"/>
      <x v="47"/>
    </i>
    <i r="1">
      <x v="8"/>
      <x v="10"/>
      <x v="225"/>
      <x v="1555"/>
      <x v="47"/>
    </i>
    <i r="1">
      <x v="9"/>
      <x v="10"/>
      <x v="225"/>
      <x v="33"/>
      <x v="47"/>
    </i>
    <i r="1">
      <x v="12"/>
      <x v="1"/>
      <x v="225"/>
      <x v="80"/>
      <x v="47"/>
    </i>
    <i r="4">
      <x v="213"/>
      <x v="47"/>
    </i>
    <i r="1">
      <x v="15"/>
      <x v="8"/>
      <x v="225"/>
      <x v="1119"/>
      <x v="47"/>
    </i>
    <i r="1">
      <x v="18"/>
      <x v="10"/>
      <x v="225"/>
      <x v="1874"/>
      <x v="47"/>
    </i>
    <i r="1">
      <x v="19"/>
      <x v="6"/>
      <x v="225"/>
      <x v="433"/>
      <x v="47"/>
    </i>
    <i r="1">
      <x v="22"/>
      <x v="38"/>
      <x v="225"/>
      <x v="1453"/>
      <x v="47"/>
    </i>
    <i r="1">
      <x v="23"/>
      <x v="38"/>
      <x v="225"/>
      <x v="30"/>
      <x v="47"/>
    </i>
    <i r="1">
      <x v="35"/>
      <x v="1"/>
      <x v="225"/>
      <x v="80"/>
      <x v="47"/>
    </i>
    <i r="1">
      <x v="36"/>
      <x v="10"/>
      <x v="225"/>
      <x v="1576"/>
      <x v="47"/>
    </i>
    <i r="1">
      <x v="38"/>
      <x v="10"/>
      <x v="225"/>
      <x v="1276"/>
      <x v="47"/>
    </i>
    <i>
      <x v="137"/>
      <x/>
      <x v="12"/>
      <x v="21"/>
      <x v="194"/>
      <x v="47"/>
    </i>
    <i r="3">
      <x v="24"/>
      <x v="23"/>
      <x v="47"/>
    </i>
    <i r="3">
      <x v="32"/>
      <x v="744"/>
      <x v="47"/>
    </i>
    <i r="3">
      <x v="71"/>
      <x v="139"/>
      <x v="47"/>
    </i>
    <i r="1">
      <x v="3"/>
      <x v="38"/>
      <x v="226"/>
      <x v="561"/>
      <x v="47"/>
    </i>
    <i r="1">
      <x v="5"/>
      <x v="37"/>
      <x v="226"/>
      <x v="1832"/>
      <x v="47"/>
    </i>
    <i r="2">
      <x v="38"/>
      <x v="226"/>
      <x v="1707"/>
      <x v="47"/>
    </i>
    <i r="1">
      <x v="6"/>
      <x v="38"/>
      <x v="226"/>
      <x v="947"/>
      <x v="47"/>
    </i>
    <i r="1">
      <x v="8"/>
      <x v="38"/>
      <x v="226"/>
      <x v="532"/>
      <x v="47"/>
    </i>
    <i r="1">
      <x v="12"/>
      <x v="1"/>
      <x v="226"/>
      <x v="80"/>
      <x v="47"/>
    </i>
    <i r="4">
      <x v="213"/>
      <x v="47"/>
    </i>
    <i r="4">
      <x v="500"/>
      <x v="47"/>
    </i>
    <i r="4">
      <x v="846"/>
      <x v="47"/>
    </i>
    <i r="1">
      <x v="14"/>
      <x v="1"/>
      <x v="226"/>
      <x v="1169"/>
      <x v="47"/>
    </i>
    <i r="1">
      <x v="15"/>
      <x v="37"/>
      <x v="226"/>
      <x v="897"/>
      <x v="47"/>
    </i>
    <i r="2">
      <x v="38"/>
      <x v="226"/>
      <x v="607"/>
      <x v="47"/>
    </i>
    <i r="1">
      <x v="17"/>
      <x v="38"/>
      <x v="226"/>
      <x v="1453"/>
      <x v="47"/>
    </i>
    <i r="1">
      <x v="24"/>
      <x v="38"/>
      <x v="226"/>
      <x v="1592"/>
      <x v="47"/>
    </i>
    <i r="1">
      <x v="26"/>
      <x v="38"/>
      <x v="226"/>
      <x v="371"/>
      <x v="47"/>
    </i>
    <i r="1">
      <x v="33"/>
      <x v="38"/>
      <x v="226"/>
      <x v="1280"/>
      <x v="47"/>
    </i>
    <i r="1">
      <x v="35"/>
      <x v="1"/>
      <x v="226"/>
      <x v="213"/>
      <x v="47"/>
    </i>
    <i>
      <x v="138"/>
      <x v="12"/>
      <x v="1"/>
      <x v="227"/>
      <x v="80"/>
      <x v="47"/>
    </i>
    <i r="4">
      <x v="213"/>
      <x v="47"/>
    </i>
    <i r="2">
      <x v="38"/>
      <x v="227"/>
      <x v="1066"/>
      <x v="47"/>
    </i>
    <i r="1">
      <x v="15"/>
      <x v="38"/>
      <x v="227"/>
      <x v="469"/>
      <x v="47"/>
    </i>
    <i r="1">
      <x v="23"/>
      <x v="38"/>
      <x v="227"/>
      <x v="1188"/>
      <x v="47"/>
    </i>
    <i r="1">
      <x v="33"/>
      <x v="6"/>
      <x v="227"/>
      <x v="469"/>
      <x v="47"/>
    </i>
    <i r="1">
      <x v="35"/>
      <x v="1"/>
      <x v="227"/>
      <x v="80"/>
      <x v="47"/>
    </i>
    <i r="1">
      <x v="36"/>
      <x v="6"/>
      <x v="227"/>
      <x v="404"/>
      <x v="47"/>
    </i>
    <i r="2">
      <x v="38"/>
      <x v="227"/>
      <x v="567"/>
      <x v="47"/>
    </i>
    <i>
      <x v="139"/>
      <x/>
      <x v="12"/>
      <x v="38"/>
      <x v="9"/>
      <x v="47"/>
    </i>
    <i r="3">
      <x v="56"/>
      <x v="6"/>
      <x v="47"/>
    </i>
    <i r="1">
      <x v="12"/>
      <x v="1"/>
      <x v="228"/>
      <x v="352"/>
      <x v="47"/>
    </i>
    <i r="1">
      <x v="35"/>
      <x v="1"/>
      <x v="228"/>
      <x v="213"/>
      <x v="47"/>
    </i>
    <i r="4">
      <x v="352"/>
      <x v="47"/>
    </i>
    <i r="1">
      <x v="36"/>
      <x v="38"/>
      <x v="228"/>
      <x v="125"/>
      <x v="47"/>
    </i>
    <i>
      <x v="140"/>
      <x/>
      <x v="6"/>
      <x v="230"/>
      <x v="913"/>
      <x v="47"/>
    </i>
    <i r="4">
      <x v="934"/>
      <x v="47"/>
    </i>
    <i r="2">
      <x v="8"/>
      <x v="230"/>
      <x v="248"/>
      <x v="47"/>
    </i>
    <i r="4">
      <x v="550"/>
      <x v="47"/>
    </i>
    <i r="2">
      <x v="9"/>
      <x v="230"/>
      <x v="136"/>
      <x v="47"/>
    </i>
    <i r="4">
      <x v="248"/>
      <x v="47"/>
    </i>
    <i r="4">
      <x v="321"/>
      <x v="47"/>
    </i>
    <i r="4">
      <x v="611"/>
      <x v="47"/>
    </i>
    <i r="4">
      <x v="688"/>
      <x v="47"/>
    </i>
    <i r="4">
      <x v="747"/>
      <x v="47"/>
    </i>
    <i r="4">
      <x v="1067"/>
      <x v="47"/>
    </i>
    <i r="4">
      <x v="1075"/>
      <x v="47"/>
    </i>
    <i r="2">
      <x v="24"/>
      <x v="229"/>
      <x v="293"/>
      <x v="47"/>
    </i>
    <i r="4">
      <x v="833"/>
      <x v="47"/>
    </i>
    <i r="4">
      <x v="860"/>
      <x v="47"/>
    </i>
    <i r="4">
      <x v="1121"/>
      <x v="47"/>
    </i>
    <i r="4">
      <x v="1201"/>
      <x v="47"/>
    </i>
    <i r="1">
      <x v="2"/>
      <x v="9"/>
      <x v="230"/>
      <x v="663"/>
      <x v="47"/>
    </i>
    <i r="2">
      <x v="24"/>
      <x v="229"/>
      <x v="1783"/>
      <x v="47"/>
    </i>
    <i r="1">
      <x v="3"/>
      <x v="24"/>
      <x v="229"/>
      <x v="330"/>
      <x v="47"/>
    </i>
    <i r="1">
      <x v="5"/>
      <x v="38"/>
      <x v="230"/>
      <x v="1682"/>
      <x v="47"/>
    </i>
    <i r="1">
      <x v="12"/>
      <x v="1"/>
      <x v="230"/>
      <x v="80"/>
      <x v="47"/>
    </i>
    <i r="4">
      <x v="213"/>
      <x v="47"/>
    </i>
    <i r="4">
      <x v="500"/>
      <x v="47"/>
    </i>
    <i r="4">
      <x v="702"/>
      <x v="47"/>
    </i>
    <i r="4">
      <x v="964"/>
      <x v="47"/>
    </i>
    <i r="2">
      <x v="24"/>
      <x v="229"/>
      <x v="58"/>
      <x v="47"/>
    </i>
    <i r="4">
      <x v="444"/>
      <x v="47"/>
    </i>
    <i r="4">
      <x v="508"/>
      <x v="47"/>
    </i>
    <i r="4">
      <x v="1186"/>
      <x v="47"/>
    </i>
    <i r="4">
      <x v="1273"/>
      <x v="47"/>
    </i>
    <i r="4">
      <x v="1346"/>
      <x v="47"/>
    </i>
    <i r="4">
      <x v="1420"/>
      <x v="47"/>
    </i>
    <i r="4">
      <x v="1511"/>
      <x v="47"/>
    </i>
    <i r="4">
      <x v="1513"/>
      <x v="47"/>
    </i>
    <i r="4">
      <x v="1524"/>
      <x v="47"/>
    </i>
    <i r="4">
      <x v="1541"/>
      <x v="47"/>
    </i>
    <i r="4">
      <x v="1585"/>
      <x v="47"/>
    </i>
    <i r="4">
      <x v="1596"/>
      <x v="47"/>
    </i>
    <i r="4">
      <x v="1636"/>
      <x v="47"/>
    </i>
    <i r="4">
      <x v="1651"/>
      <x v="47"/>
    </i>
    <i r="4">
      <x v="1700"/>
      <x v="47"/>
    </i>
    <i r="4">
      <x v="1702"/>
      <x v="47"/>
    </i>
    <i r="4">
      <x v="1710"/>
      <x v="47"/>
    </i>
    <i r="4">
      <x v="1717"/>
      <x v="47"/>
    </i>
    <i r="4">
      <x v="1734"/>
      <x v="47"/>
    </i>
    <i r="4">
      <x v="1775"/>
      <x v="47"/>
    </i>
    <i r="4">
      <x v="1818"/>
      <x v="47"/>
    </i>
    <i r="4">
      <x v="1831"/>
      <x v="47"/>
    </i>
    <i r="4">
      <x v="1838"/>
      <x v="47"/>
    </i>
    <i r="2">
      <x v="38"/>
      <x v="230"/>
      <x v="892"/>
      <x v="47"/>
    </i>
    <i r="1">
      <x v="14"/>
      <x v="38"/>
      <x v="230"/>
      <x v="418"/>
      <x v="47"/>
    </i>
    <i r="1">
      <x v="15"/>
      <x v="8"/>
      <x v="230"/>
      <x v="173"/>
      <x v="47"/>
    </i>
    <i r="2">
      <x v="24"/>
      <x v="229"/>
      <x v="1663"/>
      <x v="47"/>
    </i>
    <i r="2">
      <x v="38"/>
      <x v="230"/>
      <x v="1800"/>
      <x v="47"/>
    </i>
    <i r="1">
      <x v="17"/>
      <x v="6"/>
      <x v="230"/>
      <x v="1834"/>
      <x v="47"/>
    </i>
    <i r="1">
      <x v="21"/>
      <x v="24"/>
      <x v="229"/>
      <x v="1846"/>
      <x v="47"/>
    </i>
    <i r="1">
      <x v="23"/>
      <x v="24"/>
      <x v="229"/>
      <x v="1779"/>
      <x v="47"/>
    </i>
    <i r="1">
      <x v="24"/>
      <x v="24"/>
      <x v="229"/>
      <x v="1733"/>
      <x v="47"/>
    </i>
    <i r="1">
      <x v="26"/>
      <x v="38"/>
      <x v="230"/>
      <x v="1380"/>
      <x v="47"/>
    </i>
    <i r="1">
      <x v="29"/>
      <x v="38"/>
      <x v="230"/>
      <x v="1766"/>
      <x v="47"/>
    </i>
    <i r="1">
      <x v="35"/>
      <x v="1"/>
      <x v="230"/>
      <x v="80"/>
      <x v="47"/>
    </i>
    <i r="2">
      <x v="24"/>
      <x v="229"/>
      <x v="141"/>
      <x v="47"/>
    </i>
    <i r="4">
      <x v="204"/>
      <x v="47"/>
    </i>
    <i r="4">
      <x v="319"/>
      <x v="47"/>
    </i>
    <i r="4">
      <x v="357"/>
      <x v="47"/>
    </i>
    <i r="4">
      <x v="447"/>
      <x v="47"/>
    </i>
    <i r="4">
      <x v="448"/>
      <x v="47"/>
    </i>
    <i r="4">
      <x v="479"/>
      <x v="47"/>
    </i>
    <i r="4">
      <x v="536"/>
      <x v="47"/>
    </i>
    <i r="4">
      <x v="722"/>
      <x v="47"/>
    </i>
    <i r="4">
      <x v="792"/>
      <x v="47"/>
    </i>
    <i r="4">
      <x v="976"/>
      <x v="47"/>
    </i>
    <i r="4">
      <x v="1168"/>
      <x v="47"/>
    </i>
    <i r="4">
      <x v="1472"/>
      <x v="47"/>
    </i>
    <i r="1">
      <x v="36"/>
      <x v="9"/>
      <x v="230"/>
      <x v="1204"/>
      <x v="47"/>
    </i>
    <i r="1">
      <x v="37"/>
      <x v="24"/>
      <x v="229"/>
      <x v="993"/>
      <x v="47"/>
    </i>
    <i>
      <x v="141"/>
      <x/>
      <x v="9"/>
      <x v="231"/>
      <x v="351"/>
      <x v="47"/>
    </i>
    <i r="4">
      <x v="807"/>
      <x v="47"/>
    </i>
    <i r="4">
      <x v="812"/>
      <x v="47"/>
    </i>
    <i r="2">
      <x v="12"/>
      <x v="25"/>
      <x v="180"/>
      <x v="47"/>
    </i>
    <i r="3">
      <x v="52"/>
      <x v="35"/>
      <x v="47"/>
    </i>
    <i r="1">
      <x v="10"/>
      <x v="38"/>
      <x v="231"/>
      <x v="1861"/>
      <x v="47"/>
    </i>
    <i r="1">
      <x v="11"/>
      <x v="8"/>
      <x v="231"/>
      <x v="1233"/>
      <x v="47"/>
    </i>
    <i r="1">
      <x v="12"/>
      <x v="1"/>
      <x v="231"/>
      <x v="80"/>
      <x v="47"/>
    </i>
    <i r="4">
      <x v="352"/>
      <x v="47"/>
    </i>
    <i r="1">
      <x v="27"/>
      <x v="38"/>
      <x v="231"/>
      <x v="1634"/>
      <x v="47"/>
    </i>
    <i>
      <x v="142"/>
      <x/>
      <x v="6"/>
      <x v="232"/>
      <x v="933"/>
      <x v="47"/>
    </i>
    <i r="2">
      <x v="12"/>
      <x v="11"/>
      <x v="138"/>
      <x v="47"/>
    </i>
    <i r="3">
      <x v="23"/>
      <x v="114"/>
      <x v="47"/>
    </i>
    <i r="3">
      <x v="47"/>
      <x v="314"/>
      <x v="47"/>
    </i>
    <i r="3">
      <x v="49"/>
      <x v="52"/>
      <x v="47"/>
    </i>
    <i r="3">
      <x v="63"/>
      <x v="6"/>
      <x v="47"/>
    </i>
    <i r="2">
      <x v="38"/>
      <x v="232"/>
      <x v="109"/>
      <x v="47"/>
    </i>
    <i r="4">
      <x v="500"/>
      <x v="47"/>
    </i>
    <i r="4">
      <x v="943"/>
      <x v="47"/>
    </i>
    <i r="4">
      <x v="1093"/>
      <x v="47"/>
    </i>
    <i r="4">
      <x v="1150"/>
      <x v="47"/>
    </i>
    <i r="1">
      <x v="2"/>
      <x v="1"/>
      <x v="232"/>
      <x v="257"/>
      <x v="47"/>
    </i>
    <i r="2">
      <x v="6"/>
      <x v="232"/>
      <x v="325"/>
      <x v="47"/>
    </i>
    <i r="1">
      <x v="7"/>
      <x v="38"/>
      <x v="232"/>
      <x v="776"/>
      <x v="47"/>
    </i>
    <i r="1">
      <x v="8"/>
      <x v="10"/>
      <x v="232"/>
      <x/>
      <x v="6"/>
    </i>
    <i r="1">
      <x v="10"/>
      <x v="38"/>
      <x v="232"/>
      <x v="1744"/>
      <x v="47"/>
    </i>
    <i r="1">
      <x v="12"/>
      <x v="1"/>
      <x v="232"/>
      <x v="80"/>
      <x v="47"/>
    </i>
    <i r="4">
      <x v="213"/>
      <x v="47"/>
    </i>
    <i r="4">
      <x v="352"/>
      <x v="47"/>
    </i>
    <i r="2">
      <x v="38"/>
      <x v="232"/>
      <x v="278"/>
      <x v="47"/>
    </i>
    <i r="4">
      <x v="500"/>
      <x v="47"/>
    </i>
    <i r="1">
      <x v="15"/>
      <x v="38"/>
      <x v="232"/>
      <x v="1319"/>
      <x v="47"/>
    </i>
    <i r="1">
      <x v="23"/>
      <x v="38"/>
      <x v="232"/>
      <x v="93"/>
      <x v="47"/>
    </i>
    <i r="1">
      <x v="26"/>
      <x v="38"/>
      <x v="232"/>
      <x v="371"/>
      <x v="47"/>
    </i>
    <i r="1">
      <x v="34"/>
      <x v="38"/>
      <x v="232"/>
      <x v="39"/>
      <x v="47"/>
    </i>
    <i r="1">
      <x v="35"/>
      <x v="1"/>
      <x v="232"/>
      <x v="80"/>
      <x v="47"/>
    </i>
    <i r="4">
      <x v="213"/>
      <x v="47"/>
    </i>
    <i r="2">
      <x v="38"/>
      <x v="232"/>
      <x v="846"/>
      <x v="47"/>
    </i>
    <i r="1">
      <x v="38"/>
      <x v="38"/>
      <x v="232"/>
      <x v="500"/>
      <x v="47"/>
    </i>
    <i>
      <x v="143"/>
      <x/>
      <x v="12"/>
      <x v="41"/>
      <x v="213"/>
      <x v="47"/>
    </i>
    <i r="3">
      <x v="50"/>
      <x v="248"/>
      <x v="47"/>
    </i>
    <i r="1">
      <x v="10"/>
      <x v="10"/>
      <x v="233"/>
      <x/>
      <x v="8"/>
    </i>
    <i r="1">
      <x v="14"/>
      <x v="37"/>
      <x v="233"/>
      <x v="1181"/>
      <x v="47"/>
    </i>
    <i r="1">
      <x v="32"/>
      <x v="9"/>
      <x v="233"/>
      <x v="1793"/>
      <x v="47"/>
    </i>
    <i>
      <x v="144"/>
      <x/>
      <x v="12"/>
      <x v="7"/>
      <x v="90"/>
      <x v="47"/>
    </i>
    <i r="3">
      <x v="62"/>
      <x v="85"/>
      <x v="47"/>
    </i>
    <i>
      <x v="145"/>
      <x/>
      <x v="1"/>
      <x v="234"/>
      <x v="80"/>
      <x v="47"/>
    </i>
    <i r="2">
      <x v="6"/>
      <x v="234"/>
      <x v="469"/>
      <x v="47"/>
    </i>
    <i r="2">
      <x v="11"/>
      <x v="14"/>
      <x v="213"/>
      <x v="47"/>
    </i>
    <i r="2">
      <x v="12"/>
      <x v="19"/>
      <x v="35"/>
      <x v="47"/>
    </i>
    <i r="3">
      <x v="34"/>
      <x v="719"/>
      <x v="47"/>
    </i>
    <i r="2">
      <x v="38"/>
      <x v="234"/>
      <x v="1170"/>
      <x v="47"/>
    </i>
    <i r="1">
      <x v="3"/>
      <x v="38"/>
      <x v="234"/>
      <x v="106"/>
      <x v="47"/>
    </i>
    <i r="1">
      <x v="7"/>
      <x v="6"/>
      <x v="234"/>
      <x v="539"/>
      <x v="47"/>
    </i>
    <i r="1">
      <x v="8"/>
      <x v="38"/>
      <x v="234"/>
      <x v="642"/>
      <x v="47"/>
    </i>
    <i r="1">
      <x v="12"/>
      <x v="1"/>
      <x v="234"/>
      <x v="213"/>
      <x v="47"/>
    </i>
    <i r="4">
      <x v="500"/>
      <x v="47"/>
    </i>
    <i r="4">
      <x v="607"/>
      <x v="47"/>
    </i>
    <i r="4">
      <x v="771"/>
      <x v="47"/>
    </i>
    <i r="2">
      <x v="38"/>
      <x v="234"/>
      <x v="1343"/>
      <x v="47"/>
    </i>
    <i r="4">
      <x v="1528"/>
      <x v="47"/>
    </i>
    <i r="1">
      <x v="15"/>
      <x v="38"/>
      <x v="234"/>
      <x v="744"/>
      <x v="47"/>
    </i>
    <i r="1">
      <x v="27"/>
      <x v="38"/>
      <x v="234"/>
      <x v="39"/>
      <x v="47"/>
    </i>
    <i r="1">
      <x v="35"/>
      <x v="1"/>
      <x v="234"/>
      <x v="80"/>
      <x v="47"/>
    </i>
    <i r="4">
      <x v="846"/>
      <x v="47"/>
    </i>
    <i>
      <x v="146"/>
      <x/>
      <x v="8"/>
      <x v="235"/>
      <x v="1028"/>
      <x v="47"/>
    </i>
    <i r="2">
      <x v="9"/>
      <x v="235"/>
      <x v="128"/>
      <x v="47"/>
    </i>
    <i r="4">
      <x v="257"/>
      <x v="47"/>
    </i>
    <i r="4">
      <x v="267"/>
      <x v="47"/>
    </i>
    <i r="4">
      <x v="824"/>
      <x v="47"/>
    </i>
    <i r="4">
      <x v="1033"/>
      <x v="47"/>
    </i>
    <i r="4">
      <x v="1057"/>
      <x v="47"/>
    </i>
    <i r="4">
      <x v="1089"/>
      <x v="47"/>
    </i>
    <i r="4">
      <x v="1105"/>
      <x v="47"/>
    </i>
    <i r="4">
      <x v="1203"/>
      <x v="47"/>
    </i>
    <i r="2">
      <x v="12"/>
      <x v="25"/>
      <x v="55"/>
      <x v="47"/>
    </i>
    <i r="1">
      <x v="6"/>
      <x v="38"/>
      <x v="235"/>
      <x v="1229"/>
      <x v="47"/>
    </i>
    <i r="1">
      <x v="8"/>
      <x v="38"/>
      <x v="235"/>
      <x v="1390"/>
      <x v="47"/>
    </i>
    <i r="1">
      <x v="10"/>
      <x v="10"/>
      <x v="235"/>
      <x v="1847"/>
      <x v="47"/>
    </i>
    <i r="1">
      <x v="12"/>
      <x v="1"/>
      <x v="235"/>
      <x v="80"/>
      <x v="47"/>
    </i>
    <i r="4">
      <x v="352"/>
      <x v="47"/>
    </i>
    <i r="4">
      <x v="500"/>
      <x v="47"/>
    </i>
    <i r="4">
      <x v="607"/>
      <x v="47"/>
    </i>
    <i r="4">
      <x v="702"/>
      <x v="47"/>
    </i>
    <i r="4">
      <x v="771"/>
      <x v="47"/>
    </i>
    <i r="1">
      <x v="17"/>
      <x v="6"/>
      <x v="235"/>
      <x v="1696"/>
      <x v="47"/>
    </i>
    <i r="2">
      <x v="9"/>
      <x v="235"/>
      <x v="1433"/>
      <x v="47"/>
    </i>
    <i r="1">
      <x v="19"/>
      <x v="6"/>
      <x v="235"/>
      <x v="539"/>
      <x v="47"/>
    </i>
    <i r="1">
      <x v="23"/>
      <x v="6"/>
      <x v="235"/>
      <x v="325"/>
      <x v="47"/>
    </i>
    <i r="1">
      <x v="33"/>
      <x v="38"/>
      <x v="235"/>
      <x v="710"/>
      <x v="47"/>
    </i>
    <i r="1">
      <x v="34"/>
      <x v="38"/>
      <x v="235"/>
      <x v="1167"/>
      <x v="47"/>
    </i>
    <i r="1">
      <x v="35"/>
      <x v="1"/>
      <x v="235"/>
      <x v="80"/>
      <x v="47"/>
    </i>
    <i r="4">
      <x v="500"/>
      <x v="47"/>
    </i>
    <i r="1">
      <x v="36"/>
      <x v="8"/>
      <x v="235"/>
      <x v="1463"/>
      <x v="47"/>
    </i>
    <i r="2">
      <x v="9"/>
      <x v="235"/>
      <x v="1368"/>
      <x v="47"/>
    </i>
    <i r="2">
      <x v="38"/>
      <x v="235"/>
      <x v="214"/>
      <x v="47"/>
    </i>
    <i>
      <x v="147"/>
      <x/>
      <x v="12"/>
      <x v="4"/>
      <x v="73"/>
      <x v="47"/>
    </i>
    <i r="3">
      <x v="26"/>
      <x v="25"/>
      <x v="47"/>
    </i>
    <i r="3">
      <x v="55"/>
      <x v="25"/>
      <x v="47"/>
    </i>
    <i r="1">
      <x v="1"/>
      <x v="37"/>
      <x v="236"/>
      <x v="1851"/>
      <x v="47"/>
    </i>
    <i r="1">
      <x v="5"/>
      <x v="37"/>
      <x v="236"/>
      <x v="960"/>
      <x v="47"/>
    </i>
    <i r="1">
      <x v="12"/>
      <x v="1"/>
      <x v="236"/>
      <x v="80"/>
      <x v="47"/>
    </i>
    <i r="4">
      <x v="213"/>
      <x v="47"/>
    </i>
    <i r="4">
      <x v="352"/>
      <x v="47"/>
    </i>
    <i r="1">
      <x v="20"/>
      <x v="10"/>
      <x v="236"/>
      <x/>
      <x v="3"/>
    </i>
    <i r="1">
      <x v="29"/>
      <x v="6"/>
      <x v="236"/>
      <x v="955"/>
      <x v="47"/>
    </i>
    <i r="1">
      <x v="35"/>
      <x v="1"/>
      <x v="236"/>
      <x v="80"/>
      <x v="47"/>
    </i>
    <i r="1">
      <x v="36"/>
      <x v="6"/>
      <x v="236"/>
      <x v="838"/>
      <x v="47"/>
    </i>
    <i>
      <x v="148"/>
      <x/>
      <x v="1"/>
      <x v="237"/>
      <x v="80"/>
      <x v="47"/>
    </i>
    <i r="2">
      <x v="6"/>
      <x v="237"/>
      <x v="469"/>
      <x v="47"/>
    </i>
    <i r="2">
      <x v="8"/>
      <x v="237"/>
      <x v="682"/>
      <x v="47"/>
    </i>
    <i r="4">
      <x v="1187"/>
      <x v="47"/>
    </i>
    <i r="2">
      <x v="9"/>
      <x v="237"/>
      <x v="341"/>
      <x v="47"/>
    </i>
    <i r="4">
      <x v="429"/>
      <x v="47"/>
    </i>
    <i r="4">
      <x v="493"/>
      <x v="47"/>
    </i>
    <i r="4">
      <x v="915"/>
      <x v="47"/>
    </i>
    <i r="4">
      <x v="921"/>
      <x v="47"/>
    </i>
    <i r="4">
      <x v="959"/>
      <x v="47"/>
    </i>
    <i r="4">
      <x v="1210"/>
      <x v="47"/>
    </i>
    <i r="2">
      <x v="12"/>
      <x v="6"/>
      <x v="186"/>
      <x v="47"/>
    </i>
    <i r="3">
      <x v="28"/>
      <x v="131"/>
      <x v="47"/>
    </i>
    <i r="3">
      <x v="30"/>
      <x v="92"/>
      <x v="47"/>
    </i>
    <i r="3">
      <x v="35"/>
      <x v="27"/>
      <x v="47"/>
    </i>
    <i r="2">
      <x v="38"/>
      <x v="237"/>
      <x v="1503"/>
      <x v="47"/>
    </i>
    <i r="1">
      <x v="5"/>
      <x v="38"/>
      <x v="237"/>
      <x v="1665"/>
      <x v="47"/>
    </i>
    <i r="1">
      <x v="8"/>
      <x v="38"/>
      <x v="237"/>
      <x v="900"/>
      <x v="47"/>
    </i>
    <i r="1">
      <x v="9"/>
      <x v="8"/>
      <x v="237"/>
      <x v="683"/>
      <x v="47"/>
    </i>
    <i r="1">
      <x v="12"/>
      <x v="1"/>
      <x v="237"/>
      <x v="80"/>
      <x v="47"/>
    </i>
    <i r="4">
      <x v="213"/>
      <x v="47"/>
    </i>
    <i r="4">
      <x v="352"/>
      <x v="47"/>
    </i>
    <i r="4">
      <x v="500"/>
      <x v="47"/>
    </i>
    <i r="4">
      <x v="607"/>
      <x v="47"/>
    </i>
    <i r="1">
      <x v="15"/>
      <x v="8"/>
      <x v="237"/>
      <x v="224"/>
      <x v="47"/>
    </i>
    <i r="2">
      <x v="9"/>
      <x v="237"/>
      <x v="133"/>
      <x v="47"/>
    </i>
    <i r="1">
      <x v="17"/>
      <x v="7"/>
      <x v="237"/>
      <x v="1219"/>
      <x v="47"/>
    </i>
    <i r="2">
      <x v="10"/>
      <x v="237"/>
      <x v="1852"/>
      <x v="47"/>
    </i>
    <i r="1">
      <x v="23"/>
      <x v="38"/>
      <x v="237"/>
      <x v="84"/>
      <x v="47"/>
    </i>
    <i r="1">
      <x v="26"/>
      <x v="38"/>
      <x v="237"/>
      <x v="109"/>
      <x v="47"/>
    </i>
    <i r="1">
      <x v="27"/>
      <x v="6"/>
      <x v="237"/>
      <x v="1622"/>
      <x v="47"/>
    </i>
    <i r="1">
      <x v="31"/>
      <x v="9"/>
      <x v="237"/>
      <x v="1865"/>
      <x v="47"/>
    </i>
    <i r="1">
      <x v="32"/>
      <x v="9"/>
      <x v="237"/>
      <x/>
      <x v="4"/>
    </i>
    <i r="1">
      <x v="35"/>
      <x v="38"/>
      <x v="237"/>
      <x v="1271"/>
      <x v="47"/>
    </i>
    <i r="1">
      <x v="36"/>
      <x v="8"/>
      <x v="237"/>
      <x v="1115"/>
      <x v="47"/>
    </i>
    <i r="1">
      <x v="37"/>
      <x v="8"/>
      <x v="237"/>
      <x v="327"/>
      <x v="47"/>
    </i>
    <i r="2">
      <x v="9"/>
      <x v="237"/>
      <x v="1443"/>
      <x v="47"/>
    </i>
    <i>
      <x v="149"/>
      <x/>
      <x v="1"/>
      <x v="238"/>
      <x v="80"/>
      <x v="47"/>
    </i>
    <i r="2">
      <x v="9"/>
      <x v="238"/>
      <x v="539"/>
      <x v="47"/>
    </i>
    <i r="4">
      <x v="547"/>
      <x v="47"/>
    </i>
    <i r="4">
      <x v="984"/>
      <x v="47"/>
    </i>
    <i r="2">
      <x v="12"/>
      <x v="16"/>
      <x v="90"/>
      <x v="47"/>
    </i>
    <i r="3">
      <x v="19"/>
      <x v="25"/>
      <x v="47"/>
    </i>
    <i r="1">
      <x v="3"/>
      <x v="38"/>
      <x v="238"/>
      <x v="109"/>
      <x v="47"/>
    </i>
    <i r="1">
      <x v="5"/>
      <x v="10"/>
      <x v="238"/>
      <x v="1362"/>
      <x v="47"/>
    </i>
    <i r="2">
      <x v="38"/>
      <x v="238"/>
      <x v="371"/>
      <x v="47"/>
    </i>
    <i r="1">
      <x v="6"/>
      <x v="38"/>
      <x v="238"/>
      <x v="919"/>
      <x v="47"/>
    </i>
    <i r="1">
      <x v="12"/>
      <x v="1"/>
      <x v="238"/>
      <x v="80"/>
      <x v="47"/>
    </i>
    <i r="4">
      <x v="352"/>
      <x v="47"/>
    </i>
    <i r="4">
      <x v="500"/>
      <x v="47"/>
    </i>
    <i r="4">
      <x v="607"/>
      <x v="47"/>
    </i>
    <i r="1">
      <x v="15"/>
      <x v="38"/>
      <x v="238"/>
      <x v="1337"/>
      <x v="47"/>
    </i>
    <i r="1">
      <x v="21"/>
      <x v="38"/>
      <x v="238"/>
      <x v="1274"/>
      <x v="47"/>
    </i>
    <i r="1">
      <x v="23"/>
      <x v="7"/>
      <x v="238"/>
      <x v="371"/>
      <x v="47"/>
    </i>
    <i r="2">
      <x v="9"/>
      <x v="238"/>
      <x v="1512"/>
      <x v="47"/>
    </i>
    <i r="2">
      <x v="38"/>
      <x v="238"/>
      <x v="1855"/>
      <x v="47"/>
    </i>
    <i r="1">
      <x v="26"/>
      <x v="38"/>
      <x v="238"/>
      <x v="278"/>
      <x v="47"/>
    </i>
    <i r="1">
      <x v="33"/>
      <x v="9"/>
      <x v="238"/>
      <x v="1069"/>
      <x v="47"/>
    </i>
    <i r="2">
      <x v="38"/>
      <x v="238"/>
      <x v="849"/>
      <x v="47"/>
    </i>
    <i r="1">
      <x v="35"/>
      <x v="1"/>
      <x v="238"/>
      <x v="80"/>
      <x v="47"/>
    </i>
    <i r="4">
      <x v="352"/>
      <x v="47"/>
    </i>
    <i r="4">
      <x v="500"/>
      <x v="47"/>
    </i>
    <i>
      <x v="150"/>
      <x/>
      <x v="8"/>
      <x v="239"/>
      <x/>
      <x v="10"/>
    </i>
    <i r="5">
      <x v="22"/>
    </i>
    <i r="2">
      <x v="9"/>
      <x v="239"/>
      <x v="825"/>
      <x v="47"/>
    </i>
    <i r="4">
      <x v="1494"/>
      <x v="47"/>
    </i>
    <i r="2">
      <x v="10"/>
      <x v="239"/>
      <x/>
      <x v="25"/>
    </i>
    <i r="2">
      <x v="12"/>
      <x v="57"/>
      <x v="11"/>
      <x v="47"/>
    </i>
    <i r="1">
      <x v="8"/>
      <x v="38"/>
      <x v="239"/>
      <x v="868"/>
      <x v="47"/>
    </i>
    <i r="1">
      <x v="9"/>
      <x v="1"/>
      <x v="239"/>
      <x v="72"/>
      <x v="47"/>
    </i>
    <i r="1">
      <x v="11"/>
      <x v="7"/>
      <x v="239"/>
      <x v="313"/>
      <x v="47"/>
    </i>
    <i r="2">
      <x v="8"/>
      <x v="239"/>
      <x/>
      <x v="35"/>
    </i>
    <i r="1">
      <x v="12"/>
      <x v="1"/>
      <x v="239"/>
      <x v="80"/>
      <x v="47"/>
    </i>
    <i r="4">
      <x v="213"/>
      <x v="47"/>
    </i>
    <i r="2">
      <x v="38"/>
      <x v="239"/>
      <x v="1244"/>
      <x v="47"/>
    </i>
    <i r="1">
      <x v="14"/>
      <x v="8"/>
      <x v="239"/>
      <x/>
      <x v="16"/>
    </i>
    <i r="2">
      <x v="9"/>
      <x v="239"/>
      <x v="1169"/>
      <x v="47"/>
    </i>
    <i r="1">
      <x v="15"/>
      <x v="6"/>
      <x v="239"/>
      <x v="465"/>
      <x v="47"/>
    </i>
    <i r="2">
      <x v="37"/>
      <x v="239"/>
      <x v="1813"/>
      <x v="47"/>
    </i>
    <i r="2">
      <x v="38"/>
      <x v="239"/>
      <x v="1114"/>
      <x v="47"/>
    </i>
    <i>
      <x v="151"/>
      <x/>
      <x v="12"/>
      <x v="29"/>
      <x v="11"/>
      <x v="47"/>
    </i>
    <i r="2">
      <x v="16"/>
      <x v="240"/>
      <x v="636"/>
      <x v="47"/>
    </i>
    <i r="4">
      <x v="783"/>
      <x v="47"/>
    </i>
    <i r="4">
      <x v="811"/>
      <x v="47"/>
    </i>
    <i r="4">
      <x v="1237"/>
      <x v="47"/>
    </i>
    <i r="1">
      <x v="2"/>
      <x v="16"/>
      <x v="240"/>
      <x v="1760"/>
      <x v="47"/>
    </i>
    <i r="1">
      <x v="3"/>
      <x v="16"/>
      <x v="240"/>
      <x v="477"/>
      <x v="47"/>
    </i>
    <i r="2">
      <x v="38"/>
      <x v="241"/>
      <x v="138"/>
      <x v="47"/>
    </i>
    <i r="1">
      <x v="5"/>
      <x v="38"/>
      <x v="241"/>
      <x v="1773"/>
      <x v="47"/>
    </i>
    <i r="1">
      <x v="12"/>
      <x v="1"/>
      <x v="241"/>
      <x v="80"/>
      <x v="47"/>
    </i>
    <i r="4">
      <x v="213"/>
      <x v="47"/>
    </i>
    <i r="4">
      <x v="352"/>
      <x v="47"/>
    </i>
    <i r="2">
      <x v="16"/>
      <x v="240"/>
      <x v="434"/>
      <x v="47"/>
    </i>
    <i r="4">
      <x v="460"/>
      <x v="47"/>
    </i>
    <i r="4">
      <x v="1174"/>
      <x v="47"/>
    </i>
    <i r="4">
      <x v="1220"/>
      <x v="47"/>
    </i>
    <i r="4">
      <x v="1323"/>
      <x v="47"/>
    </i>
    <i r="4">
      <x v="1330"/>
      <x v="47"/>
    </i>
    <i r="4">
      <x v="1331"/>
      <x v="47"/>
    </i>
    <i r="4">
      <x v="1352"/>
      <x v="47"/>
    </i>
    <i r="4">
      <x v="1396"/>
      <x v="47"/>
    </i>
    <i r="4">
      <x v="1474"/>
      <x v="47"/>
    </i>
    <i r="4">
      <x v="1529"/>
      <x v="47"/>
    </i>
    <i r="4">
      <x v="1573"/>
      <x v="47"/>
    </i>
    <i r="4">
      <x v="1620"/>
      <x v="47"/>
    </i>
    <i r="4">
      <x v="1633"/>
      <x v="47"/>
    </i>
    <i r="4">
      <x v="1672"/>
      <x v="47"/>
    </i>
    <i r="4">
      <x v="1684"/>
      <x v="47"/>
    </i>
    <i r="4">
      <x v="1690"/>
      <x v="47"/>
    </i>
    <i r="4">
      <x v="1699"/>
      <x v="47"/>
    </i>
    <i r="4">
      <x v="1740"/>
      <x v="47"/>
    </i>
    <i r="4">
      <x v="1753"/>
      <x v="47"/>
    </i>
    <i r="4">
      <x v="1765"/>
      <x v="47"/>
    </i>
    <i r="4">
      <x v="1769"/>
      <x v="47"/>
    </i>
    <i r="4">
      <x v="1848"/>
      <x v="47"/>
    </i>
    <i r="1">
      <x v="14"/>
      <x v="16"/>
      <x v="240"/>
      <x v="107"/>
      <x v="47"/>
    </i>
    <i r="2">
      <x v="38"/>
      <x v="241"/>
      <x v="1208"/>
      <x v="47"/>
    </i>
    <i r="1">
      <x v="15"/>
      <x v="16"/>
      <x v="240"/>
      <x v="374"/>
      <x v="47"/>
    </i>
    <i r="1">
      <x v="19"/>
      <x v="38"/>
      <x v="241"/>
      <x v="292"/>
      <x v="47"/>
    </i>
    <i r="1">
      <x v="21"/>
      <x v="16"/>
      <x v="240"/>
      <x v="1311"/>
      <x v="47"/>
    </i>
    <i r="1">
      <x v="23"/>
      <x v="16"/>
      <x v="240"/>
      <x v="1781"/>
      <x v="47"/>
    </i>
    <i r="2">
      <x v="38"/>
      <x v="241"/>
      <x v="1379"/>
      <x v="47"/>
    </i>
    <i r="1">
      <x v="24"/>
      <x v="16"/>
      <x v="240"/>
      <x v="1441"/>
      <x v="47"/>
    </i>
    <i r="1">
      <x v="29"/>
      <x v="6"/>
      <x v="241"/>
      <x v="147"/>
      <x v="47"/>
    </i>
    <i r="1">
      <x v="35"/>
      <x v="1"/>
      <x v="241"/>
      <x v="80"/>
      <x v="47"/>
    </i>
    <i r="4">
      <x v="352"/>
      <x v="47"/>
    </i>
    <i r="2">
      <x v="16"/>
      <x v="240"/>
      <x v="65"/>
      <x v="47"/>
    </i>
    <i r="4">
      <x v="169"/>
      <x v="47"/>
    </i>
    <i r="4">
      <x v="241"/>
      <x v="47"/>
    </i>
    <i r="4">
      <x v="276"/>
      <x v="47"/>
    </i>
    <i r="4">
      <x v="280"/>
      <x v="47"/>
    </i>
    <i r="4">
      <x v="342"/>
      <x v="47"/>
    </i>
    <i r="4">
      <x v="393"/>
      <x v="47"/>
    </i>
    <i r="4">
      <x v="432"/>
      <x v="47"/>
    </i>
    <i r="4">
      <x v="451"/>
      <x v="47"/>
    </i>
    <i r="4">
      <x v="463"/>
      <x v="47"/>
    </i>
    <i r="4">
      <x v="496"/>
      <x v="47"/>
    </i>
    <i r="4">
      <x v="518"/>
      <x v="47"/>
    </i>
    <i r="4">
      <x v="762"/>
      <x v="47"/>
    </i>
    <i r="4">
      <x v="787"/>
      <x v="47"/>
    </i>
    <i r="4">
      <x v="1161"/>
      <x v="47"/>
    </i>
    <i r="4">
      <x v="1180"/>
      <x v="47"/>
    </i>
    <i r="4">
      <x v="1226"/>
      <x v="47"/>
    </i>
    <i r="1">
      <x v="37"/>
      <x v="38"/>
      <x v="241"/>
      <x v="1189"/>
      <x v="47"/>
    </i>
    <i>
      <x v="152"/>
      <x/>
      <x v="12"/>
      <x v="42"/>
      <x v="6"/>
      <x v="47"/>
    </i>
    <i r="3">
      <x v="50"/>
      <x v="39"/>
      <x v="47"/>
    </i>
    <i r="3">
      <x v="57"/>
      <x v="11"/>
      <x v="47"/>
    </i>
    <i r="1">
      <x v="3"/>
      <x v="8"/>
      <x v="242"/>
      <x/>
      <x v="29"/>
    </i>
    <i r="2">
      <x v="10"/>
      <x v="242"/>
      <x v="469"/>
      <x v="47"/>
    </i>
    <i r="1">
      <x v="7"/>
      <x v="8"/>
      <x v="242"/>
      <x/>
      <x v="20"/>
    </i>
    <i r="2">
      <x v="10"/>
      <x v="242"/>
      <x v="888"/>
      <x v="47"/>
    </i>
    <i r="2">
      <x v="38"/>
      <x v="242"/>
      <x v="791"/>
      <x v="47"/>
    </i>
    <i r="1">
      <x v="10"/>
      <x v="6"/>
      <x v="242"/>
      <x v="1263"/>
      <x v="47"/>
    </i>
    <i r="1">
      <x v="12"/>
      <x v="1"/>
      <x v="242"/>
      <x v="80"/>
      <x v="47"/>
    </i>
    <i r="4">
      <x v="213"/>
      <x v="47"/>
    </i>
    <i r="1">
      <x v="13"/>
      <x v="33"/>
      <x v="242"/>
      <x v="155"/>
      <x v="47"/>
    </i>
    <i r="1">
      <x v="14"/>
      <x v="8"/>
      <x v="242"/>
      <x/>
      <x v="40"/>
    </i>
    <i r="2">
      <x v="10"/>
      <x v="242"/>
      <x v="109"/>
      <x v="47"/>
    </i>
    <i r="1">
      <x v="17"/>
      <x v="38"/>
      <x v="242"/>
      <x v="469"/>
      <x v="47"/>
    </i>
    <i r="1">
      <x v="19"/>
      <x v="38"/>
      <x v="242"/>
      <x v="156"/>
      <x v="47"/>
    </i>
    <i r="1">
      <x v="23"/>
      <x v="38"/>
      <x v="242"/>
      <x v="278"/>
      <x v="47"/>
    </i>
    <i r="1">
      <x v="24"/>
      <x v="6"/>
      <x v="242"/>
      <x v="816"/>
      <x v="47"/>
    </i>
    <i r="2">
      <x v="8"/>
      <x v="242"/>
      <x/>
      <x v="40"/>
    </i>
    <i r="2">
      <x v="10"/>
      <x v="242"/>
      <x v="109"/>
      <x v="47"/>
    </i>
    <i r="1">
      <x v="28"/>
      <x v="8"/>
      <x v="242"/>
      <x/>
      <x v="17"/>
    </i>
    <i r="2">
      <x v="10"/>
      <x v="242"/>
      <x v="1052"/>
      <x v="47"/>
    </i>
    <i r="1">
      <x v="35"/>
      <x v="1"/>
      <x v="242"/>
      <x v="80"/>
      <x v="47"/>
    </i>
    <i r="4">
      <x v="500"/>
      <x v="47"/>
    </i>
    <i r="1">
      <x v="37"/>
      <x v="8"/>
      <x v="242"/>
      <x/>
      <x v="36"/>
    </i>
    <i r="2">
      <x v="10"/>
      <x v="242"/>
      <x v="283"/>
      <x v="47"/>
    </i>
    <i>
      <x v="153"/>
      <x/>
      <x v="8"/>
      <x v="243"/>
      <x v="1157"/>
      <x v="47"/>
    </i>
    <i r="2">
      <x v="9"/>
      <x v="243"/>
      <x v="371"/>
      <x v="47"/>
    </i>
    <i r="4">
      <x v="433"/>
      <x v="47"/>
    </i>
    <i r="4">
      <x v="605"/>
      <x v="47"/>
    </i>
    <i r="4">
      <x v="788"/>
      <x v="47"/>
    </i>
    <i r="4">
      <x v="939"/>
      <x v="47"/>
    </i>
    <i r="2">
      <x v="12"/>
      <x v="17"/>
      <x v="96"/>
      <x v="47"/>
    </i>
    <i r="3">
      <x v="19"/>
      <x v="46"/>
      <x v="47"/>
    </i>
    <i r="3">
      <x v="71"/>
      <x v="37"/>
      <x v="47"/>
    </i>
    <i r="1">
      <x v="2"/>
      <x v="10"/>
      <x v="243"/>
      <x v="1756"/>
      <x v="47"/>
    </i>
    <i r="1">
      <x v="3"/>
      <x v="10"/>
      <x v="243"/>
      <x v="1401"/>
      <x v="47"/>
    </i>
    <i r="1">
      <x v="7"/>
      <x v="8"/>
      <x v="243"/>
      <x v="714"/>
      <x v="47"/>
    </i>
    <i r="2">
      <x v="9"/>
      <x v="243"/>
      <x v="40"/>
      <x v="47"/>
    </i>
    <i r="1">
      <x v="9"/>
      <x v="8"/>
      <x v="243"/>
      <x v="423"/>
      <x v="47"/>
    </i>
    <i r="2">
      <x v="10"/>
      <x v="243"/>
      <x v="60"/>
      <x v="47"/>
    </i>
    <i r="1">
      <x v="15"/>
      <x v="8"/>
      <x v="243"/>
      <x v="883"/>
      <x v="47"/>
    </i>
    <i r="1">
      <x v="17"/>
      <x v="10"/>
      <x v="243"/>
      <x v="1776"/>
      <x v="47"/>
    </i>
    <i r="1">
      <x v="18"/>
      <x v="8"/>
      <x v="243"/>
      <x v="831"/>
      <x v="47"/>
    </i>
    <i r="1">
      <x v="24"/>
      <x v="9"/>
      <x v="243"/>
      <x v="1353"/>
      <x v="47"/>
    </i>
    <i r="2">
      <x v="10"/>
      <x v="243"/>
      <x v="287"/>
      <x v="47"/>
    </i>
    <i r="1">
      <x v="26"/>
      <x v="38"/>
      <x v="243"/>
      <x v="371"/>
      <x v="47"/>
    </i>
    <i r="1">
      <x v="35"/>
      <x v="1"/>
      <x v="243"/>
      <x v="213"/>
      <x v="47"/>
    </i>
    <i r="1">
      <x v="36"/>
      <x v="10"/>
      <x v="243"/>
      <x v="1534"/>
      <x v="47"/>
    </i>
    <i r="1">
      <x v="38"/>
      <x v="10"/>
      <x v="243"/>
      <x v="1017"/>
      <x v="47"/>
    </i>
    <i>
      <x v="154"/>
      <x/>
      <x v="12"/>
      <x v="71"/>
      <x v="11"/>
      <x v="47"/>
    </i>
    <i r="2">
      <x v="38"/>
      <x v="244"/>
      <x v="89"/>
      <x v="47"/>
    </i>
    <i r="4">
      <x v="138"/>
      <x v="47"/>
    </i>
    <i r="4">
      <x v="391"/>
      <x v="47"/>
    </i>
    <i r="1">
      <x v="12"/>
      <x v="1"/>
      <x v="244"/>
      <x v="80"/>
      <x v="47"/>
    </i>
    <i r="4">
      <x v="213"/>
      <x v="47"/>
    </i>
    <i r="4">
      <x v="352"/>
      <x v="47"/>
    </i>
    <i r="1">
      <x v="17"/>
      <x v="38"/>
      <x v="244"/>
      <x v="365"/>
      <x v="47"/>
    </i>
    <i r="1">
      <x v="23"/>
      <x v="38"/>
      <x v="244"/>
      <x v="1603"/>
      <x v="47"/>
    </i>
    <i r="1">
      <x v="33"/>
      <x v="37"/>
      <x v="244"/>
      <x v="897"/>
      <x v="47"/>
    </i>
    <i r="2">
      <x v="38"/>
      <x v="244"/>
      <x v="401"/>
      <x v="47"/>
    </i>
    <i r="1">
      <x v="35"/>
      <x v="1"/>
      <x v="244"/>
      <x v="80"/>
      <x v="47"/>
    </i>
    <i r="4">
      <x v="213"/>
      <x v="47"/>
    </i>
    <i r="4">
      <x v="352"/>
      <x v="47"/>
    </i>
    <i r="1">
      <x v="36"/>
      <x v="38"/>
      <x v="244"/>
      <x v="214"/>
      <x v="47"/>
    </i>
    <i>
      <x v="155"/>
      <x/>
      <x v="12"/>
      <x v="2"/>
      <x v="12"/>
      <x v="47"/>
    </i>
    <i r="3">
      <x v="10"/>
      <x v="119"/>
      <x v="47"/>
    </i>
    <i r="3">
      <x v="19"/>
      <x v="35"/>
      <x v="47"/>
    </i>
    <i r="3">
      <x v="39"/>
      <x v="180"/>
      <x v="47"/>
    </i>
    <i r="2">
      <x v="38"/>
      <x v="245"/>
      <x v="1177"/>
      <x v="47"/>
    </i>
    <i r="1">
      <x v="6"/>
      <x v="38"/>
      <x v="245"/>
      <x v="1357"/>
      <x v="47"/>
    </i>
    <i r="1">
      <x v="12"/>
      <x v="1"/>
      <x v="245"/>
      <x v="80"/>
      <x v="47"/>
    </i>
    <i r="4">
      <x v="213"/>
      <x v="47"/>
    </i>
    <i r="4">
      <x v="352"/>
      <x v="47"/>
    </i>
    <i r="1">
      <x v="33"/>
      <x v="38"/>
      <x v="245"/>
      <x v="235"/>
      <x v="47"/>
    </i>
    <i r="1">
      <x v="35"/>
      <x v="1"/>
      <x v="245"/>
      <x v="80"/>
      <x v="47"/>
    </i>
    <i>
      <x v="156"/>
      <x/>
      <x v="12"/>
      <x v="2"/>
      <x v="39"/>
      <x v="47"/>
    </i>
    <i r="3">
      <x v="32"/>
      <x v="391"/>
      <x v="47"/>
    </i>
    <i r="3">
      <x v="38"/>
      <x v="6"/>
      <x v="47"/>
    </i>
    <i r="2">
      <x v="38"/>
      <x v="246"/>
      <x v="138"/>
      <x v="47"/>
    </i>
    <i r="1">
      <x v="6"/>
      <x v="38"/>
      <x v="246"/>
      <x v="579"/>
      <x v="47"/>
    </i>
    <i r="1">
      <x v="12"/>
      <x v="1"/>
      <x v="246"/>
      <x v="80"/>
      <x v="47"/>
    </i>
    <i r="4">
      <x v="213"/>
      <x v="47"/>
    </i>
    <i r="4">
      <x v="500"/>
      <x v="47"/>
    </i>
    <i r="4">
      <x v="607"/>
      <x v="47"/>
    </i>
    <i r="2">
      <x v="38"/>
      <x v="246"/>
      <x v="1271"/>
      <x v="47"/>
    </i>
    <i r="4">
      <x v="1343"/>
      <x v="47"/>
    </i>
    <i r="4">
      <x v="1528"/>
      <x v="47"/>
    </i>
    <i r="1">
      <x v="31"/>
      <x v="6"/>
      <x v="246"/>
      <x v="1793"/>
      <x v="47"/>
    </i>
    <i r="1">
      <x v="35"/>
      <x v="1"/>
      <x v="246"/>
      <x v="80"/>
      <x v="47"/>
    </i>
    <i r="1">
      <x v="36"/>
      <x v="38"/>
      <x v="246"/>
      <x v="214"/>
      <x v="47"/>
    </i>
    <i>
      <x v="157"/>
      <x/>
      <x v="38"/>
      <x v="247"/>
      <x v="138"/>
      <x v="47"/>
    </i>
    <i r="4">
      <x v="524"/>
      <x v="47"/>
    </i>
    <i r="1">
      <x v="2"/>
      <x v="1"/>
      <x v="247"/>
      <x v="1284"/>
      <x v="47"/>
    </i>
    <i r="2">
      <x v="6"/>
      <x v="247"/>
      <x v="909"/>
      <x v="47"/>
    </i>
    <i r="1">
      <x v="3"/>
      <x v="38"/>
      <x v="247"/>
      <x v="1070"/>
      <x v="47"/>
    </i>
    <i r="1">
      <x v="7"/>
      <x v="38"/>
      <x v="247"/>
      <x v="1770"/>
      <x v="47"/>
    </i>
    <i r="1">
      <x v="12"/>
      <x v="1"/>
      <x v="247"/>
      <x v="80"/>
      <x v="47"/>
    </i>
    <i r="4">
      <x v="213"/>
      <x v="47"/>
    </i>
    <i r="4">
      <x v="352"/>
      <x v="47"/>
    </i>
    <i r="4">
      <x v="771"/>
      <x v="47"/>
    </i>
    <i r="4">
      <x v="964"/>
      <x v="47"/>
    </i>
    <i r="1">
      <x v="17"/>
      <x v="38"/>
      <x v="247"/>
      <x v="1708"/>
      <x v="47"/>
    </i>
    <i r="1">
      <x v="35"/>
      <x v="1"/>
      <x v="247"/>
      <x v="80"/>
      <x v="47"/>
    </i>
    <i>
      <x v="158"/>
      <x/>
      <x v="12"/>
      <x v="52"/>
      <x v="9"/>
      <x v="47"/>
    </i>
    <i r="3">
      <x v="57"/>
      <x v="6"/>
      <x v="47"/>
    </i>
    <i r="1">
      <x v="5"/>
      <x v="10"/>
      <x v="248"/>
      <x v="1336"/>
      <x v="47"/>
    </i>
    <i r="1">
      <x v="9"/>
      <x v="10"/>
      <x v="248"/>
      <x v="176"/>
      <x v="47"/>
    </i>
    <i r="1">
      <x v="12"/>
      <x v="1"/>
      <x v="248"/>
      <x v="213"/>
      <x v="47"/>
    </i>
    <i r="4">
      <x v="352"/>
      <x v="47"/>
    </i>
    <i r="4">
      <x v="500"/>
      <x v="47"/>
    </i>
    <i r="4">
      <x v="607"/>
      <x v="47"/>
    </i>
    <i r="4">
      <x v="702"/>
      <x v="47"/>
    </i>
    <i r="4">
      <x v="771"/>
      <x v="47"/>
    </i>
    <i r="1">
      <x v="15"/>
      <x v="10"/>
      <x v="248"/>
      <x v="1807"/>
      <x v="47"/>
    </i>
    <i r="2">
      <x v="38"/>
      <x v="248"/>
      <x v="607"/>
      <x v="47"/>
    </i>
    <i r="1">
      <x v="19"/>
      <x v="6"/>
      <x v="248"/>
      <x v="902"/>
      <x v="47"/>
    </i>
    <i r="1">
      <x v="23"/>
      <x v="1"/>
      <x v="248"/>
      <x v="718"/>
      <x v="47"/>
    </i>
    <i r="1">
      <x v="24"/>
      <x v="6"/>
      <x v="248"/>
      <x v="1268"/>
      <x v="47"/>
    </i>
    <i r="1">
      <x v="35"/>
      <x v="1"/>
      <x v="248"/>
      <x v="80"/>
      <x v="47"/>
    </i>
    <i>
      <x v="159"/>
      <x/>
      <x v="6"/>
      <x v="250"/>
      <x v="469"/>
      <x v="47"/>
    </i>
    <i r="4">
      <x v="1345"/>
      <x v="47"/>
    </i>
    <i r="2">
      <x v="9"/>
      <x v="250"/>
      <x v="605"/>
      <x v="47"/>
    </i>
    <i r="4">
      <x v="909"/>
      <x v="47"/>
    </i>
    <i r="2">
      <x v="12"/>
      <x v="64"/>
      <x v="69"/>
      <x v="47"/>
    </i>
    <i r="1">
      <x v="12"/>
      <x v="1"/>
      <x v="250"/>
      <x v="80"/>
      <x v="47"/>
    </i>
    <i r="4">
      <x v="213"/>
      <x v="47"/>
    </i>
    <i r="4">
      <x v="500"/>
      <x v="47"/>
    </i>
    <i r="4">
      <x v="771"/>
      <x v="47"/>
    </i>
    <i r="2">
      <x v="8"/>
      <x v="250"/>
      <x/>
      <x v="42"/>
    </i>
    <i r="2">
      <x v="29"/>
      <x v="249"/>
      <x v="221"/>
      <x v="47"/>
    </i>
    <i r="1">
      <x v="15"/>
      <x v="10"/>
      <x v="250"/>
      <x v="1402"/>
      <x v="47"/>
    </i>
    <i r="1">
      <x v="19"/>
      <x v="6"/>
      <x v="250"/>
      <x v="840"/>
      <x v="47"/>
    </i>
    <i r="1">
      <x v="33"/>
      <x v="6"/>
      <x v="250"/>
      <x v="469"/>
      <x v="47"/>
    </i>
    <i r="2">
      <x v="38"/>
      <x v="250"/>
      <x v="82"/>
      <x v="47"/>
    </i>
    <i r="1">
      <x v="35"/>
      <x v="1"/>
      <x v="250"/>
      <x v="80"/>
      <x v="47"/>
    </i>
    <i r="4">
      <x v="213"/>
      <x v="47"/>
    </i>
    <i r="1">
      <x v="37"/>
      <x v="38"/>
      <x v="250"/>
      <x v="256"/>
      <x v="47"/>
    </i>
    <i>
      <x v="160"/>
      <x/>
      <x v="38"/>
      <x v="251"/>
      <x v="607"/>
      <x v="47"/>
    </i>
    <i r="1">
      <x v="12"/>
      <x v="1"/>
      <x v="251"/>
      <x v="80"/>
      <x v="47"/>
    </i>
    <i r="4">
      <x v="213"/>
      <x v="47"/>
    </i>
    <i r="4">
      <x v="352"/>
      <x v="47"/>
    </i>
    <i r="4">
      <x v="500"/>
      <x v="47"/>
    </i>
    <i r="1">
      <x v="15"/>
      <x v="38"/>
      <x v="251"/>
      <x v="213"/>
      <x v="47"/>
    </i>
    <i r="1">
      <x v="23"/>
      <x v="38"/>
      <x v="251"/>
      <x v="972"/>
      <x v="47"/>
    </i>
    <i r="1">
      <x v="35"/>
      <x v="1"/>
      <x v="251"/>
      <x v="80"/>
      <x v="47"/>
    </i>
    <i>
      <x v="161"/>
      <x/>
      <x v="12"/>
      <x v="12"/>
      <x v="199"/>
      <x v="47"/>
    </i>
    <i r="3">
      <x v="20"/>
      <x v="733"/>
      <x v="47"/>
    </i>
    <i r="3">
      <x v="30"/>
      <x v="6"/>
      <x v="47"/>
    </i>
    <i r="3">
      <x v="58"/>
      <x v="6"/>
      <x v="47"/>
    </i>
    <i r="1">
      <x v="12"/>
      <x v="1"/>
      <x v="252"/>
      <x v="80"/>
      <x v="47"/>
    </i>
    <i r="4">
      <x v="213"/>
      <x v="47"/>
    </i>
    <i r="1">
      <x v="14"/>
      <x v="6"/>
      <x v="252"/>
      <x v="1871"/>
      <x v="47"/>
    </i>
    <i r="1">
      <x v="35"/>
      <x v="1"/>
      <x v="252"/>
      <x v="213"/>
      <x v="47"/>
    </i>
    <i>
      <x v="162"/>
      <x/>
      <x v="6"/>
      <x v="253"/>
      <x v="334"/>
      <x v="47"/>
    </i>
    <i r="2">
      <x v="8"/>
      <x v="253"/>
      <x v="74"/>
      <x v="47"/>
    </i>
    <i r="4">
      <x v="846"/>
      <x v="47"/>
    </i>
    <i r="4">
      <x v="910"/>
      <x v="47"/>
    </i>
    <i r="2">
      <x v="9"/>
      <x v="253"/>
      <x v="125"/>
      <x v="47"/>
    </i>
    <i r="4">
      <x v="191"/>
      <x v="47"/>
    </i>
    <i r="4">
      <x v="203"/>
      <x v="47"/>
    </i>
    <i r="4">
      <x v="303"/>
      <x v="47"/>
    </i>
    <i r="4">
      <x v="504"/>
      <x v="47"/>
    </i>
    <i r="4">
      <x v="524"/>
      <x v="47"/>
    </i>
    <i r="4">
      <x v="543"/>
      <x v="47"/>
    </i>
    <i r="4">
      <x v="551"/>
      <x v="47"/>
    </i>
    <i r="4">
      <x v="1007"/>
      <x v="47"/>
    </i>
    <i r="4">
      <x v="1027"/>
      <x v="47"/>
    </i>
    <i r="1">
      <x v="3"/>
      <x v="8"/>
      <x v="253"/>
      <x v="865"/>
      <x v="47"/>
    </i>
    <i r="2">
      <x v="37"/>
      <x v="253"/>
      <x v="1069"/>
      <x v="47"/>
    </i>
    <i r="2">
      <x v="38"/>
      <x v="253"/>
      <x v="109"/>
      <x v="47"/>
    </i>
    <i r="1">
      <x v="5"/>
      <x v="37"/>
      <x v="253"/>
      <x v="1069"/>
      <x v="47"/>
    </i>
    <i r="1">
      <x v="7"/>
      <x v="38"/>
      <x v="253"/>
      <x v="304"/>
      <x v="47"/>
    </i>
    <i r="1">
      <x v="9"/>
      <x v="8"/>
      <x v="253"/>
      <x v="208"/>
      <x v="47"/>
    </i>
    <i r="1">
      <x v="11"/>
      <x v="9"/>
      <x v="253"/>
      <x v="410"/>
      <x v="47"/>
    </i>
    <i r="1">
      <x v="12"/>
      <x v="1"/>
      <x v="253"/>
      <x v="80"/>
      <x v="47"/>
    </i>
    <i r="4">
      <x v="213"/>
      <x v="47"/>
    </i>
    <i r="4">
      <x v="352"/>
      <x v="47"/>
    </i>
    <i r="1">
      <x v="14"/>
      <x v="38"/>
      <x v="253"/>
      <x v="177"/>
      <x v="47"/>
    </i>
    <i r="1">
      <x v="15"/>
      <x v="7"/>
      <x v="253"/>
      <x v="205"/>
      <x v="47"/>
    </i>
    <i r="2">
      <x v="8"/>
      <x v="253"/>
      <x v="356"/>
      <x v="47"/>
    </i>
    <i r="2">
      <x v="38"/>
      <x v="253"/>
      <x v="846"/>
      <x v="47"/>
    </i>
    <i r="1">
      <x v="17"/>
      <x v="7"/>
      <x v="253"/>
      <x v="275"/>
      <x v="47"/>
    </i>
    <i r="2">
      <x v="8"/>
      <x v="253"/>
      <x v="1071"/>
      <x v="47"/>
    </i>
    <i r="1">
      <x v="23"/>
      <x v="6"/>
      <x v="253"/>
      <x v="278"/>
      <x v="47"/>
    </i>
    <i r="1">
      <x v="29"/>
      <x v="37"/>
      <x v="253"/>
      <x v="721"/>
      <x v="47"/>
    </i>
    <i r="1">
      <x v="33"/>
      <x v="8"/>
      <x v="253"/>
      <x v="1080"/>
      <x v="47"/>
    </i>
    <i r="2">
      <x v="9"/>
      <x v="253"/>
      <x v="500"/>
      <x v="47"/>
    </i>
    <i r="1">
      <x v="35"/>
      <x v="1"/>
      <x v="253"/>
      <x v="80"/>
      <x v="47"/>
    </i>
    <i r="1">
      <x v="36"/>
      <x v="8"/>
      <x v="253"/>
      <x v="459"/>
      <x v="47"/>
    </i>
    <i>
      <x v="163"/>
      <x/>
      <x v="8"/>
      <x v="254"/>
      <x/>
      <x v="21"/>
    </i>
    <i r="2">
      <x v="12"/>
      <x v="23"/>
      <x v="24"/>
      <x v="47"/>
    </i>
    <i r="3">
      <x v="47"/>
      <x v="654"/>
      <x v="47"/>
    </i>
    <i r="3">
      <x v="58"/>
      <x v="6"/>
      <x v="47"/>
    </i>
    <i r="3">
      <x v="59"/>
      <x v="77"/>
      <x v="47"/>
    </i>
    <i r="1">
      <x v="6"/>
      <x v="38"/>
      <x v="254"/>
      <x v="971"/>
      <x v="47"/>
    </i>
    <i r="1">
      <x v="12"/>
      <x v="1"/>
      <x v="254"/>
      <x v="80"/>
      <x v="47"/>
    </i>
    <i r="4">
      <x v="352"/>
      <x v="47"/>
    </i>
    <i r="1">
      <x v="19"/>
      <x v="37"/>
      <x v="254"/>
      <x v="1464"/>
      <x v="47"/>
    </i>
    <i r="1">
      <x v="33"/>
      <x v="38"/>
      <x v="254"/>
      <x v="114"/>
      <x v="47"/>
    </i>
    <i>
      <x v="164"/>
      <x/>
      <x v="12"/>
      <x v="13"/>
      <x v="140"/>
      <x v="47"/>
    </i>
    <i r="3">
      <x v="18"/>
      <x v="92"/>
      <x v="47"/>
    </i>
    <i r="3">
      <x v="21"/>
      <x v="310"/>
      <x v="47"/>
    </i>
    <i r="3">
      <x v="40"/>
      <x v="219"/>
      <x v="47"/>
    </i>
    <i r="3">
      <x v="52"/>
      <x v="9"/>
      <x v="47"/>
    </i>
    <i r="3">
      <x v="55"/>
      <x v="92"/>
      <x v="47"/>
    </i>
    <i r="3">
      <x v="68"/>
      <x v="134"/>
      <x v="47"/>
    </i>
    <i r="3">
      <x v="71"/>
      <x v="11"/>
      <x v="47"/>
    </i>
    <i r="2">
      <x v="23"/>
      <x v="255"/>
      <x v="705"/>
      <x v="47"/>
    </i>
    <i r="4">
      <x v="735"/>
      <x v="47"/>
    </i>
    <i r="4">
      <x v="752"/>
      <x v="47"/>
    </i>
    <i r="4">
      <x v="842"/>
      <x v="47"/>
    </i>
    <i r="4">
      <x v="884"/>
      <x v="47"/>
    </i>
    <i r="4">
      <x v="922"/>
      <x v="47"/>
    </i>
    <i r="2">
      <x v="38"/>
      <x v="256"/>
      <x v="262"/>
      <x v="47"/>
    </i>
    <i r="1">
      <x v="2"/>
      <x v="23"/>
      <x v="255"/>
      <x v="1836"/>
      <x v="47"/>
    </i>
    <i r="1">
      <x v="3"/>
      <x v="6"/>
      <x v="256"/>
      <x v="387"/>
      <x v="47"/>
    </i>
    <i r="2">
      <x v="23"/>
      <x v="255"/>
      <x v="731"/>
      <x v="47"/>
    </i>
    <i r="2">
      <x v="38"/>
      <x v="256"/>
      <x v="176"/>
      <x v="47"/>
    </i>
    <i r="1">
      <x v="12"/>
      <x v="1"/>
      <x v="256"/>
      <x v="80"/>
      <x v="47"/>
    </i>
    <i r="2">
      <x v="23"/>
      <x v="255"/>
      <x v="171"/>
      <x v="47"/>
    </i>
    <i r="4">
      <x v="188"/>
      <x v="47"/>
    </i>
    <i r="4">
      <x v="189"/>
      <x v="47"/>
    </i>
    <i r="4">
      <x v="225"/>
      <x v="47"/>
    </i>
    <i r="4">
      <x v="339"/>
      <x v="47"/>
    </i>
    <i r="4">
      <x v="392"/>
      <x v="47"/>
    </i>
    <i r="4">
      <x v="607"/>
      <x v="47"/>
    </i>
    <i r="4">
      <x v="638"/>
      <x v="47"/>
    </i>
    <i r="4">
      <x v="995"/>
      <x v="47"/>
    </i>
    <i r="4">
      <x v="1015"/>
      <x v="47"/>
    </i>
    <i r="4">
      <x v="1331"/>
      <x v="47"/>
    </i>
    <i r="4">
      <x v="1428"/>
      <x v="47"/>
    </i>
    <i r="4">
      <x v="1437"/>
      <x v="47"/>
    </i>
    <i r="4">
      <x v="1439"/>
      <x v="47"/>
    </i>
    <i r="4">
      <x v="1447"/>
      <x v="47"/>
    </i>
    <i r="4">
      <x v="1458"/>
      <x v="47"/>
    </i>
    <i r="4">
      <x v="1478"/>
      <x v="47"/>
    </i>
    <i r="4">
      <x v="1586"/>
      <x v="47"/>
    </i>
    <i r="4">
      <x v="1602"/>
      <x v="47"/>
    </i>
    <i r="4">
      <x v="1605"/>
      <x v="47"/>
    </i>
    <i r="4">
      <x v="1632"/>
      <x v="47"/>
    </i>
    <i r="4">
      <x v="1638"/>
      <x v="47"/>
    </i>
    <i r="4">
      <x v="1646"/>
      <x v="47"/>
    </i>
    <i r="4">
      <x v="1679"/>
      <x v="47"/>
    </i>
    <i r="4">
      <x v="1692"/>
      <x v="47"/>
    </i>
    <i r="4">
      <x v="1716"/>
      <x v="47"/>
    </i>
    <i r="4">
      <x v="1762"/>
      <x v="47"/>
    </i>
    <i r="4">
      <x v="1767"/>
      <x v="47"/>
    </i>
    <i r="4">
      <x v="1774"/>
      <x v="47"/>
    </i>
    <i r="4">
      <x v="1809"/>
      <x v="47"/>
    </i>
    <i r="2">
      <x v="38"/>
      <x v="256"/>
      <x v="6"/>
      <x v="47"/>
    </i>
    <i r="1">
      <x v="14"/>
      <x v="1"/>
      <x v="256"/>
      <x v="602"/>
      <x v="47"/>
    </i>
    <i r="2">
      <x v="23"/>
      <x v="255"/>
      <x v="294"/>
      <x v="47"/>
    </i>
    <i r="1">
      <x v="15"/>
      <x v="23"/>
      <x v="255"/>
      <x v="1843"/>
      <x v="47"/>
    </i>
    <i r="2">
      <x v="38"/>
      <x v="256"/>
      <x v="1619"/>
      <x v="47"/>
    </i>
    <i r="1">
      <x v="23"/>
      <x v="23"/>
      <x v="255"/>
      <x v="1811"/>
      <x v="47"/>
    </i>
    <i r="2">
      <x v="38"/>
      <x v="256"/>
      <x v="165"/>
      <x v="47"/>
    </i>
    <i r="1">
      <x v="24"/>
      <x v="23"/>
      <x v="255"/>
      <x v="1432"/>
      <x v="47"/>
    </i>
    <i r="1">
      <x v="33"/>
      <x v="38"/>
      <x v="256"/>
      <x v="541"/>
      <x v="47"/>
    </i>
    <i r="1">
      <x v="35"/>
      <x v="23"/>
      <x v="255"/>
      <x v="47"/>
      <x v="47"/>
    </i>
    <i r="4">
      <x v="183"/>
      <x v="47"/>
    </i>
    <i r="4">
      <x v="268"/>
      <x v="47"/>
    </i>
    <i r="4">
      <x v="283"/>
      <x v="47"/>
    </i>
    <i r="4">
      <x v="336"/>
      <x v="47"/>
    </i>
    <i r="4">
      <x v="343"/>
      <x v="47"/>
    </i>
    <i r="4">
      <x v="384"/>
      <x v="47"/>
    </i>
    <i r="4">
      <x v="419"/>
      <x v="47"/>
    </i>
    <i r="4">
      <x v="656"/>
      <x v="47"/>
    </i>
    <i r="4">
      <x v="677"/>
      <x v="47"/>
    </i>
    <i r="4">
      <x v="709"/>
      <x v="47"/>
    </i>
    <i r="4">
      <x v="816"/>
      <x v="47"/>
    </i>
    <i r="4">
      <x v="843"/>
      <x v="47"/>
    </i>
    <i r="4">
      <x v="859"/>
      <x v="47"/>
    </i>
    <i r="4">
      <x v="969"/>
      <x v="47"/>
    </i>
    <i r="4">
      <x v="1016"/>
      <x v="47"/>
    </i>
    <i r="4">
      <x v="1129"/>
      <x v="47"/>
    </i>
    <i r="4">
      <x v="1209"/>
      <x v="47"/>
    </i>
    <i r="4">
      <x v="1217"/>
      <x v="47"/>
    </i>
    <i r="4">
      <x v="1257"/>
      <x v="47"/>
    </i>
    <i r="4">
      <x v="1590"/>
      <x v="47"/>
    </i>
    <i>
      <x v="165"/>
      <x/>
      <x v="1"/>
      <x v="257"/>
      <x v="213"/>
      <x v="47"/>
    </i>
    <i r="2">
      <x v="8"/>
      <x v="257"/>
      <x v="320"/>
      <x v="47"/>
    </i>
    <i r="4">
      <x v="397"/>
      <x v="47"/>
    </i>
    <i r="4">
      <x v="408"/>
      <x v="47"/>
    </i>
    <i r="4">
      <x v="550"/>
      <x v="47"/>
    </i>
    <i r="4">
      <x v="605"/>
      <x v="47"/>
    </i>
    <i r="4">
      <x v="1158"/>
      <x v="47"/>
    </i>
    <i r="2">
      <x v="9"/>
      <x v="257"/>
      <x v="248"/>
      <x v="47"/>
    </i>
    <i r="4">
      <x v="469"/>
      <x v="47"/>
    </i>
    <i r="4">
      <x v="866"/>
      <x v="47"/>
    </i>
    <i r="4">
      <x v="891"/>
      <x v="47"/>
    </i>
    <i r="4">
      <x v="945"/>
      <x v="47"/>
    </i>
    <i r="4">
      <x v="1036"/>
      <x v="47"/>
    </i>
    <i r="4">
      <x v="1126"/>
      <x v="47"/>
    </i>
    <i r="4">
      <x v="1234"/>
      <x v="47"/>
    </i>
    <i r="2">
      <x v="12"/>
      <x v="9"/>
      <x v="82"/>
      <x v="47"/>
    </i>
    <i r="3">
      <x v="11"/>
      <x v="138"/>
      <x v="47"/>
    </i>
    <i r="3">
      <x v="19"/>
      <x v="188"/>
      <x v="47"/>
    </i>
    <i r="3">
      <x v="42"/>
      <x v="69"/>
      <x v="47"/>
    </i>
    <i r="2">
      <x v="38"/>
      <x v="257"/>
      <x v="6"/>
      <x v="47"/>
    </i>
    <i r="4">
      <x v="138"/>
      <x v="47"/>
    </i>
    <i r="4">
      <x v="676"/>
      <x v="47"/>
    </i>
    <i r="4">
      <x v="1830"/>
      <x v="47"/>
    </i>
    <i r="1">
      <x v="2"/>
      <x v="6"/>
      <x v="257"/>
      <x v="661"/>
      <x v="47"/>
    </i>
    <i r="1">
      <x v="6"/>
      <x v="38"/>
      <x v="257"/>
      <x v="763"/>
      <x v="47"/>
    </i>
    <i r="1">
      <x v="12"/>
      <x v="1"/>
      <x v="257"/>
      <x v="80"/>
      <x v="47"/>
    </i>
    <i r="4">
      <x v="213"/>
      <x v="47"/>
    </i>
    <i r="4">
      <x v="500"/>
      <x v="47"/>
    </i>
    <i r="2">
      <x v="38"/>
      <x v="257"/>
      <x v="6"/>
      <x v="47"/>
    </i>
    <i r="4">
      <x v="49"/>
      <x v="47"/>
    </i>
    <i r="1">
      <x v="14"/>
      <x v="38"/>
      <x v="257"/>
      <x v="937"/>
      <x v="47"/>
    </i>
    <i r="1">
      <x v="15"/>
      <x v="6"/>
      <x v="257"/>
      <x v="410"/>
      <x v="47"/>
    </i>
    <i r="2">
      <x v="9"/>
      <x v="257"/>
      <x v="1044"/>
      <x v="47"/>
    </i>
    <i r="2">
      <x v="38"/>
      <x v="257"/>
      <x v="1122"/>
      <x v="47"/>
    </i>
    <i r="1">
      <x v="28"/>
      <x v="1"/>
      <x v="257"/>
      <x v="250"/>
      <x v="47"/>
    </i>
    <i r="1">
      <x v="35"/>
      <x v="1"/>
      <x v="257"/>
      <x v="213"/>
      <x v="47"/>
    </i>
    <i r="4">
      <x v="352"/>
      <x v="47"/>
    </i>
    <i>
      <x v="166"/>
      <x/>
      <x v="12"/>
      <x v="6"/>
      <x v="90"/>
      <x v="47"/>
    </i>
    <i r="3">
      <x v="56"/>
      <x v="69"/>
      <x v="47"/>
    </i>
    <i r="1">
      <x v="12"/>
      <x v="1"/>
      <x v="258"/>
      <x v="80"/>
      <x v="47"/>
    </i>
    <i r="4">
      <x v="213"/>
      <x v="47"/>
    </i>
    <i r="4">
      <x v="352"/>
      <x v="47"/>
    </i>
    <i r="1">
      <x v="35"/>
      <x v="1"/>
      <x v="258"/>
      <x v="80"/>
      <x v="47"/>
    </i>
    <i>
      <x v="167"/>
      <x/>
      <x v="8"/>
      <x v="260"/>
      <x v="1199"/>
      <x v="47"/>
    </i>
    <i r="2">
      <x v="10"/>
      <x v="260"/>
      <x/>
      <x v="24"/>
    </i>
    <i r="2">
      <x v="12"/>
      <x v="6"/>
      <x v="90"/>
      <x v="47"/>
    </i>
    <i r="3">
      <x v="16"/>
      <x v="138"/>
      <x v="47"/>
    </i>
    <i r="3">
      <x v="27"/>
      <x v="92"/>
      <x v="47"/>
    </i>
    <i r="3">
      <x v="30"/>
      <x v="6"/>
      <x v="47"/>
    </i>
    <i r="3">
      <x v="39"/>
      <x v="61"/>
      <x v="47"/>
    </i>
    <i r="3">
      <x v="57"/>
      <x v="69"/>
      <x v="47"/>
    </i>
    <i r="1">
      <x v="5"/>
      <x v="37"/>
      <x v="260"/>
      <x v="1270"/>
      <x v="47"/>
    </i>
    <i r="2">
      <x v="38"/>
      <x v="260"/>
      <x v="607"/>
      <x v="47"/>
    </i>
    <i r="1">
      <x v="6"/>
      <x v="38"/>
      <x v="260"/>
      <x v="551"/>
      <x v="47"/>
    </i>
    <i r="1">
      <x v="12"/>
      <x v="1"/>
      <x v="260"/>
      <x v="80"/>
      <x v="47"/>
    </i>
    <i r="1">
      <x v="14"/>
      <x v="6"/>
      <x v="260"/>
      <x v="1792"/>
      <x v="47"/>
    </i>
    <i r="2">
      <x v="29"/>
      <x v="259"/>
      <x v="1182"/>
      <x v="47"/>
    </i>
    <i r="1">
      <x v="15"/>
      <x v="10"/>
      <x v="260"/>
      <x/>
      <x v="24"/>
    </i>
    <i r="1">
      <x v="33"/>
      <x v="37"/>
      <x v="260"/>
      <x v="1208"/>
      <x v="47"/>
    </i>
    <i r="1">
      <x v="35"/>
      <x v="1"/>
      <x v="260"/>
      <x v="80"/>
      <x v="47"/>
    </i>
    <i>
      <x v="168"/>
      <x/>
      <x v="1"/>
      <x v="262"/>
      <x v="80"/>
      <x v="47"/>
    </i>
    <i r="2">
      <x v="11"/>
      <x v="51"/>
      <x v="633"/>
      <x v="47"/>
    </i>
    <i r="2">
      <x v="12"/>
      <x v="12"/>
      <x v="39"/>
      <x v="47"/>
    </i>
    <i r="3">
      <x v="38"/>
      <x v="114"/>
      <x v="47"/>
    </i>
    <i r="3">
      <x v="55"/>
      <x v="92"/>
      <x v="47"/>
    </i>
    <i r="3">
      <x v="57"/>
      <x v="192"/>
      <x v="47"/>
    </i>
    <i r="2">
      <x v="38"/>
      <x v="262"/>
      <x v="262"/>
      <x v="47"/>
    </i>
    <i r="4">
      <x v="1137"/>
      <x v="47"/>
    </i>
    <i r="4">
      <x v="1343"/>
      <x v="47"/>
    </i>
    <i r="1">
      <x v="3"/>
      <x v="38"/>
      <x v="262"/>
      <x v="1133"/>
      <x v="47"/>
    </i>
    <i r="1">
      <x v="12"/>
      <x v="1"/>
      <x v="262"/>
      <x v="80"/>
      <x v="47"/>
    </i>
    <i r="4">
      <x v="213"/>
      <x v="47"/>
    </i>
    <i r="4">
      <x v="352"/>
      <x v="47"/>
    </i>
    <i r="4">
      <x v="500"/>
      <x v="47"/>
    </i>
    <i r="4">
      <x v="607"/>
      <x v="47"/>
    </i>
    <i r="2">
      <x v="38"/>
      <x v="262"/>
      <x v="1697"/>
      <x v="47"/>
    </i>
    <i r="1">
      <x v="14"/>
      <x v="6"/>
      <x v="262"/>
      <x v="1792"/>
      <x v="47"/>
    </i>
    <i r="2">
      <x v="9"/>
      <x v="262"/>
      <x/>
      <x v="5"/>
    </i>
    <i r="2">
      <x v="29"/>
      <x v="261"/>
      <x v="1238"/>
      <x v="47"/>
    </i>
    <i r="1">
      <x v="15"/>
      <x v="33"/>
      <x v="262"/>
      <x v="981"/>
      <x v="47"/>
    </i>
    <i r="2">
      <x v="38"/>
      <x v="262"/>
      <x v="500"/>
      <x v="47"/>
    </i>
    <i r="1">
      <x v="26"/>
      <x v="38"/>
      <x v="262"/>
      <x v="719"/>
      <x v="47"/>
    </i>
    <i>
      <x v="169"/>
      <x/>
      <x v="12"/>
      <x v="6"/>
      <x v="32"/>
      <x v="47"/>
    </i>
    <i r="3">
      <x v="61"/>
      <x v="315"/>
      <x v="47"/>
    </i>
    <i r="3">
      <x v="62"/>
      <x v="81"/>
      <x v="47"/>
    </i>
  </rowItems>
  <colItems count="1">
    <i/>
  </colItems>
  <pageFields count="1">
    <pageField fld="0" hier="-1"/>
  </pageFields>
  <formats count="5496">
    <format dxfId="5503">
      <pivotArea dataOnly="0" labelOnly="1" fieldPosition="0">
        <references count="5">
          <reference field="1" count="1" selected="0">
            <x v="0"/>
          </reference>
          <reference field="2" count="1" selected="0">
            <x v="0"/>
          </reference>
          <reference field="3" count="1" selected="0">
            <x v="1"/>
          </reference>
          <reference field="4" count="1" selected="0">
            <x v="77"/>
          </reference>
          <reference field="5" count="1">
            <x v="213"/>
          </reference>
        </references>
      </pivotArea>
    </format>
    <format dxfId="5502">
      <pivotArea dataOnly="0" labelOnly="1" fieldPosition="0">
        <references count="5">
          <reference field="1" count="1" selected="0">
            <x v="0"/>
          </reference>
          <reference field="2" count="1" selected="0">
            <x v="0"/>
          </reference>
          <reference field="3" count="1" selected="0">
            <x v="8"/>
          </reference>
          <reference field="4" count="1" selected="0">
            <x v="77"/>
          </reference>
          <reference field="5" count="1">
            <x v="964"/>
          </reference>
        </references>
      </pivotArea>
    </format>
    <format dxfId="5501">
      <pivotArea dataOnly="0" labelOnly="1" fieldPosition="0">
        <references count="5">
          <reference field="1" count="1" selected="0">
            <x v="0"/>
          </reference>
          <reference field="2" count="1" selected="0">
            <x v="0"/>
          </reference>
          <reference field="3" count="1" selected="0">
            <x v="12"/>
          </reference>
          <reference field="4" count="1" selected="0">
            <x v="21"/>
          </reference>
          <reference field="5" count="1">
            <x v="24"/>
          </reference>
        </references>
      </pivotArea>
    </format>
    <format dxfId="5500">
      <pivotArea dataOnly="0" labelOnly="1" fieldPosition="0">
        <references count="5">
          <reference field="1" count="1" selected="0">
            <x v="0"/>
          </reference>
          <reference field="2" count="1" selected="0">
            <x v="0"/>
          </reference>
          <reference field="3" count="1" selected="0">
            <x v="37"/>
          </reference>
          <reference field="4" count="1" selected="0">
            <x v="77"/>
          </reference>
          <reference field="5" count="1">
            <x v="1421"/>
          </reference>
        </references>
      </pivotArea>
    </format>
    <format dxfId="5499">
      <pivotArea dataOnly="0" labelOnly="1" fieldPosition="0">
        <references count="5">
          <reference field="1" count="1" selected="0">
            <x v="0"/>
          </reference>
          <reference field="2" count="1" selected="0">
            <x v="10"/>
          </reference>
          <reference field="3" count="1" selected="0">
            <x v="37"/>
          </reference>
          <reference field="4" count="1" selected="0">
            <x v="77"/>
          </reference>
          <reference field="5" count="1">
            <x v="1361"/>
          </reference>
        </references>
      </pivotArea>
    </format>
    <format dxfId="5498">
      <pivotArea dataOnly="0" labelOnly="1" fieldPosition="0">
        <references count="5">
          <reference field="1" count="1" selected="0">
            <x v="0"/>
          </reference>
          <reference field="2" count="1" selected="0">
            <x v="11"/>
          </reference>
          <reference field="3" count="1" selected="0">
            <x v="37"/>
          </reference>
          <reference field="4" count="1" selected="0">
            <x v="77"/>
          </reference>
          <reference field="5" count="1">
            <x v="490"/>
          </reference>
        </references>
      </pivotArea>
    </format>
    <format dxfId="5497">
      <pivotArea dataOnly="0" labelOnly="1" fieldPosition="0">
        <references count="5">
          <reference field="1" count="1" selected="0">
            <x v="0"/>
          </reference>
          <reference field="2" count="1" selected="0">
            <x v="12"/>
          </reference>
          <reference field="3" count="1" selected="0">
            <x v="1"/>
          </reference>
          <reference field="4" count="1" selected="0">
            <x v="77"/>
          </reference>
          <reference field="5" count="5">
            <x v="80"/>
            <x v="213"/>
            <x v="352"/>
            <x v="500"/>
            <x v="1028"/>
          </reference>
        </references>
      </pivotArea>
    </format>
    <format dxfId="5496">
      <pivotArea dataOnly="0" labelOnly="1" fieldPosition="0">
        <references count="5">
          <reference field="1" count="1" selected="0">
            <x v="0"/>
          </reference>
          <reference field="2" count="1" selected="0">
            <x v="12"/>
          </reference>
          <reference field="3" count="1" selected="0">
            <x v="37"/>
          </reference>
          <reference field="4" count="1" selected="0">
            <x v="77"/>
          </reference>
          <reference field="5" count="2">
            <x v="947"/>
            <x v="1421"/>
          </reference>
        </references>
      </pivotArea>
    </format>
    <format dxfId="5495">
      <pivotArea dataOnly="0" labelOnly="1" fieldPosition="0">
        <references count="5">
          <reference field="1" count="1" selected="0">
            <x v="0"/>
          </reference>
          <reference field="2" count="1" selected="0">
            <x v="19"/>
          </reference>
          <reference field="3" count="1" selected="0">
            <x v="1"/>
          </reference>
          <reference field="4" count="1" selected="0">
            <x v="77"/>
          </reference>
          <reference field="5" count="1">
            <x v="440"/>
          </reference>
        </references>
      </pivotArea>
    </format>
    <format dxfId="5494">
      <pivotArea dataOnly="0" labelOnly="1" fieldPosition="0">
        <references count="5">
          <reference field="1" count="1" selected="0">
            <x v="0"/>
          </reference>
          <reference field="2" count="1" selected="0">
            <x v="35"/>
          </reference>
          <reference field="3" count="1" selected="0">
            <x v="1"/>
          </reference>
          <reference field="4" count="1" selected="0">
            <x v="77"/>
          </reference>
          <reference field="5" count="1">
            <x v="80"/>
          </reference>
        </references>
      </pivotArea>
    </format>
    <format dxfId="5493">
      <pivotArea dataOnly="0" labelOnly="1" fieldPosition="0">
        <references count="5">
          <reference field="1" count="1" selected="0">
            <x v="0"/>
          </reference>
          <reference field="2" count="1" selected="0">
            <x v="35"/>
          </reference>
          <reference field="3" count="1" selected="0">
            <x v="37"/>
          </reference>
          <reference field="4" count="1" selected="0">
            <x v="77"/>
          </reference>
          <reference field="5" count="1">
            <x v="1194"/>
          </reference>
        </references>
      </pivotArea>
    </format>
    <format dxfId="5492">
      <pivotArea dataOnly="0" labelOnly="1" fieldPosition="0">
        <references count="5">
          <reference field="1" count="1" selected="0">
            <x v="1"/>
          </reference>
          <reference field="2" count="1" selected="0">
            <x v="0"/>
          </reference>
          <reference field="3" count="1" selected="0">
            <x v="1"/>
          </reference>
          <reference field="4" count="1" selected="0">
            <x v="78"/>
          </reference>
          <reference field="5" count="1">
            <x v="80"/>
          </reference>
        </references>
      </pivotArea>
    </format>
    <format dxfId="5491">
      <pivotArea dataOnly="0" labelOnly="1" fieldPosition="0">
        <references count="5">
          <reference field="1" count="1" selected="0">
            <x v="1"/>
          </reference>
          <reference field="2" count="1" selected="0">
            <x v="0"/>
          </reference>
          <reference field="3" count="1" selected="0">
            <x v="7"/>
          </reference>
          <reference field="4" count="1" selected="0">
            <x v="78"/>
          </reference>
          <reference field="5" count="3">
            <x v="231"/>
            <x v="665"/>
            <x v="754"/>
          </reference>
        </references>
      </pivotArea>
    </format>
    <format dxfId="5490">
      <pivotArea dataOnly="0" labelOnly="1" fieldPosition="0">
        <references count="5">
          <reference field="1" count="1" selected="0">
            <x v="1"/>
          </reference>
          <reference field="2" count="1" selected="0">
            <x v="0"/>
          </reference>
          <reference field="3" count="1" selected="0">
            <x v="8"/>
          </reference>
          <reference field="4" count="1" selected="0">
            <x v="78"/>
          </reference>
          <reference field="5" count="2">
            <x v="667"/>
            <x v="1156"/>
          </reference>
        </references>
      </pivotArea>
    </format>
    <format dxfId="5489">
      <pivotArea dataOnly="0" labelOnly="1" fieldPosition="0">
        <references count="5">
          <reference field="1" count="1" selected="0">
            <x v="1"/>
          </reference>
          <reference field="2" count="1" selected="0">
            <x v="0"/>
          </reference>
          <reference field="3" count="1" selected="0">
            <x v="12"/>
          </reference>
          <reference field="4" count="1" selected="0">
            <x v="25"/>
          </reference>
          <reference field="5" count="1">
            <x v="180"/>
          </reference>
        </references>
      </pivotArea>
    </format>
    <format dxfId="5488">
      <pivotArea dataOnly="0" labelOnly="1" fieldPosition="0">
        <references count="5">
          <reference field="1" count="1" selected="0">
            <x v="1"/>
          </reference>
          <reference field="2" count="1" selected="0">
            <x v="0"/>
          </reference>
          <reference field="3" count="1" selected="0">
            <x v="12"/>
          </reference>
          <reference field="4" count="1" selected="0">
            <x v="37"/>
          </reference>
          <reference field="5" count="1">
            <x v="199"/>
          </reference>
        </references>
      </pivotArea>
    </format>
    <format dxfId="5487">
      <pivotArea dataOnly="0" labelOnly="1" fieldPosition="0">
        <references count="5">
          <reference field="1" count="1" selected="0">
            <x v="1"/>
          </reference>
          <reference field="2" count="1" selected="0">
            <x v="3"/>
          </reference>
          <reference field="3" count="1" selected="0">
            <x v="37"/>
          </reference>
          <reference field="4" count="1" selected="0">
            <x v="78"/>
          </reference>
          <reference field="5" count="1">
            <x v="109"/>
          </reference>
        </references>
      </pivotArea>
    </format>
    <format dxfId="5486">
      <pivotArea dataOnly="0" labelOnly="1" fieldPosition="0">
        <references count="5">
          <reference field="1" count="1" selected="0">
            <x v="1"/>
          </reference>
          <reference field="2" count="1" selected="0">
            <x v="7"/>
          </reference>
          <reference field="3" count="1" selected="0">
            <x v="8"/>
          </reference>
          <reference field="4" count="1" selected="0">
            <x v="78"/>
          </reference>
          <reference field="5" count="1">
            <x v="1148"/>
          </reference>
        </references>
      </pivotArea>
    </format>
    <format dxfId="5485">
      <pivotArea dataOnly="0" labelOnly="1" fieldPosition="0">
        <references count="5">
          <reference field="1" count="1" selected="0">
            <x v="1"/>
          </reference>
          <reference field="2" count="1" selected="0">
            <x v="12"/>
          </reference>
          <reference field="3" count="1" selected="0">
            <x v="1"/>
          </reference>
          <reference field="4" count="1" selected="0">
            <x v="78"/>
          </reference>
          <reference field="5" count="3">
            <x v="80"/>
            <x v="352"/>
            <x v="771"/>
          </reference>
        </references>
      </pivotArea>
    </format>
    <format dxfId="5484">
      <pivotArea dataOnly="0" labelOnly="1" fieldPosition="0">
        <references count="5">
          <reference field="1" count="1" selected="0">
            <x v="1"/>
          </reference>
          <reference field="2" count="1" selected="0">
            <x v="12"/>
          </reference>
          <reference field="3" count="1" selected="0">
            <x v="37"/>
          </reference>
          <reference field="4" count="1" selected="0">
            <x v="78"/>
          </reference>
          <reference field="5" count="1">
            <x v="1244"/>
          </reference>
        </references>
      </pivotArea>
    </format>
    <format dxfId="5483">
      <pivotArea dataOnly="0" labelOnly="1" fieldPosition="0">
        <references count="5">
          <reference field="1" count="1" selected="0">
            <x v="1"/>
          </reference>
          <reference field="2" count="1" selected="0">
            <x v="15"/>
          </reference>
          <reference field="3" count="1" selected="0">
            <x v="7"/>
          </reference>
          <reference field="4" count="1" selected="0">
            <x v="78"/>
          </reference>
          <reference field="5" count="1">
            <x v="469"/>
          </reference>
        </references>
      </pivotArea>
    </format>
    <format dxfId="5482">
      <pivotArea dataOnly="0" labelOnly="1" fieldPosition="0">
        <references count="5">
          <reference field="1" count="1" selected="0">
            <x v="1"/>
          </reference>
          <reference field="2" count="1" selected="0">
            <x v="15"/>
          </reference>
          <reference field="3" count="1" selected="0">
            <x v="38"/>
          </reference>
          <reference field="4" count="1" selected="0">
            <x v="78"/>
          </reference>
          <reference field="5" count="1">
            <x v="1274"/>
          </reference>
        </references>
      </pivotArea>
    </format>
    <format dxfId="5481">
      <pivotArea dataOnly="0" labelOnly="1" fieldPosition="0">
        <references count="5">
          <reference field="1" count="1" selected="0">
            <x v="1"/>
          </reference>
          <reference field="2" count="1" selected="0">
            <x v="21"/>
          </reference>
          <reference field="3" count="1" selected="0">
            <x v="37"/>
          </reference>
          <reference field="4" count="1" selected="0">
            <x v="78"/>
          </reference>
          <reference field="5" count="1">
            <x v="352"/>
          </reference>
        </references>
      </pivotArea>
    </format>
    <format dxfId="5480">
      <pivotArea dataOnly="0" labelOnly="1" fieldPosition="0">
        <references count="5">
          <reference field="1" count="1" selected="0">
            <x v="1"/>
          </reference>
          <reference field="2" count="1" selected="0">
            <x v="21"/>
          </reference>
          <reference field="3" count="1" selected="0">
            <x v="38"/>
          </reference>
          <reference field="4" count="1" selected="0">
            <x v="78"/>
          </reference>
          <reference field="5" count="1">
            <x v="1274"/>
          </reference>
        </references>
      </pivotArea>
    </format>
    <format dxfId="5479">
      <pivotArea dataOnly="0" labelOnly="1" fieldPosition="0">
        <references count="5">
          <reference field="1" count="1" selected="0">
            <x v="1"/>
          </reference>
          <reference field="2" count="1" selected="0">
            <x v="23"/>
          </reference>
          <reference field="3" count="1" selected="0">
            <x v="38"/>
          </reference>
          <reference field="4" count="1" selected="0">
            <x v="78"/>
          </reference>
          <reference field="5" count="1">
            <x v="1857"/>
          </reference>
        </references>
      </pivotArea>
    </format>
    <format dxfId="5478">
      <pivotArea dataOnly="0" labelOnly="1" fieldPosition="0">
        <references count="5">
          <reference field="1" count="1" selected="0">
            <x v="1"/>
          </reference>
          <reference field="2" count="1" selected="0">
            <x v="35"/>
          </reference>
          <reference field="3" count="1" selected="0">
            <x v="1"/>
          </reference>
          <reference field="4" count="1" selected="0">
            <x v="78"/>
          </reference>
          <reference field="5" count="1">
            <x v="80"/>
          </reference>
        </references>
      </pivotArea>
    </format>
    <format dxfId="5477">
      <pivotArea dataOnly="0" labelOnly="1" fieldPosition="0">
        <references count="5">
          <reference field="1" count="1" selected="0">
            <x v="2"/>
          </reference>
          <reference field="2" count="1" selected="0">
            <x v="0"/>
          </reference>
          <reference field="3" count="1" selected="0">
            <x v="6"/>
          </reference>
          <reference field="4" count="1" selected="0">
            <x v="79"/>
          </reference>
          <reference field="5" count="1">
            <x v="212"/>
          </reference>
        </references>
      </pivotArea>
    </format>
    <format dxfId="5476">
      <pivotArea dataOnly="0" labelOnly="1" fieldPosition="0">
        <references count="5">
          <reference field="1" count="1" selected="0">
            <x v="2"/>
          </reference>
          <reference field="2" count="1" selected="0">
            <x v="0"/>
          </reference>
          <reference field="3" count="1" selected="0">
            <x v="7"/>
          </reference>
          <reference field="4" count="1" selected="0">
            <x v="79"/>
          </reference>
          <reference field="5" count="1">
            <x v="255"/>
          </reference>
        </references>
      </pivotArea>
    </format>
    <format dxfId="5475">
      <pivotArea dataOnly="0" labelOnly="1" fieldPosition="0">
        <references count="5">
          <reference field="1" count="1" selected="0">
            <x v="2"/>
          </reference>
          <reference field="2" count="1" selected="0">
            <x v="0"/>
          </reference>
          <reference field="3" count="1" selected="0">
            <x v="12"/>
          </reference>
          <reference field="4" count="1" selected="0">
            <x v="68"/>
          </reference>
          <reference field="5" count="1">
            <x v="4"/>
          </reference>
        </references>
      </pivotArea>
    </format>
    <format dxfId="5474">
      <pivotArea dataOnly="0" labelOnly="1" fieldPosition="0">
        <references count="5">
          <reference field="1" count="1" selected="0">
            <x v="2"/>
          </reference>
          <reference field="2" count="1" selected="0">
            <x v="0"/>
          </reference>
          <reference field="3" count="1" selected="0">
            <x v="12"/>
          </reference>
          <reference field="4" count="1" selected="0">
            <x v="70"/>
          </reference>
          <reference field="5" count="1">
            <x v="11"/>
          </reference>
        </references>
      </pivotArea>
    </format>
    <format dxfId="5473">
      <pivotArea dataOnly="0" labelOnly="1" fieldPosition="0">
        <references count="5">
          <reference field="1" count="1" selected="0">
            <x v="2"/>
          </reference>
          <reference field="2" count="1" selected="0">
            <x v="3"/>
          </reference>
          <reference field="3" count="1" selected="0">
            <x v="38"/>
          </reference>
          <reference field="4" count="1" selected="0">
            <x v="79"/>
          </reference>
          <reference field="5" count="1">
            <x v="33"/>
          </reference>
        </references>
      </pivotArea>
    </format>
    <format dxfId="5472">
      <pivotArea dataOnly="0" labelOnly="1" fieldPosition="0">
        <references count="5">
          <reference field="1" count="1" selected="0">
            <x v="2"/>
          </reference>
          <reference field="2" count="1" selected="0">
            <x v="8"/>
          </reference>
          <reference field="3" count="1" selected="0">
            <x v="37"/>
          </reference>
          <reference field="4" count="1" selected="0">
            <x v="79"/>
          </reference>
          <reference field="5" count="1">
            <x v="988"/>
          </reference>
        </references>
      </pivotArea>
    </format>
    <format dxfId="5471">
      <pivotArea dataOnly="0" labelOnly="1" fieldPosition="0">
        <references count="5">
          <reference field="1" count="1" selected="0">
            <x v="2"/>
          </reference>
          <reference field="2" count="1" selected="0">
            <x v="12"/>
          </reference>
          <reference field="3" count="1" selected="0">
            <x v="1"/>
          </reference>
          <reference field="4" count="1" selected="0">
            <x v="79"/>
          </reference>
          <reference field="5" count="5">
            <x v="80"/>
            <x v="213"/>
            <x v="352"/>
            <x v="500"/>
            <x v="846"/>
          </reference>
        </references>
      </pivotArea>
    </format>
    <format dxfId="5470">
      <pivotArea dataOnly="0" labelOnly="1" fieldPosition="0">
        <references count="5">
          <reference field="1" count="1" selected="0">
            <x v="2"/>
          </reference>
          <reference field="2" count="1" selected="0">
            <x v="21"/>
          </reference>
          <reference field="3" count="1" selected="0">
            <x v="37"/>
          </reference>
          <reference field="4" count="1" selected="0">
            <x v="79"/>
          </reference>
          <reference field="5" count="1">
            <x v="352"/>
          </reference>
        </references>
      </pivotArea>
    </format>
    <format dxfId="5469">
      <pivotArea dataOnly="0" labelOnly="1" fieldPosition="0">
        <references count="5">
          <reference field="1" count="1" selected="0">
            <x v="2"/>
          </reference>
          <reference field="2" count="1" selected="0">
            <x v="23"/>
          </reference>
          <reference field="3" count="1" selected="0">
            <x v="6"/>
          </reference>
          <reference field="4" count="1" selected="0">
            <x v="79"/>
          </reference>
          <reference field="5" count="1">
            <x v="86"/>
          </reference>
        </references>
      </pivotArea>
    </format>
    <format dxfId="5468">
      <pivotArea dataOnly="0" labelOnly="1" fieldPosition="0">
        <references count="5">
          <reference field="1" count="1" selected="0">
            <x v="2"/>
          </reference>
          <reference field="2" count="1" selected="0">
            <x v="24"/>
          </reference>
          <reference field="3" count="1" selected="0">
            <x v="37"/>
          </reference>
          <reference field="4" count="1" selected="0">
            <x v="79"/>
          </reference>
          <reference field="5" count="1">
            <x v="352"/>
          </reference>
        </references>
      </pivotArea>
    </format>
    <format dxfId="5467">
      <pivotArea dataOnly="0" labelOnly="1" fieldPosition="0">
        <references count="5">
          <reference field="1" count="1" selected="0">
            <x v="2"/>
          </reference>
          <reference field="2" count="1" selected="0">
            <x v="27"/>
          </reference>
          <reference field="3" count="1" selected="0">
            <x v="6"/>
          </reference>
          <reference field="4" count="1" selected="0">
            <x v="79"/>
          </reference>
          <reference field="5" count="1">
            <x v="1495"/>
          </reference>
        </references>
      </pivotArea>
    </format>
    <format dxfId="5466">
      <pivotArea dataOnly="0" labelOnly="1" fieldPosition="0">
        <references count="5">
          <reference field="1" count="1" selected="0">
            <x v="2"/>
          </reference>
          <reference field="2" count="1" selected="0">
            <x v="35"/>
          </reference>
          <reference field="3" count="1" selected="0">
            <x v="1"/>
          </reference>
          <reference field="4" count="1" selected="0">
            <x v="79"/>
          </reference>
          <reference field="5" count="1">
            <x v="80"/>
          </reference>
        </references>
      </pivotArea>
    </format>
    <format dxfId="5465">
      <pivotArea dataOnly="0" labelOnly="1" fieldPosition="0">
        <references count="5">
          <reference field="1" count="1" selected="0">
            <x v="3"/>
          </reference>
          <reference field="2" count="1" selected="0">
            <x v="0"/>
          </reference>
          <reference field="3" count="1" selected="0">
            <x v="6"/>
          </reference>
          <reference field="4" count="1" selected="0">
            <x v="80"/>
          </reference>
          <reference field="5" count="1">
            <x v="795"/>
          </reference>
        </references>
      </pivotArea>
    </format>
    <format dxfId="5464">
      <pivotArea dataOnly="0" labelOnly="1" fieldPosition="0">
        <references count="5">
          <reference field="1" count="1" selected="0">
            <x v="3"/>
          </reference>
          <reference field="2" count="1" selected="0">
            <x v="0"/>
          </reference>
          <reference field="3" count="1" selected="0">
            <x v="12"/>
          </reference>
          <reference field="4" count="1" selected="0">
            <x v="25"/>
          </reference>
          <reference field="5" count="1">
            <x v="895"/>
          </reference>
        </references>
      </pivotArea>
    </format>
    <format dxfId="5463">
      <pivotArea dataOnly="0" labelOnly="1" fieldPosition="0">
        <references count="5">
          <reference field="1" count="1" selected="0">
            <x v="3"/>
          </reference>
          <reference field="2" count="1" selected="0">
            <x v="12"/>
          </reference>
          <reference field="3" count="1" selected="0">
            <x v="1"/>
          </reference>
          <reference field="4" count="1" selected="0">
            <x v="80"/>
          </reference>
          <reference field="5" count="3">
            <x v="80"/>
            <x v="500"/>
            <x v="911"/>
          </reference>
        </references>
      </pivotArea>
    </format>
    <format dxfId="5462">
      <pivotArea dataOnly="0" labelOnly="1" fieldPosition="0">
        <references count="5">
          <reference field="1" count="1" selected="0">
            <x v="3"/>
          </reference>
          <reference field="2" count="1" selected="0">
            <x v="35"/>
          </reference>
          <reference field="3" count="1" selected="0">
            <x v="1"/>
          </reference>
          <reference field="4" count="1" selected="0">
            <x v="80"/>
          </reference>
          <reference field="5" count="1">
            <x v="80"/>
          </reference>
        </references>
      </pivotArea>
    </format>
    <format dxfId="5461">
      <pivotArea dataOnly="0" labelOnly="1" fieldPosition="0">
        <references count="5">
          <reference field="1" count="1" selected="0">
            <x v="4"/>
          </reference>
          <reference field="2" count="1" selected="0">
            <x v="0"/>
          </reference>
          <reference field="3" count="1" selected="0">
            <x v="7"/>
          </reference>
          <reference field="4" count="1" selected="0">
            <x v="81"/>
          </reference>
          <reference field="5" count="1">
            <x v="1163"/>
          </reference>
        </references>
      </pivotArea>
    </format>
    <format dxfId="5460">
      <pivotArea dataOnly="0" labelOnly="1" fieldPosition="0">
        <references count="5">
          <reference field="1" count="1" selected="0">
            <x v="4"/>
          </reference>
          <reference field="2" count="1" selected="0">
            <x v="0"/>
          </reference>
          <reference field="3" count="1" selected="0">
            <x v="8"/>
          </reference>
          <reference field="4" count="1" selected="0">
            <x v="81"/>
          </reference>
          <reference field="5" count="1">
            <x v="854"/>
          </reference>
        </references>
      </pivotArea>
    </format>
    <format dxfId="5459">
      <pivotArea dataOnly="0" labelOnly="1" fieldPosition="0">
        <references count="5">
          <reference field="1" count="1" selected="0">
            <x v="4"/>
          </reference>
          <reference field="2" count="1" selected="0">
            <x v="0"/>
          </reference>
          <reference field="3" count="1" selected="0">
            <x v="12"/>
          </reference>
          <reference field="4" count="1" selected="0">
            <x v="29"/>
          </reference>
          <reference field="5" count="1">
            <x v="98"/>
          </reference>
        </references>
      </pivotArea>
    </format>
    <format dxfId="5458">
      <pivotArea dataOnly="0" labelOnly="1" fieldPosition="0">
        <references count="5">
          <reference field="1" count="1" selected="0">
            <x v="4"/>
          </reference>
          <reference field="2" count="1" selected="0">
            <x v="0"/>
          </reference>
          <reference field="3" count="1" selected="0">
            <x v="12"/>
          </reference>
          <reference field="4" count="1" selected="0">
            <x v="59"/>
          </reference>
          <reference field="5" count="1">
            <x v="6"/>
          </reference>
        </references>
      </pivotArea>
    </format>
    <format dxfId="5457">
      <pivotArea dataOnly="0" labelOnly="1" fieldPosition="0">
        <references count="5">
          <reference field="1" count="1" selected="0">
            <x v="4"/>
          </reference>
          <reference field="2" count="1" selected="0">
            <x v="0"/>
          </reference>
          <reference field="3" count="1" selected="0">
            <x v="12"/>
          </reference>
          <reference field="4" count="1" selected="0">
            <x v="68"/>
          </reference>
          <reference field="5" count="1">
            <x v="11"/>
          </reference>
        </references>
      </pivotArea>
    </format>
    <format dxfId="5456">
      <pivotArea dataOnly="0" labelOnly="1" fieldPosition="0">
        <references count="5">
          <reference field="1" count="1" selected="0">
            <x v="4"/>
          </reference>
          <reference field="2" count="1" selected="0">
            <x v="0"/>
          </reference>
          <reference field="3" count="1" selected="0">
            <x v="12"/>
          </reference>
          <reference field="4" count="1" selected="0">
            <x v="71"/>
          </reference>
          <reference field="5" count="1">
            <x v="55"/>
          </reference>
        </references>
      </pivotArea>
    </format>
    <format dxfId="5455">
      <pivotArea dataOnly="0" labelOnly="1" fieldPosition="0">
        <references count="5">
          <reference field="1" count="1" selected="0">
            <x v="4"/>
          </reference>
          <reference field="2" count="1" selected="0">
            <x v="8"/>
          </reference>
          <reference field="3" count="1" selected="0">
            <x v="37"/>
          </reference>
          <reference field="4" count="1" selected="0">
            <x v="81"/>
          </reference>
          <reference field="5" count="1">
            <x v="1022"/>
          </reference>
        </references>
      </pivotArea>
    </format>
    <format dxfId="5454">
      <pivotArea dataOnly="0" labelOnly="1" fieldPosition="0">
        <references count="5">
          <reference field="1" count="1" selected="0">
            <x v="4"/>
          </reference>
          <reference field="2" count="1" selected="0">
            <x v="12"/>
          </reference>
          <reference field="3" count="1" selected="0">
            <x v="1"/>
          </reference>
          <reference field="4" count="1" selected="0">
            <x v="81"/>
          </reference>
          <reference field="5" count="2">
            <x v="213"/>
            <x v="607"/>
          </reference>
        </references>
      </pivotArea>
    </format>
    <format dxfId="5453">
      <pivotArea dataOnly="0" labelOnly="1" fieldPosition="0">
        <references count="5">
          <reference field="1" count="1" selected="0">
            <x v="4"/>
          </reference>
          <reference field="2" count="1" selected="0">
            <x v="27"/>
          </reference>
          <reference field="3" count="1" selected="0">
            <x v="37"/>
          </reference>
          <reference field="4" count="1" selected="0">
            <x v="81"/>
          </reference>
          <reference field="5" count="1">
            <x v="1587"/>
          </reference>
        </references>
      </pivotArea>
    </format>
    <format dxfId="5452">
      <pivotArea dataOnly="0" labelOnly="1" fieldPosition="0">
        <references count="5">
          <reference field="1" count="1" selected="0">
            <x v="5"/>
          </reference>
          <reference field="2" count="1" selected="0">
            <x v="0"/>
          </reference>
          <reference field="3" count="1" selected="0">
            <x v="10"/>
          </reference>
          <reference field="4" count="1" selected="0">
            <x v="82"/>
          </reference>
          <reference field="5" count="1">
            <x v="0"/>
          </reference>
        </references>
      </pivotArea>
    </format>
    <format dxfId="5451">
      <pivotArea dataOnly="0" labelOnly="1" fieldPosition="0">
        <references count="5">
          <reference field="1" count="1" selected="0">
            <x v="5"/>
          </reference>
          <reference field="2" count="1" selected="0">
            <x v="0"/>
          </reference>
          <reference field="3" count="1" selected="0">
            <x v="12"/>
          </reference>
          <reference field="4" count="1" selected="0">
            <x v="18"/>
          </reference>
          <reference field="5" count="1">
            <x v="11"/>
          </reference>
        </references>
      </pivotArea>
    </format>
    <format dxfId="5450">
      <pivotArea dataOnly="0" labelOnly="1" fieldPosition="0">
        <references count="5">
          <reference field="1" count="1" selected="0">
            <x v="5"/>
          </reference>
          <reference field="2" count="1" selected="0">
            <x v="0"/>
          </reference>
          <reference field="3" count="1" selected="0">
            <x v="12"/>
          </reference>
          <reference field="4" count="1" selected="0">
            <x v="59"/>
          </reference>
          <reference field="5" count="1">
            <x v="6"/>
          </reference>
        </references>
      </pivotArea>
    </format>
    <format dxfId="5449">
      <pivotArea dataOnly="0" labelOnly="1" fieldPosition="0">
        <references count="5">
          <reference field="1" count="1" selected="0">
            <x v="5"/>
          </reference>
          <reference field="2" count="1" selected="0">
            <x v="3"/>
          </reference>
          <reference field="3" count="1" selected="0">
            <x v="1"/>
          </reference>
          <reference field="4" count="1" selected="0">
            <x v="82"/>
          </reference>
          <reference field="5" count="1">
            <x v="956"/>
          </reference>
        </references>
      </pivotArea>
    </format>
    <format dxfId="5448">
      <pivotArea dataOnly="0" labelOnly="1" fieldPosition="0">
        <references count="5">
          <reference field="1" count="1" selected="0">
            <x v="5"/>
          </reference>
          <reference field="2" count="1" selected="0">
            <x v="3"/>
          </reference>
          <reference field="3" count="1" selected="0">
            <x v="6"/>
          </reference>
          <reference field="4" count="1" selected="0">
            <x v="82"/>
          </reference>
          <reference field="5" count="1">
            <x v="387"/>
          </reference>
        </references>
      </pivotArea>
    </format>
    <format dxfId="5447">
      <pivotArea dataOnly="0" labelOnly="1" fieldPosition="0">
        <references count="5">
          <reference field="1" count="1" selected="0">
            <x v="5"/>
          </reference>
          <reference field="2" count="1" selected="0">
            <x v="10"/>
          </reference>
          <reference field="3" count="1" selected="0">
            <x v="37"/>
          </reference>
          <reference field="4" count="1" selected="0">
            <x v="82"/>
          </reference>
          <reference field="5" count="1">
            <x v="1398"/>
          </reference>
        </references>
      </pivotArea>
    </format>
    <format dxfId="5446">
      <pivotArea dataOnly="0" labelOnly="1" fieldPosition="0">
        <references count="5">
          <reference field="1" count="1" selected="0">
            <x v="5"/>
          </reference>
          <reference field="2" count="1" selected="0">
            <x v="12"/>
          </reference>
          <reference field="3" count="1" selected="0">
            <x v="1"/>
          </reference>
          <reference field="4" count="1" selected="0">
            <x v="82"/>
          </reference>
          <reference field="5" count="3">
            <x v="80"/>
            <x v="213"/>
            <x v="771"/>
          </reference>
        </references>
      </pivotArea>
    </format>
    <format dxfId="5445">
      <pivotArea dataOnly="0" labelOnly="1" fieldPosition="0">
        <references count="5">
          <reference field="1" count="1" selected="0">
            <x v="5"/>
          </reference>
          <reference field="2" count="1" selected="0">
            <x v="19"/>
          </reference>
          <reference field="3" count="1" selected="0">
            <x v="37"/>
          </reference>
          <reference field="4" count="1" selected="0">
            <x v="82"/>
          </reference>
          <reference field="5" count="1">
            <x v="1427"/>
          </reference>
        </references>
      </pivotArea>
    </format>
    <format dxfId="5444">
      <pivotArea dataOnly="0" labelOnly="1" fieldPosition="0">
        <references count="5">
          <reference field="1" count="1" selected="0">
            <x v="6"/>
          </reference>
          <reference field="2" count="1" selected="0">
            <x v="0"/>
          </reference>
          <reference field="3" count="1" selected="0">
            <x v="8"/>
          </reference>
          <reference field="4" count="1" selected="0">
            <x v="84"/>
          </reference>
          <reference field="5" count="2">
            <x v="113"/>
            <x v="854"/>
          </reference>
        </references>
      </pivotArea>
    </format>
    <format dxfId="5443">
      <pivotArea dataOnly="0" labelOnly="1" fieldPosition="0">
        <references count="5">
          <reference field="1" count="1" selected="0">
            <x v="6"/>
          </reference>
          <reference field="2" count="1" selected="0">
            <x v="0"/>
          </reference>
          <reference field="3" count="1" selected="0">
            <x v="9"/>
          </reference>
          <reference field="4" count="1" selected="0">
            <x v="84"/>
          </reference>
          <reference field="5" count="4">
            <x v="387"/>
            <x v="517"/>
            <x v="645"/>
            <x v="741"/>
          </reference>
        </references>
      </pivotArea>
    </format>
    <format dxfId="5442">
      <pivotArea dataOnly="0" labelOnly="1" fieldPosition="0">
        <references count="5">
          <reference field="1" count="1" selected="0">
            <x v="6"/>
          </reference>
          <reference field="2" count="1" selected="0">
            <x v="0"/>
          </reference>
          <reference field="3" count="1" selected="0">
            <x v="12"/>
          </reference>
          <reference field="4" count="1" selected="0">
            <x v="16"/>
          </reference>
          <reference field="5" count="1">
            <x v="258"/>
          </reference>
        </references>
      </pivotArea>
    </format>
    <format dxfId="5441">
      <pivotArea dataOnly="0" labelOnly="1" fieldPosition="0">
        <references count="5">
          <reference field="1" count="1" selected="0">
            <x v="6"/>
          </reference>
          <reference field="2" count="1" selected="0">
            <x v="0"/>
          </reference>
          <reference field="3" count="1" selected="0">
            <x v="12"/>
          </reference>
          <reference field="4" count="1" selected="0">
            <x v="30"/>
          </reference>
          <reference field="5" count="1">
            <x v="59"/>
          </reference>
        </references>
      </pivotArea>
    </format>
    <format dxfId="5440">
      <pivotArea dataOnly="0" labelOnly="1" fieldPosition="0">
        <references count="5">
          <reference field="1" count="1" selected="0">
            <x v="6"/>
          </reference>
          <reference field="2" count="1" selected="0">
            <x v="0"/>
          </reference>
          <reference field="3" count="1" selected="0">
            <x v="12"/>
          </reference>
          <reference field="4" count="1" selected="0">
            <x v="48"/>
          </reference>
          <reference field="5" count="1">
            <x v="6"/>
          </reference>
        </references>
      </pivotArea>
    </format>
    <format dxfId="5439">
      <pivotArea dataOnly="0" labelOnly="1" fieldPosition="0">
        <references count="5">
          <reference field="1" count="1" selected="0">
            <x v="6"/>
          </reference>
          <reference field="2" count="1" selected="0">
            <x v="0"/>
          </reference>
          <reference field="3" count="1" selected="0">
            <x v="12"/>
          </reference>
          <reference field="4" count="1" selected="0">
            <x v="58"/>
          </reference>
          <reference field="5" count="1">
            <x v="18"/>
          </reference>
        </references>
      </pivotArea>
    </format>
    <format dxfId="5438">
      <pivotArea dataOnly="0" labelOnly="1" fieldPosition="0">
        <references count="5">
          <reference field="1" count="1" selected="0">
            <x v="6"/>
          </reference>
          <reference field="2" count="1" selected="0">
            <x v="0"/>
          </reference>
          <reference field="3" count="1" selected="0">
            <x v="14"/>
          </reference>
          <reference field="4" count="1" selected="0">
            <x v="83"/>
          </reference>
          <reference field="5" count="4">
            <x v="546"/>
            <x v="668"/>
            <x v="821"/>
            <x v="829"/>
          </reference>
        </references>
      </pivotArea>
    </format>
    <format dxfId="5437">
      <pivotArea dataOnly="0" labelOnly="1" fieldPosition="0">
        <references count="5">
          <reference field="1" count="1" selected="0">
            <x v="6"/>
          </reference>
          <reference field="2" count="1" selected="0">
            <x v="2"/>
          </reference>
          <reference field="3" count="1" selected="0">
            <x v="14"/>
          </reference>
          <reference field="4" count="1" selected="0">
            <x v="83"/>
          </reference>
          <reference field="5" count="1">
            <x v="1867"/>
          </reference>
        </references>
      </pivotArea>
    </format>
    <format dxfId="5436">
      <pivotArea dataOnly="0" labelOnly="1" fieldPosition="0">
        <references count="5">
          <reference field="1" count="1" selected="0">
            <x v="6"/>
          </reference>
          <reference field="2" count="1" selected="0">
            <x v="3"/>
          </reference>
          <reference field="3" count="1" selected="0">
            <x v="14"/>
          </reference>
          <reference field="4" count="1" selected="0">
            <x v="83"/>
          </reference>
          <reference field="5" count="1">
            <x v="1313"/>
          </reference>
        </references>
      </pivotArea>
    </format>
    <format dxfId="5435">
      <pivotArea dataOnly="0" labelOnly="1" fieldPosition="0">
        <references count="5">
          <reference field="1" count="1" selected="0">
            <x v="6"/>
          </reference>
          <reference field="2" count="1" selected="0">
            <x v="3"/>
          </reference>
          <reference field="3" count="1" selected="0">
            <x v="37"/>
          </reference>
          <reference field="4" count="1" selected="0">
            <x v="84"/>
          </reference>
          <reference field="5" count="1">
            <x v="410"/>
          </reference>
        </references>
      </pivotArea>
    </format>
    <format dxfId="5434">
      <pivotArea dataOnly="0" labelOnly="1" fieldPosition="0">
        <references count="5">
          <reference field="1" count="1" selected="0">
            <x v="6"/>
          </reference>
          <reference field="2" count="1" selected="0">
            <x v="12"/>
          </reference>
          <reference field="3" count="1" selected="0">
            <x v="1"/>
          </reference>
          <reference field="4" count="1" selected="0">
            <x v="84"/>
          </reference>
          <reference field="5" count="3">
            <x v="80"/>
            <x v="352"/>
            <x v="771"/>
          </reference>
        </references>
      </pivotArea>
    </format>
    <format dxfId="5433">
      <pivotArea dataOnly="0" labelOnly="1" fieldPosition="0">
        <references count="5">
          <reference field="1" count="1" selected="0">
            <x v="6"/>
          </reference>
          <reference field="2" count="1" selected="0">
            <x v="12"/>
          </reference>
          <reference field="3" count="1" selected="0">
            <x v="14"/>
          </reference>
          <reference field="4" count="1" selected="0">
            <x v="83"/>
          </reference>
          <reference field="5" count="27">
            <x v="164"/>
            <x v="242"/>
            <x v="254"/>
            <x v="417"/>
            <x v="548"/>
            <x v="568"/>
            <x v="949"/>
            <x v="1298"/>
            <x v="1440"/>
            <x v="1499"/>
            <x v="1567"/>
            <x v="1569"/>
            <x v="1618"/>
            <x v="1626"/>
            <x v="1639"/>
            <x v="1655"/>
            <x v="1671"/>
            <x v="1681"/>
            <x v="1688"/>
            <x v="1693"/>
            <x v="1714"/>
            <x v="1745"/>
            <x v="1748"/>
            <x v="1757"/>
            <x v="1794"/>
            <x v="1829"/>
            <x v="1841"/>
          </reference>
        </references>
      </pivotArea>
    </format>
    <format dxfId="5432">
      <pivotArea dataOnly="0" labelOnly="1" fieldPosition="0">
        <references count="5">
          <reference field="1" count="1" selected="0">
            <x v="6"/>
          </reference>
          <reference field="2" count="1" selected="0">
            <x v="15"/>
          </reference>
          <reference field="3" count="1" selected="0">
            <x v="7"/>
          </reference>
          <reference field="4" count="1" selected="0">
            <x v="84"/>
          </reference>
          <reference field="5" count="1">
            <x v="882"/>
          </reference>
        </references>
      </pivotArea>
    </format>
    <format dxfId="5431">
      <pivotArea dataOnly="0" labelOnly="1" fieldPosition="0">
        <references count="5">
          <reference field="1" count="1" selected="0">
            <x v="6"/>
          </reference>
          <reference field="2" count="1" selected="0">
            <x v="17"/>
          </reference>
          <reference field="3" count="1" selected="0">
            <x v="14"/>
          </reference>
          <reference field="4" count="1" selected="0">
            <x v="83"/>
          </reference>
          <reference field="5" count="1">
            <x v="1471"/>
          </reference>
        </references>
      </pivotArea>
    </format>
    <format dxfId="5430">
      <pivotArea dataOnly="0" labelOnly="1" fieldPosition="0">
        <references count="5">
          <reference field="1" count="1" selected="0">
            <x v="6"/>
          </reference>
          <reference field="2" count="1" selected="0">
            <x v="21"/>
          </reference>
          <reference field="3" count="1" selected="0">
            <x v="14"/>
          </reference>
          <reference field="4" count="1" selected="0">
            <x v="83"/>
          </reference>
          <reference field="5" count="1">
            <x v="1185"/>
          </reference>
        </references>
      </pivotArea>
    </format>
    <format dxfId="5429">
      <pivotArea dataOnly="0" labelOnly="1" fieldPosition="0">
        <references count="5">
          <reference field="1" count="1" selected="0">
            <x v="6"/>
          </reference>
          <reference field="2" count="1" selected="0">
            <x v="21"/>
          </reference>
          <reference field="3" count="1" selected="0">
            <x v="37"/>
          </reference>
          <reference field="4" count="1" selected="0">
            <x v="84"/>
          </reference>
          <reference field="5" count="1">
            <x v="1068"/>
          </reference>
        </references>
      </pivotArea>
    </format>
    <format dxfId="5428">
      <pivotArea dataOnly="0" labelOnly="1" fieldPosition="0">
        <references count="5">
          <reference field="1" count="1" selected="0">
            <x v="6"/>
          </reference>
          <reference field="2" count="1" selected="0">
            <x v="23"/>
          </reference>
          <reference field="3" count="1" selected="0">
            <x v="14"/>
          </reference>
          <reference field="4" count="1" selected="0">
            <x v="83"/>
          </reference>
          <reference field="5" count="1">
            <x v="1728"/>
          </reference>
        </references>
      </pivotArea>
    </format>
    <format dxfId="5427">
      <pivotArea dataOnly="0" labelOnly="1" fieldPosition="0">
        <references count="5">
          <reference field="1" count="1" selected="0">
            <x v="6"/>
          </reference>
          <reference field="2" count="1" selected="0">
            <x v="24"/>
          </reference>
          <reference field="3" count="1" selected="0">
            <x v="14"/>
          </reference>
          <reference field="4" count="1" selected="0">
            <x v="83"/>
          </reference>
          <reference field="5" count="1">
            <x v="885"/>
          </reference>
        </references>
      </pivotArea>
    </format>
    <format dxfId="5426">
      <pivotArea dataOnly="0" labelOnly="1" fieldPosition="0">
        <references count="5">
          <reference field="1" count="1" selected="0">
            <x v="6"/>
          </reference>
          <reference field="2" count="1" selected="0">
            <x v="27"/>
          </reference>
          <reference field="3" count="1" selected="0">
            <x v="14"/>
          </reference>
          <reference field="4" count="1" selected="0">
            <x v="83"/>
          </reference>
          <reference field="5" count="1">
            <x v="599"/>
          </reference>
        </references>
      </pivotArea>
    </format>
    <format dxfId="5425">
      <pivotArea dataOnly="0" labelOnly="1" fieldPosition="0">
        <references count="5">
          <reference field="1" count="1" selected="0">
            <x v="6"/>
          </reference>
          <reference field="2" count="1" selected="0">
            <x v="35"/>
          </reference>
          <reference field="3" count="1" selected="0">
            <x v="1"/>
          </reference>
          <reference field="4" count="1" selected="0">
            <x v="84"/>
          </reference>
          <reference field="5" count="2">
            <x v="80"/>
            <x v="213"/>
          </reference>
        </references>
      </pivotArea>
    </format>
    <format dxfId="5424">
      <pivotArea dataOnly="0" labelOnly="1" fieldPosition="0">
        <references count="5">
          <reference field="1" count="1" selected="0">
            <x v="6"/>
          </reference>
          <reference field="2" count="1" selected="0">
            <x v="35"/>
          </reference>
          <reference field="3" count="1" selected="0">
            <x v="14"/>
          </reference>
          <reference field="4" count="1" selected="0">
            <x v="83"/>
          </reference>
          <reference field="5" count="10">
            <x v="154"/>
            <x v="259"/>
            <x v="264"/>
            <x v="478"/>
            <x v="525"/>
            <x v="527"/>
            <x v="618"/>
            <x v="730"/>
            <x v="746"/>
            <x v="1131"/>
          </reference>
        </references>
      </pivotArea>
    </format>
    <format dxfId="5423">
      <pivotArea dataOnly="0" labelOnly="1" fieldPosition="0">
        <references count="5">
          <reference field="1" count="1" selected="0">
            <x v="7"/>
          </reference>
          <reference field="2" count="1" selected="0">
            <x v="0"/>
          </reference>
          <reference field="3" count="1" selected="0">
            <x v="1"/>
          </reference>
          <reference field="4" count="1" selected="0">
            <x v="85"/>
          </reference>
          <reference field="5" count="1">
            <x v="80"/>
          </reference>
        </references>
      </pivotArea>
    </format>
    <format dxfId="5422">
      <pivotArea dataOnly="0" labelOnly="1" fieldPosition="0">
        <references count="5">
          <reference field="1" count="1" selected="0">
            <x v="7"/>
          </reference>
          <reference field="2" count="1" selected="0">
            <x v="0"/>
          </reference>
          <reference field="3" count="1" selected="0">
            <x v="12"/>
          </reference>
          <reference field="4" count="1" selected="0">
            <x v="16"/>
          </reference>
          <reference field="5" count="1">
            <x v="258"/>
          </reference>
        </references>
      </pivotArea>
    </format>
    <format dxfId="5421">
      <pivotArea dataOnly="0" labelOnly="1" fieldPosition="0">
        <references count="5">
          <reference field="1" count="1" selected="0">
            <x v="7"/>
          </reference>
          <reference field="2" count="1" selected="0">
            <x v="0"/>
          </reference>
          <reference field="3" count="1" selected="0">
            <x v="12"/>
          </reference>
          <reference field="4" count="1" selected="0">
            <x v="18"/>
          </reference>
          <reference field="5" count="1">
            <x v="18"/>
          </reference>
        </references>
      </pivotArea>
    </format>
    <format dxfId="5420">
      <pivotArea dataOnly="0" labelOnly="1" fieldPosition="0">
        <references count="5">
          <reference field="1" count="1" selected="0">
            <x v="7"/>
          </reference>
          <reference field="2" count="1" selected="0">
            <x v="6"/>
          </reference>
          <reference field="3" count="1" selected="0">
            <x v="37"/>
          </reference>
          <reference field="4" count="1" selected="0">
            <x v="85"/>
          </reference>
          <reference field="5" count="1">
            <x v="1234"/>
          </reference>
        </references>
      </pivotArea>
    </format>
    <format dxfId="5419">
      <pivotArea dataOnly="0" labelOnly="1" fieldPosition="0">
        <references count="5">
          <reference field="1" count="1" selected="0">
            <x v="7"/>
          </reference>
          <reference field="2" count="1" selected="0">
            <x v="9"/>
          </reference>
          <reference field="3" count="1" selected="0">
            <x v="1"/>
          </reference>
          <reference field="4" count="1" selected="0">
            <x v="85"/>
          </reference>
          <reference field="5" count="1">
            <x v="1019"/>
          </reference>
        </references>
      </pivotArea>
    </format>
    <format dxfId="5418">
      <pivotArea dataOnly="0" labelOnly="1" fieldPosition="0">
        <references count="5">
          <reference field="1" count="1" selected="0">
            <x v="7"/>
          </reference>
          <reference field="2" count="1" selected="0">
            <x v="12"/>
          </reference>
          <reference field="3" count="1" selected="0">
            <x v="1"/>
          </reference>
          <reference field="4" count="1" selected="0">
            <x v="85"/>
          </reference>
          <reference field="5" count="2">
            <x v="80"/>
            <x v="213"/>
          </reference>
        </references>
      </pivotArea>
    </format>
    <format dxfId="5417">
      <pivotArea dataOnly="0" labelOnly="1" fieldPosition="0">
        <references count="5">
          <reference field="1" count="1" selected="0">
            <x v="7"/>
          </reference>
          <reference field="2" count="1" selected="0">
            <x v="12"/>
          </reference>
          <reference field="3" count="1" selected="0">
            <x v="37"/>
          </reference>
          <reference field="4" count="1" selected="0">
            <x v="85"/>
          </reference>
          <reference field="5" count="1">
            <x v="800"/>
          </reference>
        </references>
      </pivotArea>
    </format>
    <format dxfId="5416">
      <pivotArea dataOnly="0" labelOnly="1" fieldPosition="0">
        <references count="5">
          <reference field="1" count="1" selected="0">
            <x v="7"/>
          </reference>
          <reference field="2" count="1" selected="0">
            <x v="15"/>
          </reference>
          <reference field="3" count="1" selected="0">
            <x v="37"/>
          </reference>
          <reference field="4" count="1" selected="0">
            <x v="85"/>
          </reference>
          <reference field="5" count="1">
            <x v="456"/>
          </reference>
        </references>
      </pivotArea>
    </format>
    <format dxfId="5415">
      <pivotArea dataOnly="0" labelOnly="1" fieldPosition="0">
        <references count="5">
          <reference field="1" count="1" selected="0">
            <x v="7"/>
          </reference>
          <reference field="2" count="1" selected="0">
            <x v="19"/>
          </reference>
          <reference field="3" count="1" selected="0">
            <x v="37"/>
          </reference>
          <reference field="4" count="1" selected="0">
            <x v="85"/>
          </reference>
          <reference field="5" count="1">
            <x v="137"/>
          </reference>
        </references>
      </pivotArea>
    </format>
    <format dxfId="5414">
      <pivotArea dataOnly="0" labelOnly="1" fieldPosition="0">
        <references count="5">
          <reference field="1" count="1" selected="0">
            <x v="7"/>
          </reference>
          <reference field="2" count="1" selected="0">
            <x v="21"/>
          </reference>
          <reference field="3" count="1" selected="0">
            <x v="37"/>
          </reference>
          <reference field="4" count="1" selected="0">
            <x v="85"/>
          </reference>
          <reference field="5" count="1">
            <x v="352"/>
          </reference>
        </references>
      </pivotArea>
    </format>
    <format dxfId="5413">
      <pivotArea dataOnly="0" labelOnly="1" fieldPosition="0">
        <references count="5">
          <reference field="1" count="1" selected="0">
            <x v="7"/>
          </reference>
          <reference field="2" count="1" selected="0">
            <x v="26"/>
          </reference>
          <reference field="3" count="1" selected="0">
            <x v="38"/>
          </reference>
          <reference field="4" count="1" selected="0">
            <x v="85"/>
          </reference>
          <reference field="5" count="1">
            <x v="371"/>
          </reference>
        </references>
      </pivotArea>
    </format>
    <format dxfId="5412">
      <pivotArea dataOnly="0" labelOnly="1" fieldPosition="0">
        <references count="5">
          <reference field="1" count="1" selected="0">
            <x v="7"/>
          </reference>
          <reference field="2" count="1" selected="0">
            <x v="35"/>
          </reference>
          <reference field="3" count="1" selected="0">
            <x v="1"/>
          </reference>
          <reference field="4" count="1" selected="0">
            <x v="85"/>
          </reference>
          <reference field="5" count="3">
            <x v="80"/>
            <x v="213"/>
            <x v="352"/>
          </reference>
        </references>
      </pivotArea>
    </format>
    <format dxfId="5411">
      <pivotArea dataOnly="0" labelOnly="1" fieldPosition="0">
        <references count="5">
          <reference field="1" count="1" selected="0">
            <x v="8"/>
          </reference>
          <reference field="2" count="1" selected="0">
            <x v="0"/>
          </reference>
          <reference field="3" count="1" selected="0">
            <x v="8"/>
          </reference>
          <reference field="4" count="1" selected="0">
            <x v="86"/>
          </reference>
          <reference field="5" count="1">
            <x v="585"/>
          </reference>
        </references>
      </pivotArea>
    </format>
    <format dxfId="5410">
      <pivotArea dataOnly="0" labelOnly="1" fieldPosition="0">
        <references count="5">
          <reference field="1" count="1" selected="0">
            <x v="8"/>
          </reference>
          <reference field="2" count="1" selected="0">
            <x v="0"/>
          </reference>
          <reference field="3" count="1" selected="0">
            <x v="9"/>
          </reference>
          <reference field="4" count="1" selected="0">
            <x v="86"/>
          </reference>
          <reference field="5" count="1">
            <x v="559"/>
          </reference>
        </references>
      </pivotArea>
    </format>
    <format dxfId="5409">
      <pivotArea dataOnly="0" labelOnly="1" fieldPosition="0">
        <references count="5">
          <reference field="1" count="1" selected="0">
            <x v="8"/>
          </reference>
          <reference field="2" count="1" selected="0">
            <x v="0"/>
          </reference>
          <reference field="3" count="1" selected="0">
            <x v="12"/>
          </reference>
          <reference field="4" count="1" selected="0">
            <x v="4"/>
          </reference>
          <reference field="5" count="1">
            <x v="197"/>
          </reference>
        </references>
      </pivotArea>
    </format>
    <format dxfId="5408">
      <pivotArea dataOnly="0" labelOnly="1" fieldPosition="0">
        <references count="5">
          <reference field="1" count="1" selected="0">
            <x v="8"/>
          </reference>
          <reference field="2" count="1" selected="0">
            <x v="0"/>
          </reference>
          <reference field="3" count="1" selected="0">
            <x v="12"/>
          </reference>
          <reference field="4" count="1" selected="0">
            <x v="48"/>
          </reference>
          <reference field="5" count="1">
            <x v="6"/>
          </reference>
        </references>
      </pivotArea>
    </format>
    <format dxfId="5407">
      <pivotArea dataOnly="0" labelOnly="1" fieldPosition="0">
        <references count="5">
          <reference field="1" count="1" selected="0">
            <x v="8"/>
          </reference>
          <reference field="2" count="1" selected="0">
            <x v="3"/>
          </reference>
          <reference field="3" count="1" selected="0">
            <x v="38"/>
          </reference>
          <reference field="4" count="1" selected="0">
            <x v="86"/>
          </reference>
          <reference field="5" count="1">
            <x v="278"/>
          </reference>
        </references>
      </pivotArea>
    </format>
    <format dxfId="5406">
      <pivotArea dataOnly="0" labelOnly="1" fieldPosition="0">
        <references count="5">
          <reference field="1" count="1" selected="0">
            <x v="8"/>
          </reference>
          <reference field="2" count="1" selected="0">
            <x v="5"/>
          </reference>
          <reference field="3" count="1" selected="0">
            <x v="37"/>
          </reference>
          <reference field="4" count="1" selected="0">
            <x v="86"/>
          </reference>
          <reference field="5" count="1">
            <x v="834"/>
          </reference>
        </references>
      </pivotArea>
    </format>
    <format dxfId="5405">
      <pivotArea dataOnly="0" labelOnly="1" fieldPosition="0">
        <references count="5">
          <reference field="1" count="1" selected="0">
            <x v="8"/>
          </reference>
          <reference field="2" count="1" selected="0">
            <x v="5"/>
          </reference>
          <reference field="3" count="1" selected="0">
            <x v="38"/>
          </reference>
          <reference field="4" count="1" selected="0">
            <x v="86"/>
          </reference>
          <reference field="5" count="1">
            <x v="1723"/>
          </reference>
        </references>
      </pivotArea>
    </format>
    <format dxfId="5404">
      <pivotArea dataOnly="0" labelOnly="1" fieldPosition="0">
        <references count="5">
          <reference field="1" count="1" selected="0">
            <x v="8"/>
          </reference>
          <reference field="2" count="1" selected="0">
            <x v="9"/>
          </reference>
          <reference field="3" count="1" selected="0">
            <x v="8"/>
          </reference>
          <reference field="4" count="1" selected="0">
            <x v="86"/>
          </reference>
          <reference field="5" count="1">
            <x v="1035"/>
          </reference>
        </references>
      </pivotArea>
    </format>
    <format dxfId="5403">
      <pivotArea dataOnly="0" labelOnly="1" fieldPosition="0">
        <references count="5">
          <reference field="1" count="1" selected="0">
            <x v="8"/>
          </reference>
          <reference field="2" count="1" selected="0">
            <x v="12"/>
          </reference>
          <reference field="3" count="1" selected="0">
            <x v="1"/>
          </reference>
          <reference field="4" count="1" selected="0">
            <x v="86"/>
          </reference>
          <reference field="5" count="3">
            <x v="80"/>
            <x v="352"/>
            <x v="500"/>
          </reference>
        </references>
      </pivotArea>
    </format>
    <format dxfId="5402">
      <pivotArea dataOnly="0" labelOnly="1" fieldPosition="0">
        <references count="5">
          <reference field="1" count="1" selected="0">
            <x v="8"/>
          </reference>
          <reference field="2" count="1" selected="0">
            <x v="23"/>
          </reference>
          <reference field="3" count="1" selected="0">
            <x v="37"/>
          </reference>
          <reference field="4" count="1" selected="0">
            <x v="86"/>
          </reference>
          <reference field="5" count="1">
            <x v="653"/>
          </reference>
        </references>
      </pivotArea>
    </format>
    <format dxfId="5401">
      <pivotArea dataOnly="0" labelOnly="1" fieldPosition="0">
        <references count="5">
          <reference field="1" count="1" selected="0">
            <x v="9"/>
          </reference>
          <reference field="2" count="1" selected="0">
            <x v="0"/>
          </reference>
          <reference field="3" count="1" selected="0">
            <x v="37"/>
          </reference>
          <reference field="4" count="1" selected="0">
            <x v="87"/>
          </reference>
          <reference field="5" count="1">
            <x v="744"/>
          </reference>
        </references>
      </pivotArea>
    </format>
    <format dxfId="5400">
      <pivotArea dataOnly="0" labelOnly="1" fieldPosition="0">
        <references count="5">
          <reference field="1" count="1" selected="0">
            <x v="9"/>
          </reference>
          <reference field="2" count="1" selected="0">
            <x v="8"/>
          </reference>
          <reference field="3" count="1" selected="0">
            <x v="37"/>
          </reference>
          <reference field="4" count="1" selected="0">
            <x v="87"/>
          </reference>
          <reference field="5" count="1">
            <x v="1341"/>
          </reference>
        </references>
      </pivotArea>
    </format>
    <format dxfId="5399">
      <pivotArea dataOnly="0" labelOnly="1" fieldPosition="0">
        <references count="5">
          <reference field="1" count="1" selected="0">
            <x v="9"/>
          </reference>
          <reference field="2" count="1" selected="0">
            <x v="12"/>
          </reference>
          <reference field="3" count="1" selected="0">
            <x v="1"/>
          </reference>
          <reference field="4" count="1" selected="0">
            <x v="87"/>
          </reference>
          <reference field="5" count="4">
            <x v="80"/>
            <x v="213"/>
            <x v="352"/>
            <x v="500"/>
          </reference>
        </references>
      </pivotArea>
    </format>
    <format dxfId="5398">
      <pivotArea dataOnly="0" labelOnly="1" fieldPosition="0">
        <references count="5">
          <reference field="1" count="1" selected="0">
            <x v="9"/>
          </reference>
          <reference field="2" count="1" selected="0">
            <x v="12"/>
          </reference>
          <reference field="3" count="1" selected="0">
            <x v="37"/>
          </reference>
          <reference field="4" count="1" selected="0">
            <x v="87"/>
          </reference>
          <reference field="5" count="2">
            <x v="1028"/>
            <x v="1079"/>
          </reference>
        </references>
      </pivotArea>
    </format>
    <format dxfId="5397">
      <pivotArea dataOnly="0" labelOnly="1" fieldPosition="0">
        <references count="5">
          <reference field="1" count="1" selected="0">
            <x v="9"/>
          </reference>
          <reference field="2" count="1" selected="0">
            <x v="23"/>
          </reference>
          <reference field="3" count="1" selected="0">
            <x v="1"/>
          </reference>
          <reference field="4" count="1" selected="0">
            <x v="87"/>
          </reference>
          <reference field="5" count="1">
            <x v="278"/>
          </reference>
        </references>
      </pivotArea>
    </format>
    <format dxfId="5396">
      <pivotArea dataOnly="0" labelOnly="1" fieldPosition="0">
        <references count="5">
          <reference field="1" count="1" selected="0">
            <x v="9"/>
          </reference>
          <reference field="2" count="1" selected="0">
            <x v="23"/>
          </reference>
          <reference field="3" count="1" selected="0">
            <x v="37"/>
          </reference>
          <reference field="4" count="1" selected="0">
            <x v="87"/>
          </reference>
          <reference field="5" count="1">
            <x v="294"/>
          </reference>
        </references>
      </pivotArea>
    </format>
    <format dxfId="5395">
      <pivotArea dataOnly="0" labelOnly="1" fieldPosition="0">
        <references count="5">
          <reference field="1" count="1" selected="0">
            <x v="9"/>
          </reference>
          <reference field="2" count="1" selected="0">
            <x v="26"/>
          </reference>
          <reference field="3" count="1" selected="0">
            <x v="37"/>
          </reference>
          <reference field="4" count="1" selected="0">
            <x v="87"/>
          </reference>
          <reference field="5" count="1">
            <x v="352"/>
          </reference>
        </references>
      </pivotArea>
    </format>
    <format dxfId="5394">
      <pivotArea dataOnly="0" labelOnly="1" fieldPosition="0">
        <references count="5">
          <reference field="1" count="1" selected="0">
            <x v="9"/>
          </reference>
          <reference field="2" count="1" selected="0">
            <x v="35"/>
          </reference>
          <reference field="3" count="1" selected="0">
            <x v="1"/>
          </reference>
          <reference field="4" count="1" selected="0">
            <x v="87"/>
          </reference>
          <reference field="5" count="1">
            <x v="80"/>
          </reference>
        </references>
      </pivotArea>
    </format>
    <format dxfId="5393">
      <pivotArea dataOnly="0" labelOnly="1" fieldPosition="0">
        <references count="5">
          <reference field="1" count="1" selected="0">
            <x v="10"/>
          </reference>
          <reference field="2" count="1" selected="0">
            <x v="0"/>
          </reference>
          <reference field="3" count="1" selected="0">
            <x v="8"/>
          </reference>
          <reference field="4" count="1" selected="0">
            <x v="88"/>
          </reference>
          <reference field="5" count="1">
            <x v="1114"/>
          </reference>
        </references>
      </pivotArea>
    </format>
    <format dxfId="5392">
      <pivotArea dataOnly="0" labelOnly="1" fieldPosition="0">
        <references count="5">
          <reference field="1" count="1" selected="0">
            <x v="10"/>
          </reference>
          <reference field="2" count="1" selected="0">
            <x v="0"/>
          </reference>
          <reference field="3" count="1" selected="0">
            <x v="9"/>
          </reference>
          <reference field="4" count="1" selected="0">
            <x v="88"/>
          </reference>
          <reference field="5" count="3">
            <x v="212"/>
            <x v="220"/>
            <x v="240"/>
          </reference>
        </references>
      </pivotArea>
    </format>
    <format dxfId="5391">
      <pivotArea dataOnly="0" labelOnly="1" fieldPosition="0">
        <references count="5">
          <reference field="1" count="1" selected="0">
            <x v="10"/>
          </reference>
          <reference field="2" count="1" selected="0">
            <x v="0"/>
          </reference>
          <reference field="3" count="1" selected="0">
            <x v="12"/>
          </reference>
          <reference field="4" count="1" selected="0">
            <x v="22"/>
          </reference>
          <reference field="5" count="1">
            <x v="18"/>
          </reference>
        </references>
      </pivotArea>
    </format>
    <format dxfId="5390">
      <pivotArea dataOnly="0" labelOnly="1" fieldPosition="0">
        <references count="5">
          <reference field="1" count="1" selected="0">
            <x v="10"/>
          </reference>
          <reference field="2" count="1" selected="0">
            <x v="0"/>
          </reference>
          <reference field="3" count="1" selected="0">
            <x v="37"/>
          </reference>
          <reference field="4" count="1" selected="0">
            <x v="88"/>
          </reference>
          <reference field="5" count="1">
            <x v="273"/>
          </reference>
        </references>
      </pivotArea>
    </format>
    <format dxfId="5389">
      <pivotArea dataOnly="0" labelOnly="1" fieldPosition="0">
        <references count="5">
          <reference field="1" count="1" selected="0">
            <x v="10"/>
          </reference>
          <reference field="2" count="1" selected="0">
            <x v="12"/>
          </reference>
          <reference field="3" count="1" selected="0">
            <x v="1"/>
          </reference>
          <reference field="4" count="1" selected="0">
            <x v="88"/>
          </reference>
          <reference field="5" count="4">
            <x v="80"/>
            <x v="213"/>
            <x v="771"/>
            <x v="846"/>
          </reference>
        </references>
      </pivotArea>
    </format>
    <format dxfId="5388">
      <pivotArea dataOnly="0" labelOnly="1" fieldPosition="0">
        <references count="5">
          <reference field="1" count="1" selected="0">
            <x v="10"/>
          </reference>
          <reference field="2" count="1" selected="0">
            <x v="24"/>
          </reference>
          <reference field="3" count="1" selected="0">
            <x v="1"/>
          </reference>
          <reference field="4" count="1" selected="0">
            <x v="88"/>
          </reference>
          <reference field="5" count="1">
            <x v="213"/>
          </reference>
        </references>
      </pivotArea>
    </format>
    <format dxfId="5387">
      <pivotArea dataOnly="0" labelOnly="1" fieldPosition="0">
        <references count="5">
          <reference field="1" count="1" selected="0">
            <x v="10"/>
          </reference>
          <reference field="2" count="1" selected="0">
            <x v="35"/>
          </reference>
          <reference field="3" count="1" selected="0">
            <x v="1"/>
          </reference>
          <reference field="4" count="1" selected="0">
            <x v="88"/>
          </reference>
          <reference field="5" count="1">
            <x v="80"/>
          </reference>
        </references>
      </pivotArea>
    </format>
    <format dxfId="5386">
      <pivotArea dataOnly="0" labelOnly="1" fieldPosition="0">
        <references count="5">
          <reference field="1" count="1" selected="0">
            <x v="11"/>
          </reference>
          <reference field="2" count="1" selected="0">
            <x v="0"/>
          </reference>
          <reference field="3" count="1" selected="0">
            <x v="12"/>
          </reference>
          <reference field="4" count="1" selected="0">
            <x v="10"/>
          </reference>
          <reference field="5" count="1">
            <x v="248"/>
          </reference>
        </references>
      </pivotArea>
    </format>
    <format dxfId="5385">
      <pivotArea dataOnly="0" labelOnly="1" fieldPosition="0">
        <references count="5">
          <reference field="1" count="1" selected="0">
            <x v="11"/>
          </reference>
          <reference field="2" count="1" selected="0">
            <x v="0"/>
          </reference>
          <reference field="3" count="1" selected="0">
            <x v="12"/>
          </reference>
          <reference field="4" count="1" selected="0">
            <x v="33"/>
          </reference>
          <reference field="5" count="1">
            <x v="18"/>
          </reference>
        </references>
      </pivotArea>
    </format>
    <format dxfId="5384">
      <pivotArea dataOnly="0" labelOnly="1" fieldPosition="0">
        <references count="5">
          <reference field="1" count="1" selected="0">
            <x v="11"/>
          </reference>
          <reference field="2" count="1" selected="0">
            <x v="0"/>
          </reference>
          <reference field="3" count="1" selected="0">
            <x v="12"/>
          </reference>
          <reference field="4" count="1" selected="0">
            <x v="39"/>
          </reference>
          <reference field="5" count="1">
            <x v="180"/>
          </reference>
        </references>
      </pivotArea>
    </format>
    <format dxfId="5383">
      <pivotArea dataOnly="0" labelOnly="1" fieldPosition="0">
        <references count="5">
          <reference field="1" count="1" selected="0">
            <x v="11"/>
          </reference>
          <reference field="2" count="1" selected="0">
            <x v="0"/>
          </reference>
          <reference field="3" count="1" selected="0">
            <x v="12"/>
          </reference>
          <reference field="4" count="1" selected="0">
            <x v="59"/>
          </reference>
          <reference field="5" count="1">
            <x v="6"/>
          </reference>
        </references>
      </pivotArea>
    </format>
    <format dxfId="5382">
      <pivotArea dataOnly="0" labelOnly="1" fieldPosition="0">
        <references count="5">
          <reference field="1" count="1" selected="0">
            <x v="11"/>
          </reference>
          <reference field="2" count="1" selected="0">
            <x v="0"/>
          </reference>
          <reference field="3" count="1" selected="0">
            <x v="12"/>
          </reference>
          <reference field="4" count="1" selected="0">
            <x v="70"/>
          </reference>
          <reference field="5" count="1">
            <x v="14"/>
          </reference>
        </references>
      </pivotArea>
    </format>
    <format dxfId="5381">
      <pivotArea dataOnly="0" labelOnly="1" fieldPosition="0">
        <references count="5">
          <reference field="1" count="1" selected="0">
            <x v="11"/>
          </reference>
          <reference field="2" count="1" selected="0">
            <x v="5"/>
          </reference>
          <reference field="3" count="1" selected="0">
            <x v="37"/>
          </reference>
          <reference field="4" count="1" selected="0">
            <x v="89"/>
          </reference>
          <reference field="5" count="1">
            <x v="1403"/>
          </reference>
        </references>
      </pivotArea>
    </format>
    <format dxfId="5380">
      <pivotArea dataOnly="0" labelOnly="1" fieldPosition="0">
        <references count="5">
          <reference field="1" count="1" selected="0">
            <x v="11"/>
          </reference>
          <reference field="2" count="1" selected="0">
            <x v="12"/>
          </reference>
          <reference field="3" count="1" selected="0">
            <x v="1"/>
          </reference>
          <reference field="4" count="1" selected="0">
            <x v="89"/>
          </reference>
          <reference field="5" count="1">
            <x v="352"/>
          </reference>
        </references>
      </pivotArea>
    </format>
    <format dxfId="5379">
      <pivotArea dataOnly="0" labelOnly="1" fieldPosition="0">
        <references count="5">
          <reference field="1" count="1" selected="0">
            <x v="11"/>
          </reference>
          <reference field="2" count="1" selected="0">
            <x v="15"/>
          </reference>
          <reference field="3" count="1" selected="0">
            <x v="1"/>
          </reference>
          <reference field="4" count="1" selected="0">
            <x v="89"/>
          </reference>
          <reference field="5" count="1">
            <x v="607"/>
          </reference>
        </references>
      </pivotArea>
    </format>
    <format dxfId="5378">
      <pivotArea dataOnly="0" labelOnly="1" fieldPosition="0">
        <references count="5">
          <reference field="1" count="1" selected="0">
            <x v="11"/>
          </reference>
          <reference field="2" count="1" selected="0">
            <x v="15"/>
          </reference>
          <reference field="3" count="1" selected="0">
            <x v="37"/>
          </reference>
          <reference field="4" count="1" selected="0">
            <x v="89"/>
          </reference>
          <reference field="5" count="1">
            <x v="213"/>
          </reference>
        </references>
      </pivotArea>
    </format>
    <format dxfId="5377">
      <pivotArea dataOnly="0" labelOnly="1" fieldPosition="0">
        <references count="5">
          <reference field="1" count="1" selected="0">
            <x v="11"/>
          </reference>
          <reference field="2" count="1" selected="0">
            <x v="23"/>
          </reference>
          <reference field="3" count="1" selected="0">
            <x v="37"/>
          </reference>
          <reference field="4" count="1" selected="0">
            <x v="89"/>
          </reference>
          <reference field="5" count="1">
            <x v="111"/>
          </reference>
        </references>
      </pivotArea>
    </format>
    <format dxfId="5376">
      <pivotArea dataOnly="0" labelOnly="1" fieldPosition="0">
        <references count="5">
          <reference field="1" count="1" selected="0">
            <x v="12"/>
          </reference>
          <reference field="2" count="1" selected="0">
            <x v="0"/>
          </reference>
          <reference field="3" count="1" selected="0">
            <x v="9"/>
          </reference>
          <reference field="4" count="1" selected="0">
            <x v="90"/>
          </reference>
          <reference field="5" count="3">
            <x v="300"/>
            <x v="623"/>
            <x v="1009"/>
          </reference>
        </references>
      </pivotArea>
    </format>
    <format dxfId="5375">
      <pivotArea dataOnly="0" labelOnly="1" fieldPosition="0">
        <references count="5">
          <reference field="1" count="1" selected="0">
            <x v="12"/>
          </reference>
          <reference field="2" count="1" selected="0">
            <x v="0"/>
          </reference>
          <reference field="3" count="1" selected="0">
            <x v="12"/>
          </reference>
          <reference field="4" count="1" selected="0">
            <x v="22"/>
          </reference>
          <reference field="5" count="1">
            <x v="18"/>
          </reference>
        </references>
      </pivotArea>
    </format>
    <format dxfId="5374">
      <pivotArea dataOnly="0" labelOnly="1" fieldPosition="0">
        <references count="5">
          <reference field="1" count="1" selected="0">
            <x v="12"/>
          </reference>
          <reference field="2" count="1" selected="0">
            <x v="0"/>
          </reference>
          <reference field="3" count="1" selected="0">
            <x v="12"/>
          </reference>
          <reference field="4" count="1" selected="0">
            <x v="26"/>
          </reference>
          <reference field="5" count="1">
            <x v="123"/>
          </reference>
        </references>
      </pivotArea>
    </format>
    <format dxfId="5373">
      <pivotArea dataOnly="0" labelOnly="1" fieldPosition="0">
        <references count="5">
          <reference field="1" count="1" selected="0">
            <x v="12"/>
          </reference>
          <reference field="2" count="1" selected="0">
            <x v="0"/>
          </reference>
          <reference field="3" count="1" selected="0">
            <x v="12"/>
          </reference>
          <reference field="4" count="1" selected="0">
            <x v="48"/>
          </reference>
          <reference field="5" count="1">
            <x v="35"/>
          </reference>
        </references>
      </pivotArea>
    </format>
    <format dxfId="5372">
      <pivotArea dataOnly="0" labelOnly="1" fieldPosition="0">
        <references count="5">
          <reference field="1" count="1" selected="0">
            <x v="12"/>
          </reference>
          <reference field="2" count="1" selected="0">
            <x v="0"/>
          </reference>
          <reference field="3" count="1" selected="0">
            <x v="12"/>
          </reference>
          <reference field="4" count="1" selected="0">
            <x v="60"/>
          </reference>
          <reference field="5" count="1">
            <x v="138"/>
          </reference>
        </references>
      </pivotArea>
    </format>
    <format dxfId="5371">
      <pivotArea dataOnly="0" labelOnly="1" fieldPosition="0">
        <references count="5">
          <reference field="1" count="1" selected="0">
            <x v="12"/>
          </reference>
          <reference field="2" count="1" selected="0">
            <x v="0"/>
          </reference>
          <reference field="3" count="1" selected="0">
            <x v="12"/>
          </reference>
          <reference field="4" count="1" selected="0">
            <x v="65"/>
          </reference>
          <reference field="5" count="1">
            <x v="2"/>
          </reference>
        </references>
      </pivotArea>
    </format>
    <format dxfId="5370">
      <pivotArea dataOnly="0" labelOnly="1" fieldPosition="0">
        <references count="5">
          <reference field="1" count="1" selected="0">
            <x v="12"/>
          </reference>
          <reference field="2" count="1" selected="0">
            <x v="0"/>
          </reference>
          <reference field="3" count="1" selected="0">
            <x v="12"/>
          </reference>
          <reference field="4" count="1" selected="0">
            <x v="70"/>
          </reference>
          <reference field="5" count="1">
            <x v="23"/>
          </reference>
        </references>
      </pivotArea>
    </format>
    <format dxfId="5369">
      <pivotArea dataOnly="0" labelOnly="1" fieldPosition="0">
        <references count="5">
          <reference field="1" count="1" selected="0">
            <x v="12"/>
          </reference>
          <reference field="2" count="1" selected="0">
            <x v="0"/>
          </reference>
          <reference field="3" count="1" selected="0">
            <x v="37"/>
          </reference>
          <reference field="4" count="1" selected="0">
            <x v="90"/>
          </reference>
          <reference field="5" count="1">
            <x v="1206"/>
          </reference>
        </references>
      </pivotArea>
    </format>
    <format dxfId="5368">
      <pivotArea dataOnly="0" labelOnly="1" fieldPosition="0">
        <references count="5">
          <reference field="1" count="1" selected="0">
            <x v="12"/>
          </reference>
          <reference field="2" count="1" selected="0">
            <x v="3"/>
          </reference>
          <reference field="3" count="1" selected="0">
            <x v="37"/>
          </reference>
          <reference field="4" count="1" selected="0">
            <x v="90"/>
          </reference>
          <reference field="5" count="1">
            <x v="1104"/>
          </reference>
        </references>
      </pivotArea>
    </format>
    <format dxfId="5367">
      <pivotArea dataOnly="0" labelOnly="1" fieldPosition="0">
        <references count="5">
          <reference field="1" count="1" selected="0">
            <x v="12"/>
          </reference>
          <reference field="2" count="1" selected="0">
            <x v="5"/>
          </reference>
          <reference field="3" count="1" selected="0">
            <x v="37"/>
          </reference>
          <reference field="4" count="1" selected="0">
            <x v="90"/>
          </reference>
          <reference field="5" count="1">
            <x v="1600"/>
          </reference>
        </references>
      </pivotArea>
    </format>
    <format dxfId="5366">
      <pivotArea dataOnly="0" labelOnly="1" fieldPosition="0">
        <references count="5">
          <reference field="1" count="1" selected="0">
            <x v="12"/>
          </reference>
          <reference field="2" count="1" selected="0">
            <x v="8"/>
          </reference>
          <reference field="3" count="1" selected="0">
            <x v="37"/>
          </reference>
          <reference field="4" count="1" selected="0">
            <x v="90"/>
          </reference>
          <reference field="5" count="1">
            <x v="1085"/>
          </reference>
        </references>
      </pivotArea>
    </format>
    <format dxfId="5365">
      <pivotArea dataOnly="0" labelOnly="1" fieldPosition="0">
        <references count="5">
          <reference field="1" count="1" selected="0">
            <x v="12"/>
          </reference>
          <reference field="2" count="1" selected="0">
            <x v="12"/>
          </reference>
          <reference field="3" count="1" selected="0">
            <x v="1"/>
          </reference>
          <reference field="4" count="1" selected="0">
            <x v="90"/>
          </reference>
          <reference field="5" count="4">
            <x v="80"/>
            <x v="213"/>
            <x v="500"/>
            <x v="702"/>
          </reference>
        </references>
      </pivotArea>
    </format>
    <format dxfId="5364">
      <pivotArea dataOnly="0" labelOnly="1" fieldPosition="0">
        <references count="5">
          <reference field="1" count="1" selected="0">
            <x v="12"/>
          </reference>
          <reference field="2" count="1" selected="0">
            <x v="17"/>
          </reference>
          <reference field="3" count="1" selected="0">
            <x v="7"/>
          </reference>
          <reference field="4" count="1" selected="0">
            <x v="90"/>
          </reference>
          <reference field="5" count="1">
            <x v="758"/>
          </reference>
        </references>
      </pivotArea>
    </format>
    <format dxfId="5363">
      <pivotArea dataOnly="0" labelOnly="1" fieldPosition="0">
        <references count="5">
          <reference field="1" count="1" selected="0">
            <x v="12"/>
          </reference>
          <reference field="2" count="1" selected="0">
            <x v="24"/>
          </reference>
          <reference field="3" count="1" selected="0">
            <x v="1"/>
          </reference>
          <reference field="4" count="1" selected="0">
            <x v="90"/>
          </reference>
          <reference field="5" count="1">
            <x v="109"/>
          </reference>
        </references>
      </pivotArea>
    </format>
    <format dxfId="5362">
      <pivotArea dataOnly="0" labelOnly="1" fieldPosition="0">
        <references count="5">
          <reference field="1" count="1" selected="0">
            <x v="12"/>
          </reference>
          <reference field="2" count="1" selected="0">
            <x v="24"/>
          </reference>
          <reference field="3" count="1" selected="0">
            <x v="37"/>
          </reference>
          <reference field="4" count="1" selected="0">
            <x v="90"/>
          </reference>
          <reference field="5" count="1">
            <x v="138"/>
          </reference>
        </references>
      </pivotArea>
    </format>
    <format dxfId="5361">
      <pivotArea dataOnly="0" labelOnly="1" fieldPosition="0">
        <references count="5">
          <reference field="1" count="1" selected="0">
            <x v="12"/>
          </reference>
          <reference field="2" count="1" selected="0">
            <x v="26"/>
          </reference>
          <reference field="3" count="1" selected="0">
            <x v="37"/>
          </reference>
          <reference field="4" count="1" selected="0">
            <x v="90"/>
          </reference>
          <reference field="5" count="1">
            <x v="278"/>
          </reference>
        </references>
      </pivotArea>
    </format>
    <format dxfId="5360">
      <pivotArea dataOnly="0" labelOnly="1" fieldPosition="0">
        <references count="5">
          <reference field="1" count="1" selected="0">
            <x v="12"/>
          </reference>
          <reference field="2" count="1" selected="0">
            <x v="27"/>
          </reference>
          <reference field="3" count="1" selected="0">
            <x v="37"/>
          </reference>
          <reference field="4" count="1" selected="0">
            <x v="90"/>
          </reference>
          <reference field="5" count="1">
            <x v="1445"/>
          </reference>
        </references>
      </pivotArea>
    </format>
    <format dxfId="5359">
      <pivotArea dataOnly="0" labelOnly="1" fieldPosition="0">
        <references count="5">
          <reference field="1" count="1" selected="0">
            <x v="12"/>
          </reference>
          <reference field="2" count="1" selected="0">
            <x v="36"/>
          </reference>
          <reference field="3" count="1" selected="0">
            <x v="8"/>
          </reference>
          <reference field="4" count="1" selected="0">
            <x v="90"/>
          </reference>
          <reference field="5" count="1">
            <x v="1518"/>
          </reference>
        </references>
      </pivotArea>
    </format>
    <format dxfId="5358">
      <pivotArea dataOnly="0" labelOnly="1" fieldPosition="0">
        <references count="5">
          <reference field="1" count="1" selected="0">
            <x v="13"/>
          </reference>
          <reference field="2" count="1" selected="0">
            <x v="2"/>
          </reference>
          <reference field="3" count="1" selected="0">
            <x v="10"/>
          </reference>
          <reference field="4" count="1" selected="0">
            <x v="91"/>
          </reference>
          <reference field="5" count="1">
            <x v="1706"/>
          </reference>
        </references>
      </pivotArea>
    </format>
    <format dxfId="5357">
      <pivotArea dataOnly="0" labelOnly="1" fieldPosition="0">
        <references count="5">
          <reference field="1" count="1" selected="0">
            <x v="13"/>
          </reference>
          <reference field="2" count="1" selected="0">
            <x v="3"/>
          </reference>
          <reference field="3" count="1" selected="0">
            <x v="10"/>
          </reference>
          <reference field="4" count="1" selected="0">
            <x v="91"/>
          </reference>
          <reference field="5" count="1">
            <x v="1466"/>
          </reference>
        </references>
      </pivotArea>
    </format>
    <format dxfId="5356">
      <pivotArea dataOnly="0" labelOnly="1" fieldPosition="0">
        <references count="5">
          <reference field="1" count="1" selected="0">
            <x v="13"/>
          </reference>
          <reference field="2" count="1" selected="0">
            <x v="9"/>
          </reference>
          <reference field="3" count="1" selected="0">
            <x v="10"/>
          </reference>
          <reference field="4" count="1" selected="0">
            <x v="91"/>
          </reference>
          <reference field="5" count="1">
            <x v="346"/>
          </reference>
        </references>
      </pivotArea>
    </format>
    <format dxfId="5355">
      <pivotArea dataOnly="0" labelOnly="1" fieldPosition="0">
        <references count="5">
          <reference field="1" count="1" selected="0">
            <x v="13"/>
          </reference>
          <reference field="2" count="1" selected="0">
            <x v="11"/>
          </reference>
          <reference field="3" count="1" selected="0">
            <x v="10"/>
          </reference>
          <reference field="4" count="1" selected="0">
            <x v="91"/>
          </reference>
          <reference field="5" count="1">
            <x v="845"/>
          </reference>
        </references>
      </pivotArea>
    </format>
    <format dxfId="5354">
      <pivotArea dataOnly="0" labelOnly="1" fieldPosition="0">
        <references count="5">
          <reference field="1" count="1" selected="0">
            <x v="13"/>
          </reference>
          <reference field="2" count="1" selected="0">
            <x v="36"/>
          </reference>
          <reference field="3" count="1" selected="0">
            <x v="10"/>
          </reference>
          <reference field="4" count="1" selected="0">
            <x v="91"/>
          </reference>
          <reference field="5" count="1">
            <x v="1611"/>
          </reference>
        </references>
      </pivotArea>
    </format>
    <format dxfId="5353">
      <pivotArea dataOnly="0" labelOnly="1" fieldPosition="0">
        <references count="5">
          <reference field="1" count="1" selected="0">
            <x v="13"/>
          </reference>
          <reference field="2" count="1" selected="0">
            <x v="37"/>
          </reference>
          <reference field="3" count="1" selected="0">
            <x v="10"/>
          </reference>
          <reference field="4" count="1" selected="0">
            <x v="91"/>
          </reference>
          <reference field="5" count="1">
            <x v="1673"/>
          </reference>
        </references>
      </pivotArea>
    </format>
    <format dxfId="5352">
      <pivotArea dataOnly="0" labelOnly="1" fieldPosition="0">
        <references count="5">
          <reference field="1" count="1" selected="0">
            <x v="13"/>
          </reference>
          <reference field="2" count="1" selected="0">
            <x v="38"/>
          </reference>
          <reference field="3" count="1" selected="0">
            <x v="10"/>
          </reference>
          <reference field="4" count="1" selected="0">
            <x v="91"/>
          </reference>
          <reference field="5" count="1">
            <x v="954"/>
          </reference>
        </references>
      </pivotArea>
    </format>
    <format dxfId="5351">
      <pivotArea dataOnly="0" labelOnly="1" fieldPosition="0">
        <references count="5">
          <reference field="1" count="1" selected="0">
            <x v="14"/>
          </reference>
          <reference field="2" count="1" selected="0">
            <x v="0"/>
          </reference>
          <reference field="3" count="1" selected="0">
            <x v="1"/>
          </reference>
          <reference field="4" count="1" selected="0">
            <x v="92"/>
          </reference>
          <reference field="5" count="2">
            <x v="80"/>
            <x v="213"/>
          </reference>
        </references>
      </pivotArea>
    </format>
    <format dxfId="5350">
      <pivotArea dataOnly="0" labelOnly="1" fieldPosition="0">
        <references count="5">
          <reference field="1" count="1" selected="0">
            <x v="14"/>
          </reference>
          <reference field="2" count="1" selected="0">
            <x v="0"/>
          </reference>
          <reference field="3" count="1" selected="0">
            <x v="12"/>
          </reference>
          <reference field="4" count="1" selected="0">
            <x v="30"/>
          </reference>
          <reference field="5" count="1">
            <x v="32"/>
          </reference>
        </references>
      </pivotArea>
    </format>
    <format dxfId="5349">
      <pivotArea dataOnly="0" labelOnly="1" fieldPosition="0">
        <references count="5">
          <reference field="1" count="1" selected="0">
            <x v="14"/>
          </reference>
          <reference field="2" count="1" selected="0">
            <x v="0"/>
          </reference>
          <reference field="3" count="1" selected="0">
            <x v="12"/>
          </reference>
          <reference field="4" count="1" selected="0">
            <x v="42"/>
          </reference>
          <reference field="5" count="1">
            <x v="9"/>
          </reference>
        </references>
      </pivotArea>
    </format>
    <format dxfId="5348">
      <pivotArea dataOnly="0" labelOnly="1" fieldPosition="0">
        <references count="5">
          <reference field="1" count="1" selected="0">
            <x v="14"/>
          </reference>
          <reference field="2" count="1" selected="0">
            <x v="12"/>
          </reference>
          <reference field="3" count="1" selected="0">
            <x v="1"/>
          </reference>
          <reference field="4" count="1" selected="0">
            <x v="92"/>
          </reference>
          <reference field="5" count="6">
            <x v="80"/>
            <x v="213"/>
            <x v="352"/>
            <x v="500"/>
            <x v="964"/>
            <x v="1028"/>
          </reference>
        </references>
      </pivotArea>
    </format>
    <format dxfId="5347">
      <pivotArea dataOnly="0" labelOnly="1" fieldPosition="0">
        <references count="5">
          <reference field="1" count="1" selected="0">
            <x v="14"/>
          </reference>
          <reference field="2" count="1" selected="0">
            <x v="23"/>
          </reference>
          <reference field="3" count="1" selected="0">
            <x v="37"/>
          </reference>
          <reference field="4" count="1" selected="0">
            <x v="92"/>
          </reference>
          <reference field="5" count="1">
            <x v="1031"/>
          </reference>
        </references>
      </pivotArea>
    </format>
    <format dxfId="5346">
      <pivotArea dataOnly="0" labelOnly="1" fieldPosition="0">
        <references count="5">
          <reference field="1" count="1" selected="0">
            <x v="14"/>
          </reference>
          <reference field="2" count="1" selected="0">
            <x v="28"/>
          </reference>
          <reference field="3" count="1" selected="0">
            <x v="1"/>
          </reference>
          <reference field="4" count="1" selected="0">
            <x v="92"/>
          </reference>
          <reference field="5" count="1">
            <x v="1086"/>
          </reference>
        </references>
      </pivotArea>
    </format>
    <format dxfId="5345">
      <pivotArea dataOnly="0" labelOnly="1" fieldPosition="0">
        <references count="5">
          <reference field="1" count="1" selected="0">
            <x v="14"/>
          </reference>
          <reference field="2" count="1" selected="0">
            <x v="35"/>
          </reference>
          <reference field="3" count="1" selected="0">
            <x v="1"/>
          </reference>
          <reference field="4" count="1" selected="0">
            <x v="92"/>
          </reference>
          <reference field="5" count="2">
            <x v="80"/>
            <x v="213"/>
          </reference>
        </references>
      </pivotArea>
    </format>
    <format dxfId="5344">
      <pivotArea dataOnly="0" labelOnly="1" fieldPosition="0">
        <references count="5">
          <reference field="1" count="1" selected="0">
            <x v="15"/>
          </reference>
          <reference field="2" count="1" selected="0">
            <x v="0"/>
          </reference>
          <reference field="3" count="1" selected="0">
            <x v="9"/>
          </reference>
          <reference field="4" count="1" selected="0">
            <x v="93"/>
          </reference>
          <reference field="5" count="2">
            <x v="291"/>
            <x v="587"/>
          </reference>
        </references>
      </pivotArea>
    </format>
    <format dxfId="5343">
      <pivotArea dataOnly="0" labelOnly="1" fieldPosition="0">
        <references count="5">
          <reference field="1" count="1" selected="0">
            <x v="15"/>
          </reference>
          <reference field="2" count="1" selected="0">
            <x v="3"/>
          </reference>
          <reference field="3" count="1" selected="0">
            <x v="37"/>
          </reference>
          <reference field="4" count="1" selected="0">
            <x v="93"/>
          </reference>
          <reference field="5" count="1">
            <x v="109"/>
          </reference>
        </references>
      </pivotArea>
    </format>
    <format dxfId="5342">
      <pivotArea dataOnly="0" labelOnly="1" fieldPosition="0">
        <references count="5">
          <reference field="1" count="1" selected="0">
            <x v="15"/>
          </reference>
          <reference field="2" count="1" selected="0">
            <x v="5"/>
          </reference>
          <reference field="3" count="1" selected="0">
            <x v="8"/>
          </reference>
          <reference field="4" count="1" selected="0">
            <x v="93"/>
          </reference>
          <reference field="5" count="1">
            <x v="673"/>
          </reference>
        </references>
      </pivotArea>
    </format>
    <format dxfId="5341">
      <pivotArea dataOnly="0" labelOnly="1" fieldPosition="0">
        <references count="5">
          <reference field="1" count="1" selected="0">
            <x v="15"/>
          </reference>
          <reference field="2" count="1" selected="0">
            <x v="5"/>
          </reference>
          <reference field="3" count="1" selected="0">
            <x v="37"/>
          </reference>
          <reference field="4" count="1" selected="0">
            <x v="93"/>
          </reference>
          <reference field="5" count="1">
            <x v="1321"/>
          </reference>
        </references>
      </pivotArea>
    </format>
    <format dxfId="5340">
      <pivotArea dataOnly="0" labelOnly="1" fieldPosition="0">
        <references count="5">
          <reference field="1" count="1" selected="0">
            <x v="15"/>
          </reference>
          <reference field="2" count="1" selected="0">
            <x v="7"/>
          </reference>
          <reference field="3" count="1" selected="0">
            <x v="8"/>
          </reference>
          <reference field="4" count="1" selected="0">
            <x v="93"/>
          </reference>
          <reference field="5" count="1">
            <x v="723"/>
          </reference>
        </references>
      </pivotArea>
    </format>
    <format dxfId="5339">
      <pivotArea dataOnly="0" labelOnly="1" fieldPosition="0">
        <references count="5">
          <reference field="1" count="1" selected="0">
            <x v="15"/>
          </reference>
          <reference field="2" count="1" selected="0">
            <x v="7"/>
          </reference>
          <reference field="3" count="1" selected="0">
            <x v="10"/>
          </reference>
          <reference field="4" count="1" selected="0">
            <x v="93"/>
          </reference>
          <reference field="5" count="1">
            <x v="1554"/>
          </reference>
        </references>
      </pivotArea>
    </format>
    <format dxfId="5338">
      <pivotArea dataOnly="0" labelOnly="1" fieldPosition="0">
        <references count="5">
          <reference field="1" count="1" selected="0">
            <x v="15"/>
          </reference>
          <reference field="2" count="1" selected="0">
            <x v="12"/>
          </reference>
          <reference field="3" count="1" selected="0">
            <x v="1"/>
          </reference>
          <reference field="4" count="1" selected="0">
            <x v="93"/>
          </reference>
          <reference field="5" count="5">
            <x v="80"/>
            <x v="213"/>
            <x v="352"/>
            <x v="771"/>
            <x v="964"/>
          </reference>
        </references>
      </pivotArea>
    </format>
    <format dxfId="5337">
      <pivotArea dataOnly="0" labelOnly="1" fieldPosition="0">
        <references count="5">
          <reference field="1" count="1" selected="0">
            <x v="15"/>
          </reference>
          <reference field="2" count="1" selected="0">
            <x v="15"/>
          </reference>
          <reference field="3" count="1" selected="0">
            <x v="37"/>
          </reference>
          <reference field="4" count="1" selected="0">
            <x v="93"/>
          </reference>
          <reference field="5" count="1">
            <x v="1007"/>
          </reference>
        </references>
      </pivotArea>
    </format>
    <format dxfId="5336">
      <pivotArea dataOnly="0" labelOnly="1" fieldPosition="0">
        <references count="5">
          <reference field="1" count="1" selected="0">
            <x v="15"/>
          </reference>
          <reference field="2" count="1" selected="0">
            <x v="23"/>
          </reference>
          <reference field="3" count="1" selected="0">
            <x v="7"/>
          </reference>
          <reference field="4" count="1" selected="0">
            <x v="93"/>
          </reference>
          <reference field="5" count="1">
            <x v="1188"/>
          </reference>
        </references>
      </pivotArea>
    </format>
    <format dxfId="5335">
      <pivotArea dataOnly="0" labelOnly="1" fieldPosition="0">
        <references count="5">
          <reference field="1" count="1" selected="0">
            <x v="15"/>
          </reference>
          <reference field="2" count="1" selected="0">
            <x v="35"/>
          </reference>
          <reference field="3" count="1" selected="0">
            <x v="1"/>
          </reference>
          <reference field="4" count="1" selected="0">
            <x v="93"/>
          </reference>
          <reference field="5" count="1">
            <x v="80"/>
          </reference>
        </references>
      </pivotArea>
    </format>
    <format dxfId="5334">
      <pivotArea dataOnly="0" labelOnly="1" fieldPosition="0">
        <references count="5">
          <reference field="1" count="1" selected="0">
            <x v="15"/>
          </reference>
          <reference field="2" count="1" selected="0">
            <x v="36"/>
          </reference>
          <reference field="3" count="1" selected="0">
            <x v="8"/>
          </reference>
          <reference field="4" count="1" selected="0">
            <x v="93"/>
          </reference>
          <reference field="5" count="1">
            <x v="1111"/>
          </reference>
        </references>
      </pivotArea>
    </format>
    <format dxfId="5333">
      <pivotArea dataOnly="0" labelOnly="1" fieldPosition="0">
        <references count="5">
          <reference field="1" count="1" selected="0">
            <x v="16"/>
          </reference>
          <reference field="2" count="1" selected="0">
            <x v="0"/>
          </reference>
          <reference field="3" count="1" selected="0">
            <x v="9"/>
          </reference>
          <reference field="4" count="1" selected="0">
            <x v="94"/>
          </reference>
          <reference field="5" count="2">
            <x v="0"/>
            <x v="220"/>
          </reference>
        </references>
      </pivotArea>
    </format>
    <format dxfId="5332">
      <pivotArea dataOnly="0" labelOnly="1" fieldPosition="0">
        <references count="5">
          <reference field="1" count="1" selected="0">
            <x v="16"/>
          </reference>
          <reference field="2" count="1" selected="0">
            <x v="0"/>
          </reference>
          <reference field="3" count="1" selected="0">
            <x v="12"/>
          </reference>
          <reference field="4" count="1" selected="0">
            <x v="60"/>
          </reference>
          <reference field="5" count="1">
            <x v="32"/>
          </reference>
        </references>
      </pivotArea>
    </format>
    <format dxfId="5331">
      <pivotArea dataOnly="0" labelOnly="1" fieldPosition="0">
        <references count="5">
          <reference field="1" count="1" selected="0">
            <x v="16"/>
          </reference>
          <reference field="2" count="1" selected="0">
            <x v="12"/>
          </reference>
          <reference field="3" count="1" selected="0">
            <x v="1"/>
          </reference>
          <reference field="4" count="1" selected="0">
            <x v="94"/>
          </reference>
          <reference field="5" count="1">
            <x v="702"/>
          </reference>
        </references>
      </pivotArea>
    </format>
    <format dxfId="5330">
      <pivotArea dataOnly="0" labelOnly="1" fieldPosition="0">
        <references count="5">
          <reference field="1" count="1" selected="0">
            <x v="17"/>
          </reference>
          <reference field="2" count="1" selected="0">
            <x v="0"/>
          </reference>
          <reference field="3" count="1" selected="0">
            <x v="12"/>
          </reference>
          <reference field="4" count="1" selected="0">
            <x v="36"/>
          </reference>
          <reference field="5" count="1">
            <x v="236"/>
          </reference>
        </references>
      </pivotArea>
    </format>
    <format dxfId="5329">
      <pivotArea dataOnly="0" labelOnly="1" fieldPosition="0">
        <references count="5">
          <reference field="1" count="1" selected="0">
            <x v="17"/>
          </reference>
          <reference field="2" count="1" selected="0">
            <x v="0"/>
          </reference>
          <reference field="3" count="1" selected="0">
            <x v="37"/>
          </reference>
          <reference field="4" count="1" selected="0">
            <x v="95"/>
          </reference>
          <reference field="5" count="2">
            <x v="51"/>
            <x v="262"/>
          </reference>
        </references>
      </pivotArea>
    </format>
    <format dxfId="5328">
      <pivotArea dataOnly="0" labelOnly="1" fieldPosition="0">
        <references count="5">
          <reference field="1" count="1" selected="0">
            <x v="17"/>
          </reference>
          <reference field="2" count="1" selected="0">
            <x v="3"/>
          </reference>
          <reference field="3" count="1" selected="0">
            <x v="37"/>
          </reference>
          <reference field="4" count="1" selected="0">
            <x v="95"/>
          </reference>
          <reference field="5" count="1">
            <x v="846"/>
          </reference>
        </references>
      </pivotArea>
    </format>
    <format dxfId="5327">
      <pivotArea dataOnly="0" labelOnly="1" fieldPosition="0">
        <references count="5">
          <reference field="1" count="1" selected="0">
            <x v="17"/>
          </reference>
          <reference field="2" count="1" selected="0">
            <x v="12"/>
          </reference>
          <reference field="3" count="1" selected="0">
            <x v="1"/>
          </reference>
          <reference field="4" count="1" selected="0">
            <x v="95"/>
          </reference>
          <reference field="5" count="1">
            <x v="213"/>
          </reference>
        </references>
      </pivotArea>
    </format>
    <format dxfId="5326">
      <pivotArea dataOnly="0" labelOnly="1" fieldPosition="0">
        <references count="5">
          <reference field="1" count="1" selected="0">
            <x v="17"/>
          </reference>
          <reference field="2" count="1" selected="0">
            <x v="23"/>
          </reference>
          <reference field="3" count="1" selected="0">
            <x v="37"/>
          </reference>
          <reference field="4" count="1" selected="0">
            <x v="95"/>
          </reference>
          <reference field="5" count="1">
            <x v="299"/>
          </reference>
        </references>
      </pivotArea>
    </format>
    <format dxfId="5325">
      <pivotArea dataOnly="0" labelOnly="1" fieldPosition="0">
        <references count="5">
          <reference field="1" count="1" selected="0">
            <x v="18"/>
          </reference>
          <reference field="2" count="1" selected="0">
            <x v="0"/>
          </reference>
          <reference field="3" count="1" selected="0">
            <x v="7"/>
          </reference>
          <reference field="4" count="1" selected="0">
            <x v="97"/>
          </reference>
          <reference field="5" count="1">
            <x v="102"/>
          </reference>
        </references>
      </pivotArea>
    </format>
    <format dxfId="5324">
      <pivotArea dataOnly="0" labelOnly="1" fieldPosition="0">
        <references count="5">
          <reference field="1" count="1" selected="0">
            <x v="18"/>
          </reference>
          <reference field="2" count="1" selected="0">
            <x v="0"/>
          </reference>
          <reference field="3" count="1" selected="0">
            <x v="9"/>
          </reference>
          <reference field="4" count="1" selected="0">
            <x v="97"/>
          </reference>
          <reference field="5" count="4">
            <x v="0"/>
            <x v="212"/>
            <x v="617"/>
            <x v="702"/>
          </reference>
        </references>
      </pivotArea>
    </format>
    <format dxfId="5323">
      <pivotArea dataOnly="0" labelOnly="1" fieldPosition="0">
        <references count="5">
          <reference field="1" count="1" selected="0">
            <x v="18"/>
          </reference>
          <reference field="2" count="1" selected="0">
            <x v="0"/>
          </reference>
          <reference field="3" count="1" selected="0">
            <x v="12"/>
          </reference>
          <reference field="4" count="1" selected="0">
            <x v="50"/>
          </reference>
          <reference field="5" count="1">
            <x v="551"/>
          </reference>
        </references>
      </pivotArea>
    </format>
    <format dxfId="5322">
      <pivotArea dataOnly="0" labelOnly="1" fieldPosition="0">
        <references count="5">
          <reference field="1" count="1" selected="0">
            <x v="18"/>
          </reference>
          <reference field="2" count="1" selected="0">
            <x v="0"/>
          </reference>
          <reference field="3" count="1" selected="0">
            <x v="21"/>
          </reference>
          <reference field="4" count="1" selected="0">
            <x v="96"/>
          </reference>
          <reference field="5" count="4">
            <x v="557"/>
            <x v="651"/>
            <x v="698"/>
            <x v="1262"/>
          </reference>
        </references>
      </pivotArea>
    </format>
    <format dxfId="5321">
      <pivotArea dataOnly="0" labelOnly="1" fieldPosition="0">
        <references count="5">
          <reference field="1" count="1" selected="0">
            <x v="18"/>
          </reference>
          <reference field="2" count="1" selected="0">
            <x v="0"/>
          </reference>
          <reference field="3" count="1" selected="0">
            <x v="37"/>
          </reference>
          <reference field="4" count="1" selected="0">
            <x v="97"/>
          </reference>
          <reference field="5" count="1">
            <x v="262"/>
          </reference>
        </references>
      </pivotArea>
    </format>
    <format dxfId="5320">
      <pivotArea dataOnly="0" labelOnly="1" fieldPosition="0">
        <references count="5">
          <reference field="1" count="1" selected="0">
            <x v="18"/>
          </reference>
          <reference field="2" count="1" selected="0">
            <x v="2"/>
          </reference>
          <reference field="3" count="1" selected="0">
            <x v="21"/>
          </reference>
          <reference field="4" count="1" selected="0">
            <x v="96"/>
          </reference>
          <reference field="5" count="1">
            <x v="1768"/>
          </reference>
        </references>
      </pivotArea>
    </format>
    <format dxfId="5319">
      <pivotArea dataOnly="0" labelOnly="1" fieldPosition="0">
        <references count="5">
          <reference field="1" count="1" selected="0">
            <x v="18"/>
          </reference>
          <reference field="2" count="1" selected="0">
            <x v="8"/>
          </reference>
          <reference field="3" count="1" selected="0">
            <x v="37"/>
          </reference>
          <reference field="4" count="1" selected="0">
            <x v="97"/>
          </reference>
          <reference field="5" count="1">
            <x v="1143"/>
          </reference>
        </references>
      </pivotArea>
    </format>
    <format dxfId="5318">
      <pivotArea dataOnly="0" labelOnly="1" fieldPosition="0">
        <references count="5">
          <reference field="1" count="1" selected="0">
            <x v="18"/>
          </reference>
          <reference field="2" count="1" selected="0">
            <x v="12"/>
          </reference>
          <reference field="3" count="1" selected="0">
            <x v="1"/>
          </reference>
          <reference field="4" count="1" selected="0">
            <x v="97"/>
          </reference>
          <reference field="5" count="1">
            <x v="80"/>
          </reference>
        </references>
      </pivotArea>
    </format>
    <format dxfId="5317">
      <pivotArea dataOnly="0" labelOnly="1" fieldPosition="0">
        <references count="5">
          <reference field="1" count="1" selected="0">
            <x v="18"/>
          </reference>
          <reference field="2" count="1" selected="0">
            <x v="12"/>
          </reference>
          <reference field="3" count="1" selected="0">
            <x v="21"/>
          </reference>
          <reference field="4" count="1" selected="0">
            <x v="96"/>
          </reference>
          <reference field="5" count="45">
            <x v="161"/>
            <x v="176"/>
            <x v="196"/>
            <x v="237"/>
            <x v="348"/>
            <x v="367"/>
            <x v="399"/>
            <x v="417"/>
            <x v="426"/>
            <x v="531"/>
            <x v="566"/>
            <x v="586"/>
            <x v="597"/>
            <x v="625"/>
            <x v="660"/>
            <x v="724"/>
            <x v="861"/>
            <x v="968"/>
            <x v="999"/>
            <x v="1023"/>
            <x v="1063"/>
            <x v="1072"/>
            <x v="1096"/>
            <x v="1112"/>
            <x v="1113"/>
            <x v="1142"/>
            <x v="1223"/>
            <x v="1329"/>
            <x v="1426"/>
            <x v="1446"/>
            <x v="1461"/>
            <x v="1490"/>
            <x v="1540"/>
            <x v="1545"/>
            <x v="1579"/>
            <x v="1593"/>
            <x v="1597"/>
            <x v="1623"/>
            <x v="1625"/>
            <x v="1683"/>
            <x v="1726"/>
            <x v="1784"/>
            <x v="1798"/>
            <x v="1802"/>
            <x v="1814"/>
          </reference>
        </references>
      </pivotArea>
    </format>
    <format dxfId="5316">
      <pivotArea dataOnly="0" labelOnly="1" fieldPosition="0">
        <references count="5">
          <reference field="1" count="1" selected="0">
            <x v="18"/>
          </reference>
          <reference field="2" count="1" selected="0">
            <x v="15"/>
          </reference>
          <reference field="3" count="1" selected="0">
            <x v="21"/>
          </reference>
          <reference field="4" count="1" selected="0">
            <x v="96"/>
          </reference>
          <reference field="5" count="1">
            <x v="1709"/>
          </reference>
        </references>
      </pivotArea>
    </format>
    <format dxfId="5315">
      <pivotArea dataOnly="0" labelOnly="1" fieldPosition="0">
        <references count="5">
          <reference field="1" count="1" selected="0">
            <x v="18"/>
          </reference>
          <reference field="2" count="1" selected="0">
            <x v="17"/>
          </reference>
          <reference field="3" count="1" selected="0">
            <x v="21"/>
          </reference>
          <reference field="4" count="1" selected="0">
            <x v="96"/>
          </reference>
          <reference field="5" count="1">
            <x v="402"/>
          </reference>
        </references>
      </pivotArea>
    </format>
    <format dxfId="5314">
      <pivotArea dataOnly="0" labelOnly="1" fieldPosition="0">
        <references count="5">
          <reference field="1" count="1" selected="0">
            <x v="18"/>
          </reference>
          <reference field="2" count="1" selected="0">
            <x v="23"/>
          </reference>
          <reference field="3" count="1" selected="0">
            <x v="21"/>
          </reference>
          <reference field="4" count="1" selected="0">
            <x v="96"/>
          </reference>
          <reference field="5" count="1">
            <x v="1278"/>
          </reference>
        </references>
      </pivotArea>
    </format>
    <format dxfId="5313">
      <pivotArea dataOnly="0" labelOnly="1" fieldPosition="0">
        <references count="5">
          <reference field="1" count="1" selected="0">
            <x v="18"/>
          </reference>
          <reference field="2" count="1" selected="0">
            <x v="23"/>
          </reference>
          <reference field="3" count="1" selected="0">
            <x v="37"/>
          </reference>
          <reference field="4" count="1" selected="0">
            <x v="97"/>
          </reference>
          <reference field="5" count="1">
            <x v="50"/>
          </reference>
        </references>
      </pivotArea>
    </format>
    <format dxfId="5312">
      <pivotArea dataOnly="0" labelOnly="1" fieldPosition="0">
        <references count="5">
          <reference field="1" count="1" selected="0">
            <x v="18"/>
          </reference>
          <reference field="2" count="1" selected="0">
            <x v="24"/>
          </reference>
          <reference field="3" count="1" selected="0">
            <x v="21"/>
          </reference>
          <reference field="4" count="1" selected="0">
            <x v="96"/>
          </reference>
          <reference field="5" count="1">
            <x v="1118"/>
          </reference>
        </references>
      </pivotArea>
    </format>
    <format dxfId="5311">
      <pivotArea dataOnly="0" labelOnly="1" fieldPosition="0">
        <references count="5">
          <reference field="1" count="1" selected="0">
            <x v="18"/>
          </reference>
          <reference field="2" count="1" selected="0">
            <x v="35"/>
          </reference>
          <reference field="3" count="1" selected="0">
            <x v="21"/>
          </reference>
          <reference field="4" count="1" selected="0">
            <x v="96"/>
          </reference>
          <reference field="5" count="5">
            <x v="56"/>
            <x v="409"/>
            <x v="457"/>
            <x v="786"/>
            <x v="950"/>
          </reference>
        </references>
      </pivotArea>
    </format>
    <format dxfId="5310">
      <pivotArea dataOnly="0" labelOnly="1" fieldPosition="0">
        <references count="5">
          <reference field="1" count="1" selected="0">
            <x v="19"/>
          </reference>
          <reference field="2" count="1" selected="0">
            <x v="0"/>
          </reference>
          <reference field="3" count="1" selected="0">
            <x v="8"/>
          </reference>
          <reference field="4" count="1" selected="0">
            <x v="98"/>
          </reference>
          <reference field="5" count="1">
            <x v="351"/>
          </reference>
        </references>
      </pivotArea>
    </format>
    <format dxfId="5309">
      <pivotArea dataOnly="0" labelOnly="1" fieldPosition="0">
        <references count="5">
          <reference field="1" count="1" selected="0">
            <x v="19"/>
          </reference>
          <reference field="2" count="1" selected="0">
            <x v="0"/>
          </reference>
          <reference field="3" count="1" selected="0">
            <x v="9"/>
          </reference>
          <reference field="4" count="1" selected="0">
            <x v="98"/>
          </reference>
          <reference field="5" count="3">
            <x v="702"/>
            <x v="958"/>
            <x v="1417"/>
          </reference>
        </references>
      </pivotArea>
    </format>
    <format dxfId="5308">
      <pivotArea dataOnly="0" labelOnly="1" fieldPosition="0">
        <references count="5">
          <reference field="1" count="1" selected="0">
            <x v="19"/>
          </reference>
          <reference field="2" count="1" selected="0">
            <x v="0"/>
          </reference>
          <reference field="3" count="1" selected="0">
            <x v="12"/>
          </reference>
          <reference field="4" count="1" selected="0">
            <x v="18"/>
          </reference>
          <reference field="5" count="1">
            <x v="44"/>
          </reference>
        </references>
      </pivotArea>
    </format>
    <format dxfId="5307">
      <pivotArea dataOnly="0" labelOnly="1" fieldPosition="0">
        <references count="5">
          <reference field="1" count="1" selected="0">
            <x v="19"/>
          </reference>
          <reference field="2" count="1" selected="0">
            <x v="0"/>
          </reference>
          <reference field="3" count="1" selected="0">
            <x v="12"/>
          </reference>
          <reference field="4" count="1" selected="0">
            <x v="68"/>
          </reference>
          <reference field="5" count="1">
            <x v="18"/>
          </reference>
        </references>
      </pivotArea>
    </format>
    <format dxfId="5306">
      <pivotArea dataOnly="0" labelOnly="1" fieldPosition="0">
        <references count="5">
          <reference field="1" count="1" selected="0">
            <x v="19"/>
          </reference>
          <reference field="2" count="1" selected="0">
            <x v="6"/>
          </reference>
          <reference field="3" count="1" selected="0">
            <x v="37"/>
          </reference>
          <reference field="4" count="1" selected="0">
            <x v="98"/>
          </reference>
          <reference field="5" count="1">
            <x v="1025"/>
          </reference>
        </references>
      </pivotArea>
    </format>
    <format dxfId="5305">
      <pivotArea dataOnly="0" labelOnly="1" fieldPosition="0">
        <references count="5">
          <reference field="1" count="1" selected="0">
            <x v="19"/>
          </reference>
          <reference field="2" count="1" selected="0">
            <x v="15"/>
          </reference>
          <reference field="3" count="1" selected="0">
            <x v="7"/>
          </reference>
          <reference field="4" count="1" selected="0">
            <x v="98"/>
          </reference>
          <reference field="5" count="1">
            <x v="711"/>
          </reference>
        </references>
      </pivotArea>
    </format>
    <format dxfId="5304">
      <pivotArea dataOnly="0" labelOnly="1" fieldPosition="0">
        <references count="5">
          <reference field="1" count="1" selected="0">
            <x v="19"/>
          </reference>
          <reference field="2" count="1" selected="0">
            <x v="15"/>
          </reference>
          <reference field="3" count="1" selected="0">
            <x v="8"/>
          </reference>
          <reference field="4" count="1" selected="0">
            <x v="98"/>
          </reference>
          <reference field="5" count="1">
            <x v="794"/>
          </reference>
        </references>
      </pivotArea>
    </format>
    <format dxfId="5303">
      <pivotArea dataOnly="0" labelOnly="1" fieldPosition="0">
        <references count="5">
          <reference field="1" count="1" selected="0">
            <x v="19"/>
          </reference>
          <reference field="2" count="1" selected="0">
            <x v="15"/>
          </reference>
          <reference field="3" count="1" selected="0">
            <x v="9"/>
          </reference>
          <reference field="4" count="1" selected="0">
            <x v="98"/>
          </reference>
          <reference field="5" count="1">
            <x v="1213"/>
          </reference>
        </references>
      </pivotArea>
    </format>
    <format dxfId="5302">
      <pivotArea dataOnly="0" labelOnly="1" fieldPosition="0">
        <references count="5">
          <reference field="1" count="1" selected="0">
            <x v="20"/>
          </reference>
          <reference field="2" count="1" selected="0">
            <x v="0"/>
          </reference>
          <reference field="3" count="1" selected="0">
            <x v="9"/>
          </reference>
          <reference field="4" count="1" selected="0">
            <x v="99"/>
          </reference>
          <reference field="5" count="1">
            <x v="412"/>
          </reference>
        </references>
      </pivotArea>
    </format>
    <format dxfId="5301">
      <pivotArea dataOnly="0" labelOnly="1" fieldPosition="0">
        <references count="5">
          <reference field="1" count="1" selected="0">
            <x v="20"/>
          </reference>
          <reference field="2" count="1" selected="0">
            <x v="0"/>
          </reference>
          <reference field="3" count="1" selected="0">
            <x v="12"/>
          </reference>
          <reference field="4" count="1" selected="0">
            <x v="46"/>
          </reference>
          <reference field="5" count="1">
            <x v="325"/>
          </reference>
        </references>
      </pivotArea>
    </format>
    <format dxfId="5300">
      <pivotArea dataOnly="0" labelOnly="1" fieldPosition="0">
        <references count="5">
          <reference field="1" count="1" selected="0">
            <x v="20"/>
          </reference>
          <reference field="2" count="1" selected="0">
            <x v="0"/>
          </reference>
          <reference field="3" count="1" selected="0">
            <x v="12"/>
          </reference>
          <reference field="4" count="1" selected="0">
            <x v="50"/>
          </reference>
          <reference field="5" count="1">
            <x v="137"/>
          </reference>
        </references>
      </pivotArea>
    </format>
    <format dxfId="5299">
      <pivotArea dataOnly="0" labelOnly="1" fieldPosition="0">
        <references count="5">
          <reference field="1" count="1" selected="0">
            <x v="20"/>
          </reference>
          <reference field="2" count="1" selected="0">
            <x v="0"/>
          </reference>
          <reference field="3" count="1" selected="0">
            <x v="12"/>
          </reference>
          <reference field="4" count="1" selected="0">
            <x v="56"/>
          </reference>
          <reference field="5" count="1">
            <x v="194"/>
          </reference>
        </references>
      </pivotArea>
    </format>
    <format dxfId="5298">
      <pivotArea dataOnly="0" labelOnly="1" fieldPosition="0">
        <references count="5">
          <reference field="1" count="1" selected="0">
            <x v="20"/>
          </reference>
          <reference field="2" count="1" selected="0">
            <x v="0"/>
          </reference>
          <reference field="3" count="1" selected="0">
            <x v="12"/>
          </reference>
          <reference field="4" count="1" selected="0">
            <x v="65"/>
          </reference>
          <reference field="5" count="1">
            <x v="18"/>
          </reference>
        </references>
      </pivotArea>
    </format>
    <format dxfId="5297">
      <pivotArea dataOnly="0" labelOnly="1" fieldPosition="0">
        <references count="5">
          <reference field="1" count="1" selected="0">
            <x v="20"/>
          </reference>
          <reference field="2" count="1" selected="0">
            <x v="3"/>
          </reference>
          <reference field="3" count="1" selected="0">
            <x v="37"/>
          </reference>
          <reference field="4" count="1" selected="0">
            <x v="99"/>
          </reference>
          <reference field="5" count="1">
            <x v="143"/>
          </reference>
        </references>
      </pivotArea>
    </format>
    <format dxfId="5296">
      <pivotArea dataOnly="0" labelOnly="1" fieldPosition="0">
        <references count="5">
          <reference field="1" count="1" selected="0">
            <x v="20"/>
          </reference>
          <reference field="2" count="1" selected="0">
            <x v="11"/>
          </reference>
          <reference field="3" count="1" selected="0">
            <x v="1"/>
          </reference>
          <reference field="4" count="1" selected="0">
            <x v="99"/>
          </reference>
          <reference field="5" count="1">
            <x v="528"/>
          </reference>
        </references>
      </pivotArea>
    </format>
    <format dxfId="5295">
      <pivotArea dataOnly="0" labelOnly="1" fieldPosition="0">
        <references count="5">
          <reference field="1" count="1" selected="0">
            <x v="20"/>
          </reference>
          <reference field="2" count="1" selected="0">
            <x v="15"/>
          </reference>
          <reference field="3" count="1" selected="0">
            <x v="32"/>
          </reference>
          <reference field="4" count="1" selected="0">
            <x v="74"/>
          </reference>
          <reference field="5" count="1">
            <x v="1882"/>
          </reference>
        </references>
      </pivotArea>
    </format>
    <format dxfId="5294">
      <pivotArea dataOnly="0" labelOnly="1" fieldPosition="0">
        <references count="5">
          <reference field="1" count="1" selected="0">
            <x v="20"/>
          </reference>
          <reference field="2" count="1" selected="0">
            <x v="17"/>
          </reference>
          <reference field="3" count="1" selected="0">
            <x v="6"/>
          </reference>
          <reference field="4" count="1" selected="0">
            <x v="99"/>
          </reference>
          <reference field="5" count="1">
            <x v="1249"/>
          </reference>
        </references>
      </pivotArea>
    </format>
    <format dxfId="5293">
      <pivotArea dataOnly="0" labelOnly="1" fieldPosition="0">
        <references count="5">
          <reference field="1" count="1" selected="0">
            <x v="20"/>
          </reference>
          <reference field="2" count="1" selected="0">
            <x v="23"/>
          </reference>
          <reference field="3" count="1" selected="0">
            <x v="9"/>
          </reference>
          <reference field="4" count="1" selected="0">
            <x v="99"/>
          </reference>
          <reference field="5" count="1">
            <x v="1344"/>
          </reference>
        </references>
      </pivotArea>
    </format>
    <format dxfId="5292">
      <pivotArea dataOnly="0" labelOnly="1" fieldPosition="0">
        <references count="5">
          <reference field="1" count="1" selected="0">
            <x v="21"/>
          </reference>
          <reference field="2" count="1" selected="0">
            <x v="0"/>
          </reference>
          <reference field="3" count="1" selected="0">
            <x v="9"/>
          </reference>
          <reference field="4" count="1" selected="0">
            <x v="100"/>
          </reference>
          <reference field="5" count="1">
            <x v="1543"/>
          </reference>
        </references>
      </pivotArea>
    </format>
    <format dxfId="5291">
      <pivotArea dataOnly="0" labelOnly="1" fieldPosition="0">
        <references count="5">
          <reference field="1" count="1" selected="0">
            <x v="21"/>
          </reference>
          <reference field="2" count="1" selected="0">
            <x v="0"/>
          </reference>
          <reference field="3" count="1" selected="0">
            <x v="12"/>
          </reference>
          <reference field="4" count="1" selected="0">
            <x v="10"/>
          </reference>
          <reference field="5" count="1">
            <x v="90"/>
          </reference>
        </references>
      </pivotArea>
    </format>
    <format dxfId="5290">
      <pivotArea dataOnly="0" labelOnly="1" fieldPosition="0">
        <references count="5">
          <reference field="1" count="1" selected="0">
            <x v="21"/>
          </reference>
          <reference field="2" count="1" selected="0">
            <x v="0"/>
          </reference>
          <reference field="3" count="1" selected="0">
            <x v="12"/>
          </reference>
          <reference field="4" count="1" selected="0">
            <x v="19"/>
          </reference>
          <reference field="5" count="1">
            <x v="39"/>
          </reference>
        </references>
      </pivotArea>
    </format>
    <format dxfId="5289">
      <pivotArea dataOnly="0" labelOnly="1" fieldPosition="0">
        <references count="5">
          <reference field="1" count="1" selected="0">
            <x v="21"/>
          </reference>
          <reference field="2" count="1" selected="0">
            <x v="0"/>
          </reference>
          <reference field="3" count="1" selected="0">
            <x v="12"/>
          </reference>
          <reference field="4" count="1" selected="0">
            <x v="30"/>
          </reference>
          <reference field="5" count="1">
            <x v="92"/>
          </reference>
        </references>
      </pivotArea>
    </format>
    <format dxfId="5288">
      <pivotArea dataOnly="0" labelOnly="1" fieldPosition="0">
        <references count="5">
          <reference field="1" count="1" selected="0">
            <x v="21"/>
          </reference>
          <reference field="2" count="1" selected="0">
            <x v="3"/>
          </reference>
          <reference field="3" count="1" selected="0">
            <x v="1"/>
          </reference>
          <reference field="4" count="1" selected="0">
            <x v="100"/>
          </reference>
          <reference field="5" count="1">
            <x v="935"/>
          </reference>
        </references>
      </pivotArea>
    </format>
    <format dxfId="5287">
      <pivotArea dataOnly="0" labelOnly="1" fieldPosition="0">
        <references count="5">
          <reference field="1" count="1" selected="0">
            <x v="21"/>
          </reference>
          <reference field="2" count="1" selected="0">
            <x v="3"/>
          </reference>
          <reference field="3" count="1" selected="0">
            <x v="6"/>
          </reference>
          <reference field="4" count="1" selected="0">
            <x v="100"/>
          </reference>
          <reference field="5" count="1">
            <x v="387"/>
          </reference>
        </references>
      </pivotArea>
    </format>
    <format dxfId="5286">
      <pivotArea dataOnly="0" labelOnly="1" fieldPosition="0">
        <references count="5">
          <reference field="1" count="1" selected="0">
            <x v="21"/>
          </reference>
          <reference field="2" count="1" selected="0">
            <x v="3"/>
          </reference>
          <reference field="3" count="1" selected="0">
            <x v="37"/>
          </reference>
          <reference field="4" count="1" selected="0">
            <x v="100"/>
          </reference>
          <reference field="5" count="1">
            <x v="737"/>
          </reference>
        </references>
      </pivotArea>
    </format>
    <format dxfId="5285">
      <pivotArea dataOnly="0" labelOnly="1" fieldPosition="0">
        <references count="5">
          <reference field="1" count="1" selected="0">
            <x v="21"/>
          </reference>
          <reference field="2" count="1" selected="0">
            <x v="9"/>
          </reference>
          <reference field="3" count="1" selected="0">
            <x v="8"/>
          </reference>
          <reference field="4" count="1" selected="0">
            <x v="100"/>
          </reference>
          <reference field="5" count="1">
            <x v="490"/>
          </reference>
        </references>
      </pivotArea>
    </format>
    <format dxfId="5284">
      <pivotArea dataOnly="0" labelOnly="1" fieldPosition="0">
        <references count="5">
          <reference field="1" count="1" selected="0">
            <x v="21"/>
          </reference>
          <reference field="2" count="1" selected="0">
            <x v="12"/>
          </reference>
          <reference field="3" count="1" selected="0">
            <x v="1"/>
          </reference>
          <reference field="4" count="1" selected="0">
            <x v="100"/>
          </reference>
          <reference field="5" count="2">
            <x v="80"/>
            <x v="702"/>
          </reference>
        </references>
      </pivotArea>
    </format>
    <format dxfId="5283">
      <pivotArea dataOnly="0" labelOnly="1" fieldPosition="0">
        <references count="5">
          <reference field="1" count="1" selected="0">
            <x v="22"/>
          </reference>
          <reference field="2" count="1" selected="0">
            <x v="0"/>
          </reference>
          <reference field="3" count="1" selected="0">
            <x v="12"/>
          </reference>
          <reference field="4" count="1" selected="0">
            <x v="8"/>
          </reference>
          <reference field="5" count="1">
            <x v="92"/>
          </reference>
        </references>
      </pivotArea>
    </format>
    <format dxfId="5282">
      <pivotArea dataOnly="0" labelOnly="1" fieldPosition="0">
        <references count="5">
          <reference field="1" count="1" selected="0">
            <x v="22"/>
          </reference>
          <reference field="2" count="1" selected="0">
            <x v="0"/>
          </reference>
          <reference field="3" count="1" selected="0">
            <x v="12"/>
          </reference>
          <reference field="4" count="1" selected="0">
            <x v="25"/>
          </reference>
          <reference field="5" count="1">
            <x v="180"/>
          </reference>
        </references>
      </pivotArea>
    </format>
    <format dxfId="5281">
      <pivotArea dataOnly="0" labelOnly="1" fieldPosition="0">
        <references count="5">
          <reference field="1" count="1" selected="0">
            <x v="22"/>
          </reference>
          <reference field="2" count="1" selected="0">
            <x v="0"/>
          </reference>
          <reference field="3" count="1" selected="0">
            <x v="12"/>
          </reference>
          <reference field="4" count="1" selected="0">
            <x v="26"/>
          </reference>
          <reference field="5" count="1">
            <x v="53"/>
          </reference>
        </references>
      </pivotArea>
    </format>
    <format dxfId="5280">
      <pivotArea dataOnly="0" labelOnly="1" fieldPosition="0">
        <references count="5">
          <reference field="1" count="1" selected="0">
            <x v="22"/>
          </reference>
          <reference field="2" count="1" selected="0">
            <x v="0"/>
          </reference>
          <reference field="3" count="1" selected="0">
            <x v="12"/>
          </reference>
          <reference field="4" count="1" selected="0">
            <x v="70"/>
          </reference>
          <reference field="5" count="1">
            <x v="18"/>
          </reference>
        </references>
      </pivotArea>
    </format>
    <format dxfId="5279">
      <pivotArea dataOnly="0" labelOnly="1" fieldPosition="0">
        <references count="5">
          <reference field="1" count="1" selected="0">
            <x v="22"/>
          </reference>
          <reference field="2" count="1" selected="0">
            <x v="12"/>
          </reference>
          <reference field="3" count="1" selected="0">
            <x v="1"/>
          </reference>
          <reference field="4" count="1" selected="0">
            <x v="101"/>
          </reference>
          <reference field="5" count="1">
            <x v="213"/>
          </reference>
        </references>
      </pivotArea>
    </format>
    <format dxfId="5278">
      <pivotArea dataOnly="0" labelOnly="1" fieldPosition="0">
        <references count="5">
          <reference field="1" count="1" selected="0">
            <x v="22"/>
          </reference>
          <reference field="2" count="1" selected="0">
            <x v="23"/>
          </reference>
          <reference field="3" count="1" selected="0">
            <x v="6"/>
          </reference>
          <reference field="4" count="1" selected="0">
            <x v="101"/>
          </reference>
          <reference field="5" count="1">
            <x v="701"/>
          </reference>
        </references>
      </pivotArea>
    </format>
    <format dxfId="5277">
      <pivotArea dataOnly="0" labelOnly="1" fieldPosition="0">
        <references count="5">
          <reference field="1" count="1" selected="0">
            <x v="22"/>
          </reference>
          <reference field="2" count="1" selected="0">
            <x v="35"/>
          </reference>
          <reference field="3" count="1" selected="0">
            <x v="1"/>
          </reference>
          <reference field="4" count="1" selected="0">
            <x v="101"/>
          </reference>
          <reference field="5" count="1">
            <x v="80"/>
          </reference>
        </references>
      </pivotArea>
    </format>
    <format dxfId="5276">
      <pivotArea dataOnly="0" labelOnly="1" fieldPosition="0">
        <references count="5">
          <reference field="1" count="1" selected="0">
            <x v="23"/>
          </reference>
          <reference field="2" count="1" selected="0">
            <x v="0"/>
          </reference>
          <reference field="3" count="1" selected="0">
            <x v="8"/>
          </reference>
          <reference field="4" count="1" selected="0">
            <x v="102"/>
          </reference>
          <reference field="5" count="1">
            <x v="1114"/>
          </reference>
        </references>
      </pivotArea>
    </format>
    <format dxfId="5275">
      <pivotArea dataOnly="0" labelOnly="1" fieldPosition="0">
        <references count="5">
          <reference field="1" count="1" selected="0">
            <x v="23"/>
          </reference>
          <reference field="2" count="1" selected="0">
            <x v="0"/>
          </reference>
          <reference field="3" count="1" selected="0">
            <x v="9"/>
          </reference>
          <reference field="4" count="1" selected="0">
            <x v="102"/>
          </reference>
          <reference field="5" count="3">
            <x v="170"/>
            <x v="255"/>
            <x v="1106"/>
          </reference>
        </references>
      </pivotArea>
    </format>
    <format dxfId="5274">
      <pivotArea dataOnly="0" labelOnly="1" fieldPosition="0">
        <references count="5">
          <reference field="1" count="1" selected="0">
            <x v="23"/>
          </reference>
          <reference field="2" count="1" selected="0">
            <x v="0"/>
          </reference>
          <reference field="3" count="1" selected="0">
            <x v="12"/>
          </reference>
          <reference field="4" count="1" selected="0">
            <x v="31"/>
          </reference>
          <reference field="5" count="1">
            <x v="488"/>
          </reference>
        </references>
      </pivotArea>
    </format>
    <format dxfId="5273">
      <pivotArea dataOnly="0" labelOnly="1" fieldPosition="0">
        <references count="5">
          <reference field="1" count="1" selected="0">
            <x v="23"/>
          </reference>
          <reference field="2" count="1" selected="0">
            <x v="0"/>
          </reference>
          <reference field="3" count="1" selected="0">
            <x v="12"/>
          </reference>
          <reference field="4" count="1" selected="0">
            <x v="39"/>
          </reference>
          <reference field="5" count="1">
            <x v="61"/>
          </reference>
        </references>
      </pivotArea>
    </format>
    <format dxfId="5272">
      <pivotArea dataOnly="0" labelOnly="1" fieldPosition="0">
        <references count="5">
          <reference field="1" count="1" selected="0">
            <x v="23"/>
          </reference>
          <reference field="2" count="1" selected="0">
            <x v="0"/>
          </reference>
          <reference field="3" count="1" selected="0">
            <x v="12"/>
          </reference>
          <reference field="4" count="1" selected="0">
            <x v="70"/>
          </reference>
          <reference field="5" count="1">
            <x v="18"/>
          </reference>
        </references>
      </pivotArea>
    </format>
    <format dxfId="5271">
      <pivotArea dataOnly="0" labelOnly="1" fieldPosition="0">
        <references count="5">
          <reference field="1" count="1" selected="0">
            <x v="23"/>
          </reference>
          <reference field="2" count="1" selected="0">
            <x v="0"/>
          </reference>
          <reference field="3" count="1" selected="0">
            <x v="37"/>
          </reference>
          <reference field="4" count="1" selected="0">
            <x v="102"/>
          </reference>
          <reference field="5" count="1">
            <x v="1137"/>
          </reference>
        </references>
      </pivotArea>
    </format>
    <format dxfId="5270">
      <pivotArea dataOnly="0" labelOnly="1" fieldPosition="0">
        <references count="5">
          <reference field="1" count="1" selected="0">
            <x v="23"/>
          </reference>
          <reference field="2" count="1" selected="0">
            <x v="6"/>
          </reference>
          <reference field="3" count="1" selected="0">
            <x v="37"/>
          </reference>
          <reference field="4" count="1" selected="0">
            <x v="102"/>
          </reference>
          <reference field="5" count="1">
            <x v="469"/>
          </reference>
        </references>
      </pivotArea>
    </format>
    <format dxfId="5269">
      <pivotArea dataOnly="0" labelOnly="1" fieldPosition="0">
        <references count="5">
          <reference field="1" count="1" selected="0">
            <x v="23"/>
          </reference>
          <reference field="2" count="1" selected="0">
            <x v="9"/>
          </reference>
          <reference field="3" count="1" selected="0">
            <x v="8"/>
          </reference>
          <reference field="4" count="1" selected="0">
            <x v="102"/>
          </reference>
          <reference field="5" count="1">
            <x v="592"/>
          </reference>
        </references>
      </pivotArea>
    </format>
    <format dxfId="5268">
      <pivotArea dataOnly="0" labelOnly="1" fieldPosition="0">
        <references count="5">
          <reference field="1" count="1" selected="0">
            <x v="23"/>
          </reference>
          <reference field="2" count="1" selected="0">
            <x v="12"/>
          </reference>
          <reference field="3" count="1" selected="0">
            <x v="1"/>
          </reference>
          <reference field="4" count="1" selected="0">
            <x v="102"/>
          </reference>
          <reference field="5" count="5">
            <x v="80"/>
            <x v="213"/>
            <x v="352"/>
            <x v="607"/>
            <x v="911"/>
          </reference>
        </references>
      </pivotArea>
    </format>
    <format dxfId="5267">
      <pivotArea dataOnly="0" labelOnly="1" fieldPosition="0">
        <references count="5">
          <reference field="1" count="1" selected="0">
            <x v="23"/>
          </reference>
          <reference field="2" count="1" selected="0">
            <x v="12"/>
          </reference>
          <reference field="3" count="1" selected="0">
            <x v="37"/>
          </reference>
          <reference field="4" count="1" selected="0">
            <x v="102"/>
          </reference>
          <reference field="5" count="2">
            <x v="248"/>
            <x v="1192"/>
          </reference>
        </references>
      </pivotArea>
    </format>
    <format dxfId="5266">
      <pivotArea dataOnly="0" labelOnly="1" fieldPosition="0">
        <references count="5">
          <reference field="1" count="1" selected="0">
            <x v="23"/>
          </reference>
          <reference field="2" count="1" selected="0">
            <x v="16"/>
          </reference>
          <reference field="3" count="1" selected="0">
            <x v="37"/>
          </reference>
          <reference field="4" count="1" selected="0">
            <x v="102"/>
          </reference>
          <reference field="5" count="1">
            <x v="39"/>
          </reference>
        </references>
      </pivotArea>
    </format>
    <format dxfId="5265">
      <pivotArea dataOnly="0" labelOnly="1" fieldPosition="0">
        <references count="5">
          <reference field="1" count="1" selected="0">
            <x v="23"/>
          </reference>
          <reference field="2" count="1" selected="0">
            <x v="19"/>
          </reference>
          <reference field="3" count="1" selected="0">
            <x v="6"/>
          </reference>
          <reference field="4" count="1" selected="0">
            <x v="102"/>
          </reference>
          <reference field="5" count="1">
            <x v="872"/>
          </reference>
        </references>
      </pivotArea>
    </format>
    <format dxfId="5264">
      <pivotArea dataOnly="0" labelOnly="1" fieldPosition="0">
        <references count="5">
          <reference field="1" count="1" selected="0">
            <x v="23"/>
          </reference>
          <reference field="2" count="1" selected="0">
            <x v="23"/>
          </reference>
          <reference field="3" count="1" selected="0">
            <x v="6"/>
          </reference>
          <reference field="4" count="1" selected="0">
            <x v="102"/>
          </reference>
          <reference field="5" count="1">
            <x v="1149"/>
          </reference>
        </references>
      </pivotArea>
    </format>
    <format dxfId="5263">
      <pivotArea dataOnly="0" labelOnly="1" fieldPosition="0">
        <references count="5">
          <reference field="1" count="1" selected="0">
            <x v="23"/>
          </reference>
          <reference field="2" count="1" selected="0">
            <x v="23"/>
          </reference>
          <reference field="3" count="1" selected="0">
            <x v="7"/>
          </reference>
          <reference field="4" count="1" selected="0">
            <x v="102"/>
          </reference>
          <reference field="5" count="1">
            <x v="371"/>
          </reference>
        </references>
      </pivotArea>
    </format>
    <format dxfId="5262">
      <pivotArea dataOnly="0" labelOnly="1" fieldPosition="0">
        <references count="5">
          <reference field="1" count="1" selected="0">
            <x v="23"/>
          </reference>
          <reference field="2" count="1" selected="0">
            <x v="35"/>
          </reference>
          <reference field="3" count="1" selected="0">
            <x v="1"/>
          </reference>
          <reference field="4" count="1" selected="0">
            <x v="102"/>
          </reference>
          <reference field="5" count="1">
            <x v="80"/>
          </reference>
        </references>
      </pivotArea>
    </format>
    <format dxfId="5261">
      <pivotArea dataOnly="0" labelOnly="1" fieldPosition="0">
        <references count="5">
          <reference field="1" count="1" selected="0">
            <x v="24"/>
          </reference>
          <reference field="2" count="1" selected="0">
            <x v="0"/>
          </reference>
          <reference field="3" count="1" selected="0">
            <x v="6"/>
          </reference>
          <reference field="4" count="1" selected="0">
            <x v="103"/>
          </reference>
          <reference field="5" count="1">
            <x v="469"/>
          </reference>
        </references>
      </pivotArea>
    </format>
    <format dxfId="5260">
      <pivotArea dataOnly="0" labelOnly="1" fieldPosition="0">
        <references count="5">
          <reference field="1" count="1" selected="0">
            <x v="24"/>
          </reference>
          <reference field="2" count="1" selected="0">
            <x v="0"/>
          </reference>
          <reference field="3" count="1" selected="0">
            <x v="12"/>
          </reference>
          <reference field="4" count="1" selected="0">
            <x v="6"/>
          </reference>
          <reference field="5" count="1">
            <x v="101"/>
          </reference>
        </references>
      </pivotArea>
    </format>
    <format dxfId="5259">
      <pivotArea dataOnly="0" labelOnly="1" fieldPosition="0">
        <references count="5">
          <reference field="1" count="1" selected="0">
            <x v="24"/>
          </reference>
          <reference field="2" count="1" selected="0">
            <x v="0"/>
          </reference>
          <reference field="3" count="1" selected="0">
            <x v="12"/>
          </reference>
          <reference field="4" count="1" selected="0">
            <x v="57"/>
          </reference>
          <reference field="5" count="1">
            <x v="9"/>
          </reference>
        </references>
      </pivotArea>
    </format>
    <format dxfId="5258">
      <pivotArea dataOnly="0" labelOnly="1" fieldPosition="0">
        <references count="5">
          <reference field="1" count="1" selected="0">
            <x v="24"/>
          </reference>
          <reference field="2" count="1" selected="0">
            <x v="6"/>
          </reference>
          <reference field="3" count="1" selected="0">
            <x v="37"/>
          </reference>
          <reference field="4" count="1" selected="0">
            <x v="103"/>
          </reference>
          <reference field="5" count="1">
            <x v="607"/>
          </reference>
        </references>
      </pivotArea>
    </format>
    <format dxfId="5257">
      <pivotArea dataOnly="0" labelOnly="1" fieldPosition="0">
        <references count="5">
          <reference field="1" count="1" selected="0">
            <x v="24"/>
          </reference>
          <reference field="2" count="1" selected="0">
            <x v="15"/>
          </reference>
          <reference field="3" count="1" selected="0">
            <x v="33"/>
          </reference>
          <reference field="4" count="1" selected="0">
            <x v="103"/>
          </reference>
          <reference field="5" count="1">
            <x v="1879"/>
          </reference>
        </references>
      </pivotArea>
    </format>
    <format dxfId="5256">
      <pivotArea dataOnly="0" labelOnly="1" fieldPosition="0">
        <references count="5">
          <reference field="1" count="1" selected="0">
            <x v="24"/>
          </reference>
          <reference field="2" count="1" selected="0">
            <x v="19"/>
          </reference>
          <reference field="3" count="1" selected="0">
            <x v="6"/>
          </reference>
          <reference field="4" count="1" selected="0">
            <x v="103"/>
          </reference>
          <reference field="5" count="1">
            <x v="371"/>
          </reference>
        </references>
      </pivotArea>
    </format>
    <format dxfId="5255">
      <pivotArea dataOnly="0" labelOnly="1" fieldPosition="0">
        <references count="5">
          <reference field="1" count="1" selected="0">
            <x v="24"/>
          </reference>
          <reference field="2" count="1" selected="0">
            <x v="23"/>
          </reference>
          <reference field="3" count="1" selected="0">
            <x v="37"/>
          </reference>
          <reference field="4" count="1" selected="0">
            <x v="103"/>
          </reference>
          <reference field="5" count="1">
            <x v="562"/>
          </reference>
        </references>
      </pivotArea>
    </format>
    <format dxfId="5254">
      <pivotArea dataOnly="0" labelOnly="1" fieldPosition="0">
        <references count="5">
          <reference field="1" count="1" selected="0">
            <x v="25"/>
          </reference>
          <reference field="2" count="1" selected="0">
            <x v="0"/>
          </reference>
          <reference field="3" count="1" selected="0">
            <x v="10"/>
          </reference>
          <reference field="4" count="1" selected="0">
            <x v="105"/>
          </reference>
          <reference field="5" count="1">
            <x v="0"/>
          </reference>
        </references>
      </pivotArea>
    </format>
    <format dxfId="5253">
      <pivotArea dataOnly="0" labelOnly="1" fieldPosition="0">
        <references count="5">
          <reference field="1" count="1" selected="0">
            <x v="25"/>
          </reference>
          <reference field="2" count="1" selected="0">
            <x v="0"/>
          </reference>
          <reference field="3" count="1" selected="0">
            <x v="12"/>
          </reference>
          <reference field="4" count="1" selected="0">
            <x v="26"/>
          </reference>
          <reference field="5" count="1">
            <x v="52"/>
          </reference>
        </references>
      </pivotArea>
    </format>
    <format dxfId="5252">
      <pivotArea dataOnly="0" labelOnly="1" fieldPosition="0">
        <references count="5">
          <reference field="1" count="1" selected="0">
            <x v="25"/>
          </reference>
          <reference field="2" count="1" selected="0">
            <x v="0"/>
          </reference>
          <reference field="3" count="1" selected="0">
            <x v="12"/>
          </reference>
          <reference field="4" count="1" selected="0">
            <x v="29"/>
          </reference>
          <reference field="5" count="1">
            <x v="11"/>
          </reference>
        </references>
      </pivotArea>
    </format>
    <format dxfId="5251">
      <pivotArea dataOnly="0" labelOnly="1" fieldPosition="0">
        <references count="5">
          <reference field="1" count="1" selected="0">
            <x v="25"/>
          </reference>
          <reference field="2" count="1" selected="0">
            <x v="0"/>
          </reference>
          <reference field="3" count="1" selected="0">
            <x v="12"/>
          </reference>
          <reference field="4" count="1" selected="0">
            <x v="53"/>
          </reference>
          <reference field="5" count="1">
            <x v="52"/>
          </reference>
        </references>
      </pivotArea>
    </format>
    <format dxfId="5250">
      <pivotArea dataOnly="0" labelOnly="1" fieldPosition="0">
        <references count="5">
          <reference field="1" count="1" selected="0">
            <x v="25"/>
          </reference>
          <reference field="2" count="1" selected="0">
            <x v="0"/>
          </reference>
          <reference field="3" count="1" selected="0">
            <x v="37"/>
          </reference>
          <reference field="4" count="1" selected="0">
            <x v="105"/>
          </reference>
          <reference field="5" count="2">
            <x v="1348"/>
            <x v="1674"/>
          </reference>
        </references>
      </pivotArea>
    </format>
    <format dxfId="5249">
      <pivotArea dataOnly="0" labelOnly="1" fieldPosition="0">
        <references count="5">
          <reference field="1" count="1" selected="0">
            <x v="25"/>
          </reference>
          <reference field="2" count="1" selected="0">
            <x v="2"/>
          </reference>
          <reference field="3" count="1" selected="0">
            <x v="28"/>
          </reference>
          <reference field="4" count="1" selected="0">
            <x v="104"/>
          </reference>
          <reference field="5" count="1">
            <x v="34"/>
          </reference>
        </references>
      </pivotArea>
    </format>
    <format dxfId="5248">
      <pivotArea dataOnly="0" labelOnly="1" fieldPosition="0">
        <references count="5">
          <reference field="1" count="1" selected="0">
            <x v="25"/>
          </reference>
          <reference field="2" count="1" selected="0">
            <x v="8"/>
          </reference>
          <reference field="3" count="1" selected="0">
            <x v="37"/>
          </reference>
          <reference field="4" count="1" selected="0">
            <x v="105"/>
          </reference>
          <reference field="5" count="1">
            <x v="1165"/>
          </reference>
        </references>
      </pivotArea>
    </format>
    <format dxfId="5247">
      <pivotArea dataOnly="0" labelOnly="1" fieldPosition="0">
        <references count="5">
          <reference field="1" count="1" selected="0">
            <x v="25"/>
          </reference>
          <reference field="2" count="1" selected="0">
            <x v="10"/>
          </reference>
          <reference field="3" count="1" selected="0">
            <x v="38"/>
          </reference>
          <reference field="4" count="1" selected="0">
            <x v="105"/>
          </reference>
          <reference field="5" count="1">
            <x v="1500"/>
          </reference>
        </references>
      </pivotArea>
    </format>
    <format dxfId="5246">
      <pivotArea dataOnly="0" labelOnly="1" fieldPosition="0">
        <references count="5">
          <reference field="1" count="1" selected="0">
            <x v="25"/>
          </reference>
          <reference field="2" count="1" selected="0">
            <x v="12"/>
          </reference>
          <reference field="3" count="1" selected="0">
            <x v="1"/>
          </reference>
          <reference field="4" count="1" selected="0">
            <x v="105"/>
          </reference>
          <reference field="5" count="6">
            <x v="80"/>
            <x v="213"/>
            <x v="352"/>
            <x v="500"/>
            <x v="964"/>
            <x v="1069"/>
          </reference>
        </references>
      </pivotArea>
    </format>
    <format dxfId="5245">
      <pivotArea dataOnly="0" labelOnly="1" fieldPosition="0">
        <references count="5">
          <reference field="1" count="1" selected="0">
            <x v="25"/>
          </reference>
          <reference field="2" count="1" selected="0">
            <x v="15"/>
          </reference>
          <reference field="3" count="1" selected="0">
            <x v="38"/>
          </reference>
          <reference field="4" count="1" selected="0">
            <x v="105"/>
          </reference>
          <reference field="5" count="1">
            <x v="1274"/>
          </reference>
        </references>
      </pivotArea>
    </format>
    <format dxfId="5244">
      <pivotArea dataOnly="0" labelOnly="1" fieldPosition="0">
        <references count="5">
          <reference field="1" count="1" selected="0">
            <x v="25"/>
          </reference>
          <reference field="2" count="1" selected="0">
            <x v="23"/>
          </reference>
          <reference field="3" count="1" selected="0">
            <x v="38"/>
          </reference>
          <reference field="4" count="1" selected="0">
            <x v="105"/>
          </reference>
          <reference field="5" count="1">
            <x v="1858"/>
          </reference>
        </references>
      </pivotArea>
    </format>
    <format dxfId="5243">
      <pivotArea dataOnly="0" labelOnly="1" fieldPosition="0">
        <references count="5">
          <reference field="1" count="1" selected="0">
            <x v="25"/>
          </reference>
          <reference field="2" count="1" selected="0">
            <x v="36"/>
          </reference>
          <reference field="3" count="1" selected="0">
            <x v="1"/>
          </reference>
          <reference field="4" count="1" selected="0">
            <x v="105"/>
          </reference>
          <reference field="5" count="1">
            <x v="351"/>
          </reference>
        </references>
      </pivotArea>
    </format>
    <format dxfId="5242">
      <pivotArea dataOnly="0" labelOnly="1" fieldPosition="0">
        <references count="5">
          <reference field="1" count="1" selected="0">
            <x v="26"/>
          </reference>
          <reference field="2" count="1" selected="0">
            <x v="0"/>
          </reference>
          <reference field="3" count="1" selected="0">
            <x v="6"/>
          </reference>
          <reference field="4" count="1" selected="0">
            <x v="106"/>
          </reference>
          <reference field="5" count="1">
            <x v="248"/>
          </reference>
        </references>
      </pivotArea>
    </format>
    <format dxfId="5241">
      <pivotArea dataOnly="0" labelOnly="1" fieldPosition="0">
        <references count="5">
          <reference field="1" count="1" selected="0">
            <x v="26"/>
          </reference>
          <reference field="2" count="1" selected="0">
            <x v="0"/>
          </reference>
          <reference field="3" count="1" selected="0">
            <x v="9"/>
          </reference>
          <reference field="4" count="1" selected="0">
            <x v="106"/>
          </reference>
          <reference field="5" count="7">
            <x v="212"/>
            <x v="350"/>
            <x v="510"/>
            <x v="572"/>
            <x v="664"/>
            <x v="867"/>
            <x v="963"/>
          </reference>
        </references>
      </pivotArea>
    </format>
    <format dxfId="5240">
      <pivotArea dataOnly="0" labelOnly="1" fieldPosition="0">
        <references count="5">
          <reference field="1" count="1" selected="0">
            <x v="26"/>
          </reference>
          <reference field="2" count="1" selected="0">
            <x v="0"/>
          </reference>
          <reference field="3" count="1" selected="0">
            <x v="12"/>
          </reference>
          <reference field="4" count="1" selected="0">
            <x v="26"/>
          </reference>
          <reference field="5" count="1">
            <x v="52"/>
          </reference>
        </references>
      </pivotArea>
    </format>
    <format dxfId="5239">
      <pivotArea dataOnly="0" labelOnly="1" fieldPosition="0">
        <references count="5">
          <reference field="1" count="1" selected="0">
            <x v="26"/>
          </reference>
          <reference field="2" count="1" selected="0">
            <x v="0"/>
          </reference>
          <reference field="3" count="1" selected="0">
            <x v="12"/>
          </reference>
          <reference field="4" count="1" selected="0">
            <x v="50"/>
          </reference>
          <reference field="5" count="1">
            <x v="248"/>
          </reference>
        </references>
      </pivotArea>
    </format>
    <format dxfId="5238">
      <pivotArea dataOnly="0" labelOnly="1" fieldPosition="0">
        <references count="5">
          <reference field="1" count="1" selected="0">
            <x v="26"/>
          </reference>
          <reference field="2" count="1" selected="0">
            <x v="0"/>
          </reference>
          <reference field="3" count="1" selected="0">
            <x v="37"/>
          </reference>
          <reference field="4" count="1" selected="0">
            <x v="106"/>
          </reference>
          <reference field="5" count="2">
            <x v="685"/>
            <x v="1547"/>
          </reference>
        </references>
      </pivotArea>
    </format>
    <format dxfId="5237">
      <pivotArea dataOnly="0" labelOnly="1" fieldPosition="0">
        <references count="5">
          <reference field="1" count="1" selected="0">
            <x v="26"/>
          </reference>
          <reference field="2" count="1" selected="0">
            <x v="5"/>
          </reference>
          <reference field="3" count="1" selected="0">
            <x v="37"/>
          </reference>
          <reference field="4" count="1" selected="0">
            <x v="106"/>
          </reference>
          <reference field="5" count="1">
            <x v="1334"/>
          </reference>
        </references>
      </pivotArea>
    </format>
    <format dxfId="5236">
      <pivotArea dataOnly="0" labelOnly="1" fieldPosition="0">
        <references count="5">
          <reference field="1" count="1" selected="0">
            <x v="26"/>
          </reference>
          <reference field="2" count="1" selected="0">
            <x v="9"/>
          </reference>
          <reference field="3" count="1" selected="0">
            <x v="8"/>
          </reference>
          <reference field="4" count="1" selected="0">
            <x v="106"/>
          </reference>
          <reference field="5" count="1">
            <x v="428"/>
          </reference>
        </references>
      </pivotArea>
    </format>
    <format dxfId="5235">
      <pivotArea dataOnly="0" labelOnly="1" fieldPosition="0">
        <references count="5">
          <reference field="1" count="1" selected="0">
            <x v="26"/>
          </reference>
          <reference field="2" count="1" selected="0">
            <x v="12"/>
          </reference>
          <reference field="3" count="1" selected="0">
            <x v="0"/>
          </reference>
          <reference field="4" count="1" selected="0">
            <x v="106"/>
          </reference>
          <reference field="5" count="1">
            <x v="80"/>
          </reference>
        </references>
      </pivotArea>
    </format>
    <format dxfId="5234">
      <pivotArea dataOnly="0" labelOnly="1" fieldPosition="0">
        <references count="5">
          <reference field="1" count="1" selected="0">
            <x v="26"/>
          </reference>
          <reference field="2" count="1" selected="0">
            <x v="12"/>
          </reference>
          <reference field="3" count="1" selected="0">
            <x v="1"/>
          </reference>
          <reference field="4" count="1" selected="0">
            <x v="106"/>
          </reference>
          <reference field="5" count="2">
            <x v="352"/>
            <x v="500"/>
          </reference>
        </references>
      </pivotArea>
    </format>
    <format dxfId="5233">
      <pivotArea dataOnly="0" labelOnly="1" fieldPosition="0">
        <references count="5">
          <reference field="1" count="1" selected="0">
            <x v="26"/>
          </reference>
          <reference field="2" count="1" selected="0">
            <x v="15"/>
          </reference>
          <reference field="3" count="1" selected="0">
            <x v="9"/>
          </reference>
          <reference field="4" count="1" selected="0">
            <x v="106"/>
          </reference>
          <reference field="5" count="1">
            <x v="466"/>
          </reference>
        </references>
      </pivotArea>
    </format>
    <format dxfId="5232">
      <pivotArea dataOnly="0" labelOnly="1" fieldPosition="0">
        <references count="5">
          <reference field="1" count="1" selected="0">
            <x v="26"/>
          </reference>
          <reference field="2" count="1" selected="0">
            <x v="19"/>
          </reference>
          <reference field="3" count="1" selected="0">
            <x v="37"/>
          </reference>
          <reference field="4" count="1" selected="0">
            <x v="106"/>
          </reference>
          <reference field="5" count="1">
            <x v="633"/>
          </reference>
        </references>
      </pivotArea>
    </format>
    <format dxfId="5231">
      <pivotArea dataOnly="0" labelOnly="1" fieldPosition="0">
        <references count="5">
          <reference field="1" count="1" selected="0">
            <x v="26"/>
          </reference>
          <reference field="2" count="1" selected="0">
            <x v="27"/>
          </reference>
          <reference field="3" count="1" selected="0">
            <x v="6"/>
          </reference>
          <reference field="4" count="1" selected="0">
            <x v="106"/>
          </reference>
          <reference field="5" count="1">
            <x v="1459"/>
          </reference>
        </references>
      </pivotArea>
    </format>
    <format dxfId="5230">
      <pivotArea dataOnly="0" labelOnly="1" fieldPosition="0">
        <references count="5">
          <reference field="1" count="1" selected="0">
            <x v="27"/>
          </reference>
          <reference field="2" count="1" selected="0">
            <x v="0"/>
          </reference>
          <reference field="3" count="1" selected="0">
            <x v="12"/>
          </reference>
          <reference field="4" count="1" selected="0">
            <x v="60"/>
          </reference>
          <reference field="5" count="1">
            <x v="9"/>
          </reference>
        </references>
      </pivotArea>
    </format>
    <format dxfId="5229">
      <pivotArea dataOnly="0" labelOnly="1" fieldPosition="0">
        <references count="5">
          <reference field="1" count="1" selected="0">
            <x v="27"/>
          </reference>
          <reference field="2" count="1" selected="0">
            <x v="0"/>
          </reference>
          <reference field="3" count="1" selected="0">
            <x v="37"/>
          </reference>
          <reference field="4" count="1" selected="0">
            <x v="107"/>
          </reference>
          <reference field="5" count="1">
            <x v="371"/>
          </reference>
        </references>
      </pivotArea>
    </format>
    <format dxfId="5228">
      <pivotArea dataOnly="0" labelOnly="1" fieldPosition="0">
        <references count="5">
          <reference field="1" count="1" selected="0">
            <x v="27"/>
          </reference>
          <reference field="2" count="1" selected="0">
            <x v="8"/>
          </reference>
          <reference field="3" count="1" selected="0">
            <x v="37"/>
          </reference>
          <reference field="4" count="1" selected="0">
            <x v="107"/>
          </reference>
          <reference field="5" count="1">
            <x v="1525"/>
          </reference>
        </references>
      </pivotArea>
    </format>
    <format dxfId="5227">
      <pivotArea dataOnly="0" labelOnly="1" fieldPosition="0">
        <references count="5">
          <reference field="1" count="1" selected="0">
            <x v="27"/>
          </reference>
          <reference field="2" count="1" selected="0">
            <x v="12"/>
          </reference>
          <reference field="3" count="1" selected="0">
            <x v="1"/>
          </reference>
          <reference field="4" count="1" selected="0">
            <x v="107"/>
          </reference>
          <reference field="5" count="1">
            <x v="213"/>
          </reference>
        </references>
      </pivotArea>
    </format>
    <format dxfId="5226">
      <pivotArea dataOnly="0" labelOnly="1" fieldPosition="0">
        <references count="5">
          <reference field="1" count="1" selected="0">
            <x v="27"/>
          </reference>
          <reference field="2" count="1" selected="0">
            <x v="23"/>
          </reference>
          <reference field="3" count="1" selected="0">
            <x v="37"/>
          </reference>
          <reference field="4" count="1" selected="0">
            <x v="107"/>
          </reference>
          <reference field="5" count="1">
            <x v="121"/>
          </reference>
        </references>
      </pivotArea>
    </format>
    <format dxfId="5225">
      <pivotArea dataOnly="0" labelOnly="1" fieldPosition="0">
        <references count="5">
          <reference field="1" count="1" selected="0">
            <x v="28"/>
          </reference>
          <reference field="2" count="1" selected="0">
            <x v="0"/>
          </reference>
          <reference field="3" count="1" selected="0">
            <x v="7"/>
          </reference>
          <reference field="4" count="1" selected="0">
            <x v="108"/>
          </reference>
          <reference field="5" count="1">
            <x v="503"/>
          </reference>
        </references>
      </pivotArea>
    </format>
    <format dxfId="5224">
      <pivotArea dataOnly="0" labelOnly="1" fieldPosition="0">
        <references count="5">
          <reference field="1" count="1" selected="0">
            <x v="28"/>
          </reference>
          <reference field="2" count="1" selected="0">
            <x v="0"/>
          </reference>
          <reference field="3" count="1" selected="0">
            <x v="9"/>
          </reference>
          <reference field="4" count="1" selected="0">
            <x v="108"/>
          </reference>
          <reference field="5" count="6">
            <x v="230"/>
            <x v="248"/>
            <x v="485"/>
            <x v="712"/>
            <x v="871"/>
            <x v="1103"/>
          </reference>
        </references>
      </pivotArea>
    </format>
    <format dxfId="5223">
      <pivotArea dataOnly="0" labelOnly="1" fieldPosition="0">
        <references count="5">
          <reference field="1" count="1" selected="0">
            <x v="28"/>
          </reference>
          <reference field="2" count="1" selected="0">
            <x v="0"/>
          </reference>
          <reference field="3" count="1" selected="0">
            <x v="10"/>
          </reference>
          <reference field="4" count="1" selected="0">
            <x v="108"/>
          </reference>
          <reference field="5" count="1">
            <x v="433"/>
          </reference>
        </references>
      </pivotArea>
    </format>
    <format dxfId="5222">
      <pivotArea dataOnly="0" labelOnly="1" fieldPosition="0">
        <references count="5">
          <reference field="1" count="1" selected="0">
            <x v="28"/>
          </reference>
          <reference field="2" count="1" selected="0">
            <x v="0"/>
          </reference>
          <reference field="3" count="1" selected="0">
            <x v="12"/>
          </reference>
          <reference field="4" count="1" selected="0">
            <x v="65"/>
          </reference>
          <reference field="5" count="1">
            <x v="11"/>
          </reference>
        </references>
      </pivotArea>
    </format>
    <format dxfId="5221">
      <pivotArea dataOnly="0" labelOnly="1" fieldPosition="0">
        <references count="5">
          <reference field="1" count="1" selected="0">
            <x v="28"/>
          </reference>
          <reference field="2" count="1" selected="0">
            <x v="12"/>
          </reference>
          <reference field="3" count="1" selected="0">
            <x v="1"/>
          </reference>
          <reference field="4" count="1" selected="0">
            <x v="108"/>
          </reference>
          <reference field="5" count="3">
            <x v="80"/>
            <x v="213"/>
            <x v="846"/>
          </reference>
        </references>
      </pivotArea>
    </format>
    <format dxfId="5220">
      <pivotArea dataOnly="0" labelOnly="1" fieldPosition="0">
        <references count="5">
          <reference field="1" count="1" selected="0">
            <x v="28"/>
          </reference>
          <reference field="2" count="1" selected="0">
            <x v="19"/>
          </reference>
          <reference field="3" count="1" selected="0">
            <x v="10"/>
          </reference>
          <reference field="4" count="1" selected="0">
            <x v="108"/>
          </reference>
          <reference field="5" count="1">
            <x v="1659"/>
          </reference>
        </references>
      </pivotArea>
    </format>
    <format dxfId="5219">
      <pivotArea dataOnly="0" labelOnly="1" fieldPosition="0">
        <references count="5">
          <reference field="1" count="1" selected="0">
            <x v="28"/>
          </reference>
          <reference field="2" count="1" selected="0">
            <x v="21"/>
          </reference>
          <reference field="3" count="1" selected="0">
            <x v="37"/>
          </reference>
          <reference field="4" count="1" selected="0">
            <x v="108"/>
          </reference>
          <reference field="5" count="1">
            <x v="947"/>
          </reference>
        </references>
      </pivotArea>
    </format>
    <format dxfId="5218">
      <pivotArea dataOnly="0" labelOnly="1" fieldPosition="0">
        <references count="5">
          <reference field="1" count="1" selected="0">
            <x v="28"/>
          </reference>
          <reference field="2" count="1" selected="0">
            <x v="35"/>
          </reference>
          <reference field="3" count="1" selected="0">
            <x v="1"/>
          </reference>
          <reference field="4" count="1" selected="0">
            <x v="108"/>
          </reference>
          <reference field="5" count="1">
            <x v="80"/>
          </reference>
        </references>
      </pivotArea>
    </format>
    <format dxfId="5217">
      <pivotArea dataOnly="0" labelOnly="1" fieldPosition="0">
        <references count="5">
          <reference field="1" count="1" selected="0">
            <x v="29"/>
          </reference>
          <reference field="2" count="1" selected="0">
            <x v="0"/>
          </reference>
          <reference field="3" count="1" selected="0">
            <x v="6"/>
          </reference>
          <reference field="4" count="1" selected="0">
            <x v="109"/>
          </reference>
          <reference field="5" count="2">
            <x v="228"/>
            <x v="321"/>
          </reference>
        </references>
      </pivotArea>
    </format>
    <format dxfId="5216">
      <pivotArea dataOnly="0" labelOnly="1" fieldPosition="0">
        <references count="5">
          <reference field="1" count="1" selected="0">
            <x v="29"/>
          </reference>
          <reference field="2" count="1" selected="0">
            <x v="0"/>
          </reference>
          <reference field="3" count="1" selected="0">
            <x v="12"/>
          </reference>
          <reference field="4" count="1" selected="0">
            <x v="10"/>
          </reference>
          <reference field="5" count="1">
            <x v="9"/>
          </reference>
        </references>
      </pivotArea>
    </format>
    <format dxfId="5215">
      <pivotArea dataOnly="0" labelOnly="1" fieldPosition="0">
        <references count="5">
          <reference field="1" count="1" selected="0">
            <x v="29"/>
          </reference>
          <reference field="2" count="1" selected="0">
            <x v="0"/>
          </reference>
          <reference field="3" count="1" selected="0">
            <x v="12"/>
          </reference>
          <reference field="4" count="1" selected="0">
            <x v="58"/>
          </reference>
          <reference field="5" count="1">
            <x v="11"/>
          </reference>
        </references>
      </pivotArea>
    </format>
    <format dxfId="5214">
      <pivotArea dataOnly="0" labelOnly="1" fieldPosition="0">
        <references count="5">
          <reference field="1" count="1" selected="0">
            <x v="29"/>
          </reference>
          <reference field="2" count="1" selected="0">
            <x v="0"/>
          </reference>
          <reference field="3" count="1" selected="0">
            <x v="12"/>
          </reference>
          <reference field="4" count="1" selected="0">
            <x v="64"/>
          </reference>
          <reference field="5" count="1">
            <x v="64"/>
          </reference>
        </references>
      </pivotArea>
    </format>
    <format dxfId="5213">
      <pivotArea dataOnly="0" labelOnly="1" fieldPosition="0">
        <references count="5">
          <reference field="1" count="1" selected="0">
            <x v="29"/>
          </reference>
          <reference field="2" count="1" selected="0">
            <x v="3"/>
          </reference>
          <reference field="3" count="1" selected="0">
            <x v="37"/>
          </reference>
          <reference field="4" count="1" selected="0">
            <x v="109"/>
          </reference>
          <reference field="5" count="1">
            <x v="187"/>
          </reference>
        </references>
      </pivotArea>
    </format>
    <format dxfId="5212">
      <pivotArea dataOnly="0" labelOnly="1" fieldPosition="0">
        <references count="5">
          <reference field="1" count="1" selected="0">
            <x v="29"/>
          </reference>
          <reference field="2" count="1" selected="0">
            <x v="5"/>
          </reference>
          <reference field="3" count="1" selected="0">
            <x v="37"/>
          </reference>
          <reference field="4" count="1" selected="0">
            <x v="109"/>
          </reference>
          <reference field="5" count="1">
            <x v="592"/>
          </reference>
        </references>
      </pivotArea>
    </format>
    <format dxfId="5211">
      <pivotArea dataOnly="0" labelOnly="1" fieldPosition="0">
        <references count="5">
          <reference field="1" count="1" selected="0">
            <x v="29"/>
          </reference>
          <reference field="2" count="1" selected="0">
            <x v="7"/>
          </reference>
          <reference field="3" count="1" selected="0">
            <x v="37"/>
          </reference>
          <reference field="4" count="1" selected="0">
            <x v="109"/>
          </reference>
          <reference field="5" count="1">
            <x v="314"/>
          </reference>
        </references>
      </pivotArea>
    </format>
    <format dxfId="5210">
      <pivotArea dataOnly="0" labelOnly="1" fieldPosition="0">
        <references count="5">
          <reference field="1" count="1" selected="0">
            <x v="29"/>
          </reference>
          <reference field="2" count="1" selected="0">
            <x v="8"/>
          </reference>
          <reference field="3" count="1" selected="0">
            <x v="37"/>
          </reference>
          <reference field="4" count="1" selected="0">
            <x v="109"/>
          </reference>
          <reference field="5" count="1">
            <x v="697"/>
          </reference>
        </references>
      </pivotArea>
    </format>
    <format dxfId="5209">
      <pivotArea dataOnly="0" labelOnly="1" fieldPosition="0">
        <references count="5">
          <reference field="1" count="1" selected="0">
            <x v="29"/>
          </reference>
          <reference field="2" count="1" selected="0">
            <x v="9"/>
          </reference>
          <reference field="3" count="1" selected="0">
            <x v="8"/>
          </reference>
          <reference field="4" count="1" selected="0">
            <x v="109"/>
          </reference>
          <reference field="5" count="1">
            <x v="1297"/>
          </reference>
        </references>
      </pivotArea>
    </format>
    <format dxfId="5208">
      <pivotArea dataOnly="0" labelOnly="1" fieldPosition="0">
        <references count="5">
          <reference field="1" count="1" selected="0">
            <x v="29"/>
          </reference>
          <reference field="2" count="1" selected="0">
            <x v="12"/>
          </reference>
          <reference field="3" count="1" selected="0">
            <x v="1"/>
          </reference>
          <reference field="4" count="1" selected="0">
            <x v="109"/>
          </reference>
          <reference field="5" count="6">
            <x v="80"/>
            <x v="213"/>
            <x v="352"/>
            <x v="500"/>
            <x v="607"/>
            <x v="911"/>
          </reference>
        </references>
      </pivotArea>
    </format>
    <format dxfId="5207">
      <pivotArea dataOnly="0" labelOnly="1" fieldPosition="0">
        <references count="5">
          <reference field="1" count="1" selected="0">
            <x v="29"/>
          </reference>
          <reference field="2" count="1" selected="0">
            <x v="12"/>
          </reference>
          <reference field="3" count="1" selected="0">
            <x v="37"/>
          </reference>
          <reference field="4" count="1" selected="0">
            <x v="109"/>
          </reference>
          <reference field="5" count="1">
            <x v="1244"/>
          </reference>
        </references>
      </pivotArea>
    </format>
    <format dxfId="5206">
      <pivotArea dataOnly="0" labelOnly="1" fieldPosition="0">
        <references count="5">
          <reference field="1" count="1" selected="0">
            <x v="29"/>
          </reference>
          <reference field="2" count="1" selected="0">
            <x v="15"/>
          </reference>
          <reference field="3" count="1" selected="0">
            <x v="1"/>
          </reference>
          <reference field="4" count="1" selected="0">
            <x v="109"/>
          </reference>
          <reference field="5" count="1">
            <x v="1698"/>
          </reference>
        </references>
      </pivotArea>
    </format>
    <format dxfId="5205">
      <pivotArea dataOnly="0" labelOnly="1" fieldPosition="0">
        <references count="5">
          <reference field="1" count="1" selected="0">
            <x v="29"/>
          </reference>
          <reference field="2" count="1" selected="0">
            <x v="21"/>
          </reference>
          <reference field="3" count="1" selected="0">
            <x v="6"/>
          </reference>
          <reference field="4" count="1" selected="0">
            <x v="109"/>
          </reference>
          <reference field="5" count="1">
            <x v="551"/>
          </reference>
        </references>
      </pivotArea>
    </format>
    <format dxfId="5204">
      <pivotArea dataOnly="0" labelOnly="1" fieldPosition="0">
        <references count="5">
          <reference field="1" count="1" selected="0">
            <x v="29"/>
          </reference>
          <reference field="2" count="1" selected="0">
            <x v="21"/>
          </reference>
          <reference field="3" count="1" selected="0">
            <x v="37"/>
          </reference>
          <reference field="4" count="1" selected="0">
            <x v="109"/>
          </reference>
          <reference field="5" count="1">
            <x v="352"/>
          </reference>
        </references>
      </pivotArea>
    </format>
    <format dxfId="5203">
      <pivotArea dataOnly="0" labelOnly="1" fieldPosition="0">
        <references count="5">
          <reference field="1" count="1" selected="0">
            <x v="29"/>
          </reference>
          <reference field="2" count="1" selected="0">
            <x v="23"/>
          </reference>
          <reference field="3" count="1" selected="0">
            <x v="1"/>
          </reference>
          <reference field="4" count="1" selected="0">
            <x v="109"/>
          </reference>
          <reference field="5" count="1">
            <x v="109"/>
          </reference>
        </references>
      </pivotArea>
    </format>
    <format dxfId="5202">
      <pivotArea dataOnly="0" labelOnly="1" fieldPosition="0">
        <references count="5">
          <reference field="1" count="1" selected="0">
            <x v="29"/>
          </reference>
          <reference field="2" count="1" selected="0">
            <x v="23"/>
          </reference>
          <reference field="3" count="1" selected="0">
            <x v="37"/>
          </reference>
          <reference field="4" count="1" selected="0">
            <x v="109"/>
          </reference>
          <reference field="5" count="1">
            <x v="286"/>
          </reference>
        </references>
      </pivotArea>
    </format>
    <format dxfId="5201">
      <pivotArea dataOnly="0" labelOnly="1" fieldPosition="0">
        <references count="5">
          <reference field="1" count="1" selected="0">
            <x v="29"/>
          </reference>
          <reference field="2" count="1" selected="0">
            <x v="24"/>
          </reference>
          <reference field="3" count="1" selected="0">
            <x v="37"/>
          </reference>
          <reference field="4" count="1" selected="0">
            <x v="109"/>
          </reference>
          <reference field="5" count="1">
            <x v="80"/>
          </reference>
        </references>
      </pivotArea>
    </format>
    <format dxfId="5200">
      <pivotArea dataOnly="0" labelOnly="1" fieldPosition="0">
        <references count="5">
          <reference field="1" count="1" selected="0">
            <x v="29"/>
          </reference>
          <reference field="2" count="1" selected="0">
            <x v="26"/>
          </reference>
          <reference field="3" count="1" selected="0">
            <x v="37"/>
          </reference>
          <reference field="4" count="1" selected="0">
            <x v="109"/>
          </reference>
          <reference field="5" count="1">
            <x v="109"/>
          </reference>
        </references>
      </pivotArea>
    </format>
    <format dxfId="5199">
      <pivotArea dataOnly="0" labelOnly="1" fieldPosition="0">
        <references count="5">
          <reference field="1" count="1" selected="0">
            <x v="29"/>
          </reference>
          <reference field="2" count="1" selected="0">
            <x v="28"/>
          </reference>
          <reference field="3" count="1" selected="0">
            <x v="8"/>
          </reference>
          <reference field="4" count="1" selected="0">
            <x v="109"/>
          </reference>
          <reference field="5" count="1">
            <x v="669"/>
          </reference>
        </references>
      </pivotArea>
    </format>
    <format dxfId="5198">
      <pivotArea dataOnly="0" labelOnly="1" fieldPosition="0">
        <references count="5">
          <reference field="1" count="1" selected="0">
            <x v="29"/>
          </reference>
          <reference field="2" count="1" selected="0">
            <x v="33"/>
          </reference>
          <reference field="3" count="1" selected="0">
            <x v="6"/>
          </reference>
          <reference field="4" count="1" selected="0">
            <x v="109"/>
          </reference>
          <reference field="5" count="1">
            <x v="469"/>
          </reference>
        </references>
      </pivotArea>
    </format>
    <format dxfId="5197">
      <pivotArea dataOnly="0" labelOnly="1" fieldPosition="0">
        <references count="5">
          <reference field="1" count="1" selected="0">
            <x v="29"/>
          </reference>
          <reference field="2" count="1" selected="0">
            <x v="35"/>
          </reference>
          <reference field="3" count="1" selected="0">
            <x v="1"/>
          </reference>
          <reference field="4" count="1" selected="0">
            <x v="109"/>
          </reference>
          <reference field="5" count="1">
            <x v="80"/>
          </reference>
        </references>
      </pivotArea>
    </format>
    <format dxfId="5196">
      <pivotArea dataOnly="0" labelOnly="1" fieldPosition="0">
        <references count="5">
          <reference field="1" count="1" selected="0">
            <x v="30"/>
          </reference>
          <reference field="2" count="1" selected="0">
            <x v="0"/>
          </reference>
          <reference field="3" count="1" selected="0">
            <x v="15"/>
          </reference>
          <reference field="4" count="1" selected="0">
            <x v="110"/>
          </reference>
          <reference field="5" count="9">
            <x v="643"/>
            <x v="646"/>
            <x v="651"/>
            <x v="655"/>
            <x v="820"/>
            <x v="873"/>
            <x v="948"/>
            <x v="1135"/>
            <x v="1140"/>
          </reference>
        </references>
      </pivotArea>
    </format>
    <format dxfId="5195">
      <pivotArea dataOnly="0" labelOnly="1" fieldPosition="0">
        <references count="5">
          <reference field="1" count="1" selected="0">
            <x v="30"/>
          </reference>
          <reference field="2" count="1" selected="0">
            <x v="2"/>
          </reference>
          <reference field="3" count="1" selected="0">
            <x v="15"/>
          </reference>
          <reference field="4" count="1" selected="0">
            <x v="110"/>
          </reference>
          <reference field="5" count="1">
            <x v="1876"/>
          </reference>
        </references>
      </pivotArea>
    </format>
    <format dxfId="5194">
      <pivotArea dataOnly="0" labelOnly="1" fieldPosition="0">
        <references count="5">
          <reference field="1" count="1" selected="0">
            <x v="30"/>
          </reference>
          <reference field="2" count="1" selected="0">
            <x v="3"/>
          </reference>
          <reference field="3" count="1" selected="0">
            <x v="15"/>
          </reference>
          <reference field="4" count="1" selected="0">
            <x v="110"/>
          </reference>
          <reference field="5" count="1">
            <x v="1277"/>
          </reference>
        </references>
      </pivotArea>
    </format>
    <format dxfId="5193">
      <pivotArea dataOnly="0" labelOnly="1" fieldPosition="0">
        <references count="5">
          <reference field="1" count="1" selected="0">
            <x v="30"/>
          </reference>
          <reference field="2" count="1" selected="0">
            <x v="12"/>
          </reference>
          <reference field="3" count="1" selected="0">
            <x v="15"/>
          </reference>
          <reference field="4" count="1" selected="0">
            <x v="110"/>
          </reference>
          <reference field="5" count="23">
            <x v="222"/>
            <x v="324"/>
            <x v="594"/>
            <x v="1006"/>
            <x v="1010"/>
            <x v="1184"/>
            <x v="1373"/>
            <x v="1383"/>
            <x v="1386"/>
            <x v="1397"/>
            <x v="1462"/>
            <x v="1489"/>
            <x v="1506"/>
            <x v="1570"/>
            <x v="1591"/>
            <x v="1595"/>
            <x v="1635"/>
            <x v="1742"/>
            <x v="1746"/>
            <x v="1763"/>
            <x v="1771"/>
            <x v="1785"/>
            <x v="1789"/>
          </reference>
        </references>
      </pivotArea>
    </format>
    <format dxfId="5192">
      <pivotArea dataOnly="0" labelOnly="1" fieldPosition="0">
        <references count="5">
          <reference field="1" count="1" selected="0">
            <x v="30"/>
          </reference>
          <reference field="2" count="1" selected="0">
            <x v="15"/>
          </reference>
          <reference field="3" count="1" selected="0">
            <x v="15"/>
          </reference>
          <reference field="4" count="1" selected="0">
            <x v="110"/>
          </reference>
          <reference field="5" count="1">
            <x v="1138"/>
          </reference>
        </references>
      </pivotArea>
    </format>
    <format dxfId="5191">
      <pivotArea dataOnly="0" labelOnly="1" fieldPosition="0">
        <references count="5">
          <reference field="1" count="1" selected="0">
            <x v="30"/>
          </reference>
          <reference field="2" count="1" selected="0">
            <x v="17"/>
          </reference>
          <reference field="3" count="1" selected="0">
            <x v="15"/>
          </reference>
          <reference field="4" count="1" selected="0">
            <x v="110"/>
          </reference>
          <reference field="5" count="1">
            <x v="742"/>
          </reference>
        </references>
      </pivotArea>
    </format>
    <format dxfId="5190">
      <pivotArea dataOnly="0" labelOnly="1" fieldPosition="0">
        <references count="5">
          <reference field="1" count="1" selected="0">
            <x v="30"/>
          </reference>
          <reference field="2" count="1" selected="0">
            <x v="21"/>
          </reference>
          <reference field="3" count="1" selected="0">
            <x v="15"/>
          </reference>
          <reference field="4" count="1" selected="0">
            <x v="110"/>
          </reference>
          <reference field="5" count="1">
            <x v="1810"/>
          </reference>
        </references>
      </pivotArea>
    </format>
    <format dxfId="5189">
      <pivotArea dataOnly="0" labelOnly="1" fieldPosition="0">
        <references count="5">
          <reference field="1" count="1" selected="0">
            <x v="30"/>
          </reference>
          <reference field="2" count="1" selected="0">
            <x v="23"/>
          </reference>
          <reference field="3" count="1" selected="0">
            <x v="15"/>
          </reference>
          <reference field="4" count="1" selected="0">
            <x v="110"/>
          </reference>
          <reference field="5" count="1">
            <x v="1650"/>
          </reference>
        </references>
      </pivotArea>
    </format>
    <format dxfId="5188">
      <pivotArea dataOnly="0" labelOnly="1" fieldPosition="0">
        <references count="5">
          <reference field="1" count="1" selected="0">
            <x v="30"/>
          </reference>
          <reference field="2" count="1" selected="0">
            <x v="23"/>
          </reference>
          <reference field="3" count="1" selected="0">
            <x v="37"/>
          </reference>
          <reference field="4" count="1" selected="0">
            <x v="111"/>
          </reference>
          <reference field="5" count="1">
            <x v="1285"/>
          </reference>
        </references>
      </pivotArea>
    </format>
    <format dxfId="5187">
      <pivotArea dataOnly="0" labelOnly="1" fieldPosition="0">
        <references count="5">
          <reference field="1" count="1" selected="0">
            <x v="30"/>
          </reference>
          <reference field="2" count="1" selected="0">
            <x v="24"/>
          </reference>
          <reference field="3" count="1" selected="0">
            <x v="15"/>
          </reference>
          <reference field="4" count="1" selected="0">
            <x v="110"/>
          </reference>
          <reference field="5" count="1">
            <x v="1510"/>
          </reference>
        </references>
      </pivotArea>
    </format>
    <format dxfId="5186">
      <pivotArea dataOnly="0" labelOnly="1" fieldPosition="0">
        <references count="5">
          <reference field="1" count="1" selected="0">
            <x v="30"/>
          </reference>
          <reference field="2" count="1" selected="0">
            <x v="27"/>
          </reference>
          <reference field="3" count="1" selected="0">
            <x v="15"/>
          </reference>
          <reference field="4" count="1" selected="0">
            <x v="110"/>
          </reference>
          <reference field="5" count="1">
            <x v="1469"/>
          </reference>
        </references>
      </pivotArea>
    </format>
    <format dxfId="5185">
      <pivotArea dataOnly="0" labelOnly="1" fieldPosition="0">
        <references count="5">
          <reference field="1" count="1" selected="0">
            <x v="30"/>
          </reference>
          <reference field="2" count="1" selected="0">
            <x v="35"/>
          </reference>
          <reference field="3" count="1" selected="0">
            <x v="15"/>
          </reference>
          <reference field="4" count="1" selected="0">
            <x v="110"/>
          </reference>
          <reference field="5" count="11">
            <x v="253"/>
            <x v="332"/>
            <x v="362"/>
            <x v="377"/>
            <x v="415"/>
            <x v="446"/>
            <x v="554"/>
            <x v="735"/>
            <x v="952"/>
            <x v="1040"/>
            <x v="1154"/>
          </reference>
        </references>
      </pivotArea>
    </format>
    <format dxfId="5184">
      <pivotArea dataOnly="0" labelOnly="1" fieldPosition="0">
        <references count="5">
          <reference field="1" count="1" selected="0">
            <x v="30"/>
          </reference>
          <reference field="2" count="1" selected="0">
            <x v="36"/>
          </reference>
          <reference field="3" count="1" selected="0">
            <x v="6"/>
          </reference>
          <reference field="4" count="1" selected="0">
            <x v="111"/>
          </reference>
          <reference field="5" count="1">
            <x v="279"/>
          </reference>
        </references>
      </pivotArea>
    </format>
    <format dxfId="5183">
      <pivotArea dataOnly="0" labelOnly="1" fieldPosition="0">
        <references count="5">
          <reference field="1" count="1" selected="0">
            <x v="31"/>
          </reference>
          <reference field="2" count="1" selected="0">
            <x v="0"/>
          </reference>
          <reference field="3" count="1" selected="0">
            <x v="12"/>
          </reference>
          <reference field="4" count="1" selected="0">
            <x v="50"/>
          </reference>
          <reference field="5" count="1">
            <x v="248"/>
          </reference>
        </references>
      </pivotArea>
    </format>
    <format dxfId="5182">
      <pivotArea dataOnly="0" labelOnly="1" fieldPosition="0">
        <references count="5">
          <reference field="1" count="1" selected="0">
            <x v="31"/>
          </reference>
          <reference field="2" count="1" selected="0">
            <x v="0"/>
          </reference>
          <reference field="3" count="1" selected="0">
            <x v="12"/>
          </reference>
          <reference field="4" count="1" selected="0">
            <x v="60"/>
          </reference>
          <reference field="5" count="1">
            <x v="32"/>
          </reference>
        </references>
      </pivotArea>
    </format>
    <format dxfId="5181">
      <pivotArea dataOnly="0" labelOnly="1" fieldPosition="0">
        <references count="5">
          <reference field="1" count="1" selected="0">
            <x v="31"/>
          </reference>
          <reference field="2" count="1" selected="0">
            <x v="12"/>
          </reference>
          <reference field="3" count="1" selected="0">
            <x v="1"/>
          </reference>
          <reference field="4" count="1" selected="0">
            <x v="112"/>
          </reference>
          <reference field="5" count="2">
            <x v="80"/>
            <x v="500"/>
          </reference>
        </references>
      </pivotArea>
    </format>
    <format dxfId="5180">
      <pivotArea dataOnly="0" labelOnly="1" fieldPosition="0">
        <references count="5">
          <reference field="1" count="1" selected="0">
            <x v="31"/>
          </reference>
          <reference field="2" count="1" selected="0">
            <x v="15"/>
          </reference>
          <reference field="3" count="1" selected="0">
            <x v="38"/>
          </reference>
          <reference field="4" count="1" selected="0">
            <x v="112"/>
          </reference>
          <reference field="5" count="1">
            <x v="1799"/>
          </reference>
        </references>
      </pivotArea>
    </format>
    <format dxfId="5179">
      <pivotArea dataOnly="0" labelOnly="1" fieldPosition="0">
        <references count="5">
          <reference field="1" count="1" selected="0">
            <x v="31"/>
          </reference>
          <reference field="2" count="1" selected="0">
            <x v="19"/>
          </reference>
          <reference field="3" count="1" selected="0">
            <x v="37"/>
          </reference>
          <reference field="4" count="1" selected="0">
            <x v="112"/>
          </reference>
          <reference field="5" count="1">
            <x v="156"/>
          </reference>
        </references>
      </pivotArea>
    </format>
    <format dxfId="5178">
      <pivotArea dataOnly="0" labelOnly="1" fieldPosition="0">
        <references count="5">
          <reference field="1" count="1" selected="0">
            <x v="31"/>
          </reference>
          <reference field="2" count="1" selected="0">
            <x v="35"/>
          </reference>
          <reference field="3" count="1" selected="0">
            <x v="1"/>
          </reference>
          <reference field="4" count="1" selected="0">
            <x v="112"/>
          </reference>
          <reference field="5" count="1">
            <x v="80"/>
          </reference>
        </references>
      </pivotArea>
    </format>
    <format dxfId="5177">
      <pivotArea dataOnly="0" labelOnly="1" fieldPosition="0">
        <references count="5">
          <reference field="1" count="1" selected="0">
            <x v="32"/>
          </reference>
          <reference field="2" count="1" selected="0">
            <x v="0"/>
          </reference>
          <reference field="3" count="1" selected="0">
            <x v="12"/>
          </reference>
          <reference field="4" count="1" selected="0">
            <x v="47"/>
          </reference>
          <reference field="5" count="1">
            <x v="314"/>
          </reference>
        </references>
      </pivotArea>
    </format>
    <format dxfId="5176">
      <pivotArea dataOnly="0" labelOnly="1" fieldPosition="0">
        <references count="5">
          <reference field="1" count="1" selected="0">
            <x v="32"/>
          </reference>
          <reference field="2" count="1" selected="0">
            <x v="0"/>
          </reference>
          <reference field="3" count="1" selected="0">
            <x v="12"/>
          </reference>
          <reference field="4" count="1" selected="0">
            <x v="70"/>
          </reference>
          <reference field="5" count="1">
            <x v="18"/>
          </reference>
        </references>
      </pivotArea>
    </format>
    <format dxfId="5175">
      <pivotArea dataOnly="0" labelOnly="1" fieldPosition="0">
        <references count="5">
          <reference field="1" count="1" selected="0">
            <x v="32"/>
          </reference>
          <reference field="2" count="1" selected="0">
            <x v="5"/>
          </reference>
          <reference field="3" count="1" selected="0">
            <x v="37"/>
          </reference>
          <reference field="4" count="1" selected="0">
            <x v="113"/>
          </reference>
          <reference field="5" count="1">
            <x v="1043"/>
          </reference>
        </references>
      </pivotArea>
    </format>
    <format dxfId="5174">
      <pivotArea dataOnly="0" labelOnly="1" fieldPosition="0">
        <references count="5">
          <reference field="1" count="1" selected="0">
            <x v="32"/>
          </reference>
          <reference field="2" count="1" selected="0">
            <x v="24"/>
          </reference>
          <reference field="3" count="1" selected="0">
            <x v="37"/>
          </reference>
          <reference field="4" count="1" selected="0">
            <x v="113"/>
          </reference>
          <reference field="5" count="1">
            <x v="352"/>
          </reference>
        </references>
      </pivotArea>
    </format>
    <format dxfId="5173">
      <pivotArea dataOnly="0" labelOnly="1" fieldPosition="0">
        <references count="5">
          <reference field="1" count="1" selected="0">
            <x v="33"/>
          </reference>
          <reference field="2" count="1" selected="0">
            <x v="0"/>
          </reference>
          <reference field="3" count="1" selected="0">
            <x v="1"/>
          </reference>
          <reference field="4" count="1" selected="0">
            <x v="114"/>
          </reference>
          <reference field="5" count="1">
            <x v="213"/>
          </reference>
        </references>
      </pivotArea>
    </format>
    <format dxfId="5172">
      <pivotArea dataOnly="0" labelOnly="1" fieldPosition="0">
        <references count="5">
          <reference field="1" count="1" selected="0">
            <x v="33"/>
          </reference>
          <reference field="2" count="1" selected="0">
            <x v="0"/>
          </reference>
          <reference field="3" count="1" selected="0">
            <x v="6"/>
          </reference>
          <reference field="4" count="1" selected="0">
            <x v="114"/>
          </reference>
          <reference field="5" count="1">
            <x v="248"/>
          </reference>
        </references>
      </pivotArea>
    </format>
    <format dxfId="5171">
      <pivotArea dataOnly="0" labelOnly="1" fieldPosition="0">
        <references count="5">
          <reference field="1" count="1" selected="0">
            <x v="33"/>
          </reference>
          <reference field="2" count="1" selected="0">
            <x v="0"/>
          </reference>
          <reference field="3" count="1" selected="0">
            <x v="8"/>
          </reference>
          <reference field="4" count="1" selected="0">
            <x v="114"/>
          </reference>
          <reference field="5" count="1">
            <x v="996"/>
          </reference>
        </references>
      </pivotArea>
    </format>
    <format dxfId="5170">
      <pivotArea dataOnly="0" labelOnly="1" fieldPosition="0">
        <references count="5">
          <reference field="1" count="1" selected="0">
            <x v="33"/>
          </reference>
          <reference field="2" count="1" selected="0">
            <x v="0"/>
          </reference>
          <reference field="3" count="1" selected="0">
            <x v="9"/>
          </reference>
          <reference field="4" count="1" selected="0">
            <x v="114"/>
          </reference>
          <reference field="5" count="7">
            <x v="337"/>
            <x v="338"/>
            <x v="649"/>
            <x v="865"/>
            <x v="980"/>
            <x v="1116"/>
            <x v="1434"/>
          </reference>
        </references>
      </pivotArea>
    </format>
    <format dxfId="5169">
      <pivotArea dataOnly="0" labelOnly="1" fieldPosition="0">
        <references count="5">
          <reference field="1" count="1" selected="0">
            <x v="33"/>
          </reference>
          <reference field="2" count="1" selected="0">
            <x v="0"/>
          </reference>
          <reference field="3" count="1" selected="0">
            <x v="12"/>
          </reference>
          <reference field="4" count="1" selected="0">
            <x v="5"/>
          </reference>
          <reference field="5" count="1">
            <x v="69"/>
          </reference>
        </references>
      </pivotArea>
    </format>
    <format dxfId="5168">
      <pivotArea dataOnly="0" labelOnly="1" fieldPosition="0">
        <references count="5">
          <reference field="1" count="1" selected="0">
            <x v="33"/>
          </reference>
          <reference field="2" count="1" selected="0">
            <x v="0"/>
          </reference>
          <reference field="3" count="1" selected="0">
            <x v="12"/>
          </reference>
          <reference field="4" count="1" selected="0">
            <x v="18"/>
          </reference>
          <reference field="5" count="1">
            <x v="11"/>
          </reference>
        </references>
      </pivotArea>
    </format>
    <format dxfId="5167">
      <pivotArea dataOnly="0" labelOnly="1" fieldPosition="0">
        <references count="5">
          <reference field="1" count="1" selected="0">
            <x v="33"/>
          </reference>
          <reference field="2" count="1" selected="0">
            <x v="0"/>
          </reference>
          <reference field="3" count="1" selected="0">
            <x v="12"/>
          </reference>
          <reference field="4" count="1" selected="0">
            <x v="32"/>
          </reference>
          <reference field="5" count="1">
            <x v="90"/>
          </reference>
        </references>
      </pivotArea>
    </format>
    <format dxfId="5166">
      <pivotArea dataOnly="0" labelOnly="1" fieldPosition="0">
        <references count="5">
          <reference field="1" count="1" selected="0">
            <x v="33"/>
          </reference>
          <reference field="2" count="1" selected="0">
            <x v="0"/>
          </reference>
          <reference field="3" count="1" selected="0">
            <x v="12"/>
          </reference>
          <reference field="4" count="1" selected="0">
            <x v="47"/>
          </reference>
          <reference field="5" count="1">
            <x v="314"/>
          </reference>
        </references>
      </pivotArea>
    </format>
    <format dxfId="5165">
      <pivotArea dataOnly="0" labelOnly="1" fieldPosition="0">
        <references count="5">
          <reference field="1" count="1" selected="0">
            <x v="33"/>
          </reference>
          <reference field="2" count="1" selected="0">
            <x v="0"/>
          </reference>
          <reference field="3" count="1" selected="0">
            <x v="12"/>
          </reference>
          <reference field="4" count="1" selected="0">
            <x v="64"/>
          </reference>
          <reference field="5" count="1">
            <x v="9"/>
          </reference>
        </references>
      </pivotArea>
    </format>
    <format dxfId="5164">
      <pivotArea dataOnly="0" labelOnly="1" fieldPosition="0">
        <references count="5">
          <reference field="1" count="1" selected="0">
            <x v="33"/>
          </reference>
          <reference field="2" count="1" selected="0">
            <x v="0"/>
          </reference>
          <reference field="3" count="1" selected="0">
            <x v="12"/>
          </reference>
          <reference field="4" count="1" selected="0">
            <x v="67"/>
          </reference>
          <reference field="5" count="1">
            <x v="92"/>
          </reference>
        </references>
      </pivotArea>
    </format>
    <format dxfId="5163">
      <pivotArea dataOnly="0" labelOnly="1" fieldPosition="0">
        <references count="5">
          <reference field="1" count="1" selected="0">
            <x v="33"/>
          </reference>
          <reference field="2" count="1" selected="0">
            <x v="0"/>
          </reference>
          <reference field="3" count="1" selected="0">
            <x v="37"/>
          </reference>
          <reference field="4" count="1" selected="0">
            <x v="114"/>
          </reference>
          <reference field="5" count="1">
            <x v="138"/>
          </reference>
        </references>
      </pivotArea>
    </format>
    <format dxfId="5162">
      <pivotArea dataOnly="0" labelOnly="1" fieldPosition="0">
        <references count="5">
          <reference field="1" count="1" selected="0">
            <x v="33"/>
          </reference>
          <reference field="2" count="1" selected="0">
            <x v="3"/>
          </reference>
          <reference field="3" count="1" selected="0">
            <x v="37"/>
          </reference>
          <reference field="4" count="1" selected="0">
            <x v="114"/>
          </reference>
          <reference field="5" count="1">
            <x v="278"/>
          </reference>
        </references>
      </pivotArea>
    </format>
    <format dxfId="5161">
      <pivotArea dataOnly="0" labelOnly="1" fieldPosition="0">
        <references count="5">
          <reference field="1" count="1" selected="0">
            <x v="33"/>
          </reference>
          <reference field="2" count="1" selected="0">
            <x v="5"/>
          </reference>
          <reference field="3" count="1" selected="0">
            <x v="8"/>
          </reference>
          <reference field="4" count="1" selected="0">
            <x v="114"/>
          </reference>
          <reference field="5" count="1">
            <x v="1295"/>
          </reference>
        </references>
      </pivotArea>
    </format>
    <format dxfId="5160">
      <pivotArea dataOnly="0" labelOnly="1" fieldPosition="0">
        <references count="5">
          <reference field="1" count="1" selected="0">
            <x v="33"/>
          </reference>
          <reference field="2" count="1" selected="0">
            <x v="7"/>
          </reference>
          <reference field="3" count="1" selected="0">
            <x v="8"/>
          </reference>
          <reference field="4" count="1" selected="0">
            <x v="114"/>
          </reference>
          <reference field="5" count="1">
            <x v="1258"/>
          </reference>
        </references>
      </pivotArea>
    </format>
    <format dxfId="5159">
      <pivotArea dataOnly="0" labelOnly="1" fieldPosition="0">
        <references count="5">
          <reference field="1" count="1" selected="0">
            <x v="33"/>
          </reference>
          <reference field="2" count="1" selected="0">
            <x v="7"/>
          </reference>
          <reference field="3" count="1" selected="0">
            <x v="10"/>
          </reference>
          <reference field="4" count="1" selected="0">
            <x v="114"/>
          </reference>
          <reference field="5" count="1">
            <x v="214"/>
          </reference>
        </references>
      </pivotArea>
    </format>
    <format dxfId="5158">
      <pivotArea dataOnly="0" labelOnly="1" fieldPosition="0">
        <references count="5">
          <reference field="1" count="1" selected="0">
            <x v="33"/>
          </reference>
          <reference field="2" count="1" selected="0">
            <x v="12"/>
          </reference>
          <reference field="3" count="1" selected="0">
            <x v="1"/>
          </reference>
          <reference field="4" count="1" selected="0">
            <x v="114"/>
          </reference>
          <reference field="5" count="5">
            <x v="80"/>
            <x v="352"/>
            <x v="500"/>
            <x v="607"/>
            <x v="702"/>
          </reference>
        </references>
      </pivotArea>
    </format>
    <format dxfId="5157">
      <pivotArea dataOnly="0" labelOnly="1" fieldPosition="0">
        <references count="5">
          <reference field="1" count="1" selected="0">
            <x v="33"/>
          </reference>
          <reference field="2" count="1" selected="0">
            <x v="14"/>
          </reference>
          <reference field="3" count="1" selected="0">
            <x v="1"/>
          </reference>
          <reference field="4" count="1" selected="0">
            <x v="114"/>
          </reference>
          <reference field="5" count="1">
            <x v="1497"/>
          </reference>
        </references>
      </pivotArea>
    </format>
    <format dxfId="5156">
      <pivotArea dataOnly="0" labelOnly="1" fieldPosition="0">
        <references count="5">
          <reference field="1" count="1" selected="0">
            <x v="33"/>
          </reference>
          <reference field="2" count="1" selected="0">
            <x v="19"/>
          </reference>
          <reference field="3" count="1" selected="0">
            <x v="37"/>
          </reference>
          <reference field="4" count="1" selected="0">
            <x v="114"/>
          </reference>
          <reference field="5" count="1">
            <x v="1199"/>
          </reference>
        </references>
      </pivotArea>
    </format>
    <format dxfId="5155">
      <pivotArea dataOnly="0" labelOnly="1" fieldPosition="0">
        <references count="5">
          <reference field="1" count="1" selected="0">
            <x v="33"/>
          </reference>
          <reference field="2" count="1" selected="0">
            <x v="21"/>
          </reference>
          <reference field="3" count="1" selected="0">
            <x v="33"/>
          </reference>
          <reference field="4" count="1" selected="0">
            <x v="114"/>
          </reference>
          <reference field="5" count="1">
            <x v="1093"/>
          </reference>
        </references>
      </pivotArea>
    </format>
    <format dxfId="5154">
      <pivotArea dataOnly="0" labelOnly="1" fieldPosition="0">
        <references count="5">
          <reference field="1" count="1" selected="0">
            <x v="33"/>
          </reference>
          <reference field="2" count="1" selected="0">
            <x v="35"/>
          </reference>
          <reference field="3" count="1" selected="0">
            <x v="1"/>
          </reference>
          <reference field="4" count="1" selected="0">
            <x v="114"/>
          </reference>
          <reference field="5" count="1">
            <x v="80"/>
          </reference>
        </references>
      </pivotArea>
    </format>
    <format dxfId="5153">
      <pivotArea dataOnly="0" labelOnly="1" fieldPosition="0">
        <references count="5">
          <reference field="1" count="1" selected="0">
            <x v="34"/>
          </reference>
          <reference field="2" count="1" selected="0">
            <x v="0"/>
          </reference>
          <reference field="3" count="1" selected="0">
            <x v="12"/>
          </reference>
          <reference field="4" count="1" selected="0">
            <x v="2"/>
          </reference>
          <reference field="5" count="1">
            <x v="134"/>
          </reference>
        </references>
      </pivotArea>
    </format>
    <format dxfId="5152">
      <pivotArea dataOnly="0" labelOnly="1" fieldPosition="0">
        <references count="5">
          <reference field="1" count="1" selected="0">
            <x v="34"/>
          </reference>
          <reference field="2" count="1" selected="0">
            <x v="0"/>
          </reference>
          <reference field="3" count="1" selected="0">
            <x v="12"/>
          </reference>
          <reference field="4" count="1" selected="0">
            <x v="19"/>
          </reference>
          <reference field="5" count="1">
            <x v="73"/>
          </reference>
        </references>
      </pivotArea>
    </format>
    <format dxfId="5151">
      <pivotArea dataOnly="0" labelOnly="1" fieldPosition="0">
        <references count="5">
          <reference field="1" count="1" selected="0">
            <x v="34"/>
          </reference>
          <reference field="2" count="1" selected="0">
            <x v="0"/>
          </reference>
          <reference field="3" count="1" selected="0">
            <x v="12"/>
          </reference>
          <reference field="4" count="1" selected="0">
            <x v="27"/>
          </reference>
          <reference field="5" count="1">
            <x v="92"/>
          </reference>
        </references>
      </pivotArea>
    </format>
    <format dxfId="5150">
      <pivotArea dataOnly="0" labelOnly="1" fieldPosition="0">
        <references count="5">
          <reference field="1" count="1" selected="0">
            <x v="34"/>
          </reference>
          <reference field="2" count="1" selected="0">
            <x v="0"/>
          </reference>
          <reference field="3" count="1" selected="0">
            <x v="12"/>
          </reference>
          <reference field="4" count="1" selected="0">
            <x v="42"/>
          </reference>
          <reference field="5" count="1">
            <x v="69"/>
          </reference>
        </references>
      </pivotArea>
    </format>
    <format dxfId="5149">
      <pivotArea dataOnly="0" labelOnly="1" fieldPosition="0">
        <references count="5">
          <reference field="1" count="1" selected="0">
            <x v="34"/>
          </reference>
          <reference field="2" count="1" selected="0">
            <x v="0"/>
          </reference>
          <reference field="3" count="1" selected="0">
            <x v="12"/>
          </reference>
          <reference field="4" count="1" selected="0">
            <x v="62"/>
          </reference>
          <reference field="5" count="1">
            <x v="52"/>
          </reference>
        </references>
      </pivotArea>
    </format>
    <format dxfId="5148">
      <pivotArea dataOnly="0" labelOnly="1" fieldPosition="0">
        <references count="5">
          <reference field="1" count="1" selected="0">
            <x v="34"/>
          </reference>
          <reference field="2" count="1" selected="0">
            <x v="12"/>
          </reference>
          <reference field="3" count="1" selected="0">
            <x v="1"/>
          </reference>
          <reference field="4" count="1" selected="0">
            <x v="115"/>
          </reference>
          <reference field="5" count="1">
            <x v="80"/>
          </reference>
        </references>
      </pivotArea>
    </format>
    <format dxfId="5147">
      <pivotArea dataOnly="0" labelOnly="1" fieldPosition="0">
        <references count="5">
          <reference field="1" count="1" selected="0">
            <x v="34"/>
          </reference>
          <reference field="2" count="1" selected="0">
            <x v="26"/>
          </reference>
          <reference field="3" count="1" selected="0">
            <x v="37"/>
          </reference>
          <reference field="4" count="1" selected="0">
            <x v="115"/>
          </reference>
          <reference field="5" count="1">
            <x v="109"/>
          </reference>
        </references>
      </pivotArea>
    </format>
    <format dxfId="5146">
      <pivotArea dataOnly="0" labelOnly="1" fieldPosition="0">
        <references count="5">
          <reference field="1" count="1" selected="0">
            <x v="34"/>
          </reference>
          <reference field="2" count="1" selected="0">
            <x v="27"/>
          </reference>
          <reference field="3" count="1" selected="0">
            <x v="37"/>
          </reference>
          <reference field="4" count="1" selected="0">
            <x v="115"/>
          </reference>
          <reference field="5" count="1">
            <x v="39"/>
          </reference>
        </references>
      </pivotArea>
    </format>
    <format dxfId="5145">
      <pivotArea dataOnly="0" labelOnly="1" fieldPosition="0">
        <references count="5">
          <reference field="1" count="1" selected="0">
            <x v="35"/>
          </reference>
          <reference field="2" count="1" selected="0">
            <x v="0"/>
          </reference>
          <reference field="3" count="1" selected="0">
            <x v="1"/>
          </reference>
          <reference field="4" count="1" selected="0">
            <x v="116"/>
          </reference>
          <reference field="5" count="1">
            <x v="352"/>
          </reference>
        </references>
      </pivotArea>
    </format>
    <format dxfId="5144">
      <pivotArea dataOnly="0" labelOnly="1" fieldPosition="0">
        <references count="5">
          <reference field="1" count="1" selected="0">
            <x v="35"/>
          </reference>
          <reference field="2" count="1" selected="0">
            <x v="0"/>
          </reference>
          <reference field="3" count="1" selected="0">
            <x v="8"/>
          </reference>
          <reference field="4" count="1" selected="0">
            <x v="116"/>
          </reference>
          <reference field="5" count="2">
            <x v="376"/>
            <x v="773"/>
          </reference>
        </references>
      </pivotArea>
    </format>
    <format dxfId="5143">
      <pivotArea dataOnly="0" labelOnly="1" fieldPosition="0">
        <references count="5">
          <reference field="1" count="1" selected="0">
            <x v="35"/>
          </reference>
          <reference field="2" count="1" selected="0">
            <x v="0"/>
          </reference>
          <reference field="3" count="1" selected="0">
            <x v="9"/>
          </reference>
          <reference field="4" count="1" selected="0">
            <x v="116"/>
          </reference>
          <reference field="5" count="4">
            <x v="345"/>
            <x v="589"/>
            <x v="681"/>
            <x v="1253"/>
          </reference>
        </references>
      </pivotArea>
    </format>
    <format dxfId="5142">
      <pivotArea dataOnly="0" labelOnly="1" fieldPosition="0">
        <references count="5">
          <reference field="1" count="1" selected="0">
            <x v="35"/>
          </reference>
          <reference field="2" count="1" selected="0">
            <x v="0"/>
          </reference>
          <reference field="3" count="1" selected="0">
            <x v="12"/>
          </reference>
          <reference field="4" count="1" selected="0">
            <x v="21"/>
          </reference>
          <reference field="5" count="1">
            <x v="69"/>
          </reference>
        </references>
      </pivotArea>
    </format>
    <format dxfId="5141">
      <pivotArea dataOnly="0" labelOnly="1" fieldPosition="0">
        <references count="5">
          <reference field="1" count="1" selected="0">
            <x v="35"/>
          </reference>
          <reference field="2" count="1" selected="0">
            <x v="0"/>
          </reference>
          <reference field="3" count="1" selected="0">
            <x v="12"/>
          </reference>
          <reference field="4" count="1" selected="0">
            <x v="62"/>
          </reference>
          <reference field="5" count="1">
            <x v="85"/>
          </reference>
        </references>
      </pivotArea>
    </format>
    <format dxfId="5140">
      <pivotArea dataOnly="0" labelOnly="1" fieldPosition="0">
        <references count="5">
          <reference field="1" count="1" selected="0">
            <x v="35"/>
          </reference>
          <reference field="2" count="1" selected="0">
            <x v="0"/>
          </reference>
          <reference field="3" count="1" selected="0">
            <x v="12"/>
          </reference>
          <reference field="4" count="1" selected="0">
            <x v="64"/>
          </reference>
          <reference field="5" count="1">
            <x v="69"/>
          </reference>
        </references>
      </pivotArea>
    </format>
    <format dxfId="5139">
      <pivotArea dataOnly="0" labelOnly="1" fieldPosition="0">
        <references count="5">
          <reference field="1" count="1" selected="0">
            <x v="35"/>
          </reference>
          <reference field="2" count="1" selected="0">
            <x v="2"/>
          </reference>
          <reference field="3" count="1" selected="0">
            <x v="10"/>
          </reference>
          <reference field="4" count="1" selected="0">
            <x v="116"/>
          </reference>
          <reference field="5" count="1">
            <x v="1669"/>
          </reference>
        </references>
      </pivotArea>
    </format>
    <format dxfId="5138">
      <pivotArea dataOnly="0" labelOnly="1" fieldPosition="0">
        <references count="5">
          <reference field="1" count="1" selected="0">
            <x v="35"/>
          </reference>
          <reference field="2" count="1" selected="0">
            <x v="3"/>
          </reference>
          <reference field="3" count="1" selected="0">
            <x v="10"/>
          </reference>
          <reference field="4" count="1" selected="0">
            <x v="116"/>
          </reference>
          <reference field="5" count="1">
            <x v="1365"/>
          </reference>
        </references>
      </pivotArea>
    </format>
    <format dxfId="5137">
      <pivotArea dataOnly="0" labelOnly="1" fieldPosition="0">
        <references count="5">
          <reference field="1" count="1" selected="0">
            <x v="35"/>
          </reference>
          <reference field="2" count="1" selected="0">
            <x v="7"/>
          </reference>
          <reference field="3" count="1" selected="0">
            <x v="8"/>
          </reference>
          <reference field="4" count="1" selected="0">
            <x v="116"/>
          </reference>
          <reference field="5" count="1">
            <x v="216"/>
          </reference>
        </references>
      </pivotArea>
    </format>
    <format dxfId="5136">
      <pivotArea dataOnly="0" labelOnly="1" fieldPosition="0">
        <references count="5">
          <reference field="1" count="1" selected="0">
            <x v="35"/>
          </reference>
          <reference field="2" count="1" selected="0">
            <x v="7"/>
          </reference>
          <reference field="3" count="1" selected="0">
            <x v="10"/>
          </reference>
          <reference field="4" count="1" selected="0">
            <x v="116"/>
          </reference>
          <reference field="5" count="1">
            <x v="692"/>
          </reference>
        </references>
      </pivotArea>
    </format>
    <format dxfId="5135">
      <pivotArea dataOnly="0" labelOnly="1" fieldPosition="0">
        <references count="5">
          <reference field="1" count="1" selected="0">
            <x v="35"/>
          </reference>
          <reference field="2" count="1" selected="0">
            <x v="9"/>
          </reference>
          <reference field="3" count="1" selected="0">
            <x v="10"/>
          </reference>
          <reference field="4" count="1" selected="0">
            <x v="116"/>
          </reference>
          <reference field="5" count="1">
            <x v="329"/>
          </reference>
        </references>
      </pivotArea>
    </format>
    <format dxfId="5134">
      <pivotArea dataOnly="0" labelOnly="1" fieldPosition="0">
        <references count="5">
          <reference field="1" count="1" selected="0">
            <x v="35"/>
          </reference>
          <reference field="2" count="1" selected="0">
            <x v="11"/>
          </reference>
          <reference field="3" count="1" selected="0">
            <x v="10"/>
          </reference>
          <reference field="4" count="1" selected="0">
            <x v="116"/>
          </reference>
          <reference field="5" count="1">
            <x v="819"/>
          </reference>
        </references>
      </pivotArea>
    </format>
    <format dxfId="5133">
      <pivotArea dataOnly="0" labelOnly="1" fieldPosition="0">
        <references count="5">
          <reference field="1" count="1" selected="0">
            <x v="35"/>
          </reference>
          <reference field="2" count="1" selected="0">
            <x v="12"/>
          </reference>
          <reference field="3" count="1" selected="0">
            <x v="1"/>
          </reference>
          <reference field="4" count="1" selected="0">
            <x v="116"/>
          </reference>
          <reference field="5" count="2">
            <x v="213"/>
            <x v="500"/>
          </reference>
        </references>
      </pivotArea>
    </format>
    <format dxfId="5132">
      <pivotArea dataOnly="0" labelOnly="1" fieldPosition="0">
        <references count="5">
          <reference field="1" count="1" selected="0">
            <x v="35"/>
          </reference>
          <reference field="2" count="1" selected="0">
            <x v="21"/>
          </reference>
          <reference field="3" count="1" selected="0">
            <x v="37"/>
          </reference>
          <reference field="4" count="1" selected="0">
            <x v="116"/>
          </reference>
          <reference field="5" count="1">
            <x v="1050"/>
          </reference>
        </references>
      </pivotArea>
    </format>
    <format dxfId="5131">
      <pivotArea dataOnly="0" labelOnly="1" fieldPosition="0">
        <references count="5">
          <reference field="1" count="1" selected="0">
            <x v="35"/>
          </reference>
          <reference field="2" count="1" selected="0">
            <x v="23"/>
          </reference>
          <reference field="3" count="1" selected="0">
            <x v="37"/>
          </reference>
          <reference field="4" count="1" selected="0">
            <x v="116"/>
          </reference>
          <reference field="5" count="1">
            <x v="288"/>
          </reference>
        </references>
      </pivotArea>
    </format>
    <format dxfId="5130">
      <pivotArea dataOnly="0" labelOnly="1" fieldPosition="0">
        <references count="5">
          <reference field="1" count="1" selected="0">
            <x v="35"/>
          </reference>
          <reference field="2" count="1" selected="0">
            <x v="26"/>
          </reference>
          <reference field="3" count="1" selected="0">
            <x v="37"/>
          </reference>
          <reference field="4" count="1" selected="0">
            <x v="116"/>
          </reference>
          <reference field="5" count="1">
            <x v="920"/>
          </reference>
        </references>
      </pivotArea>
    </format>
    <format dxfId="5129">
      <pivotArea dataOnly="0" labelOnly="1" fieldPosition="0">
        <references count="5">
          <reference field="1" count="1" selected="0">
            <x v="35"/>
          </reference>
          <reference field="2" count="1" selected="0">
            <x v="27"/>
          </reference>
          <reference field="3" count="1" selected="0">
            <x v="37"/>
          </reference>
          <reference field="4" count="1" selected="0">
            <x v="116"/>
          </reference>
          <reference field="5" count="1">
            <x v="39"/>
          </reference>
        </references>
      </pivotArea>
    </format>
    <format dxfId="5128">
      <pivotArea dataOnly="0" labelOnly="1" fieldPosition="0">
        <references count="5">
          <reference field="1" count="1" selected="0">
            <x v="35"/>
          </reference>
          <reference field="2" count="1" selected="0">
            <x v="35"/>
          </reference>
          <reference field="3" count="1" selected="0">
            <x v="1"/>
          </reference>
          <reference field="4" count="1" selected="0">
            <x v="116"/>
          </reference>
          <reference field="5" count="1">
            <x v="80"/>
          </reference>
        </references>
      </pivotArea>
    </format>
    <format dxfId="5127">
      <pivotArea dataOnly="0" labelOnly="1" fieldPosition="0">
        <references count="5">
          <reference field="1" count="1" selected="0">
            <x v="35"/>
          </reference>
          <reference field="2" count="1" selected="0">
            <x v="36"/>
          </reference>
          <reference field="3" count="1" selected="0">
            <x v="8"/>
          </reference>
          <reference field="4" count="1" selected="0">
            <x v="116"/>
          </reference>
          <reference field="5" count="1">
            <x v="832"/>
          </reference>
        </references>
      </pivotArea>
    </format>
    <format dxfId="5126">
      <pivotArea dataOnly="0" labelOnly="1" fieldPosition="0">
        <references count="5">
          <reference field="1" count="1" selected="0">
            <x v="35"/>
          </reference>
          <reference field="2" count="1" selected="0">
            <x v="36"/>
          </reference>
          <reference field="3" count="1" selected="0">
            <x v="10"/>
          </reference>
          <reference field="4" count="1" selected="0">
            <x v="116"/>
          </reference>
          <reference field="5" count="1">
            <x v="1616"/>
          </reference>
        </references>
      </pivotArea>
    </format>
    <format dxfId="5125">
      <pivotArea dataOnly="0" labelOnly="1" fieldPosition="0">
        <references count="5">
          <reference field="1" count="1" selected="0">
            <x v="35"/>
          </reference>
          <reference field="2" count="1" selected="0">
            <x v="37"/>
          </reference>
          <reference field="3" count="1" selected="0">
            <x v="10"/>
          </reference>
          <reference field="4" count="1" selected="0">
            <x v="116"/>
          </reference>
          <reference field="5" count="1">
            <x v="1712"/>
          </reference>
        </references>
      </pivotArea>
    </format>
    <format dxfId="5124">
      <pivotArea dataOnly="0" labelOnly="1" fieldPosition="0">
        <references count="5">
          <reference field="1" count="1" selected="0">
            <x v="35"/>
          </reference>
          <reference field="2" count="1" selected="0">
            <x v="38"/>
          </reference>
          <reference field="3" count="1" selected="0">
            <x v="10"/>
          </reference>
          <reference field="4" count="1" selected="0">
            <x v="116"/>
          </reference>
          <reference field="5" count="1">
            <x v="1152"/>
          </reference>
        </references>
      </pivotArea>
    </format>
    <format dxfId="5123">
      <pivotArea dataOnly="0" labelOnly="1" fieldPosition="0">
        <references count="5">
          <reference field="1" count="1" selected="0">
            <x v="36"/>
          </reference>
          <reference field="2" count="1" selected="0">
            <x v="0"/>
          </reference>
          <reference field="3" count="1" selected="0">
            <x v="12"/>
          </reference>
          <reference field="4" count="1" selected="0">
            <x v="20"/>
          </reference>
          <reference field="5" count="1">
            <x v="119"/>
          </reference>
        </references>
      </pivotArea>
    </format>
    <format dxfId="5122">
      <pivotArea dataOnly="0" labelOnly="1" fieldPosition="0">
        <references count="5">
          <reference field="1" count="1" selected="0">
            <x v="36"/>
          </reference>
          <reference field="2" count="1" selected="0">
            <x v="0"/>
          </reference>
          <reference field="3" count="1" selected="0">
            <x v="12"/>
          </reference>
          <reference field="4" count="1" selected="0">
            <x v="70"/>
          </reference>
          <reference field="5" count="1">
            <x v="9"/>
          </reference>
        </references>
      </pivotArea>
    </format>
    <format dxfId="5121">
      <pivotArea dataOnly="0" labelOnly="1" fieldPosition="0">
        <references count="5">
          <reference field="1" count="1" selected="0">
            <x v="36"/>
          </reference>
          <reference field="2" count="1" selected="0">
            <x v="6"/>
          </reference>
          <reference field="3" count="1" selected="0">
            <x v="37"/>
          </reference>
          <reference field="4" count="1" selected="0">
            <x v="117"/>
          </reference>
          <reference field="5" count="1">
            <x v="517"/>
          </reference>
        </references>
      </pivotArea>
    </format>
    <format dxfId="5120">
      <pivotArea dataOnly="0" labelOnly="1" fieldPosition="0">
        <references count="5">
          <reference field="1" count="1" selected="0">
            <x v="36"/>
          </reference>
          <reference field="2" count="1" selected="0">
            <x v="32"/>
          </reference>
          <reference field="3" count="1" selected="0">
            <x v="6"/>
          </reference>
          <reference field="4" count="1" selected="0">
            <x v="117"/>
          </reference>
          <reference field="5" count="1">
            <x v="1793"/>
          </reference>
        </references>
      </pivotArea>
    </format>
    <format dxfId="5119">
      <pivotArea dataOnly="0" labelOnly="1" fieldPosition="0">
        <references count="5">
          <reference field="1" count="1" selected="0">
            <x v="37"/>
          </reference>
          <reference field="2" count="1" selected="0">
            <x v="0"/>
          </reference>
          <reference field="3" count="1" selected="0">
            <x v="8"/>
          </reference>
          <reference field="4" count="1" selected="0">
            <x v="118"/>
          </reference>
          <reference field="5" count="1">
            <x v="964"/>
          </reference>
        </references>
      </pivotArea>
    </format>
    <format dxfId="5118">
      <pivotArea dataOnly="0" labelOnly="1" fieldPosition="0">
        <references count="5">
          <reference field="1" count="1" selected="0">
            <x v="37"/>
          </reference>
          <reference field="2" count="1" selected="0">
            <x v="0"/>
          </reference>
          <reference field="3" count="1" selected="0">
            <x v="12"/>
          </reference>
          <reference field="4" count="1" selected="0">
            <x v="13"/>
          </reference>
          <reference field="5" count="1">
            <x v="140"/>
          </reference>
        </references>
      </pivotArea>
    </format>
    <format dxfId="5117">
      <pivotArea dataOnly="0" labelOnly="1" fieldPosition="0">
        <references count="5">
          <reference field="1" count="1" selected="0">
            <x v="37"/>
          </reference>
          <reference field="2" count="1" selected="0">
            <x v="0"/>
          </reference>
          <reference field="3" count="1" selected="0">
            <x v="12"/>
          </reference>
          <reference field="4" count="1" selected="0">
            <x v="17"/>
          </reference>
          <reference field="5" count="1">
            <x v="96"/>
          </reference>
        </references>
      </pivotArea>
    </format>
    <format dxfId="5116">
      <pivotArea dataOnly="0" labelOnly="1" fieldPosition="0">
        <references count="5">
          <reference field="1" count="1" selected="0">
            <x v="37"/>
          </reference>
          <reference field="2" count="1" selected="0">
            <x v="0"/>
          </reference>
          <reference field="3" count="1" selected="0">
            <x v="12"/>
          </reference>
          <reference field="4" count="1" selected="0">
            <x v="28"/>
          </reference>
          <reference field="5" count="1">
            <x v="73"/>
          </reference>
        </references>
      </pivotArea>
    </format>
    <format dxfId="5115">
      <pivotArea dataOnly="0" labelOnly="1" fieldPosition="0">
        <references count="5">
          <reference field="1" count="1" selected="0">
            <x v="37"/>
          </reference>
          <reference field="2" count="1" selected="0">
            <x v="0"/>
          </reference>
          <reference field="3" count="1" selected="0">
            <x v="12"/>
          </reference>
          <reference field="4" count="1" selected="0">
            <x v="32"/>
          </reference>
          <reference field="5" count="1">
            <x v="391"/>
          </reference>
        </references>
      </pivotArea>
    </format>
    <format dxfId="5114">
      <pivotArea dataOnly="0" labelOnly="1" fieldPosition="0">
        <references count="5">
          <reference field="1" count="1" selected="0">
            <x v="37"/>
          </reference>
          <reference field="2" count="1" selected="0">
            <x v="0"/>
          </reference>
          <reference field="3" count="1" selected="0">
            <x v="12"/>
          </reference>
          <reference field="4" count="1" selected="0">
            <x v="69"/>
          </reference>
          <reference field="5" count="1">
            <x v="248"/>
          </reference>
        </references>
      </pivotArea>
    </format>
    <format dxfId="5113">
      <pivotArea dataOnly="0" labelOnly="1" fieldPosition="0">
        <references count="5">
          <reference field="1" count="1" selected="0">
            <x v="37"/>
          </reference>
          <reference field="2" count="1" selected="0">
            <x v="0"/>
          </reference>
          <reference field="3" count="1" selected="0">
            <x v="12"/>
          </reference>
          <reference field="4" count="1" selected="0">
            <x v="70"/>
          </reference>
          <reference field="5" count="1">
            <x v="92"/>
          </reference>
        </references>
      </pivotArea>
    </format>
    <format dxfId="5112">
      <pivotArea dataOnly="0" labelOnly="1" fieldPosition="0">
        <references count="5">
          <reference field="1" count="1" selected="0">
            <x v="37"/>
          </reference>
          <reference field="2" count="1" selected="0">
            <x v="0"/>
          </reference>
          <reference field="3" count="1" selected="0">
            <x v="37"/>
          </reference>
          <reference field="4" count="1" selected="0">
            <x v="118"/>
          </reference>
          <reference field="5" count="3">
            <x v="138"/>
            <x v="453"/>
            <x v="1232"/>
          </reference>
        </references>
      </pivotArea>
    </format>
    <format dxfId="5111">
      <pivotArea dataOnly="0" labelOnly="1" fieldPosition="0">
        <references count="5">
          <reference field="1" count="1" selected="0">
            <x v="37"/>
          </reference>
          <reference field="2" count="1" selected="0">
            <x v="5"/>
          </reference>
          <reference field="3" count="1" selected="0">
            <x v="37"/>
          </reference>
          <reference field="4" count="1" selected="0">
            <x v="118"/>
          </reference>
          <reference field="5" count="1">
            <x v="501"/>
          </reference>
        </references>
      </pivotArea>
    </format>
    <format dxfId="5110">
      <pivotArea dataOnly="0" labelOnly="1" fieldPosition="0">
        <references count="5">
          <reference field="1" count="1" selected="0">
            <x v="37"/>
          </reference>
          <reference field="2" count="1" selected="0">
            <x v="5"/>
          </reference>
          <reference field="3" count="1" selected="0">
            <x v="38"/>
          </reference>
          <reference field="4" count="1" selected="0">
            <x v="118"/>
          </reference>
          <reference field="5" count="1">
            <x v="1450"/>
          </reference>
        </references>
      </pivotArea>
    </format>
    <format dxfId="5109">
      <pivotArea dataOnly="0" labelOnly="1" fieldPosition="0">
        <references count="5">
          <reference field="1" count="1" selected="0">
            <x v="37"/>
          </reference>
          <reference field="2" count="1" selected="0">
            <x v="6"/>
          </reference>
          <reference field="3" count="1" selected="0">
            <x v="37"/>
          </reference>
          <reference field="4" count="1" selected="0">
            <x v="118"/>
          </reference>
          <reference field="5" count="1">
            <x v="774"/>
          </reference>
        </references>
      </pivotArea>
    </format>
    <format dxfId="5108">
      <pivotArea dataOnly="0" labelOnly="1" fieldPosition="0">
        <references count="5">
          <reference field="1" count="1" selected="0">
            <x v="37"/>
          </reference>
          <reference field="2" count="1" selected="0">
            <x v="12"/>
          </reference>
          <reference field="3" count="1" selected="0">
            <x v="1"/>
          </reference>
          <reference field="4" count="1" selected="0">
            <x v="118"/>
          </reference>
          <reference field="5" count="6">
            <x v="80"/>
            <x v="213"/>
            <x v="500"/>
            <x v="607"/>
            <x v="702"/>
            <x v="846"/>
          </reference>
        </references>
      </pivotArea>
    </format>
    <format dxfId="5107">
      <pivotArea dataOnly="0" labelOnly="1" fieldPosition="0">
        <references count="5">
          <reference field="1" count="1" selected="0">
            <x v="37"/>
          </reference>
          <reference field="2" count="1" selected="0">
            <x v="19"/>
          </reference>
          <reference field="3" count="1" selected="0">
            <x v="38"/>
          </reference>
          <reference field="4" count="1" selected="0">
            <x v="118"/>
          </reference>
          <reference field="5" count="1">
            <x v="702"/>
          </reference>
        </references>
      </pivotArea>
    </format>
    <format dxfId="5106">
      <pivotArea dataOnly="0" labelOnly="1" fieldPosition="0">
        <references count="5">
          <reference field="1" count="1" selected="0">
            <x v="37"/>
          </reference>
          <reference field="2" count="1" selected="0">
            <x v="23"/>
          </reference>
          <reference field="3" count="1" selected="0">
            <x v="37"/>
          </reference>
          <reference field="4" count="1" selected="0">
            <x v="118"/>
          </reference>
          <reference field="5" count="1">
            <x v="48"/>
          </reference>
        </references>
      </pivotArea>
    </format>
    <format dxfId="5105">
      <pivotArea dataOnly="0" labelOnly="1" fieldPosition="0">
        <references count="5">
          <reference field="1" count="1" selected="0">
            <x v="37"/>
          </reference>
          <reference field="2" count="1" selected="0">
            <x v="27"/>
          </reference>
          <reference field="3" count="1" selected="0">
            <x v="37"/>
          </reference>
          <reference field="4" count="1" selected="0">
            <x v="118"/>
          </reference>
          <reference field="5" count="1">
            <x v="437"/>
          </reference>
        </references>
      </pivotArea>
    </format>
    <format dxfId="5104">
      <pivotArea dataOnly="0" labelOnly="1" fieldPosition="0">
        <references count="5">
          <reference field="1" count="1" selected="0">
            <x v="37"/>
          </reference>
          <reference field="2" count="1" selected="0">
            <x v="35"/>
          </reference>
          <reference field="3" count="1" selected="0">
            <x v="1"/>
          </reference>
          <reference field="4" count="1" selected="0">
            <x v="118"/>
          </reference>
          <reference field="5" count="1">
            <x v="80"/>
          </reference>
        </references>
      </pivotArea>
    </format>
    <format dxfId="5103">
      <pivotArea dataOnly="0" labelOnly="1" fieldPosition="0">
        <references count="5">
          <reference field="1" count="1" selected="0">
            <x v="37"/>
          </reference>
          <reference field="2" count="1" selected="0">
            <x v="36"/>
          </reference>
          <reference field="3" count="1" selected="0">
            <x v="6"/>
          </reference>
          <reference field="4" count="1" selected="0">
            <x v="118"/>
          </reference>
          <reference field="5" count="1">
            <x v="793"/>
          </reference>
        </references>
      </pivotArea>
    </format>
    <format dxfId="5102">
      <pivotArea dataOnly="0" labelOnly="1" fieldPosition="0">
        <references count="5">
          <reference field="1" count="1" selected="0">
            <x v="38"/>
          </reference>
          <reference field="2" count="1" selected="0">
            <x v="0"/>
          </reference>
          <reference field="3" count="1" selected="0">
            <x v="8"/>
          </reference>
          <reference field="4" count="1" selected="0">
            <x v="119"/>
          </reference>
          <reference field="5" count="1">
            <x v="188"/>
          </reference>
        </references>
      </pivotArea>
    </format>
    <format dxfId="5101">
      <pivotArea dataOnly="0" labelOnly="1" fieldPosition="0">
        <references count="5">
          <reference field="1" count="1" selected="0">
            <x v="38"/>
          </reference>
          <reference field="2" count="1" selected="0">
            <x v="0"/>
          </reference>
          <reference field="3" count="1" selected="0">
            <x v="9"/>
          </reference>
          <reference field="4" count="1" selected="0">
            <x v="119"/>
          </reference>
          <reference field="5" count="6">
            <x v="117"/>
            <x v="363"/>
            <x v="716"/>
            <x v="1095"/>
            <x v="1359"/>
            <x v="1360"/>
          </reference>
        </references>
      </pivotArea>
    </format>
    <format dxfId="5100">
      <pivotArea dataOnly="0" labelOnly="1" fieldPosition="0">
        <references count="5">
          <reference field="1" count="1" selected="0">
            <x v="38"/>
          </reference>
          <reference field="2" count="1" selected="0">
            <x v="0"/>
          </reference>
          <reference field="3" count="1" selected="0">
            <x v="12"/>
          </reference>
          <reference field="4" count="1" selected="0">
            <x v="3"/>
          </reference>
          <reference field="5" count="1">
            <x v="114"/>
          </reference>
        </references>
      </pivotArea>
    </format>
    <format dxfId="5099">
      <pivotArea dataOnly="0" labelOnly="1" fieldPosition="0">
        <references count="5">
          <reference field="1" count="1" selected="0">
            <x v="38"/>
          </reference>
          <reference field="2" count="1" selected="0">
            <x v="0"/>
          </reference>
          <reference field="3" count="1" selected="0">
            <x v="12"/>
          </reference>
          <reference field="4" count="1" selected="0">
            <x v="7"/>
          </reference>
          <reference field="5" count="1">
            <x v="386"/>
          </reference>
        </references>
      </pivotArea>
    </format>
    <format dxfId="5098">
      <pivotArea dataOnly="0" labelOnly="1" fieldPosition="0">
        <references count="5">
          <reference field="1" count="1" selected="0">
            <x v="38"/>
          </reference>
          <reference field="2" count="1" selected="0">
            <x v="0"/>
          </reference>
          <reference field="3" count="1" selected="0">
            <x v="12"/>
          </reference>
          <reference field="4" count="1" selected="0">
            <x v="10"/>
          </reference>
          <reference field="5" count="1">
            <x v="371"/>
          </reference>
        </references>
      </pivotArea>
    </format>
    <format dxfId="5097">
      <pivotArea dataOnly="0" labelOnly="1" fieldPosition="0">
        <references count="5">
          <reference field="1" count="1" selected="0">
            <x v="38"/>
          </reference>
          <reference field="2" count="1" selected="0">
            <x v="0"/>
          </reference>
          <reference field="3" count="1" selected="0">
            <x v="12"/>
          </reference>
          <reference field="4" count="1" selected="0">
            <x v="21"/>
          </reference>
          <reference field="5" count="1">
            <x v="11"/>
          </reference>
        </references>
      </pivotArea>
    </format>
    <format dxfId="5096">
      <pivotArea dataOnly="0" labelOnly="1" fieldPosition="0">
        <references count="5">
          <reference field="1" count="1" selected="0">
            <x v="38"/>
          </reference>
          <reference field="2" count="1" selected="0">
            <x v="0"/>
          </reference>
          <reference field="3" count="1" selected="0">
            <x v="12"/>
          </reference>
          <reference field="4" count="1" selected="0">
            <x v="22"/>
          </reference>
          <reference field="5" count="1">
            <x v="285"/>
          </reference>
        </references>
      </pivotArea>
    </format>
    <format dxfId="5095">
      <pivotArea dataOnly="0" labelOnly="1" fieldPosition="0">
        <references count="5">
          <reference field="1" count="1" selected="0">
            <x v="38"/>
          </reference>
          <reference field="2" count="1" selected="0">
            <x v="0"/>
          </reference>
          <reference field="3" count="1" selected="0">
            <x v="12"/>
          </reference>
          <reference field="4" count="1" selected="0">
            <x v="34"/>
          </reference>
          <reference field="5" count="1">
            <x v="607"/>
          </reference>
        </references>
      </pivotArea>
    </format>
    <format dxfId="5094">
      <pivotArea dataOnly="0" labelOnly="1" fieldPosition="0">
        <references count="5">
          <reference field="1" count="1" selected="0">
            <x v="38"/>
          </reference>
          <reference field="2" count="1" selected="0">
            <x v="0"/>
          </reference>
          <reference field="3" count="1" selected="0">
            <x v="12"/>
          </reference>
          <reference field="4" count="1" selected="0">
            <x v="43"/>
          </reference>
          <reference field="5" count="1">
            <x v="92"/>
          </reference>
        </references>
      </pivotArea>
    </format>
    <format dxfId="5093">
      <pivotArea dataOnly="0" labelOnly="1" fieldPosition="0">
        <references count="5">
          <reference field="1" count="1" selected="0">
            <x v="38"/>
          </reference>
          <reference field="2" count="1" selected="0">
            <x v="0"/>
          </reference>
          <reference field="3" count="1" selected="0">
            <x v="12"/>
          </reference>
          <reference field="4" count="1" selected="0">
            <x v="64"/>
          </reference>
          <reference field="5" count="1">
            <x v="69"/>
          </reference>
        </references>
      </pivotArea>
    </format>
    <format dxfId="5092">
      <pivotArea dataOnly="0" labelOnly="1" fieldPosition="0">
        <references count="5">
          <reference field="1" count="1" selected="0">
            <x v="38"/>
          </reference>
          <reference field="2" count="1" selected="0">
            <x v="0"/>
          </reference>
          <reference field="3" count="1" selected="0">
            <x v="12"/>
          </reference>
          <reference field="4" count="1" selected="0">
            <x v="68"/>
          </reference>
          <reference field="5" count="1">
            <x v="134"/>
          </reference>
        </references>
      </pivotArea>
    </format>
    <format dxfId="5091">
      <pivotArea dataOnly="0" labelOnly="1" fieldPosition="0">
        <references count="5">
          <reference field="1" count="1" selected="0">
            <x v="38"/>
          </reference>
          <reference field="2" count="1" selected="0">
            <x v="0"/>
          </reference>
          <reference field="3" count="1" selected="0">
            <x v="12"/>
          </reference>
          <reference field="4" count="1" selected="0">
            <x v="71"/>
          </reference>
          <reference field="5" count="1">
            <x v="114"/>
          </reference>
        </references>
      </pivotArea>
    </format>
    <format dxfId="5090">
      <pivotArea dataOnly="0" labelOnly="1" fieldPosition="0">
        <references count="5">
          <reference field="1" count="1" selected="0">
            <x v="38"/>
          </reference>
          <reference field="2" count="1" selected="0">
            <x v="5"/>
          </reference>
          <reference field="3" count="1" selected="0">
            <x v="8"/>
          </reference>
          <reference field="4" count="1" selected="0">
            <x v="119"/>
          </reference>
          <reference field="5" count="1">
            <x v="290"/>
          </reference>
        </references>
      </pivotArea>
    </format>
    <format dxfId="5089">
      <pivotArea dataOnly="0" labelOnly="1" fieldPosition="0">
        <references count="5">
          <reference field="1" count="1" selected="0">
            <x v="38"/>
          </reference>
          <reference field="2" count="1" selected="0">
            <x v="8"/>
          </reference>
          <reference field="3" count="1" selected="0">
            <x v="37"/>
          </reference>
          <reference field="4" count="1" selected="0">
            <x v="119"/>
          </reference>
          <reference field="5" count="1">
            <x v="1289"/>
          </reference>
        </references>
      </pivotArea>
    </format>
    <format dxfId="5088">
      <pivotArea dataOnly="0" labelOnly="1" fieldPosition="0">
        <references count="5">
          <reference field="1" count="1" selected="0">
            <x v="38"/>
          </reference>
          <reference field="2" count="1" selected="0">
            <x v="12"/>
          </reference>
          <reference field="3" count="1" selected="0">
            <x v="1"/>
          </reference>
          <reference field="4" count="1" selected="0">
            <x v="119"/>
          </reference>
          <reference field="5" count="2">
            <x v="213"/>
            <x v="500"/>
          </reference>
        </references>
      </pivotArea>
    </format>
    <format dxfId="5087">
      <pivotArea dataOnly="0" labelOnly="1" fieldPosition="0">
        <references count="5">
          <reference field="1" count="1" selected="0">
            <x v="38"/>
          </reference>
          <reference field="2" count="1" selected="0">
            <x v="15"/>
          </reference>
          <reference field="3" count="1" selected="0">
            <x v="10"/>
          </reference>
          <reference field="4" count="1" selected="0">
            <x v="119"/>
          </reference>
          <reference field="5" count="1">
            <x v="604"/>
          </reference>
        </references>
      </pivotArea>
    </format>
    <format dxfId="5086">
      <pivotArea dataOnly="0" labelOnly="1" fieldPosition="0">
        <references count="5">
          <reference field="1" count="1" selected="0">
            <x v="38"/>
          </reference>
          <reference field="2" count="1" selected="0">
            <x v="23"/>
          </reference>
          <reference field="3" count="1" selected="0">
            <x v="9"/>
          </reference>
          <reference field="4" count="1" selected="0">
            <x v="119"/>
          </reference>
          <reference field="5" count="1">
            <x v="696"/>
          </reference>
        </references>
      </pivotArea>
    </format>
    <format dxfId="5085">
      <pivotArea dataOnly="0" labelOnly="1" fieldPosition="0">
        <references count="5">
          <reference field="1" count="1" selected="0">
            <x v="38"/>
          </reference>
          <reference field="2" count="1" selected="0">
            <x v="26"/>
          </reference>
          <reference field="3" count="1" selected="0">
            <x v="37"/>
          </reference>
          <reference field="4" count="1" selected="0">
            <x v="119"/>
          </reference>
          <reference field="5" count="1">
            <x v="846"/>
          </reference>
        </references>
      </pivotArea>
    </format>
    <format dxfId="5084">
      <pivotArea dataOnly="0" labelOnly="1" fieldPosition="0">
        <references count="5">
          <reference field="1" count="1" selected="0">
            <x v="38"/>
          </reference>
          <reference field="2" count="1" selected="0">
            <x v="26"/>
          </reference>
          <reference field="3" count="1" selected="0">
            <x v="38"/>
          </reference>
          <reference field="4" count="1" selected="0">
            <x v="119"/>
          </reference>
          <reference field="5" count="1">
            <x v="1845"/>
          </reference>
        </references>
      </pivotArea>
    </format>
    <format dxfId="5083">
      <pivotArea dataOnly="0" labelOnly="1" fieldPosition="0">
        <references count="5">
          <reference field="1" count="1" selected="0">
            <x v="38"/>
          </reference>
          <reference field="2" count="1" selected="0">
            <x v="35"/>
          </reference>
          <reference field="3" count="1" selected="0">
            <x v="1"/>
          </reference>
          <reference field="4" count="1" selected="0">
            <x v="119"/>
          </reference>
          <reference field="5" count="1">
            <x v="80"/>
          </reference>
        </references>
      </pivotArea>
    </format>
    <format dxfId="5082">
      <pivotArea dataOnly="0" labelOnly="1" fieldPosition="0">
        <references count="5">
          <reference field="1" count="1" selected="0">
            <x v="39"/>
          </reference>
          <reference field="2" count="1" selected="0">
            <x v="0"/>
          </reference>
          <reference field="3" count="1" selected="0">
            <x v="12"/>
          </reference>
          <reference field="4" count="1" selected="0">
            <x v="2"/>
          </reference>
          <reference field="5" count="1">
            <x v="39"/>
          </reference>
        </references>
      </pivotArea>
    </format>
    <format dxfId="5081">
      <pivotArea dataOnly="0" labelOnly="1" fieldPosition="0">
        <references count="5">
          <reference field="1" count="1" selected="0">
            <x v="39"/>
          </reference>
          <reference field="2" count="1" selected="0">
            <x v="0"/>
          </reference>
          <reference field="3" count="1" selected="0">
            <x v="12"/>
          </reference>
          <reference field="4" count="1" selected="0">
            <x v="3"/>
          </reference>
          <reference field="5" count="1">
            <x v="114"/>
          </reference>
        </references>
      </pivotArea>
    </format>
    <format dxfId="5080">
      <pivotArea dataOnly="0" labelOnly="1" fieldPosition="0">
        <references count="5">
          <reference field="1" count="1" selected="0">
            <x v="39"/>
          </reference>
          <reference field="2" count="1" selected="0">
            <x v="0"/>
          </reference>
          <reference field="3" count="1" selected="0">
            <x v="12"/>
          </reference>
          <reference field="4" count="1" selected="0">
            <x v="8"/>
          </reference>
          <reference field="5" count="1">
            <x v="92"/>
          </reference>
        </references>
      </pivotArea>
    </format>
    <format dxfId="5079">
      <pivotArea dataOnly="0" labelOnly="1" fieldPosition="0">
        <references count="5">
          <reference field="1" count="1" selected="0">
            <x v="39"/>
          </reference>
          <reference field="2" count="1" selected="0">
            <x v="0"/>
          </reference>
          <reference field="3" count="1" selected="0">
            <x v="12"/>
          </reference>
          <reference field="4" count="1" selected="0">
            <x v="53"/>
          </reference>
          <reference field="5" count="1">
            <x v="70"/>
          </reference>
        </references>
      </pivotArea>
    </format>
    <format dxfId="5078">
      <pivotArea dataOnly="0" labelOnly="1" fieldPosition="0">
        <references count="5">
          <reference field="1" count="1" selected="0">
            <x v="39"/>
          </reference>
          <reference field="2" count="1" selected="0">
            <x v="0"/>
          </reference>
          <reference field="3" count="1" selected="0">
            <x v="12"/>
          </reference>
          <reference field="4" count="1" selected="0">
            <x v="56"/>
          </reference>
          <reference field="5" count="1">
            <x v="69"/>
          </reference>
        </references>
      </pivotArea>
    </format>
    <format dxfId="5077">
      <pivotArea dataOnly="0" labelOnly="1" fieldPosition="0">
        <references count="5">
          <reference field="1" count="1" selected="0">
            <x v="39"/>
          </reference>
          <reference field="2" count="1" selected="0">
            <x v="12"/>
          </reference>
          <reference field="3" count="1" selected="0">
            <x v="1"/>
          </reference>
          <reference field="4" count="1" selected="0">
            <x v="120"/>
          </reference>
          <reference field="5" count="3">
            <x v="80"/>
            <x v="607"/>
            <x v="702"/>
          </reference>
        </references>
      </pivotArea>
    </format>
    <format dxfId="5076">
      <pivotArea dataOnly="0" labelOnly="1" fieldPosition="0">
        <references count="5">
          <reference field="1" count="1" selected="0">
            <x v="39"/>
          </reference>
          <reference field="2" count="1" selected="0">
            <x v="14"/>
          </reference>
          <reference field="3" count="1" selected="0">
            <x v="1"/>
          </reference>
          <reference field="4" count="1" selected="0">
            <x v="120"/>
          </reference>
          <reference field="5" count="1">
            <x v="887"/>
          </reference>
        </references>
      </pivotArea>
    </format>
    <format dxfId="5075">
      <pivotArea dataOnly="0" labelOnly="1" fieldPosition="0">
        <references count="5">
          <reference field="1" count="1" selected="0">
            <x v="39"/>
          </reference>
          <reference field="2" count="1" selected="0">
            <x v="15"/>
          </reference>
          <reference field="3" count="1" selected="0">
            <x v="37"/>
          </reference>
          <reference field="4" count="1" selected="0">
            <x v="120"/>
          </reference>
          <reference field="5" count="1">
            <x v="295"/>
          </reference>
        </references>
      </pivotArea>
    </format>
    <format dxfId="5074">
      <pivotArea dataOnly="0" labelOnly="1" fieldPosition="0">
        <references count="5">
          <reference field="1" count="1" selected="0">
            <x v="39"/>
          </reference>
          <reference field="2" count="1" selected="0">
            <x v="19"/>
          </reference>
          <reference field="3" count="1" selected="0">
            <x v="6"/>
          </reference>
          <reference field="4" count="1" selected="0">
            <x v="120"/>
          </reference>
          <reference field="5" count="1">
            <x v="371"/>
          </reference>
        </references>
      </pivotArea>
    </format>
    <format dxfId="5073">
      <pivotArea dataOnly="0" labelOnly="1" fieldPosition="0">
        <references count="5">
          <reference field="1" count="1" selected="0">
            <x v="39"/>
          </reference>
          <reference field="2" count="1" selected="0">
            <x v="24"/>
          </reference>
          <reference field="3" count="1" selected="0">
            <x v="37"/>
          </reference>
          <reference field="4" count="1" selected="0">
            <x v="120"/>
          </reference>
          <reference field="5" count="1">
            <x v="37"/>
          </reference>
        </references>
      </pivotArea>
    </format>
    <format dxfId="5072">
      <pivotArea dataOnly="0" labelOnly="1" fieldPosition="0">
        <references count="5">
          <reference field="1" count="1" selected="0">
            <x v="39"/>
          </reference>
          <reference field="2" count="1" selected="0">
            <x v="26"/>
          </reference>
          <reference field="3" count="1" selected="0">
            <x v="37"/>
          </reference>
          <reference field="4" count="1" selected="0">
            <x v="120"/>
          </reference>
          <reference field="5" count="1">
            <x v="80"/>
          </reference>
        </references>
      </pivotArea>
    </format>
    <format dxfId="5071">
      <pivotArea dataOnly="0" labelOnly="1" fieldPosition="0">
        <references count="5">
          <reference field="1" count="1" selected="0">
            <x v="39"/>
          </reference>
          <reference field="2" count="1" selected="0">
            <x v="26"/>
          </reference>
          <reference field="3" count="1" selected="0">
            <x v="38"/>
          </reference>
          <reference field="4" count="1" selected="0">
            <x v="120"/>
          </reference>
          <reference field="5" count="1">
            <x v="1542"/>
          </reference>
        </references>
      </pivotArea>
    </format>
    <format dxfId="5070">
      <pivotArea dataOnly="0" labelOnly="1" fieldPosition="0">
        <references count="5">
          <reference field="1" count="1" selected="0">
            <x v="39"/>
          </reference>
          <reference field="2" count="1" selected="0">
            <x v="30"/>
          </reference>
          <reference field="3" count="1" selected="0">
            <x v="6"/>
          </reference>
          <reference field="4" count="1" selected="0">
            <x v="120"/>
          </reference>
          <reference field="5" count="1">
            <x v="1713"/>
          </reference>
        </references>
      </pivotArea>
    </format>
    <format dxfId="5069">
      <pivotArea dataOnly="0" labelOnly="1" fieldPosition="0">
        <references count="5">
          <reference field="1" count="1" selected="0">
            <x v="40"/>
          </reference>
          <reference field="2" count="1" selected="0">
            <x v="0"/>
          </reference>
          <reference field="3" count="1" selected="0">
            <x v="12"/>
          </reference>
          <reference field="4" count="1" selected="0">
            <x v="17"/>
          </reference>
          <reference field="5" count="1">
            <x v="1136"/>
          </reference>
        </references>
      </pivotArea>
    </format>
    <format dxfId="5068">
      <pivotArea dataOnly="0" labelOnly="1" fieldPosition="0">
        <references count="5">
          <reference field="1" count="1" selected="0">
            <x v="40"/>
          </reference>
          <reference field="2" count="1" selected="0">
            <x v="0"/>
          </reference>
          <reference field="3" count="1" selected="0">
            <x v="12"/>
          </reference>
          <reference field="4" count="1" selected="0">
            <x v="19"/>
          </reference>
          <reference field="5" count="1">
            <x v="73"/>
          </reference>
        </references>
      </pivotArea>
    </format>
    <format dxfId="5067">
      <pivotArea dataOnly="0" labelOnly="1" fieldPosition="0">
        <references count="5">
          <reference field="1" count="1" selected="0">
            <x v="40"/>
          </reference>
          <reference field="2" count="1" selected="0">
            <x v="0"/>
          </reference>
          <reference field="3" count="1" selected="0">
            <x v="12"/>
          </reference>
          <reference field="4" count="1" selected="0">
            <x v="24"/>
          </reference>
          <reference field="5" count="1">
            <x v="18"/>
          </reference>
        </references>
      </pivotArea>
    </format>
    <format dxfId="5066">
      <pivotArea dataOnly="0" labelOnly="1" fieldPosition="0">
        <references count="5">
          <reference field="1" count="1" selected="0">
            <x v="40"/>
          </reference>
          <reference field="2" count="1" selected="0">
            <x v="0"/>
          </reference>
          <reference field="3" count="1" selected="0">
            <x v="12"/>
          </reference>
          <reference field="4" count="1" selected="0">
            <x v="29"/>
          </reference>
          <reference field="5" count="1">
            <x v="11"/>
          </reference>
        </references>
      </pivotArea>
    </format>
    <format dxfId="5065">
      <pivotArea dataOnly="0" labelOnly="1" fieldPosition="0">
        <references count="5">
          <reference field="1" count="1" selected="0">
            <x v="40"/>
          </reference>
          <reference field="2" count="1" selected="0">
            <x v="0"/>
          </reference>
          <reference field="3" count="1" selected="0">
            <x v="12"/>
          </reference>
          <reference field="4" count="1" selected="0">
            <x v="43"/>
          </reference>
          <reference field="5" count="1">
            <x v="92"/>
          </reference>
        </references>
      </pivotArea>
    </format>
    <format dxfId="5064">
      <pivotArea dataOnly="0" labelOnly="1" fieldPosition="0">
        <references count="5">
          <reference field="1" count="1" selected="0">
            <x v="40"/>
          </reference>
          <reference field="2" count="1" selected="0">
            <x v="0"/>
          </reference>
          <reference field="3" count="1" selected="0">
            <x v="12"/>
          </reference>
          <reference field="4" count="1" selected="0">
            <x v="48"/>
          </reference>
          <reference field="5" count="1">
            <x v="63"/>
          </reference>
        </references>
      </pivotArea>
    </format>
    <format dxfId="5063">
      <pivotArea dataOnly="0" labelOnly="1" fieldPosition="0">
        <references count="5">
          <reference field="1" count="1" selected="0">
            <x v="40"/>
          </reference>
          <reference field="2" count="1" selected="0">
            <x v="0"/>
          </reference>
          <reference field="3" count="1" selected="0">
            <x v="12"/>
          </reference>
          <reference field="4" count="1" selected="0">
            <x v="52"/>
          </reference>
          <reference field="5" count="1">
            <x v="252"/>
          </reference>
        </references>
      </pivotArea>
    </format>
    <format dxfId="5062">
      <pivotArea dataOnly="0" labelOnly="1" fieldPosition="0">
        <references count="5">
          <reference field="1" count="1" selected="0">
            <x v="40"/>
          </reference>
          <reference field="2" count="1" selected="0">
            <x v="12"/>
          </reference>
          <reference field="3" count="1" selected="0">
            <x v="1"/>
          </reference>
          <reference field="4" count="1" selected="0">
            <x v="121"/>
          </reference>
          <reference field="5" count="2">
            <x v="80"/>
            <x v="213"/>
          </reference>
        </references>
      </pivotArea>
    </format>
    <format dxfId="5061">
      <pivotArea dataOnly="0" labelOnly="1" fieldPosition="0">
        <references count="5">
          <reference field="1" count="1" selected="0">
            <x v="40"/>
          </reference>
          <reference field="2" count="1" selected="0">
            <x v="26"/>
          </reference>
          <reference field="3" count="1" selected="0">
            <x v="10"/>
          </reference>
          <reference field="4" count="1" selected="0">
            <x v="121"/>
          </reference>
          <reference field="5" count="1">
            <x v="0"/>
          </reference>
        </references>
      </pivotArea>
    </format>
    <format dxfId="5060">
      <pivotArea dataOnly="0" labelOnly="1" fieldPosition="0">
        <references count="5">
          <reference field="1" count="1" selected="0">
            <x v="41"/>
          </reference>
          <reference field="2" count="1" selected="0">
            <x v="0"/>
          </reference>
          <reference field="3" count="1" selected="0">
            <x v="8"/>
          </reference>
          <reference field="4" count="1" selected="0">
            <x v="122"/>
          </reference>
          <reference field="5" count="1">
            <x v="630"/>
          </reference>
        </references>
      </pivotArea>
    </format>
    <format dxfId="5059">
      <pivotArea dataOnly="0" labelOnly="1" fieldPosition="0">
        <references count="5">
          <reference field="1" count="1" selected="0">
            <x v="41"/>
          </reference>
          <reference field="2" count="1" selected="0">
            <x v="0"/>
          </reference>
          <reference field="3" count="1" selected="0">
            <x v="9"/>
          </reference>
          <reference field="4" count="1" selected="0">
            <x v="122"/>
          </reference>
          <reference field="5" count="4">
            <x v="243"/>
            <x v="335"/>
            <x v="595"/>
            <x v="662"/>
          </reference>
        </references>
      </pivotArea>
    </format>
    <format dxfId="5058">
      <pivotArea dataOnly="0" labelOnly="1" fieldPosition="0">
        <references count="5">
          <reference field="1" count="1" selected="0">
            <x v="41"/>
          </reference>
          <reference field="2" count="1" selected="0">
            <x v="0"/>
          </reference>
          <reference field="3" count="1" selected="0">
            <x v="12"/>
          </reference>
          <reference field="4" count="1" selected="0">
            <x v="22"/>
          </reference>
          <reference field="5" count="1">
            <x v="114"/>
          </reference>
        </references>
      </pivotArea>
    </format>
    <format dxfId="5057">
      <pivotArea dataOnly="0" labelOnly="1" fieldPosition="0">
        <references count="5">
          <reference field="1" count="1" selected="0">
            <x v="41"/>
          </reference>
          <reference field="2" count="1" selected="0">
            <x v="0"/>
          </reference>
          <reference field="3" count="1" selected="0">
            <x v="12"/>
          </reference>
          <reference field="4" count="1" selected="0">
            <x v="23"/>
          </reference>
          <reference field="5" count="1">
            <x v="152"/>
          </reference>
        </references>
      </pivotArea>
    </format>
    <format dxfId="5056">
      <pivotArea dataOnly="0" labelOnly="1" fieldPosition="0">
        <references count="5">
          <reference field="1" count="1" selected="0">
            <x v="41"/>
          </reference>
          <reference field="2" count="1" selected="0">
            <x v="0"/>
          </reference>
          <reference field="3" count="1" selected="0">
            <x v="12"/>
          </reference>
          <reference field="4" count="1" selected="0">
            <x v="36"/>
          </reference>
          <reference field="5" count="1">
            <x v="330"/>
          </reference>
        </references>
      </pivotArea>
    </format>
    <format dxfId="5055">
      <pivotArea dataOnly="0" labelOnly="1" fieldPosition="0">
        <references count="5">
          <reference field="1" count="1" selected="0">
            <x v="41"/>
          </reference>
          <reference field="2" count="1" selected="0">
            <x v="0"/>
          </reference>
          <reference field="3" count="1" selected="0">
            <x v="12"/>
          </reference>
          <reference field="4" count="1" selected="0">
            <x v="45"/>
          </reference>
          <reference field="5" count="1">
            <x v="18"/>
          </reference>
        </references>
      </pivotArea>
    </format>
    <format dxfId="5054">
      <pivotArea dataOnly="0" labelOnly="1" fieldPosition="0">
        <references count="5">
          <reference field="1" count="1" selected="0">
            <x v="41"/>
          </reference>
          <reference field="2" count="1" selected="0">
            <x v="0"/>
          </reference>
          <reference field="3" count="1" selected="0">
            <x v="12"/>
          </reference>
          <reference field="4" count="1" selected="0">
            <x v="48"/>
          </reference>
          <reference field="5" count="1">
            <x v="92"/>
          </reference>
        </references>
      </pivotArea>
    </format>
    <format dxfId="5053">
      <pivotArea dataOnly="0" labelOnly="1" fieldPosition="0">
        <references count="5">
          <reference field="1" count="1" selected="0">
            <x v="41"/>
          </reference>
          <reference field="2" count="1" selected="0">
            <x v="0"/>
          </reference>
          <reference field="3" count="1" selected="0">
            <x v="12"/>
          </reference>
          <reference field="4" count="1" selected="0">
            <x v="57"/>
          </reference>
          <reference field="5" count="1">
            <x v="24"/>
          </reference>
        </references>
      </pivotArea>
    </format>
    <format dxfId="5052">
      <pivotArea dataOnly="0" labelOnly="1" fieldPosition="0">
        <references count="5">
          <reference field="1" count="1" selected="0">
            <x v="41"/>
          </reference>
          <reference field="2" count="1" selected="0">
            <x v="0"/>
          </reference>
          <reference field="3" count="1" selected="0">
            <x v="12"/>
          </reference>
          <reference field="4" count="1" selected="0">
            <x v="61"/>
          </reference>
          <reference field="5" count="1">
            <x v="16"/>
          </reference>
        </references>
      </pivotArea>
    </format>
    <format dxfId="5051">
      <pivotArea dataOnly="0" labelOnly="1" fieldPosition="0">
        <references count="5">
          <reference field="1" count="1" selected="0">
            <x v="41"/>
          </reference>
          <reference field="2" count="1" selected="0">
            <x v="0"/>
          </reference>
          <reference field="3" count="1" selected="0">
            <x v="12"/>
          </reference>
          <reference field="4" count="1" selected="0">
            <x v="73"/>
          </reference>
          <reference field="5" count="1">
            <x v="132"/>
          </reference>
        </references>
      </pivotArea>
    </format>
    <format dxfId="5050">
      <pivotArea dataOnly="0" labelOnly="1" fieldPosition="0">
        <references count="5">
          <reference field="1" count="1" selected="0">
            <x v="41"/>
          </reference>
          <reference field="2" count="1" selected="0">
            <x v="5"/>
          </reference>
          <reference field="3" count="1" selected="0">
            <x v="37"/>
          </reference>
          <reference field="4" count="1" selected="0">
            <x v="122"/>
          </reference>
          <reference field="5" count="1">
            <x v="1011"/>
          </reference>
        </references>
      </pivotArea>
    </format>
    <format dxfId="5049">
      <pivotArea dataOnly="0" labelOnly="1" fieldPosition="0">
        <references count="5">
          <reference field="1" count="1" selected="0">
            <x v="41"/>
          </reference>
          <reference field="2" count="1" selected="0">
            <x v="7"/>
          </reference>
          <reference field="3" count="1" selected="0">
            <x v="8"/>
          </reference>
          <reference field="4" count="1" selected="0">
            <x v="122"/>
          </reference>
          <reference field="5" count="1">
            <x v="1324"/>
          </reference>
        </references>
      </pivotArea>
    </format>
    <format dxfId="5048">
      <pivotArea dataOnly="0" labelOnly="1" fieldPosition="0">
        <references count="5">
          <reference field="1" count="1" selected="0">
            <x v="41"/>
          </reference>
          <reference field="2" count="1" selected="0">
            <x v="8"/>
          </reference>
          <reference field="3" count="1" selected="0">
            <x v="37"/>
          </reference>
          <reference field="4" count="1" selected="0">
            <x v="122"/>
          </reference>
          <reference field="5" count="1">
            <x v="1412"/>
          </reference>
        </references>
      </pivotArea>
    </format>
    <format dxfId="5047">
      <pivotArea dataOnly="0" labelOnly="1" fieldPosition="0">
        <references count="5">
          <reference field="1" count="1" selected="0">
            <x v="41"/>
          </reference>
          <reference field="2" count="1" selected="0">
            <x v="12"/>
          </reference>
          <reference field="3" count="1" selected="0">
            <x v="1"/>
          </reference>
          <reference field="4" count="1" selected="0">
            <x v="122"/>
          </reference>
          <reference field="5" count="1">
            <x v="213"/>
          </reference>
        </references>
      </pivotArea>
    </format>
    <format dxfId="5046">
      <pivotArea dataOnly="0" labelOnly="1" fieldPosition="0">
        <references count="5">
          <reference field="1" count="1" selected="0">
            <x v="41"/>
          </reference>
          <reference field="2" count="1" selected="0">
            <x v="15"/>
          </reference>
          <reference field="3" count="1" selected="0">
            <x v="9"/>
          </reference>
          <reference field="4" count="1" selected="0">
            <x v="122"/>
          </reference>
          <reference field="5" count="1">
            <x v="779"/>
          </reference>
        </references>
      </pivotArea>
    </format>
    <format dxfId="5045">
      <pivotArea dataOnly="0" labelOnly="1" fieldPosition="0">
        <references count="5">
          <reference field="1" count="1" selected="0">
            <x v="41"/>
          </reference>
          <reference field="2" count="1" selected="0">
            <x v="15"/>
          </reference>
          <reference field="3" count="1" selected="0">
            <x v="38"/>
          </reference>
          <reference field="4" count="1" selected="0">
            <x v="122"/>
          </reference>
          <reference field="5" count="1">
            <x v="1796"/>
          </reference>
        </references>
      </pivotArea>
    </format>
    <format dxfId="5044">
      <pivotArea dataOnly="0" labelOnly="1" fieldPosition="0">
        <references count="5">
          <reference field="1" count="1" selected="0">
            <x v="41"/>
          </reference>
          <reference field="2" count="1" selected="0">
            <x v="23"/>
          </reference>
          <reference field="3" count="1" selected="0">
            <x v="8"/>
          </reference>
          <reference field="4" count="1" selected="0">
            <x v="122"/>
          </reference>
          <reference field="5" count="1">
            <x v="422"/>
          </reference>
        </references>
      </pivotArea>
    </format>
    <format dxfId="5043">
      <pivotArea dataOnly="0" labelOnly="1" fieldPosition="0">
        <references count="5">
          <reference field="1" count="1" selected="0">
            <x v="41"/>
          </reference>
          <reference field="2" count="1" selected="0">
            <x v="26"/>
          </reference>
          <reference field="3" count="1" selected="0">
            <x v="6"/>
          </reference>
          <reference field="4" count="1" selected="0">
            <x v="122"/>
          </reference>
          <reference field="5" count="1">
            <x v="201"/>
          </reference>
        </references>
      </pivotArea>
    </format>
    <format dxfId="5042">
      <pivotArea dataOnly="0" labelOnly="1" fieldPosition="0">
        <references count="5">
          <reference field="1" count="1" selected="0">
            <x v="41"/>
          </reference>
          <reference field="2" count="1" selected="0">
            <x v="26"/>
          </reference>
          <reference field="3" count="1" selected="0">
            <x v="37"/>
          </reference>
          <reference field="4" count="1" selected="0">
            <x v="122"/>
          </reference>
          <reference field="5" count="1">
            <x v="291"/>
          </reference>
        </references>
      </pivotArea>
    </format>
    <format dxfId="5041">
      <pivotArea dataOnly="0" labelOnly="1" fieldPosition="0">
        <references count="5">
          <reference field="1" count="1" selected="0">
            <x v="41"/>
          </reference>
          <reference field="2" count="1" selected="0">
            <x v="27"/>
          </reference>
          <reference field="3" count="1" selected="0">
            <x v="37"/>
          </reference>
          <reference field="4" count="1" selected="0">
            <x v="122"/>
          </reference>
          <reference field="5" count="1">
            <x v="109"/>
          </reference>
        </references>
      </pivotArea>
    </format>
    <format dxfId="5040">
      <pivotArea dataOnly="0" labelOnly="1" fieldPosition="0">
        <references count="5">
          <reference field="1" count="1" selected="0">
            <x v="41"/>
          </reference>
          <reference field="2" count="1" selected="0">
            <x v="37"/>
          </reference>
          <reference field="3" count="1" selected="0">
            <x v="8"/>
          </reference>
          <reference field="4" count="1" selected="0">
            <x v="122"/>
          </reference>
          <reference field="5" count="1">
            <x v="1002"/>
          </reference>
        </references>
      </pivotArea>
    </format>
    <format dxfId="5039">
      <pivotArea dataOnly="0" labelOnly="1" fieldPosition="0">
        <references count="5">
          <reference field="1" count="1" selected="0">
            <x v="41"/>
          </reference>
          <reference field="2" count="1" selected="0">
            <x v="37"/>
          </reference>
          <reference field="3" count="1" selected="0">
            <x v="10"/>
          </reference>
          <reference field="4" count="1" selected="0">
            <x v="122"/>
          </reference>
          <reference field="5" count="1">
            <x v="1293"/>
          </reference>
        </references>
      </pivotArea>
    </format>
    <format dxfId="5038">
      <pivotArea dataOnly="0" labelOnly="1" fieldPosition="0">
        <references count="5">
          <reference field="1" count="1" selected="0">
            <x v="42"/>
          </reference>
          <reference field="2" count="1" selected="0">
            <x v="0"/>
          </reference>
          <reference field="3" count="1" selected="0">
            <x v="1"/>
          </reference>
          <reference field="4" count="1" selected="0">
            <x v="124"/>
          </reference>
          <reference field="5" count="1">
            <x v="80"/>
          </reference>
        </references>
      </pivotArea>
    </format>
    <format dxfId="5037">
      <pivotArea dataOnly="0" labelOnly="1" fieldPosition="0">
        <references count="5">
          <reference field="1" count="1" selected="0">
            <x v="42"/>
          </reference>
          <reference field="2" count="1" selected="0">
            <x v="0"/>
          </reference>
          <reference field="3" count="1" selected="0">
            <x v="12"/>
          </reference>
          <reference field="4" count="1" selected="0">
            <x v="10"/>
          </reference>
          <reference field="5" count="1">
            <x v="371"/>
          </reference>
        </references>
      </pivotArea>
    </format>
    <format dxfId="5036">
      <pivotArea dataOnly="0" labelOnly="1" fieldPosition="0">
        <references count="5">
          <reference field="1" count="1" selected="0">
            <x v="42"/>
          </reference>
          <reference field="2" count="1" selected="0">
            <x v="0"/>
          </reference>
          <reference field="3" count="1" selected="0">
            <x v="12"/>
          </reference>
          <reference field="4" count="1" selected="0">
            <x v="50"/>
          </reference>
          <reference field="5" count="1">
            <x v="21"/>
          </reference>
        </references>
      </pivotArea>
    </format>
    <format dxfId="5035">
      <pivotArea dataOnly="0" labelOnly="1" fieldPosition="0">
        <references count="5">
          <reference field="1" count="1" selected="0">
            <x v="42"/>
          </reference>
          <reference field="2" count="1" selected="0">
            <x v="0"/>
          </reference>
          <reference field="3" count="1" selected="0">
            <x v="12"/>
          </reference>
          <reference field="4" count="1" selected="0">
            <x v="61"/>
          </reference>
          <reference field="5" count="1">
            <x v="28"/>
          </reference>
        </references>
      </pivotArea>
    </format>
    <format dxfId="5034">
      <pivotArea dataOnly="0" labelOnly="1" fieldPosition="0">
        <references count="5">
          <reference field="1" count="1" selected="0">
            <x v="42"/>
          </reference>
          <reference field="2" count="1" selected="0">
            <x v="0"/>
          </reference>
          <reference field="3" count="1" selected="0">
            <x v="22"/>
          </reference>
          <reference field="4" count="1" selected="0">
            <x v="123"/>
          </reference>
          <reference field="5" count="3">
            <x v="298"/>
            <x v="651"/>
            <x v="661"/>
          </reference>
        </references>
      </pivotArea>
    </format>
    <format dxfId="5033">
      <pivotArea dataOnly="0" labelOnly="1" fieldPosition="0">
        <references count="5">
          <reference field="1" count="1" selected="0">
            <x v="42"/>
          </reference>
          <reference field="2" count="1" selected="0">
            <x v="2"/>
          </reference>
          <reference field="3" count="1" selected="0">
            <x v="22"/>
          </reference>
          <reference field="4" count="1" selected="0">
            <x v="123"/>
          </reference>
          <reference field="5" count="1">
            <x v="1790"/>
          </reference>
        </references>
      </pivotArea>
    </format>
    <format dxfId="5032">
      <pivotArea dataOnly="0" labelOnly="1" fieldPosition="0">
        <references count="5">
          <reference field="1" count="1" selected="0">
            <x v="42"/>
          </reference>
          <reference field="2" count="1" selected="0">
            <x v="3"/>
          </reference>
          <reference field="3" count="1" selected="0">
            <x v="22"/>
          </reference>
          <reference field="4" count="1" selected="0">
            <x v="123"/>
          </reference>
          <reference field="5" count="1">
            <x v="1092"/>
          </reference>
        </references>
      </pivotArea>
    </format>
    <format dxfId="5031">
      <pivotArea dataOnly="0" labelOnly="1" fieldPosition="0">
        <references count="5">
          <reference field="1" count="1" selected="0">
            <x v="42"/>
          </reference>
          <reference field="2" count="1" selected="0">
            <x v="6"/>
          </reference>
          <reference field="3" count="1" selected="0">
            <x v="37"/>
          </reference>
          <reference field="4" count="1" selected="0">
            <x v="124"/>
          </reference>
          <reference field="5" count="1">
            <x v="539"/>
          </reference>
        </references>
      </pivotArea>
    </format>
    <format dxfId="5030">
      <pivotArea dataOnly="0" labelOnly="1" fieldPosition="0">
        <references count="5">
          <reference field="1" count="1" selected="0">
            <x v="42"/>
          </reference>
          <reference field="2" count="1" selected="0">
            <x v="12"/>
          </reference>
          <reference field="3" count="1" selected="0">
            <x v="1"/>
          </reference>
          <reference field="4" count="1" selected="0">
            <x v="124"/>
          </reference>
          <reference field="5" count="5">
            <x v="80"/>
            <x v="213"/>
            <x v="352"/>
            <x v="500"/>
            <x v="702"/>
          </reference>
        </references>
      </pivotArea>
    </format>
    <format dxfId="5029">
      <pivotArea dataOnly="0" labelOnly="1" fieldPosition="0">
        <references count="5">
          <reference field="1" count="1" selected="0">
            <x v="42"/>
          </reference>
          <reference field="2" count="1" selected="0">
            <x v="12"/>
          </reference>
          <reference field="3" count="1" selected="0">
            <x v="22"/>
          </reference>
          <reference field="4" count="1" selected="0">
            <x v="123"/>
          </reference>
          <reference field="5" count="25">
            <x v="116"/>
            <x v="149"/>
            <x v="666"/>
            <x v="674"/>
            <x v="690"/>
            <x v="1088"/>
            <x v="1100"/>
            <x v="1198"/>
            <x v="1202"/>
            <x v="1247"/>
            <x v="1307"/>
            <x v="1393"/>
            <x v="1410"/>
            <x v="1423"/>
            <x v="1479"/>
            <x v="1507"/>
            <x v="1514"/>
            <x v="1558"/>
            <x v="1577"/>
            <x v="1643"/>
            <x v="1675"/>
            <x v="1719"/>
            <x v="1722"/>
            <x v="1743"/>
            <x v="1749"/>
          </reference>
        </references>
      </pivotArea>
    </format>
    <format dxfId="5028">
      <pivotArea dataOnly="0" labelOnly="1" fieldPosition="0">
        <references count="5">
          <reference field="1" count="1" selected="0">
            <x v="42"/>
          </reference>
          <reference field="2" count="1" selected="0">
            <x v="17"/>
          </reference>
          <reference field="3" count="1" selected="0">
            <x v="22"/>
          </reference>
          <reference field="4" count="1" selected="0">
            <x v="123"/>
          </reference>
          <reference field="5" count="1">
            <x v="1039"/>
          </reference>
        </references>
      </pivotArea>
    </format>
    <format dxfId="5027">
      <pivotArea dataOnly="0" labelOnly="1" fieldPosition="0">
        <references count="5">
          <reference field="1" count="1" selected="0">
            <x v="42"/>
          </reference>
          <reference field="2" count="1" selected="0">
            <x v="19"/>
          </reference>
          <reference field="3" count="1" selected="0">
            <x v="1"/>
          </reference>
          <reference field="4" count="1" selected="0">
            <x v="124"/>
          </reference>
          <reference field="5" count="1">
            <x v="352"/>
          </reference>
        </references>
      </pivotArea>
    </format>
    <format dxfId="5026">
      <pivotArea dataOnly="0" labelOnly="1" fieldPosition="0">
        <references count="5">
          <reference field="1" count="1" selected="0">
            <x v="42"/>
          </reference>
          <reference field="2" count="1" selected="0">
            <x v="19"/>
          </reference>
          <reference field="3" count="1" selected="0">
            <x v="37"/>
          </reference>
          <reference field="4" count="1" selected="0">
            <x v="124"/>
          </reference>
          <reference field="5" count="1">
            <x v="104"/>
          </reference>
        </references>
      </pivotArea>
    </format>
    <format dxfId="5025">
      <pivotArea dataOnly="0" labelOnly="1" fieldPosition="0">
        <references count="5">
          <reference field="1" count="1" selected="0">
            <x v="42"/>
          </reference>
          <reference field="2" count="1" selected="0">
            <x v="21"/>
          </reference>
          <reference field="3" count="1" selected="0">
            <x v="22"/>
          </reference>
          <reference field="4" count="1" selected="0">
            <x v="123"/>
          </reference>
          <reference field="5" count="1">
            <x v="1363"/>
          </reference>
        </references>
      </pivotArea>
    </format>
    <format dxfId="5024">
      <pivotArea dataOnly="0" labelOnly="1" fieldPosition="0">
        <references count="5">
          <reference field="1" count="1" selected="0">
            <x v="42"/>
          </reference>
          <reference field="2" count="1" selected="0">
            <x v="23"/>
          </reference>
          <reference field="3" count="1" selected="0">
            <x v="22"/>
          </reference>
          <reference field="4" count="1" selected="0">
            <x v="123"/>
          </reference>
          <reference field="5" count="1">
            <x v="1290"/>
          </reference>
        </references>
      </pivotArea>
    </format>
    <format dxfId="5023">
      <pivotArea dataOnly="0" labelOnly="1" fieldPosition="0">
        <references count="5">
          <reference field="1" count="1" selected="0">
            <x v="42"/>
          </reference>
          <reference field="2" count="1" selected="0">
            <x v="23"/>
          </reference>
          <reference field="3" count="1" selected="0">
            <x v="37"/>
          </reference>
          <reference field="4" count="1" selected="0">
            <x v="124"/>
          </reference>
          <reference field="5" count="1">
            <x v="1483"/>
          </reference>
        </references>
      </pivotArea>
    </format>
    <format dxfId="5022">
      <pivotArea dataOnly="0" labelOnly="1" fieldPosition="0">
        <references count="5">
          <reference field="1" count="1" selected="0">
            <x v="42"/>
          </reference>
          <reference field="2" count="1" selected="0">
            <x v="26"/>
          </reference>
          <reference field="3" count="1" selected="0">
            <x v="37"/>
          </reference>
          <reference field="4" count="1" selected="0">
            <x v="124"/>
          </reference>
          <reference field="5" count="1">
            <x v="930"/>
          </reference>
        </references>
      </pivotArea>
    </format>
    <format dxfId="5021">
      <pivotArea dataOnly="0" labelOnly="1" fieldPosition="0">
        <references count="5">
          <reference field="1" count="1" selected="0">
            <x v="42"/>
          </reference>
          <reference field="2" count="1" selected="0">
            <x v="33"/>
          </reference>
          <reference field="3" count="1" selected="0">
            <x v="6"/>
          </reference>
          <reference field="4" count="1" selected="0">
            <x v="124"/>
          </reference>
          <reference field="5" count="1">
            <x v="466"/>
          </reference>
        </references>
      </pivotArea>
    </format>
    <format dxfId="5020">
      <pivotArea dataOnly="0" labelOnly="1" fieldPosition="0">
        <references count="5">
          <reference field="1" count="1" selected="0">
            <x v="42"/>
          </reference>
          <reference field="2" count="1" selected="0">
            <x v="35"/>
          </reference>
          <reference field="3" count="1" selected="0">
            <x v="1"/>
          </reference>
          <reference field="4" count="1" selected="0">
            <x v="124"/>
          </reference>
          <reference field="5" count="1">
            <x v="80"/>
          </reference>
        </references>
      </pivotArea>
    </format>
    <format dxfId="5019">
      <pivotArea dataOnly="0" labelOnly="1" fieldPosition="0">
        <references count="5">
          <reference field="1" count="1" selected="0">
            <x v="42"/>
          </reference>
          <reference field="2" count="1" selected="0">
            <x v="35"/>
          </reference>
          <reference field="3" count="1" selected="0">
            <x v="22"/>
          </reference>
          <reference field="4" count="1" selected="0">
            <x v="123"/>
          </reference>
          <reference field="5" count="12">
            <x v="123"/>
            <x v="126"/>
            <x v="130"/>
            <x v="239"/>
            <x v="308"/>
            <x v="427"/>
            <x v="441"/>
            <x v="766"/>
            <x v="775"/>
            <x v="814"/>
            <x v="826"/>
            <x v="1299"/>
          </reference>
        </references>
      </pivotArea>
    </format>
    <format dxfId="5018">
      <pivotArea dataOnly="0" labelOnly="1" fieldPosition="0">
        <references count="5">
          <reference field="1" count="1" selected="0">
            <x v="42"/>
          </reference>
          <reference field="2" count="1" selected="0">
            <x v="36"/>
          </reference>
          <reference field="3" count="1" selected="0">
            <x v="22"/>
          </reference>
          <reference field="4" count="1" selected="0">
            <x v="123"/>
          </reference>
          <reference field="5" count="1">
            <x v="1519"/>
          </reference>
        </references>
      </pivotArea>
    </format>
    <format dxfId="5017">
      <pivotArea dataOnly="0" labelOnly="1" fieldPosition="0">
        <references count="5">
          <reference field="1" count="1" selected="0">
            <x v="43"/>
          </reference>
          <reference field="2" count="1" selected="0">
            <x v="0"/>
          </reference>
          <reference field="3" count="1" selected="0">
            <x v="8"/>
          </reference>
          <reference field="4" count="1" selected="0">
            <x v="125"/>
          </reference>
          <reference field="5" count="2">
            <x v="1157"/>
            <x v="1292"/>
          </reference>
        </references>
      </pivotArea>
    </format>
    <format dxfId="5016">
      <pivotArea dataOnly="0" labelOnly="1" fieldPosition="0">
        <references count="5">
          <reference field="1" count="1" selected="0">
            <x v="43"/>
          </reference>
          <reference field="2" count="1" selected="0">
            <x v="0"/>
          </reference>
          <reference field="3" count="1" selected="0">
            <x v="9"/>
          </reference>
          <reference field="4" count="1" selected="0">
            <x v="125"/>
          </reference>
          <reference field="5" count="7">
            <x v="128"/>
            <x v="218"/>
            <x v="529"/>
            <x v="760"/>
            <x v="863"/>
            <x v="964"/>
            <x v="989"/>
          </reference>
        </references>
      </pivotArea>
    </format>
    <format dxfId="5015">
      <pivotArea dataOnly="0" labelOnly="1" fieldPosition="0">
        <references count="5">
          <reference field="1" count="1" selected="0">
            <x v="43"/>
          </reference>
          <reference field="2" count="1" selected="0">
            <x v="0"/>
          </reference>
          <reference field="3" count="1" selected="0">
            <x v="12"/>
          </reference>
          <reference field="4" count="1" selected="0">
            <x v="6"/>
          </reference>
          <reference field="5" count="1">
            <x v="101"/>
          </reference>
        </references>
      </pivotArea>
    </format>
    <format dxfId="5014">
      <pivotArea dataOnly="0" labelOnly="1" fieldPosition="0">
        <references count="5">
          <reference field="1" count="1" selected="0">
            <x v="43"/>
          </reference>
          <reference field="2" count="1" selected="0">
            <x v="0"/>
          </reference>
          <reference field="3" count="1" selected="0">
            <x v="37"/>
          </reference>
          <reference field="4" count="1" selected="0">
            <x v="125"/>
          </reference>
          <reference field="5" count="2">
            <x v="592"/>
            <x v="1348"/>
          </reference>
        </references>
      </pivotArea>
    </format>
    <format dxfId="5013">
      <pivotArea dataOnly="0" labelOnly="1" fieldPosition="0">
        <references count="5">
          <reference field="1" count="1" selected="0">
            <x v="43"/>
          </reference>
          <reference field="2" count="1" selected="0">
            <x v="2"/>
          </reference>
          <reference field="3" count="1" selected="0">
            <x v="6"/>
          </reference>
          <reference field="4" count="1" selected="0">
            <x v="125"/>
          </reference>
          <reference field="5" count="1">
            <x v="433"/>
          </reference>
        </references>
      </pivotArea>
    </format>
    <format dxfId="5012">
      <pivotArea dataOnly="0" labelOnly="1" fieldPosition="0">
        <references count="5">
          <reference field="1" count="1" selected="0">
            <x v="43"/>
          </reference>
          <reference field="2" count="1" selected="0">
            <x v="5"/>
          </reference>
          <reference field="3" count="1" selected="0">
            <x v="37"/>
          </reference>
          <reference field="4" count="1" selected="0">
            <x v="125"/>
          </reference>
          <reference field="5" count="1">
            <x v="1701"/>
          </reference>
        </references>
      </pivotArea>
    </format>
    <format dxfId="5011">
      <pivotArea dataOnly="0" labelOnly="1" fieldPosition="0">
        <references count="5">
          <reference field="1" count="1" selected="0">
            <x v="43"/>
          </reference>
          <reference field="2" count="1" selected="0">
            <x v="9"/>
          </reference>
          <reference field="3" count="1" selected="0">
            <x v="9"/>
          </reference>
          <reference field="4" count="1" selected="0">
            <x v="125"/>
          </reference>
          <reference field="5" count="1">
            <x v="855"/>
          </reference>
        </references>
      </pivotArea>
    </format>
    <format dxfId="5010">
      <pivotArea dataOnly="0" labelOnly="1" fieldPosition="0">
        <references count="5">
          <reference field="1" count="1" selected="0">
            <x v="43"/>
          </reference>
          <reference field="2" count="1" selected="0">
            <x v="12"/>
          </reference>
          <reference field="3" count="1" selected="0">
            <x v="1"/>
          </reference>
          <reference field="4" count="1" selected="0">
            <x v="125"/>
          </reference>
          <reference field="5" count="1">
            <x v="80"/>
          </reference>
        </references>
      </pivotArea>
    </format>
    <format dxfId="5009">
      <pivotArea dataOnly="0" labelOnly="1" fieldPosition="0">
        <references count="5">
          <reference field="1" count="1" selected="0">
            <x v="43"/>
          </reference>
          <reference field="2" count="1" selected="0">
            <x v="15"/>
          </reference>
          <reference field="3" count="1" selected="0">
            <x v="9"/>
          </reference>
          <reference field="4" count="1" selected="0">
            <x v="125"/>
          </reference>
          <reference field="5" count="1">
            <x v="398"/>
          </reference>
        </references>
      </pivotArea>
    </format>
    <format dxfId="5008">
      <pivotArea dataOnly="0" labelOnly="1" fieldPosition="0">
        <references count="5">
          <reference field="1" count="1" selected="0">
            <x v="43"/>
          </reference>
          <reference field="2" count="1" selected="0">
            <x v="15"/>
          </reference>
          <reference field="3" count="1" selected="0">
            <x v="10"/>
          </reference>
          <reference field="4" count="1" selected="0">
            <x v="125"/>
          </reference>
          <reference field="5" count="1">
            <x v="781"/>
          </reference>
        </references>
      </pivotArea>
    </format>
    <format dxfId="5007">
      <pivotArea dataOnly="0" labelOnly="1" fieldPosition="0">
        <references count="5">
          <reference field="1" count="1" selected="0">
            <x v="43"/>
          </reference>
          <reference field="2" count="1" selected="0">
            <x v="15"/>
          </reference>
          <reference field="3" count="1" selected="0">
            <x v="34"/>
          </reference>
          <reference field="4" count="1" selected="0">
            <x v="76"/>
          </reference>
          <reference field="5" count="1">
            <x v="0"/>
          </reference>
        </references>
      </pivotArea>
    </format>
    <format dxfId="5006">
      <pivotArea dataOnly="0" labelOnly="1" fieldPosition="0">
        <references count="5">
          <reference field="1" count="1" selected="0">
            <x v="43"/>
          </reference>
          <reference field="2" count="1" selected="0">
            <x v="15"/>
          </reference>
          <reference field="3" count="1" selected="0">
            <x v="37"/>
          </reference>
          <reference field="4" count="1" selected="0">
            <x v="125"/>
          </reference>
          <reference field="5" count="1">
            <x v="1553"/>
          </reference>
        </references>
      </pivotArea>
    </format>
    <format dxfId="5005">
      <pivotArea dataOnly="0" labelOnly="1" fieldPosition="0">
        <references count="5">
          <reference field="1" count="1" selected="0">
            <x v="43"/>
          </reference>
          <reference field="2" count="1" selected="0">
            <x v="19"/>
          </reference>
          <reference field="3" count="1" selected="0">
            <x v="37"/>
          </reference>
          <reference field="4" count="1" selected="0">
            <x v="125"/>
          </reference>
          <reference field="5" count="1">
            <x v="114"/>
          </reference>
        </references>
      </pivotArea>
    </format>
    <format dxfId="5004">
      <pivotArea dataOnly="0" labelOnly="1" fieldPosition="0">
        <references count="5">
          <reference field="1" count="1" selected="0">
            <x v="43"/>
          </reference>
          <reference field="2" count="1" selected="0">
            <x v="25"/>
          </reference>
          <reference field="3" count="1" selected="0">
            <x v="9"/>
          </reference>
          <reference field="4" count="1" selected="0">
            <x v="125"/>
          </reference>
          <reference field="5" count="1">
            <x v="894"/>
          </reference>
        </references>
      </pivotArea>
    </format>
    <format dxfId="5003">
      <pivotArea dataOnly="0" labelOnly="1" fieldPosition="0">
        <references count="5">
          <reference field="1" count="1" selected="0">
            <x v="43"/>
          </reference>
          <reference field="2" count="1" selected="0">
            <x v="27"/>
          </reference>
          <reference field="3" count="1" selected="0">
            <x v="37"/>
          </reference>
          <reference field="4" count="1" selected="0">
            <x v="125"/>
          </reference>
          <reference field="5" count="1">
            <x v="1338"/>
          </reference>
        </references>
      </pivotArea>
    </format>
    <format dxfId="5002">
      <pivotArea dataOnly="0" labelOnly="1" fieldPosition="0">
        <references count="5">
          <reference field="1" count="1" selected="0">
            <x v="43"/>
          </reference>
          <reference field="2" count="1" selected="0">
            <x v="36"/>
          </reference>
          <reference field="3" count="1" selected="0">
            <x v="1"/>
          </reference>
          <reference field="4" count="1" selected="0">
            <x v="125"/>
          </reference>
          <reference field="5" count="1">
            <x v="936"/>
          </reference>
        </references>
      </pivotArea>
    </format>
    <format dxfId="5001">
      <pivotArea dataOnly="0" labelOnly="1" fieldPosition="0">
        <references count="5">
          <reference field="1" count="1" selected="0">
            <x v="44"/>
          </reference>
          <reference field="2" count="1" selected="0">
            <x v="0"/>
          </reference>
          <reference field="3" count="1" selected="0">
            <x v="6"/>
          </reference>
          <reference field="4" count="1" selected="0">
            <x v="127"/>
          </reference>
          <reference field="5" count="1">
            <x v="693"/>
          </reference>
        </references>
      </pivotArea>
    </format>
    <format dxfId="5000">
      <pivotArea dataOnly="0" labelOnly="1" fieldPosition="0">
        <references count="5">
          <reference field="1" count="1" selected="0">
            <x v="44"/>
          </reference>
          <reference field="2" count="1" selected="0">
            <x v="0"/>
          </reference>
          <reference field="3" count="1" selected="0">
            <x v="8"/>
          </reference>
          <reference field="4" count="1" selected="0">
            <x v="127"/>
          </reference>
          <reference field="5" count="1">
            <x v="596"/>
          </reference>
        </references>
      </pivotArea>
    </format>
    <format dxfId="4999">
      <pivotArea dataOnly="0" labelOnly="1" fieldPosition="0">
        <references count="5">
          <reference field="1" count="1" selected="0">
            <x v="44"/>
          </reference>
          <reference field="2" count="1" selected="0">
            <x v="0"/>
          </reference>
          <reference field="3" count="1" selected="0">
            <x v="9"/>
          </reference>
          <reference field="4" count="1" selected="0">
            <x v="127"/>
          </reference>
          <reference field="5" count="1">
            <x v="350"/>
          </reference>
        </references>
      </pivotArea>
    </format>
    <format dxfId="4998">
      <pivotArea dataOnly="0" labelOnly="1" fieldPosition="0">
        <references count="5">
          <reference field="1" count="1" selected="0">
            <x v="44"/>
          </reference>
          <reference field="2" count="1" selected="0">
            <x v="0"/>
          </reference>
          <reference field="3" count="1" selected="0">
            <x v="12"/>
          </reference>
          <reference field="4" count="1" selected="0">
            <x v="39"/>
          </reference>
          <reference field="5" count="1">
            <x v="433"/>
          </reference>
        </references>
      </pivotArea>
    </format>
    <format dxfId="4997">
      <pivotArea dataOnly="0" labelOnly="1" fieldPosition="0">
        <references count="5">
          <reference field="1" count="1" selected="0">
            <x v="44"/>
          </reference>
          <reference field="2" count="1" selected="0">
            <x v="0"/>
          </reference>
          <reference field="3" count="1" selected="0">
            <x v="37"/>
          </reference>
          <reference field="4" count="1" selected="0">
            <x v="127"/>
          </reference>
          <reference field="5" count="1">
            <x v="740"/>
          </reference>
        </references>
      </pivotArea>
    </format>
    <format dxfId="4996">
      <pivotArea dataOnly="0" labelOnly="1" fieldPosition="0">
        <references count="5">
          <reference field="1" count="1" selected="0">
            <x v="44"/>
          </reference>
          <reference field="2" count="1" selected="0">
            <x v="12"/>
          </reference>
          <reference field="3" count="1" selected="0">
            <x v="1"/>
          </reference>
          <reference field="4" count="1" selected="0">
            <x v="127"/>
          </reference>
          <reference field="5" count="2">
            <x v="352"/>
            <x v="500"/>
          </reference>
        </references>
      </pivotArea>
    </format>
    <format dxfId="4995">
      <pivotArea dataOnly="0" labelOnly="1" fieldPosition="0">
        <references count="5">
          <reference field="1" count="1" selected="0">
            <x v="44"/>
          </reference>
          <reference field="2" count="1" selected="0">
            <x v="12"/>
          </reference>
          <reference field="3" count="1" selected="0">
            <x v="28"/>
          </reference>
          <reference field="4" count="1" selected="0">
            <x v="126"/>
          </reference>
          <reference field="5" count="1">
            <x v="941"/>
          </reference>
        </references>
      </pivotArea>
    </format>
    <format dxfId="4994">
      <pivotArea dataOnly="0" labelOnly="1" fieldPosition="0">
        <references count="5">
          <reference field="1" count="1" selected="0">
            <x v="44"/>
          </reference>
          <reference field="2" count="1" selected="0">
            <x v="15"/>
          </reference>
          <reference field="3" count="1" selected="0">
            <x v="8"/>
          </reference>
          <reference field="4" count="1" selected="0">
            <x v="127"/>
          </reference>
          <reference field="5" count="1">
            <x v="654"/>
          </reference>
        </references>
      </pivotArea>
    </format>
    <format dxfId="4993">
      <pivotArea dataOnly="0" labelOnly="1" fieldPosition="0">
        <references count="5">
          <reference field="1" count="1" selected="0">
            <x v="44"/>
          </reference>
          <reference field="2" count="1" selected="0">
            <x v="19"/>
          </reference>
          <reference field="3" count="1" selected="0">
            <x v="6"/>
          </reference>
          <reference field="4" count="1" selected="0">
            <x v="127"/>
          </reference>
          <reference field="5" count="1">
            <x v="911"/>
          </reference>
        </references>
      </pivotArea>
    </format>
    <format dxfId="4992">
      <pivotArea dataOnly="0" labelOnly="1" fieldPosition="0">
        <references count="5">
          <reference field="1" count="1" selected="0">
            <x v="44"/>
          </reference>
          <reference field="2" count="1" selected="0">
            <x v="35"/>
          </reference>
          <reference field="3" count="1" selected="0">
            <x v="1"/>
          </reference>
          <reference field="4" count="1" selected="0">
            <x v="127"/>
          </reference>
          <reference field="5" count="2">
            <x v="80"/>
            <x v="213"/>
          </reference>
        </references>
      </pivotArea>
    </format>
    <format dxfId="4991">
      <pivotArea dataOnly="0" labelOnly="1" fieldPosition="0">
        <references count="5">
          <reference field="1" count="1" selected="0">
            <x v="45"/>
          </reference>
          <reference field="2" count="1" selected="0">
            <x v="0"/>
          </reference>
          <reference field="3" count="1" selected="0">
            <x v="12"/>
          </reference>
          <reference field="4" count="1" selected="0">
            <x v="21"/>
          </reference>
          <reference field="5" count="1">
            <x v="69"/>
          </reference>
        </references>
      </pivotArea>
    </format>
    <format dxfId="4990">
      <pivotArea dataOnly="0" labelOnly="1" fieldPosition="0">
        <references count="5">
          <reference field="1" count="1" selected="0">
            <x v="46"/>
          </reference>
          <reference field="2" count="1" selected="0">
            <x v="0"/>
          </reference>
          <reference field="3" count="1" selected="0">
            <x v="8"/>
          </reference>
          <reference field="4" count="1" selected="0">
            <x v="128"/>
          </reference>
          <reference field="5" count="3">
            <x v="156"/>
            <x v="700"/>
            <x v="964"/>
          </reference>
        </references>
      </pivotArea>
    </format>
    <format dxfId="4989">
      <pivotArea dataOnly="0" labelOnly="1" fieldPosition="0">
        <references count="5">
          <reference field="1" count="1" selected="0">
            <x v="46"/>
          </reference>
          <reference field="2" count="1" selected="0">
            <x v="0"/>
          </reference>
          <reference field="3" count="1" selected="0">
            <x v="9"/>
          </reference>
          <reference field="4" count="1" selected="0">
            <x v="128"/>
          </reference>
          <reference field="5" count="5">
            <x v="210"/>
            <x v="396"/>
            <x v="798"/>
            <x v="818"/>
            <x v="858"/>
          </reference>
        </references>
      </pivotArea>
    </format>
    <format dxfId="4988">
      <pivotArea dataOnly="0" labelOnly="1" fieldPosition="0">
        <references count="5">
          <reference field="1" count="1" selected="0">
            <x v="46"/>
          </reference>
          <reference field="2" count="1" selected="0">
            <x v="0"/>
          </reference>
          <reference field="3" count="1" selected="0">
            <x v="12"/>
          </reference>
          <reference field="4" count="1" selected="0">
            <x v="39"/>
          </reference>
          <reference field="5" count="1">
            <x v="180"/>
          </reference>
        </references>
      </pivotArea>
    </format>
    <format dxfId="4987">
      <pivotArea dataOnly="0" labelOnly="1" fieldPosition="0">
        <references count="5">
          <reference field="1" count="1" selected="0">
            <x v="46"/>
          </reference>
          <reference field="2" count="1" selected="0">
            <x v="0"/>
          </reference>
          <reference field="3" count="1" selected="0">
            <x v="12"/>
          </reference>
          <reference field="4" count="1" selected="0">
            <x v="50"/>
          </reference>
          <reference field="5" count="1">
            <x v="248"/>
          </reference>
        </references>
      </pivotArea>
    </format>
    <format dxfId="4986">
      <pivotArea dataOnly="0" labelOnly="1" fieldPosition="0">
        <references count="5">
          <reference field="1" count="1" selected="0">
            <x v="46"/>
          </reference>
          <reference field="2" count="1" selected="0">
            <x v="2"/>
          </reference>
          <reference field="3" count="1" selected="0">
            <x v="8"/>
          </reference>
          <reference field="4" count="1" selected="0">
            <x v="128"/>
          </reference>
          <reference field="5" count="1">
            <x v="910"/>
          </reference>
        </references>
      </pivotArea>
    </format>
    <format dxfId="4985">
      <pivotArea dataOnly="0" labelOnly="1" fieldPosition="0">
        <references count="5">
          <reference field="1" count="1" selected="0">
            <x v="46"/>
          </reference>
          <reference field="2" count="1" selected="0">
            <x v="11"/>
          </reference>
          <reference field="3" count="1" selected="0">
            <x v="8"/>
          </reference>
          <reference field="4" count="1" selected="0">
            <x v="128"/>
          </reference>
          <reference field="5" count="1">
            <x v="591"/>
          </reference>
        </references>
      </pivotArea>
    </format>
    <format dxfId="4984">
      <pivotArea dataOnly="0" labelOnly="1" fieldPosition="0">
        <references count="5">
          <reference field="1" count="1" selected="0">
            <x v="46"/>
          </reference>
          <reference field="2" count="1" selected="0">
            <x v="15"/>
          </reference>
          <reference field="3" count="1" selected="0">
            <x v="38"/>
          </reference>
          <reference field="4" count="1" selected="0">
            <x v="128"/>
          </reference>
          <reference field="5" count="1">
            <x v="1274"/>
          </reference>
        </references>
      </pivotArea>
    </format>
    <format dxfId="4983">
      <pivotArea dataOnly="0" labelOnly="1" fieldPosition="0">
        <references count="5">
          <reference field="1" count="1" selected="0">
            <x v="46"/>
          </reference>
          <reference field="2" count="1" selected="0">
            <x v="19"/>
          </reference>
          <reference field="3" count="1" selected="0">
            <x v="37"/>
          </reference>
          <reference field="4" count="1" selected="0">
            <x v="128"/>
          </reference>
          <reference field="5" count="1">
            <x v="445"/>
          </reference>
        </references>
      </pivotArea>
    </format>
    <format dxfId="4982">
      <pivotArea dataOnly="0" labelOnly="1" fieldPosition="0">
        <references count="5">
          <reference field="1" count="1" selected="0">
            <x v="46"/>
          </reference>
          <reference field="2" count="1" selected="0">
            <x v="21"/>
          </reference>
          <reference field="3" count="1" selected="0">
            <x v="38"/>
          </reference>
          <reference field="4" count="1" selected="0">
            <x v="128"/>
          </reference>
          <reference field="5" count="1">
            <x v="1274"/>
          </reference>
        </references>
      </pivotArea>
    </format>
    <format dxfId="4981">
      <pivotArea dataOnly="0" labelOnly="1" fieldPosition="0">
        <references count="5">
          <reference field="1" count="1" selected="0">
            <x v="46"/>
          </reference>
          <reference field="2" count="1" selected="0">
            <x v="23"/>
          </reference>
          <reference field="3" count="1" selected="0">
            <x v="38"/>
          </reference>
          <reference field="4" count="1" selected="0">
            <x v="128"/>
          </reference>
          <reference field="5" count="1">
            <x v="1853"/>
          </reference>
        </references>
      </pivotArea>
    </format>
    <format dxfId="4980">
      <pivotArea dataOnly="0" labelOnly="1" fieldPosition="0">
        <references count="5">
          <reference field="1" count="1" selected="0">
            <x v="46"/>
          </reference>
          <reference field="2" count="1" selected="0">
            <x v="35"/>
          </reference>
          <reference field="3" count="1" selected="0">
            <x v="37"/>
          </reference>
          <reference field="4" count="1" selected="0">
            <x v="128"/>
          </reference>
          <reference field="5" count="2">
            <x v="1245"/>
            <x v="1325"/>
          </reference>
        </references>
      </pivotArea>
    </format>
    <format dxfId="4979">
      <pivotArea dataOnly="0" labelOnly="1" fieldPosition="0">
        <references count="5">
          <reference field="1" count="1" selected="0">
            <x v="47"/>
          </reference>
          <reference field="2" count="1" selected="0">
            <x v="0"/>
          </reference>
          <reference field="3" count="1" selected="0">
            <x v="12"/>
          </reference>
          <reference field="4" count="1" selected="0">
            <x v="36"/>
          </reference>
          <reference field="5" count="1">
            <x v="748"/>
          </reference>
        </references>
      </pivotArea>
    </format>
    <format dxfId="4978">
      <pivotArea dataOnly="0" labelOnly="1" fieldPosition="0">
        <references count="5">
          <reference field="1" count="1" selected="0">
            <x v="48"/>
          </reference>
          <reference field="2" count="1" selected="0">
            <x v="6"/>
          </reference>
          <reference field="3" count="1" selected="0">
            <x v="37"/>
          </reference>
          <reference field="4" count="1" selected="0">
            <x v="129"/>
          </reference>
          <reference field="5" count="1">
            <x v="1369"/>
          </reference>
        </references>
      </pivotArea>
    </format>
    <format dxfId="4977">
      <pivotArea dataOnly="0" labelOnly="1" fieldPosition="0">
        <references count="5">
          <reference field="1" count="1" selected="0">
            <x v="48"/>
          </reference>
          <reference field="2" count="1" selected="0">
            <x v="8"/>
          </reference>
          <reference field="3" count="1" selected="0">
            <x v="37"/>
          </reference>
          <reference field="4" count="1" selected="0">
            <x v="129"/>
          </reference>
          <reference field="5" count="1">
            <x v="1306"/>
          </reference>
        </references>
      </pivotArea>
    </format>
    <format dxfId="4976">
      <pivotArea dataOnly="0" labelOnly="1" fieldPosition="0">
        <references count="5">
          <reference field="1" count="1" selected="0">
            <x v="48"/>
          </reference>
          <reference field="2" count="1" selected="0">
            <x v="12"/>
          </reference>
          <reference field="3" count="1" selected="0">
            <x v="1"/>
          </reference>
          <reference field="4" count="1" selected="0">
            <x v="129"/>
          </reference>
          <reference field="5" count="7">
            <x v="80"/>
            <x v="213"/>
            <x v="352"/>
            <x v="607"/>
            <x v="702"/>
            <x v="846"/>
            <x v="1199"/>
          </reference>
        </references>
      </pivotArea>
    </format>
    <format dxfId="4975">
      <pivotArea dataOnly="0" labelOnly="1" fieldPosition="0">
        <references count="5">
          <reference field="1" count="1" selected="0">
            <x v="48"/>
          </reference>
          <reference field="2" count="1" selected="0">
            <x v="19"/>
          </reference>
          <reference field="3" count="1" selected="0">
            <x v="37"/>
          </reference>
          <reference field="4" count="1" selected="0">
            <x v="129"/>
          </reference>
          <reference field="5" count="1">
            <x v="641"/>
          </reference>
        </references>
      </pivotArea>
    </format>
    <format dxfId="4974">
      <pivotArea dataOnly="0" labelOnly="1" fieldPosition="0">
        <references count="5">
          <reference field="1" count="1" selected="0">
            <x v="48"/>
          </reference>
          <reference field="2" count="1" selected="0">
            <x v="23"/>
          </reference>
          <reference field="3" count="1" selected="0">
            <x v="6"/>
          </reference>
          <reference field="4" count="1" selected="0">
            <x v="129"/>
          </reference>
          <reference field="5" count="1">
            <x v="1028"/>
          </reference>
        </references>
      </pivotArea>
    </format>
    <format dxfId="4973">
      <pivotArea dataOnly="0" labelOnly="1" fieldPosition="0">
        <references count="5">
          <reference field="1" count="1" selected="0">
            <x v="48"/>
          </reference>
          <reference field="2" count="1" selected="0">
            <x v="23"/>
          </reference>
          <reference field="3" count="1" selected="0">
            <x v="37"/>
          </reference>
          <reference field="4" count="1" selected="0">
            <x v="129"/>
          </reference>
          <reference field="5" count="1">
            <x v="301"/>
          </reference>
        </references>
      </pivotArea>
    </format>
    <format dxfId="4972">
      <pivotArea dataOnly="0" labelOnly="1" fieldPosition="0">
        <references count="5">
          <reference field="1" count="1" selected="0">
            <x v="48"/>
          </reference>
          <reference field="2" count="1" selected="0">
            <x v="35"/>
          </reference>
          <reference field="3" count="1" selected="0">
            <x v="1"/>
          </reference>
          <reference field="4" count="1" selected="0">
            <x v="129"/>
          </reference>
          <reference field="5" count="1">
            <x v="213"/>
          </reference>
        </references>
      </pivotArea>
    </format>
    <format dxfId="4971">
      <pivotArea dataOnly="0" labelOnly="1" fieldPosition="0">
        <references count="5">
          <reference field="1" count="1" selected="0">
            <x v="48"/>
          </reference>
          <reference field="2" count="1" selected="0">
            <x v="36"/>
          </reference>
          <reference field="3" count="1" selected="0">
            <x v="6"/>
          </reference>
          <reference field="4" count="1" selected="0">
            <x v="129"/>
          </reference>
          <reference field="5" count="1">
            <x v="274"/>
          </reference>
        </references>
      </pivotArea>
    </format>
    <format dxfId="4970">
      <pivotArea dataOnly="0" labelOnly="1" fieldPosition="0">
        <references count="5">
          <reference field="1" count="1" selected="0">
            <x v="49"/>
          </reference>
          <reference field="2" count="1" selected="0">
            <x v="0"/>
          </reference>
          <reference field="3" count="1" selected="0">
            <x v="6"/>
          </reference>
          <reference field="4" count="1" selected="0">
            <x v="130"/>
          </reference>
          <reference field="5" count="1">
            <x v="248"/>
          </reference>
        </references>
      </pivotArea>
    </format>
    <format dxfId="4969">
      <pivotArea dataOnly="0" labelOnly="1" fieldPosition="0">
        <references count="5">
          <reference field="1" count="1" selected="0">
            <x v="49"/>
          </reference>
          <reference field="2" count="1" selected="0">
            <x v="0"/>
          </reference>
          <reference field="3" count="1" selected="0">
            <x v="8"/>
          </reference>
          <reference field="4" count="1" selected="0">
            <x v="130"/>
          </reference>
          <reference field="5" count="2">
            <x v="351"/>
            <x v="809"/>
          </reference>
        </references>
      </pivotArea>
    </format>
    <format dxfId="4968">
      <pivotArea dataOnly="0" labelOnly="1" fieldPosition="0">
        <references count="5">
          <reference field="1" count="1" selected="0">
            <x v="49"/>
          </reference>
          <reference field="2" count="1" selected="0">
            <x v="0"/>
          </reference>
          <reference field="3" count="1" selected="0">
            <x v="9"/>
          </reference>
          <reference field="4" count="1" selected="0">
            <x v="130"/>
          </reference>
          <reference field="5" count="4">
            <x v="552"/>
            <x v="576"/>
            <x v="836"/>
            <x v="1018"/>
          </reference>
        </references>
      </pivotArea>
    </format>
    <format dxfId="4967">
      <pivotArea dataOnly="0" labelOnly="1" fieldPosition="0">
        <references count="5">
          <reference field="1" count="1" selected="0">
            <x v="49"/>
          </reference>
          <reference field="2" count="1" selected="0">
            <x v="0"/>
          </reference>
          <reference field="3" count="1" selected="0">
            <x v="12"/>
          </reference>
          <reference field="4" count="1" selected="0">
            <x v="18"/>
          </reference>
          <reference field="5" count="1">
            <x v="20"/>
          </reference>
        </references>
      </pivotArea>
    </format>
    <format dxfId="4966">
      <pivotArea dataOnly="0" labelOnly="1" fieldPosition="0">
        <references count="5">
          <reference field="1" count="1" selected="0">
            <x v="49"/>
          </reference>
          <reference field="2" count="1" selected="0">
            <x v="0"/>
          </reference>
          <reference field="3" count="1" selected="0">
            <x v="12"/>
          </reference>
          <reference field="4" count="1" selected="0">
            <x v="48"/>
          </reference>
          <reference field="5" count="1">
            <x v="18"/>
          </reference>
        </references>
      </pivotArea>
    </format>
    <format dxfId="4965">
      <pivotArea dataOnly="0" labelOnly="1" fieldPosition="0">
        <references count="5">
          <reference field="1" count="1" selected="0">
            <x v="49"/>
          </reference>
          <reference field="2" count="1" selected="0">
            <x v="0"/>
          </reference>
          <reference field="3" count="1" selected="0">
            <x v="12"/>
          </reference>
          <reference field="4" count="1" selected="0">
            <x v="58"/>
          </reference>
          <reference field="5" count="1">
            <x v="6"/>
          </reference>
        </references>
      </pivotArea>
    </format>
    <format dxfId="4964">
      <pivotArea dataOnly="0" labelOnly="1" fieldPosition="0">
        <references count="5">
          <reference field="1" count="1" selected="0">
            <x v="49"/>
          </reference>
          <reference field="2" count="1" selected="0">
            <x v="7"/>
          </reference>
          <reference field="3" count="1" selected="0">
            <x v="8"/>
          </reference>
          <reference field="4" count="1" selected="0">
            <x v="130"/>
          </reference>
          <reference field="5" count="1">
            <x v="782"/>
          </reference>
        </references>
      </pivotArea>
    </format>
    <format dxfId="4963">
      <pivotArea dataOnly="0" labelOnly="1" fieldPosition="0">
        <references count="5">
          <reference field="1" count="1" selected="0">
            <x v="49"/>
          </reference>
          <reference field="2" count="1" selected="0">
            <x v="7"/>
          </reference>
          <reference field="3" count="1" selected="0">
            <x v="10"/>
          </reference>
          <reference field="4" count="1" selected="0">
            <x v="130"/>
          </reference>
          <reference field="5" count="1">
            <x v="607"/>
          </reference>
        </references>
      </pivotArea>
    </format>
    <format dxfId="4962">
      <pivotArea dataOnly="0" labelOnly="1" fieldPosition="0">
        <references count="5">
          <reference field="1" count="1" selected="0">
            <x v="49"/>
          </reference>
          <reference field="2" count="1" selected="0">
            <x v="12"/>
          </reference>
          <reference field="3" count="1" selected="0">
            <x v="1"/>
          </reference>
          <reference field="4" count="1" selected="0">
            <x v="130"/>
          </reference>
          <reference field="5" count="3">
            <x v="500"/>
            <x v="846"/>
            <x v="964"/>
          </reference>
        </references>
      </pivotArea>
    </format>
    <format dxfId="4961">
      <pivotArea dataOnly="0" labelOnly="1" fieldPosition="0">
        <references count="5">
          <reference field="1" count="1" selected="0">
            <x v="49"/>
          </reference>
          <reference field="2" count="1" selected="0">
            <x v="15"/>
          </reference>
          <reference field="3" count="1" selected="0">
            <x v="37"/>
          </reference>
          <reference field="4" count="1" selected="0">
            <x v="130"/>
          </reference>
          <reference field="5" count="1">
            <x v="1367"/>
          </reference>
        </references>
      </pivotArea>
    </format>
    <format dxfId="4960">
      <pivotArea dataOnly="0" labelOnly="1" fieldPosition="0">
        <references count="5">
          <reference field="1" count="1" selected="0">
            <x v="49"/>
          </reference>
          <reference field="2" count="1" selected="0">
            <x v="21"/>
          </reference>
          <reference field="3" count="1" selected="0">
            <x v="37"/>
          </reference>
          <reference field="4" count="1" selected="0">
            <x v="130"/>
          </reference>
          <reference field="5" count="1">
            <x v="755"/>
          </reference>
        </references>
      </pivotArea>
    </format>
    <format dxfId="4959">
      <pivotArea dataOnly="0" labelOnly="1" fieldPosition="0">
        <references count="5">
          <reference field="1" count="1" selected="0">
            <x v="49"/>
          </reference>
          <reference field="2" count="1" selected="0">
            <x v="27"/>
          </reference>
          <reference field="3" count="1" selected="0">
            <x v="6"/>
          </reference>
          <reference field="4" count="1" selected="0">
            <x v="130"/>
          </reference>
          <reference field="5" count="1">
            <x v="1442"/>
          </reference>
        </references>
      </pivotArea>
    </format>
    <format dxfId="4958">
      <pivotArea dataOnly="0" labelOnly="1" fieldPosition="0">
        <references count="5">
          <reference field="1" count="1" selected="0">
            <x v="49"/>
          </reference>
          <reference field="2" count="1" selected="0">
            <x v="27"/>
          </reference>
          <reference field="3" count="1" selected="0">
            <x v="37"/>
          </reference>
          <reference field="4" count="1" selected="0">
            <x v="130"/>
          </reference>
          <reference field="5" count="1">
            <x v="1335"/>
          </reference>
        </references>
      </pivotArea>
    </format>
    <format dxfId="4957">
      <pivotArea dataOnly="0" labelOnly="1" fieldPosition="0">
        <references count="5">
          <reference field="1" count="1" selected="0">
            <x v="49"/>
          </reference>
          <reference field="2" count="1" selected="0">
            <x v="35"/>
          </reference>
          <reference field="3" count="1" selected="0">
            <x v="1"/>
          </reference>
          <reference field="4" count="1" selected="0">
            <x v="130"/>
          </reference>
          <reference field="5" count="1">
            <x v="80"/>
          </reference>
        </references>
      </pivotArea>
    </format>
    <format dxfId="4956">
      <pivotArea dataOnly="0" labelOnly="1" fieldPosition="0">
        <references count="5">
          <reference field="1" count="1" selected="0">
            <x v="50"/>
          </reference>
          <reference field="2" count="1" selected="0">
            <x v="0"/>
          </reference>
          <reference field="3" count="1" selected="0">
            <x v="6"/>
          </reference>
          <reference field="4" count="1" selected="0">
            <x v="131"/>
          </reference>
          <reference field="5" count="1">
            <x v="366"/>
          </reference>
        </references>
      </pivotArea>
    </format>
    <format dxfId="4955">
      <pivotArea dataOnly="0" labelOnly="1" fieldPosition="0">
        <references count="5">
          <reference field="1" count="1" selected="0">
            <x v="50"/>
          </reference>
          <reference field="2" count="1" selected="0">
            <x v="0"/>
          </reference>
          <reference field="3" count="1" selected="0">
            <x v="12"/>
          </reference>
          <reference field="4" count="1" selected="0">
            <x v="21"/>
          </reference>
          <reference field="5" count="1">
            <x v="194"/>
          </reference>
        </references>
      </pivotArea>
    </format>
    <format dxfId="4954">
      <pivotArea dataOnly="0" labelOnly="1" fieldPosition="0">
        <references count="5">
          <reference field="1" count="1" selected="0">
            <x v="50"/>
          </reference>
          <reference field="2" count="1" selected="0">
            <x v="0"/>
          </reference>
          <reference field="3" count="1" selected="0">
            <x v="12"/>
          </reference>
          <reference field="4" count="1" selected="0">
            <x v="32"/>
          </reference>
          <reference field="5" count="1">
            <x v="391"/>
          </reference>
        </references>
      </pivotArea>
    </format>
    <format dxfId="4953">
      <pivotArea dataOnly="0" labelOnly="1" fieldPosition="0">
        <references count="5">
          <reference field="1" count="1" selected="0">
            <x v="50"/>
          </reference>
          <reference field="2" count="1" selected="0">
            <x v="0"/>
          </reference>
          <reference field="3" count="1" selected="0">
            <x v="12"/>
          </reference>
          <reference field="4" count="1" selected="0">
            <x v="47"/>
          </reference>
          <reference field="5" count="1">
            <x v="23"/>
          </reference>
        </references>
      </pivotArea>
    </format>
    <format dxfId="4952">
      <pivotArea dataOnly="0" labelOnly="1" fieldPosition="0">
        <references count="5">
          <reference field="1" count="1" selected="0">
            <x v="50"/>
          </reference>
          <reference field="2" count="1" selected="0">
            <x v="0"/>
          </reference>
          <reference field="3" count="1" selected="0">
            <x v="37"/>
          </reference>
          <reference field="4" count="1" selected="0">
            <x v="131"/>
          </reference>
          <reference field="5" count="1">
            <x v="633"/>
          </reference>
        </references>
      </pivotArea>
    </format>
    <format dxfId="4951">
      <pivotArea dataOnly="0" labelOnly="1" fieldPosition="0">
        <references count="5">
          <reference field="1" count="1" selected="0">
            <x v="50"/>
          </reference>
          <reference field="2" count="1" selected="0">
            <x v="3"/>
          </reference>
          <reference field="3" count="1" selected="0">
            <x v="37"/>
          </reference>
          <reference field="4" count="1" selected="0">
            <x v="131"/>
          </reference>
          <reference field="5" count="1">
            <x v="92"/>
          </reference>
        </references>
      </pivotArea>
    </format>
    <format dxfId="4950">
      <pivotArea dataOnly="0" labelOnly="1" fieldPosition="0">
        <references count="5">
          <reference field="1" count="1" selected="0">
            <x v="50"/>
          </reference>
          <reference field="2" count="1" selected="0">
            <x v="8"/>
          </reference>
          <reference field="3" count="1" selected="0">
            <x v="37"/>
          </reference>
          <reference field="4" count="1" selected="0">
            <x v="131"/>
          </reference>
          <reference field="5" count="1">
            <x v="1081"/>
          </reference>
        </references>
      </pivotArea>
    </format>
    <format dxfId="4949">
      <pivotArea dataOnly="0" labelOnly="1" fieldPosition="0">
        <references count="5">
          <reference field="1" count="1" selected="0">
            <x v="50"/>
          </reference>
          <reference field="2" count="1" selected="0">
            <x v="12"/>
          </reference>
          <reference field="3" count="1" selected="0">
            <x v="1"/>
          </reference>
          <reference field="4" count="1" selected="0">
            <x v="131"/>
          </reference>
          <reference field="5" count="3">
            <x v="213"/>
            <x v="352"/>
            <x v="1069"/>
          </reference>
        </references>
      </pivotArea>
    </format>
    <format dxfId="4948">
      <pivotArea dataOnly="0" labelOnly="1" fieldPosition="0">
        <references count="5">
          <reference field="1" count="1" selected="0">
            <x v="50"/>
          </reference>
          <reference field="2" count="1" selected="0">
            <x v="14"/>
          </reference>
          <reference field="3" count="1" selected="0">
            <x v="37"/>
          </reference>
          <reference field="4" count="1" selected="0">
            <x v="131"/>
          </reference>
          <reference field="5" count="1">
            <x v="352"/>
          </reference>
        </references>
      </pivotArea>
    </format>
    <format dxfId="4947">
      <pivotArea dataOnly="0" labelOnly="1" fieldPosition="0">
        <references count="5">
          <reference field="1" count="1" selected="0">
            <x v="50"/>
          </reference>
          <reference field="2" count="1" selected="0">
            <x v="35"/>
          </reference>
          <reference field="3" count="1" selected="0">
            <x v="1"/>
          </reference>
          <reference field="4" count="1" selected="0">
            <x v="131"/>
          </reference>
          <reference field="5" count="1">
            <x v="213"/>
          </reference>
        </references>
      </pivotArea>
    </format>
    <format dxfId="4946">
      <pivotArea dataOnly="0" labelOnly="1" fieldPosition="0">
        <references count="5">
          <reference field="1" count="1" selected="0">
            <x v="51"/>
          </reference>
          <reference field="2" count="1" selected="0">
            <x v="0"/>
          </reference>
          <reference field="3" count="1" selected="0">
            <x v="8"/>
          </reference>
          <reference field="4" count="1" selected="0">
            <x v="133"/>
          </reference>
          <reference field="5" count="2">
            <x v="351"/>
            <x v="616"/>
          </reference>
        </references>
      </pivotArea>
    </format>
    <format dxfId="4945">
      <pivotArea dataOnly="0" labelOnly="1" fieldPosition="0">
        <references count="5">
          <reference field="1" count="1" selected="0">
            <x v="51"/>
          </reference>
          <reference field="2" count="1" selected="0">
            <x v="0"/>
          </reference>
          <reference field="3" count="1" selected="0">
            <x v="9"/>
          </reference>
          <reference field="4" count="1" selected="0">
            <x v="133"/>
          </reference>
          <reference field="5" count="3">
            <x v="300"/>
            <x v="502"/>
            <x v="553"/>
          </reference>
        </references>
      </pivotArea>
    </format>
    <format dxfId="4944">
      <pivotArea dataOnly="0" labelOnly="1" fieldPosition="0">
        <references count="5">
          <reference field="1" count="1" selected="0">
            <x v="51"/>
          </reference>
          <reference field="2" count="1" selected="0">
            <x v="0"/>
          </reference>
          <reference field="3" count="1" selected="0">
            <x v="12"/>
          </reference>
          <reference field="4" count="1" selected="0">
            <x v="50"/>
          </reference>
          <reference field="5" count="1">
            <x v="248"/>
          </reference>
        </references>
      </pivotArea>
    </format>
    <format dxfId="4943">
      <pivotArea dataOnly="0" labelOnly="1" fieldPosition="0">
        <references count="5">
          <reference field="1" count="1" selected="0">
            <x v="51"/>
          </reference>
          <reference field="2" count="1" selected="0">
            <x v="0"/>
          </reference>
          <reference field="3" count="1" selected="0">
            <x v="12"/>
          </reference>
          <reference field="4" count="1" selected="0">
            <x v="58"/>
          </reference>
          <reference field="5" count="1">
            <x v="11"/>
          </reference>
        </references>
      </pivotArea>
    </format>
    <format dxfId="4942">
      <pivotArea dataOnly="0" labelOnly="1" fieldPosition="0">
        <references count="5">
          <reference field="1" count="1" selected="0">
            <x v="51"/>
          </reference>
          <reference field="2" count="1" selected="0">
            <x v="0"/>
          </reference>
          <reference field="3" count="1" selected="0">
            <x v="18"/>
          </reference>
          <reference field="4" count="1" selected="0">
            <x v="132"/>
          </reference>
          <reference field="5" count="7">
            <x v="302"/>
            <x v="507"/>
            <x v="573"/>
            <x v="626"/>
            <x v="637"/>
            <x v="1030"/>
            <x v="1196"/>
          </reference>
        </references>
      </pivotArea>
    </format>
    <format dxfId="4941">
      <pivotArea dataOnly="0" labelOnly="1" fieldPosition="0">
        <references count="5">
          <reference field="1" count="1" selected="0">
            <x v="51"/>
          </reference>
          <reference field="2" count="1" selected="0">
            <x v="2"/>
          </reference>
          <reference field="3" count="1" selected="0">
            <x v="18"/>
          </reference>
          <reference field="4" count="1" selected="0">
            <x v="132"/>
          </reference>
          <reference field="5" count="1">
            <x v="1821"/>
          </reference>
        </references>
      </pivotArea>
    </format>
    <format dxfId="4940">
      <pivotArea dataOnly="0" labelOnly="1" fieldPosition="0">
        <references count="5">
          <reference field="1" count="1" selected="0">
            <x v="51"/>
          </reference>
          <reference field="2" count="1" selected="0">
            <x v="10"/>
          </reference>
          <reference field="3" count="1" selected="0">
            <x v="10"/>
          </reference>
          <reference field="4" count="1" selected="0">
            <x v="133"/>
          </reference>
          <reference field="5" count="1">
            <x v="1758"/>
          </reference>
        </references>
      </pivotArea>
    </format>
    <format dxfId="4939">
      <pivotArea dataOnly="0" labelOnly="1" fieldPosition="0">
        <references count="5">
          <reference field="1" count="1" selected="0">
            <x v="51"/>
          </reference>
          <reference field="2" count="1" selected="0">
            <x v="12"/>
          </reference>
          <reference field="3" count="1" selected="0">
            <x v="18"/>
          </reference>
          <reference field="4" count="1" selected="0">
            <x v="132"/>
          </reference>
          <reference field="5" count="25">
            <x v="54"/>
            <x v="95"/>
            <x v="367"/>
            <x v="468"/>
            <x v="808"/>
            <x v="1082"/>
            <x v="1120"/>
            <x v="1215"/>
            <x v="1222"/>
            <x v="1340"/>
            <x v="1371"/>
            <x v="1431"/>
            <x v="1444"/>
            <x v="1449"/>
            <x v="1457"/>
            <x v="1475"/>
            <x v="1493"/>
            <x v="1559"/>
            <x v="1630"/>
            <x v="1637"/>
            <x v="1741"/>
            <x v="1764"/>
            <x v="1786"/>
            <x v="1808"/>
            <x v="1816"/>
          </reference>
        </references>
      </pivotArea>
    </format>
    <format dxfId="4938">
      <pivotArea dataOnly="0" labelOnly="1" fieldPosition="0">
        <references count="5">
          <reference field="1" count="1" selected="0">
            <x v="51"/>
          </reference>
          <reference field="2" count="1" selected="0">
            <x v="21"/>
          </reference>
          <reference field="3" count="1" selected="0">
            <x v="18"/>
          </reference>
          <reference field="4" count="1" selected="0">
            <x v="132"/>
          </reference>
          <reference field="5" count="1">
            <x v="1501"/>
          </reference>
        </references>
      </pivotArea>
    </format>
    <format dxfId="4937">
      <pivotArea dataOnly="0" labelOnly="1" fieldPosition="0">
        <references count="5">
          <reference field="1" count="1" selected="0">
            <x v="51"/>
          </reference>
          <reference field="2" count="1" selected="0">
            <x v="23"/>
          </reference>
          <reference field="3" count="1" selected="0">
            <x v="9"/>
          </reference>
          <reference field="4" count="1" selected="0">
            <x v="133"/>
          </reference>
          <reference field="5" count="1">
            <x v="1318"/>
          </reference>
        </references>
      </pivotArea>
    </format>
    <format dxfId="4936">
      <pivotArea dataOnly="0" labelOnly="1" fieldPosition="0">
        <references count="5">
          <reference field="1" count="1" selected="0">
            <x v="51"/>
          </reference>
          <reference field="2" count="1" selected="0">
            <x v="23"/>
          </reference>
          <reference field="3" count="1" selected="0">
            <x v="18"/>
          </reference>
          <reference field="4" count="1" selected="0">
            <x v="132"/>
          </reference>
          <reference field="5" count="1">
            <x v="1613"/>
          </reference>
        </references>
      </pivotArea>
    </format>
    <format dxfId="4935">
      <pivotArea dataOnly="0" labelOnly="1" fieldPosition="0">
        <references count="5">
          <reference field="1" count="1" selected="0">
            <x v="51"/>
          </reference>
          <reference field="2" count="1" selected="0">
            <x v="24"/>
          </reference>
          <reference field="3" count="1" selected="0">
            <x v="18"/>
          </reference>
          <reference field="4" count="1" selected="0">
            <x v="132"/>
          </reference>
          <reference field="5" count="1">
            <x v="1451"/>
          </reference>
        </references>
      </pivotArea>
    </format>
    <format dxfId="4934">
      <pivotArea dataOnly="0" labelOnly="1" fieldPosition="0">
        <references count="5">
          <reference field="1" count="1" selected="0">
            <x v="51"/>
          </reference>
          <reference field="2" count="1" selected="0">
            <x v="27"/>
          </reference>
          <reference field="3" count="1" selected="0">
            <x v="18"/>
          </reference>
          <reference field="4" count="1" selected="0">
            <x v="132"/>
          </reference>
          <reference field="5" count="1">
            <x v="1020"/>
          </reference>
        </references>
      </pivotArea>
    </format>
    <format dxfId="4933">
      <pivotArea dataOnly="0" labelOnly="1" fieldPosition="0">
        <references count="5">
          <reference field="1" count="1" selected="0">
            <x v="51"/>
          </reference>
          <reference field="2" count="1" selected="0">
            <x v="32"/>
          </reference>
          <reference field="3" count="1" selected="0">
            <x v="37"/>
          </reference>
          <reference field="4" count="1" selected="0">
            <x v="133"/>
          </reference>
          <reference field="5" count="1">
            <x v="1274"/>
          </reference>
        </references>
      </pivotArea>
    </format>
    <format dxfId="4932">
      <pivotArea dataOnly="0" labelOnly="1" fieldPosition="0">
        <references count="5">
          <reference field="1" count="1" selected="0">
            <x v="51"/>
          </reference>
          <reference field="2" count="1" selected="0">
            <x v="35"/>
          </reference>
          <reference field="3" count="1" selected="0">
            <x v="18"/>
          </reference>
          <reference field="4" count="1" selected="0">
            <x v="132"/>
          </reference>
          <reference field="5" count="12">
            <x v="142"/>
            <x v="146"/>
            <x v="184"/>
            <x v="211"/>
            <x v="246"/>
            <x v="290"/>
            <x v="407"/>
            <x v="436"/>
            <x v="590"/>
            <x v="703"/>
            <x v="713"/>
            <x v="822"/>
          </reference>
        </references>
      </pivotArea>
    </format>
    <format dxfId="4931">
      <pivotArea dataOnly="0" labelOnly="1" fieldPosition="0">
        <references count="5">
          <reference field="1" count="1" selected="0">
            <x v="52"/>
          </reference>
          <reference field="2" count="1" selected="0">
            <x v="0"/>
          </reference>
          <reference field="3" count="1" selected="0">
            <x v="8"/>
          </reference>
          <reference field="4" count="1" selected="0">
            <x v="134"/>
          </reference>
          <reference field="5" count="1">
            <x v="0"/>
          </reference>
        </references>
      </pivotArea>
    </format>
    <format dxfId="4930">
      <pivotArea dataOnly="0" labelOnly="1" fieldPosition="0">
        <references count="5">
          <reference field="1" count="1" selected="0">
            <x v="52"/>
          </reference>
          <reference field="2" count="1" selected="0">
            <x v="0"/>
          </reference>
          <reference field="3" count="1" selected="0">
            <x v="12"/>
          </reference>
          <reference field="4" count="1" selected="0">
            <x v="17"/>
          </reference>
          <reference field="5" count="1">
            <x v="29"/>
          </reference>
        </references>
      </pivotArea>
    </format>
    <format dxfId="4929">
      <pivotArea dataOnly="0" labelOnly="1" fieldPosition="0">
        <references count="5">
          <reference field="1" count="1" selected="0">
            <x v="52"/>
          </reference>
          <reference field="2" count="1" selected="0">
            <x v="0"/>
          </reference>
          <reference field="3" count="1" selected="0">
            <x v="12"/>
          </reference>
          <reference field="4" count="1" selected="0">
            <x v="50"/>
          </reference>
          <reference field="5" count="1">
            <x v="248"/>
          </reference>
        </references>
      </pivotArea>
    </format>
    <format dxfId="4928">
      <pivotArea dataOnly="0" labelOnly="1" fieldPosition="0">
        <references count="5">
          <reference field="1" count="1" selected="0">
            <x v="52"/>
          </reference>
          <reference field="2" count="1" selected="0">
            <x v="0"/>
          </reference>
          <reference field="3" count="1" selected="0">
            <x v="12"/>
          </reference>
          <reference field="4" count="1" selected="0">
            <x v="58"/>
          </reference>
          <reference field="5" count="1">
            <x v="6"/>
          </reference>
        </references>
      </pivotArea>
    </format>
    <format dxfId="4927">
      <pivotArea dataOnly="0" labelOnly="1" fieldPosition="0">
        <references count="5">
          <reference field="1" count="1" selected="0">
            <x v="52"/>
          </reference>
          <reference field="2" count="1" selected="0">
            <x v="0"/>
          </reference>
          <reference field="3" count="1" selected="0">
            <x v="12"/>
          </reference>
          <reference field="4" count="1" selected="0">
            <x v="60"/>
          </reference>
          <reference field="5" count="1">
            <x v="9"/>
          </reference>
        </references>
      </pivotArea>
    </format>
    <format dxfId="4926">
      <pivotArea dataOnly="0" labelOnly="1" fieldPosition="0">
        <references count="5">
          <reference field="1" count="1" selected="0">
            <x v="52"/>
          </reference>
          <reference field="2" count="1" selected="0">
            <x v="3"/>
          </reference>
          <reference field="3" count="1" selected="0">
            <x v="37"/>
          </reference>
          <reference field="4" count="1" selected="0">
            <x v="134"/>
          </reference>
          <reference field="5" count="1">
            <x v="322"/>
          </reference>
        </references>
      </pivotArea>
    </format>
    <format dxfId="4925">
      <pivotArea dataOnly="0" labelOnly="1" fieldPosition="0">
        <references count="5">
          <reference field="1" count="1" selected="0">
            <x v="52"/>
          </reference>
          <reference field="2" count="1" selected="0">
            <x v="6"/>
          </reference>
          <reference field="3" count="1" selected="0">
            <x v="37"/>
          </reference>
          <reference field="4" count="1" selected="0">
            <x v="134"/>
          </reference>
          <reference field="5" count="1">
            <x v="1051"/>
          </reference>
        </references>
      </pivotArea>
    </format>
    <format dxfId="4924">
      <pivotArea dataOnly="0" labelOnly="1" fieldPosition="0">
        <references count="5">
          <reference field="1" count="1" selected="0">
            <x v="52"/>
          </reference>
          <reference field="2" count="1" selected="0">
            <x v="10"/>
          </reference>
          <reference field="3" count="1" selected="0">
            <x v="33"/>
          </reference>
          <reference field="4" count="1" selected="0">
            <x v="134"/>
          </reference>
          <reference field="5" count="1">
            <x v="1197"/>
          </reference>
        </references>
      </pivotArea>
    </format>
    <format dxfId="4923">
      <pivotArea dataOnly="0" labelOnly="1" fieldPosition="0">
        <references count="5">
          <reference field="1" count="1" selected="0">
            <x v="52"/>
          </reference>
          <reference field="2" count="1" selected="0">
            <x v="12"/>
          </reference>
          <reference field="3" count="1" selected="0">
            <x v="1"/>
          </reference>
          <reference field="4" count="1" selected="0">
            <x v="134"/>
          </reference>
          <reference field="5" count="6">
            <x v="80"/>
            <x v="213"/>
            <x v="352"/>
            <x v="607"/>
            <x v="771"/>
            <x v="964"/>
          </reference>
        </references>
      </pivotArea>
    </format>
    <format dxfId="4922">
      <pivotArea dataOnly="0" labelOnly="1" fieldPosition="0">
        <references count="5">
          <reference field="1" count="1" selected="0">
            <x v="52"/>
          </reference>
          <reference field="2" count="1" selected="0">
            <x v="12"/>
          </reference>
          <reference field="3" count="1" selected="0">
            <x v="37"/>
          </reference>
          <reference field="4" count="1" selected="0">
            <x v="134"/>
          </reference>
          <reference field="5" count="1">
            <x v="1244"/>
          </reference>
        </references>
      </pivotArea>
    </format>
    <format dxfId="4921">
      <pivotArea dataOnly="0" labelOnly="1" fieldPosition="0">
        <references count="5">
          <reference field="1" count="1" selected="0">
            <x v="52"/>
          </reference>
          <reference field="2" count="1" selected="0">
            <x v="21"/>
          </reference>
          <reference field="3" count="1" selected="0">
            <x v="37"/>
          </reference>
          <reference field="4" count="1" selected="0">
            <x v="134"/>
          </reference>
          <reference field="5" count="1">
            <x v="80"/>
          </reference>
        </references>
      </pivotArea>
    </format>
    <format dxfId="4920">
      <pivotArea dataOnly="0" labelOnly="1" fieldPosition="0">
        <references count="5">
          <reference field="1" count="1" selected="0">
            <x v="52"/>
          </reference>
          <reference field="2" count="1" selected="0">
            <x v="23"/>
          </reference>
          <reference field="3" count="1" selected="0">
            <x v="37"/>
          </reference>
          <reference field="4" count="1" selected="0">
            <x v="134"/>
          </reference>
          <reference field="5" count="1">
            <x v="43"/>
          </reference>
        </references>
      </pivotArea>
    </format>
    <format dxfId="4919">
      <pivotArea dataOnly="0" labelOnly="1" fieldPosition="0">
        <references count="5">
          <reference field="1" count="1" selected="0">
            <x v="52"/>
          </reference>
          <reference field="2" count="1" selected="0">
            <x v="35"/>
          </reference>
          <reference field="3" count="1" selected="0">
            <x v="1"/>
          </reference>
          <reference field="4" count="1" selected="0">
            <x v="134"/>
          </reference>
          <reference field="5" count="1">
            <x v="80"/>
          </reference>
        </references>
      </pivotArea>
    </format>
    <format dxfId="4918">
      <pivotArea dataOnly="0" labelOnly="1" fieldPosition="0">
        <references count="5">
          <reference field="1" count="1" selected="0">
            <x v="52"/>
          </reference>
          <reference field="2" count="1" selected="0">
            <x v="35"/>
          </reference>
          <reference field="3" count="1" selected="0">
            <x v="37"/>
          </reference>
          <reference field="4" count="1" selected="0">
            <x v="134"/>
          </reference>
          <reference field="5" count="1">
            <x v="51"/>
          </reference>
        </references>
      </pivotArea>
    </format>
    <format dxfId="4917">
      <pivotArea dataOnly="0" labelOnly="1" fieldPosition="0">
        <references count="5">
          <reference field="1" count="1" selected="0">
            <x v="53"/>
          </reference>
          <reference field="2" count="1" selected="0">
            <x v="0"/>
          </reference>
          <reference field="3" count="1" selected="0">
            <x v="1"/>
          </reference>
          <reference field="4" count="1" selected="0">
            <x v="136"/>
          </reference>
          <reference field="5" count="1">
            <x v="80"/>
          </reference>
        </references>
      </pivotArea>
    </format>
    <format dxfId="4916">
      <pivotArea dataOnly="0" labelOnly="1" fieldPosition="0">
        <references count="5">
          <reference field="1" count="1" selected="0">
            <x v="53"/>
          </reference>
          <reference field="2" count="1" selected="0">
            <x v="0"/>
          </reference>
          <reference field="3" count="1" selected="0">
            <x v="8"/>
          </reference>
          <reference field="4" count="1" selected="0">
            <x v="136"/>
          </reference>
          <reference field="5" count="5">
            <x v="209"/>
            <x v="578"/>
            <x v="694"/>
            <x v="1289"/>
            <x v="1470"/>
          </reference>
        </references>
      </pivotArea>
    </format>
    <format dxfId="4915">
      <pivotArea dataOnly="0" labelOnly="1" fieldPosition="0">
        <references count="5">
          <reference field="1" count="1" selected="0">
            <x v="53"/>
          </reference>
          <reference field="2" count="1" selected="0">
            <x v="0"/>
          </reference>
          <reference field="3" count="1" selected="0">
            <x v="9"/>
          </reference>
          <reference field="4" count="1" selected="0">
            <x v="136"/>
          </reference>
          <reference field="5" count="5">
            <x v="248"/>
            <x v="277"/>
            <x v="404"/>
            <x v="726"/>
            <x v="1145"/>
          </reference>
        </references>
      </pivotArea>
    </format>
    <format dxfId="4914">
      <pivotArea dataOnly="0" labelOnly="1" fieldPosition="0">
        <references count="5">
          <reference field="1" count="1" selected="0">
            <x v="53"/>
          </reference>
          <reference field="2" count="1" selected="0">
            <x v="0"/>
          </reference>
          <reference field="3" count="1" selected="0">
            <x v="12"/>
          </reference>
          <reference field="4" count="1" selected="0">
            <x v="48"/>
          </reference>
          <reference field="5" count="1">
            <x v="6"/>
          </reference>
        </references>
      </pivotArea>
    </format>
    <format dxfId="4913">
      <pivotArea dataOnly="0" labelOnly="1" fieldPosition="0">
        <references count="5">
          <reference field="1" count="1" selected="0">
            <x v="53"/>
          </reference>
          <reference field="2" count="1" selected="0">
            <x v="0"/>
          </reference>
          <reference field="3" count="1" selected="0">
            <x v="12"/>
          </reference>
          <reference field="4" count="1" selected="0">
            <x v="55"/>
          </reference>
          <reference field="5" count="1">
            <x v="8"/>
          </reference>
        </references>
      </pivotArea>
    </format>
    <format dxfId="4912">
      <pivotArea dataOnly="0" labelOnly="1" fieldPosition="0">
        <references count="5">
          <reference field="1" count="1" selected="0">
            <x v="53"/>
          </reference>
          <reference field="2" count="1" selected="0">
            <x v="0"/>
          </reference>
          <reference field="3" count="1" selected="0">
            <x v="12"/>
          </reference>
          <reference field="4" count="1" selected="0">
            <x v="62"/>
          </reference>
          <reference field="5" count="1">
            <x v="20"/>
          </reference>
        </references>
      </pivotArea>
    </format>
    <format dxfId="4911">
      <pivotArea dataOnly="0" labelOnly="1" fieldPosition="0">
        <references count="5">
          <reference field="1" count="1" selected="0">
            <x v="53"/>
          </reference>
          <reference field="2" count="1" selected="0">
            <x v="0"/>
          </reference>
          <reference field="3" count="1" selected="0">
            <x v="12"/>
          </reference>
          <reference field="4" count="1" selected="0">
            <x v="68"/>
          </reference>
          <reference field="5" count="1">
            <x v="18"/>
          </reference>
        </references>
      </pivotArea>
    </format>
    <format dxfId="4910">
      <pivotArea dataOnly="0" labelOnly="1" fieldPosition="0">
        <references count="5">
          <reference field="1" count="1" selected="0">
            <x v="53"/>
          </reference>
          <reference field="2" count="1" selected="0">
            <x v="2"/>
          </reference>
          <reference field="3" count="1" selected="0">
            <x v="1"/>
          </reference>
          <reference field="4" count="1" selected="0">
            <x v="136"/>
          </reference>
          <reference field="5" count="1">
            <x v="621"/>
          </reference>
        </references>
      </pivotArea>
    </format>
    <format dxfId="4909">
      <pivotArea dataOnly="0" labelOnly="1" fieldPosition="0">
        <references count="5">
          <reference field="1" count="1" selected="0">
            <x v="53"/>
          </reference>
          <reference field="2" count="1" selected="0">
            <x v="2"/>
          </reference>
          <reference field="3" count="1" selected="0">
            <x v="6"/>
          </reference>
          <reference field="4" count="1" selected="0">
            <x v="136"/>
          </reference>
          <reference field="5" count="1">
            <x v="632"/>
          </reference>
        </references>
      </pivotArea>
    </format>
    <format dxfId="4908">
      <pivotArea dataOnly="0" labelOnly="1" fieldPosition="0">
        <references count="5">
          <reference field="1" count="1" selected="0">
            <x v="53"/>
          </reference>
          <reference field="2" count="1" selected="0">
            <x v="2"/>
          </reference>
          <reference field="3" count="1" selected="0">
            <x v="8"/>
          </reference>
          <reference field="4" count="1" selected="0">
            <x v="136"/>
          </reference>
          <reference field="5" count="1">
            <x v="1294"/>
          </reference>
        </references>
      </pivotArea>
    </format>
    <format dxfId="4907">
      <pivotArea dataOnly="0" labelOnly="1" fieldPosition="0">
        <references count="5">
          <reference field="1" count="1" selected="0">
            <x v="53"/>
          </reference>
          <reference field="2" count="1" selected="0">
            <x v="5"/>
          </reference>
          <reference field="3" count="1" selected="0">
            <x v="1"/>
          </reference>
          <reference field="4" count="1" selected="0">
            <x v="136"/>
          </reference>
          <reference field="5" count="1">
            <x v="1176"/>
          </reference>
        </references>
      </pivotArea>
    </format>
    <format dxfId="4906">
      <pivotArea dataOnly="0" labelOnly="1" fieldPosition="0">
        <references count="5">
          <reference field="1" count="1" selected="0">
            <x v="53"/>
          </reference>
          <reference field="2" count="1" selected="0">
            <x v="6"/>
          </reference>
          <reference field="3" count="1" selected="0">
            <x v="37"/>
          </reference>
          <reference field="4" count="1" selected="0">
            <x v="136"/>
          </reference>
          <reference field="5" count="1">
            <x v="500"/>
          </reference>
        </references>
      </pivotArea>
    </format>
    <format dxfId="4905">
      <pivotArea dataOnly="0" labelOnly="1" fieldPosition="0">
        <references count="5">
          <reference field="1" count="1" selected="0">
            <x v="53"/>
          </reference>
          <reference field="2" count="1" selected="0">
            <x v="7"/>
          </reference>
          <reference field="3" count="1" selected="0">
            <x v="10"/>
          </reference>
          <reference field="4" count="1" selected="0">
            <x v="136"/>
          </reference>
          <reference field="5" count="1">
            <x v="1715"/>
          </reference>
        </references>
      </pivotArea>
    </format>
    <format dxfId="4904">
      <pivotArea dataOnly="0" labelOnly="1" fieldPosition="0">
        <references count="5">
          <reference field="1" count="1" selected="0">
            <x v="53"/>
          </reference>
          <reference field="2" count="1" selected="0">
            <x v="10"/>
          </reference>
          <reference field="3" count="1" selected="0">
            <x v="37"/>
          </reference>
          <reference field="4" count="1" selected="0">
            <x v="136"/>
          </reference>
          <reference field="5" count="1">
            <x v="1563"/>
          </reference>
        </references>
      </pivotArea>
    </format>
    <format dxfId="4903">
      <pivotArea dataOnly="0" labelOnly="1" fieldPosition="0">
        <references count="5">
          <reference field="1" count="1" selected="0">
            <x v="53"/>
          </reference>
          <reference field="2" count="1" selected="0">
            <x v="12"/>
          </reference>
          <reference field="3" count="1" selected="0">
            <x v="1"/>
          </reference>
          <reference field="4" count="1" selected="0">
            <x v="136"/>
          </reference>
          <reference field="5" count="5">
            <x v="80"/>
            <x v="213"/>
            <x v="352"/>
            <x v="500"/>
            <x v="771"/>
          </reference>
        </references>
      </pivotArea>
    </format>
    <format dxfId="4902">
      <pivotArea dataOnly="0" labelOnly="1" fieldPosition="0">
        <references count="5">
          <reference field="1" count="1" selected="0">
            <x v="53"/>
          </reference>
          <reference field="2" count="1" selected="0">
            <x v="15"/>
          </reference>
          <reference field="3" count="1" selected="0">
            <x v="1"/>
          </reference>
          <reference field="4" count="1" selected="0">
            <x v="136"/>
          </reference>
          <reference field="5" count="1">
            <x v="607"/>
          </reference>
        </references>
      </pivotArea>
    </format>
    <format dxfId="4901">
      <pivotArea dataOnly="0" labelOnly="1" fieldPosition="0">
        <references count="5">
          <reference field="1" count="1" selected="0">
            <x v="53"/>
          </reference>
          <reference field="2" count="1" selected="0">
            <x v="19"/>
          </reference>
          <reference field="3" count="1" selected="0">
            <x v="37"/>
          </reference>
          <reference field="4" count="1" selected="0">
            <x v="136"/>
          </reference>
          <reference field="5" count="1">
            <x v="1609"/>
          </reference>
        </references>
      </pivotArea>
    </format>
    <format dxfId="4900">
      <pivotArea dataOnly="0" labelOnly="1" fieldPosition="0">
        <references count="5">
          <reference field="1" count="1" selected="0">
            <x v="53"/>
          </reference>
          <reference field="2" count="1" selected="0">
            <x v="21"/>
          </reference>
          <reference field="3" count="1" selected="0">
            <x v="30"/>
          </reference>
          <reference field="4" count="1" selected="0">
            <x v="135"/>
          </reference>
          <reference field="5" count="1">
            <x v="1296"/>
          </reference>
        </references>
      </pivotArea>
    </format>
    <format dxfId="4899">
      <pivotArea dataOnly="0" labelOnly="1" fieldPosition="0">
        <references count="5">
          <reference field="1" count="1" selected="0">
            <x v="53"/>
          </reference>
          <reference field="2" count="1" selected="0">
            <x v="23"/>
          </reference>
          <reference field="3" count="1" selected="0">
            <x v="6"/>
          </reference>
          <reference field="4" count="1" selected="0">
            <x v="136"/>
          </reference>
          <reference field="5" count="1">
            <x v="158"/>
          </reference>
        </references>
      </pivotArea>
    </format>
    <format dxfId="4898">
      <pivotArea dataOnly="0" labelOnly="1" fieldPosition="0">
        <references count="5">
          <reference field="1" count="1" selected="0">
            <x v="53"/>
          </reference>
          <reference field="2" count="1" selected="0">
            <x v="26"/>
          </reference>
          <reference field="3" count="1" selected="0">
            <x v="1"/>
          </reference>
          <reference field="4" count="1" selected="0">
            <x v="136"/>
          </reference>
          <reference field="5" count="1">
            <x v="109"/>
          </reference>
        </references>
      </pivotArea>
    </format>
    <format dxfId="4897">
      <pivotArea dataOnly="0" labelOnly="1" fieldPosition="0">
        <references count="5">
          <reference field="1" count="1" selected="0">
            <x v="53"/>
          </reference>
          <reference field="2" count="1" selected="0">
            <x v="35"/>
          </reference>
          <reference field="3" count="1" selected="0">
            <x v="1"/>
          </reference>
          <reference field="4" count="1" selected="0">
            <x v="136"/>
          </reference>
          <reference field="5" count="1">
            <x v="80"/>
          </reference>
        </references>
      </pivotArea>
    </format>
    <format dxfId="4896">
      <pivotArea dataOnly="0" labelOnly="1" fieldPosition="0">
        <references count="5">
          <reference field="1" count="1" selected="0">
            <x v="54"/>
          </reference>
          <reference field="2" count="1" selected="0">
            <x v="0"/>
          </reference>
          <reference field="3" count="1" selected="0">
            <x v="8"/>
          </reference>
          <reference field="4" count="1" selected="0">
            <x v="137"/>
          </reference>
          <reference field="5" count="1">
            <x v="878"/>
          </reference>
        </references>
      </pivotArea>
    </format>
    <format dxfId="4895">
      <pivotArea dataOnly="0" labelOnly="1" fieldPosition="0">
        <references count="5">
          <reference field="1" count="1" selected="0">
            <x v="54"/>
          </reference>
          <reference field="2" count="1" selected="0">
            <x v="0"/>
          </reference>
          <reference field="3" count="1" selected="0">
            <x v="9"/>
          </reference>
          <reference field="4" count="1" selected="0">
            <x v="137"/>
          </reference>
          <reference field="5" count="2">
            <x v="513"/>
            <x v="1151"/>
          </reference>
        </references>
      </pivotArea>
    </format>
    <format dxfId="4894">
      <pivotArea dataOnly="0" labelOnly="1" fieldPosition="0">
        <references count="5">
          <reference field="1" count="1" selected="0">
            <x v="54"/>
          </reference>
          <reference field="2" count="1" selected="0">
            <x v="0"/>
          </reference>
          <reference field="3" count="1" selected="0">
            <x v="12"/>
          </reference>
          <reference field="4" count="1" selected="0">
            <x v="35"/>
          </reference>
          <reference field="5" count="1">
            <x v="9"/>
          </reference>
        </references>
      </pivotArea>
    </format>
    <format dxfId="4893">
      <pivotArea dataOnly="0" labelOnly="1" fieldPosition="0">
        <references count="5">
          <reference field="1" count="1" selected="0">
            <x v="54"/>
          </reference>
          <reference field="2" count="1" selected="0">
            <x v="0"/>
          </reference>
          <reference field="3" count="1" selected="0">
            <x v="12"/>
          </reference>
          <reference field="4" count="1" selected="0">
            <x v="47"/>
          </reference>
          <reference field="5" count="1">
            <x v="61"/>
          </reference>
        </references>
      </pivotArea>
    </format>
    <format dxfId="4892">
      <pivotArea dataOnly="0" labelOnly="1" fieldPosition="0">
        <references count="5">
          <reference field="1" count="1" selected="0">
            <x v="54"/>
          </reference>
          <reference field="2" count="1" selected="0">
            <x v="0"/>
          </reference>
          <reference field="3" count="1" selected="0">
            <x v="12"/>
          </reference>
          <reference field="4" count="1" selected="0">
            <x v="49"/>
          </reference>
          <reference field="5" count="1">
            <x v="20"/>
          </reference>
        </references>
      </pivotArea>
    </format>
    <format dxfId="4891">
      <pivotArea dataOnly="0" labelOnly="1" fieldPosition="0">
        <references count="5">
          <reference field="1" count="1" selected="0">
            <x v="54"/>
          </reference>
          <reference field="2" count="1" selected="0">
            <x v="0"/>
          </reference>
          <reference field="3" count="1" selected="0">
            <x v="12"/>
          </reference>
          <reference field="4" count="1" selected="0">
            <x v="60"/>
          </reference>
          <reference field="5" count="1">
            <x v="138"/>
          </reference>
        </references>
      </pivotArea>
    </format>
    <format dxfId="4890">
      <pivotArea dataOnly="0" labelOnly="1" fieldPosition="0">
        <references count="5">
          <reference field="1" count="1" selected="0">
            <x v="54"/>
          </reference>
          <reference field="2" count="1" selected="0">
            <x v="0"/>
          </reference>
          <reference field="3" count="1" selected="0">
            <x v="12"/>
          </reference>
          <reference field="4" count="1" selected="0">
            <x v="68"/>
          </reference>
          <reference field="5" count="1">
            <x v="18"/>
          </reference>
        </references>
      </pivotArea>
    </format>
    <format dxfId="4889">
      <pivotArea dataOnly="0" labelOnly="1" fieldPosition="0">
        <references count="5">
          <reference field="1" count="1" selected="0">
            <x v="54"/>
          </reference>
          <reference field="2" count="1" selected="0">
            <x v="0"/>
          </reference>
          <reference field="3" count="1" selected="0">
            <x v="38"/>
          </reference>
          <reference field="4" count="1" selected="0">
            <x v="137"/>
          </reference>
          <reference field="5" count="2">
            <x v="1170"/>
            <x v="1216"/>
          </reference>
        </references>
      </pivotArea>
    </format>
    <format dxfId="4888">
      <pivotArea dataOnly="0" labelOnly="1" fieldPosition="0">
        <references count="5">
          <reference field="1" count="1" selected="0">
            <x v="54"/>
          </reference>
          <reference field="2" count="1" selected="0">
            <x v="6"/>
          </reference>
          <reference field="3" count="1" selected="0">
            <x v="37"/>
          </reference>
          <reference field="4" count="1" selected="0">
            <x v="137"/>
          </reference>
          <reference field="5" count="1">
            <x v="817"/>
          </reference>
        </references>
      </pivotArea>
    </format>
    <format dxfId="4887">
      <pivotArea dataOnly="0" labelOnly="1" fieldPosition="0">
        <references count="5">
          <reference field="1" count="1" selected="0">
            <x v="54"/>
          </reference>
          <reference field="2" count="1" selected="0">
            <x v="8"/>
          </reference>
          <reference field="3" count="1" selected="0">
            <x v="37"/>
          </reference>
          <reference field="4" count="1" selected="0">
            <x v="137"/>
          </reference>
          <reference field="5" count="1">
            <x v="1094"/>
          </reference>
        </references>
      </pivotArea>
    </format>
    <format dxfId="4886">
      <pivotArea dataOnly="0" labelOnly="1" fieldPosition="0">
        <references count="5">
          <reference field="1" count="1" selected="0">
            <x v="54"/>
          </reference>
          <reference field="2" count="1" selected="0">
            <x v="12"/>
          </reference>
          <reference field="3" count="1" selected="0">
            <x v="1"/>
          </reference>
          <reference field="4" count="1" selected="0">
            <x v="137"/>
          </reference>
          <reference field="5" count="1">
            <x v="213"/>
          </reference>
        </references>
      </pivotArea>
    </format>
    <format dxfId="4885">
      <pivotArea dataOnly="0" labelOnly="1" fieldPosition="0">
        <references count="5">
          <reference field="1" count="1" selected="0">
            <x v="54"/>
          </reference>
          <reference field="2" count="1" selected="0">
            <x v="17"/>
          </reference>
          <reference field="3" count="1" selected="0">
            <x v="8"/>
          </reference>
          <reference field="4" count="1" selected="0">
            <x v="137"/>
          </reference>
          <reference field="5" count="1">
            <x v="1530"/>
          </reference>
        </references>
      </pivotArea>
    </format>
    <format dxfId="4884">
      <pivotArea dataOnly="0" labelOnly="1" fieldPosition="0">
        <references count="5">
          <reference field="1" count="1" selected="0">
            <x v="54"/>
          </reference>
          <reference field="2" count="1" selected="0">
            <x v="17"/>
          </reference>
          <reference field="3" count="1" selected="0">
            <x v="9"/>
          </reference>
          <reference field="4" count="1" selected="0">
            <x v="137"/>
          </reference>
          <reference field="5" count="1">
            <x v="526"/>
          </reference>
        </references>
      </pivotArea>
    </format>
    <format dxfId="4883">
      <pivotArea dataOnly="0" labelOnly="1" fieldPosition="0">
        <references count="5">
          <reference field="1" count="1" selected="0">
            <x v="54"/>
          </reference>
          <reference field="2" count="1" selected="0">
            <x v="19"/>
          </reference>
          <reference field="3" count="1" selected="0">
            <x v="7"/>
          </reference>
          <reference field="4" count="1" selected="0">
            <x v="137"/>
          </reference>
          <reference field="5" count="1">
            <x v="1872"/>
          </reference>
        </references>
      </pivotArea>
    </format>
    <format dxfId="4882">
      <pivotArea dataOnly="0" labelOnly="1" fieldPosition="0">
        <references count="5">
          <reference field="1" count="1" selected="0">
            <x v="54"/>
          </reference>
          <reference field="2" count="1" selected="0">
            <x v="22"/>
          </reference>
          <reference field="3" count="1" selected="0">
            <x v="38"/>
          </reference>
          <reference field="4" count="1" selected="0">
            <x v="137"/>
          </reference>
          <reference field="5" count="1">
            <x v="1825"/>
          </reference>
        </references>
      </pivotArea>
    </format>
    <format dxfId="4881">
      <pivotArea dataOnly="0" labelOnly="1" fieldPosition="0">
        <references count="5">
          <reference field="1" count="1" selected="0">
            <x v="54"/>
          </reference>
          <reference field="2" count="1" selected="0">
            <x v="27"/>
          </reference>
          <reference field="3" count="1" selected="0">
            <x v="37"/>
          </reference>
          <reference field="4" count="1" selected="0">
            <x v="137"/>
          </reference>
          <reference field="5" count="1">
            <x v="903"/>
          </reference>
        </references>
      </pivotArea>
    </format>
    <format dxfId="4880">
      <pivotArea dataOnly="0" labelOnly="1" fieldPosition="0">
        <references count="5">
          <reference field="1" count="1" selected="0">
            <x v="54"/>
          </reference>
          <reference field="2" count="1" selected="0">
            <x v="35"/>
          </reference>
          <reference field="3" count="1" selected="0">
            <x v="1"/>
          </reference>
          <reference field="4" count="1" selected="0">
            <x v="137"/>
          </reference>
          <reference field="5" count="1">
            <x v="80"/>
          </reference>
        </references>
      </pivotArea>
    </format>
    <format dxfId="4879">
      <pivotArea dataOnly="0" labelOnly="1" fieldPosition="0">
        <references count="5">
          <reference field="1" count="1" selected="0">
            <x v="54"/>
          </reference>
          <reference field="2" count="1" selected="0">
            <x v="35"/>
          </reference>
          <reference field="3" count="1" selected="0">
            <x v="38"/>
          </reference>
          <reference field="4" count="1" selected="0">
            <x v="137"/>
          </reference>
          <reference field="5" count="2">
            <x v="1069"/>
            <x v="1656"/>
          </reference>
        </references>
      </pivotArea>
    </format>
    <format dxfId="4878">
      <pivotArea dataOnly="0" labelOnly="1" fieldPosition="0">
        <references count="5">
          <reference field="1" count="1" selected="0">
            <x v="55"/>
          </reference>
          <reference field="2" count="1" selected="0">
            <x v="0"/>
          </reference>
          <reference field="3" count="1" selected="0">
            <x v="12"/>
          </reference>
          <reference field="4" count="1" selected="0">
            <x v="32"/>
          </reference>
          <reference field="5" count="1">
            <x v="391"/>
          </reference>
        </references>
      </pivotArea>
    </format>
    <format dxfId="4877">
      <pivotArea dataOnly="0" labelOnly="1" fieldPosition="0">
        <references count="5">
          <reference field="1" count="1" selected="0">
            <x v="55"/>
          </reference>
          <reference field="2" count="1" selected="0">
            <x v="0"/>
          </reference>
          <reference field="3" count="1" selected="0">
            <x v="12"/>
          </reference>
          <reference field="4" count="1" selected="0">
            <x v="39"/>
          </reference>
          <reference field="5" count="1">
            <x v="180"/>
          </reference>
        </references>
      </pivotArea>
    </format>
    <format dxfId="4876">
      <pivotArea dataOnly="0" labelOnly="1" fieldPosition="0">
        <references count="5">
          <reference field="1" count="1" selected="0">
            <x v="55"/>
          </reference>
          <reference field="2" count="1" selected="0">
            <x v="0"/>
          </reference>
          <reference field="3" count="1" selected="0">
            <x v="12"/>
          </reference>
          <reference field="4" count="1" selected="0">
            <x v="42"/>
          </reference>
          <reference field="5" count="1">
            <x v="69"/>
          </reference>
        </references>
      </pivotArea>
    </format>
    <format dxfId="4875">
      <pivotArea dataOnly="0" labelOnly="1" fieldPosition="0">
        <references count="5">
          <reference field="1" count="1" selected="0">
            <x v="55"/>
          </reference>
          <reference field="2" count="1" selected="0">
            <x v="0"/>
          </reference>
          <reference field="3" count="1" selected="0">
            <x v="12"/>
          </reference>
          <reference field="4" count="1" selected="0">
            <x v="46"/>
          </reference>
          <reference field="5" count="1">
            <x v="325"/>
          </reference>
        </references>
      </pivotArea>
    </format>
    <format dxfId="4874">
      <pivotArea dataOnly="0" labelOnly="1" fieldPosition="0">
        <references count="5">
          <reference field="1" count="1" selected="0">
            <x v="55"/>
          </reference>
          <reference field="2" count="1" selected="0">
            <x v="12"/>
          </reference>
          <reference field="3" count="1" selected="0">
            <x v="1"/>
          </reference>
          <reference field="4" count="1" selected="0">
            <x v="138"/>
          </reference>
          <reference field="5" count="1">
            <x v="213"/>
          </reference>
        </references>
      </pivotArea>
    </format>
    <format dxfId="4873">
      <pivotArea dataOnly="0" labelOnly="1" fieldPosition="0">
        <references count="5">
          <reference field="1" count="1" selected="0">
            <x v="55"/>
          </reference>
          <reference field="2" count="1" selected="0">
            <x v="15"/>
          </reference>
          <reference field="3" count="1" selected="0">
            <x v="6"/>
          </reference>
          <reference field="4" count="1" selected="0">
            <x v="138"/>
          </reference>
          <reference field="5" count="1">
            <x v="22"/>
          </reference>
        </references>
      </pivotArea>
    </format>
    <format dxfId="4872">
      <pivotArea dataOnly="0" labelOnly="1" fieldPosition="0">
        <references count="5">
          <reference field="1" count="1" selected="0">
            <x v="55"/>
          </reference>
          <reference field="2" count="1" selected="0">
            <x v="26"/>
          </reference>
          <reference field="3" count="1" selected="0">
            <x v="38"/>
          </reference>
          <reference field="4" count="1" selected="0">
            <x v="138"/>
          </reference>
          <reference field="5" count="1">
            <x v="539"/>
          </reference>
        </references>
      </pivotArea>
    </format>
    <format dxfId="4871">
      <pivotArea dataOnly="0" labelOnly="1" fieldPosition="0">
        <references count="5">
          <reference field="1" count="1" selected="0">
            <x v="55"/>
          </reference>
          <reference field="2" count="1" selected="0">
            <x v="27"/>
          </reference>
          <reference field="3" count="1" selected="0">
            <x v="37"/>
          </reference>
          <reference field="4" count="1" selected="0">
            <x v="138"/>
          </reference>
          <reference field="5" count="1">
            <x v="1098"/>
          </reference>
        </references>
      </pivotArea>
    </format>
    <format dxfId="4870">
      <pivotArea dataOnly="0" labelOnly="1" fieldPosition="0">
        <references count="5">
          <reference field="1" count="1" selected="0">
            <x v="55"/>
          </reference>
          <reference field="2" count="1" selected="0">
            <x v="32"/>
          </reference>
          <reference field="3" count="1" selected="0">
            <x v="9"/>
          </reference>
          <reference field="4" count="1" selected="0">
            <x v="138"/>
          </reference>
          <reference field="5" count="1">
            <x v="1793"/>
          </reference>
        </references>
      </pivotArea>
    </format>
    <format dxfId="4869">
      <pivotArea dataOnly="0" labelOnly="1" fieldPosition="0">
        <references count="5">
          <reference field="1" count="1" selected="0">
            <x v="55"/>
          </reference>
          <reference field="2" count="1" selected="0">
            <x v="35"/>
          </reference>
          <reference field="3" count="1" selected="0">
            <x v="37"/>
          </reference>
          <reference field="4" count="1" selected="0">
            <x v="138"/>
          </reference>
          <reference field="5" count="2">
            <x v="1319"/>
            <x v="1354"/>
          </reference>
        </references>
      </pivotArea>
    </format>
    <format dxfId="4868">
      <pivotArea dataOnly="0" labelOnly="1" fieldPosition="0">
        <references count="5">
          <reference field="1" count="1" selected="0">
            <x v="55"/>
          </reference>
          <reference field="2" count="1" selected="0">
            <x v="36"/>
          </reference>
          <reference field="3" count="1" selected="0">
            <x v="6"/>
          </reference>
          <reference field="4" count="1" selected="0">
            <x v="138"/>
          </reference>
          <reference field="5" count="1">
            <x v="890"/>
          </reference>
        </references>
      </pivotArea>
    </format>
    <format dxfId="4867">
      <pivotArea dataOnly="0" labelOnly="1" fieldPosition="0">
        <references count="5">
          <reference field="1" count="1" selected="0">
            <x v="55"/>
          </reference>
          <reference field="2" count="1" selected="0">
            <x v="38"/>
          </reference>
          <reference field="3" count="1" selected="0">
            <x v="37"/>
          </reference>
          <reference field="4" count="1" selected="0">
            <x v="138"/>
          </reference>
          <reference field="5" count="1">
            <x v="33"/>
          </reference>
        </references>
      </pivotArea>
    </format>
    <format dxfId="4866">
      <pivotArea dataOnly="0" labelOnly="1" fieldPosition="0">
        <references count="5">
          <reference field="1" count="1" selected="0">
            <x v="56"/>
          </reference>
          <reference field="2" count="1" selected="0">
            <x v="0"/>
          </reference>
          <reference field="3" count="1" selected="0">
            <x v="8"/>
          </reference>
          <reference field="4" count="1" selected="0">
            <x v="139"/>
          </reference>
          <reference field="5" count="4">
            <x v="37"/>
            <x v="95"/>
            <x v="215"/>
            <x v="760"/>
          </reference>
        </references>
      </pivotArea>
    </format>
    <format dxfId="4865">
      <pivotArea dataOnly="0" labelOnly="1" fieldPosition="0">
        <references count="5">
          <reference field="1" count="1" selected="0">
            <x v="56"/>
          </reference>
          <reference field="2" count="1" selected="0">
            <x v="0"/>
          </reference>
          <reference field="3" count="1" selected="0">
            <x v="9"/>
          </reference>
          <reference field="4" count="1" selected="0">
            <x v="139"/>
          </reference>
          <reference field="5" count="2">
            <x v="523"/>
            <x v="544"/>
          </reference>
        </references>
      </pivotArea>
    </format>
    <format dxfId="4864">
      <pivotArea dataOnly="0" labelOnly="1" fieldPosition="0">
        <references count="5">
          <reference field="1" count="1" selected="0">
            <x v="56"/>
          </reference>
          <reference field="2" count="1" selected="0">
            <x v="0"/>
          </reference>
          <reference field="3" count="1" selected="0">
            <x v="12"/>
          </reference>
          <reference field="4" count="1" selected="0">
            <x v="18"/>
          </reference>
          <reference field="5" count="1">
            <x v="35"/>
          </reference>
        </references>
      </pivotArea>
    </format>
    <format dxfId="4863">
      <pivotArea dataOnly="0" labelOnly="1" fieldPosition="0">
        <references count="5">
          <reference field="1" count="1" selected="0">
            <x v="56"/>
          </reference>
          <reference field="2" count="1" selected="0">
            <x v="0"/>
          </reference>
          <reference field="3" count="1" selected="0">
            <x v="12"/>
          </reference>
          <reference field="4" count="1" selected="0">
            <x v="56"/>
          </reference>
          <reference field="5" count="1">
            <x v="26"/>
          </reference>
        </references>
      </pivotArea>
    </format>
    <format dxfId="4862">
      <pivotArea dataOnly="0" labelOnly="1" fieldPosition="0">
        <references count="5">
          <reference field="1" count="1" selected="0">
            <x v="56"/>
          </reference>
          <reference field="2" count="1" selected="0">
            <x v="0"/>
          </reference>
          <reference field="3" count="1" selected="0">
            <x v="12"/>
          </reference>
          <reference field="4" count="1" selected="0">
            <x v="60"/>
          </reference>
          <reference field="5" count="1">
            <x v="119"/>
          </reference>
        </references>
      </pivotArea>
    </format>
    <format dxfId="4861">
      <pivotArea dataOnly="0" labelOnly="1" fieldPosition="0">
        <references count="5">
          <reference field="1" count="1" selected="0">
            <x v="56"/>
          </reference>
          <reference field="2" count="1" selected="0">
            <x v="3"/>
          </reference>
          <reference field="3" count="1" selected="0">
            <x v="37"/>
          </reference>
          <reference field="4" count="1" selected="0">
            <x v="139"/>
          </reference>
          <reference field="5" count="1">
            <x v="199"/>
          </reference>
        </references>
      </pivotArea>
    </format>
    <format dxfId="4860">
      <pivotArea dataOnly="0" labelOnly="1" fieldPosition="0">
        <references count="5">
          <reference field="1" count="1" selected="0">
            <x v="56"/>
          </reference>
          <reference field="2" count="1" selected="0">
            <x v="12"/>
          </reference>
          <reference field="3" count="1" selected="0">
            <x v="1"/>
          </reference>
          <reference field="4" count="1" selected="0">
            <x v="139"/>
          </reference>
          <reference field="5" count="1">
            <x v="213"/>
          </reference>
        </references>
      </pivotArea>
    </format>
    <format dxfId="4859">
      <pivotArea dataOnly="0" labelOnly="1" fieldPosition="0">
        <references count="5">
          <reference field="1" count="1" selected="0">
            <x v="56"/>
          </reference>
          <reference field="2" count="1" selected="0">
            <x v="14"/>
          </reference>
          <reference field="3" count="1" selected="0">
            <x v="37"/>
          </reference>
          <reference field="4" count="1" selected="0">
            <x v="139"/>
          </reference>
          <reference field="5" count="1">
            <x v="1455"/>
          </reference>
        </references>
      </pivotArea>
    </format>
    <format dxfId="4858">
      <pivotArea dataOnly="0" labelOnly="1" fieldPosition="0">
        <references count="5">
          <reference field="1" count="1" selected="0">
            <x v="56"/>
          </reference>
          <reference field="2" count="1" selected="0">
            <x v="15"/>
          </reference>
          <reference field="3" count="1" selected="0">
            <x v="37"/>
          </reference>
          <reference field="4" count="1" selected="0">
            <x v="139"/>
          </reference>
          <reference field="5" count="1">
            <x v="1216"/>
          </reference>
        </references>
      </pivotArea>
    </format>
    <format dxfId="4857">
      <pivotArea dataOnly="0" labelOnly="1" fieldPosition="0">
        <references count="5">
          <reference field="1" count="1" selected="0">
            <x v="56"/>
          </reference>
          <reference field="2" count="1" selected="0">
            <x v="23"/>
          </reference>
          <reference field="3" count="1" selected="0">
            <x v="37"/>
          </reference>
          <reference field="4" count="1" selected="0">
            <x v="139"/>
          </reference>
          <reference field="5" count="1">
            <x v="234"/>
          </reference>
        </references>
      </pivotArea>
    </format>
    <format dxfId="4856">
      <pivotArea dataOnly="0" labelOnly="1" fieldPosition="0">
        <references count="5">
          <reference field="1" count="1" selected="0">
            <x v="56"/>
          </reference>
          <reference field="2" count="1" selected="0">
            <x v="26"/>
          </reference>
          <reference field="3" count="1" selected="0">
            <x v="37"/>
          </reference>
          <reference field="4" count="1" selected="0">
            <x v="139"/>
          </reference>
          <reference field="5" count="1">
            <x v="391"/>
          </reference>
        </references>
      </pivotArea>
    </format>
    <format dxfId="4855">
      <pivotArea dataOnly="0" labelOnly="1" fieldPosition="0">
        <references count="5">
          <reference field="1" count="1" selected="0">
            <x v="56"/>
          </reference>
          <reference field="2" count="1" selected="0">
            <x v="35"/>
          </reference>
          <reference field="3" count="1" selected="0">
            <x v="1"/>
          </reference>
          <reference field="4" count="1" selected="0">
            <x v="139"/>
          </reference>
          <reference field="5" count="1">
            <x v="352"/>
          </reference>
        </references>
      </pivotArea>
    </format>
    <format dxfId="4854">
      <pivotArea dataOnly="0" labelOnly="1" fieldPosition="0">
        <references count="5">
          <reference field="1" count="1" selected="0">
            <x v="57"/>
          </reference>
          <reference field="2" count="1" selected="0">
            <x v="0"/>
          </reference>
          <reference field="3" count="1" selected="0">
            <x v="8"/>
          </reference>
          <reference field="4" count="1" selected="0">
            <x v="140"/>
          </reference>
          <reference field="5" count="1">
            <x v="1114"/>
          </reference>
        </references>
      </pivotArea>
    </format>
    <format dxfId="4853">
      <pivotArea dataOnly="0" labelOnly="1" fieldPosition="0">
        <references count="5">
          <reference field="1" count="1" selected="0">
            <x v="57"/>
          </reference>
          <reference field="2" count="1" selected="0">
            <x v="0"/>
          </reference>
          <reference field="3" count="1" selected="0">
            <x v="12"/>
          </reference>
          <reference field="4" count="1" selected="0">
            <x v="6"/>
          </reference>
          <reference field="5" count="1">
            <x v="32"/>
          </reference>
        </references>
      </pivotArea>
    </format>
    <format dxfId="4852">
      <pivotArea dataOnly="0" labelOnly="1" fieldPosition="0">
        <references count="5">
          <reference field="1" count="1" selected="0">
            <x v="57"/>
          </reference>
          <reference field="2" count="1" selected="0">
            <x v="6"/>
          </reference>
          <reference field="3" count="1" selected="0">
            <x v="37"/>
          </reference>
          <reference field="4" count="1" selected="0">
            <x v="140"/>
          </reference>
          <reference field="5" count="1">
            <x v="991"/>
          </reference>
        </references>
      </pivotArea>
    </format>
    <format dxfId="4851">
      <pivotArea dataOnly="0" labelOnly="1" fieldPosition="0">
        <references count="5">
          <reference field="1" count="1" selected="0">
            <x v="57"/>
          </reference>
          <reference field="2" count="1" selected="0">
            <x v="12"/>
          </reference>
          <reference field="3" count="1" selected="0">
            <x v="1"/>
          </reference>
          <reference field="4" count="1" selected="0">
            <x v="140"/>
          </reference>
          <reference field="5" count="1">
            <x v="352"/>
          </reference>
        </references>
      </pivotArea>
    </format>
    <format dxfId="4850">
      <pivotArea dataOnly="0" labelOnly="1" fieldPosition="0">
        <references count="5">
          <reference field="1" count="1" selected="0">
            <x v="57"/>
          </reference>
          <reference field="2" count="1" selected="0">
            <x v="15"/>
          </reference>
          <reference field="3" count="1" selected="0">
            <x v="37"/>
          </reference>
          <reference field="4" count="1" selected="0">
            <x v="140"/>
          </reference>
          <reference field="5" count="1">
            <x v="1225"/>
          </reference>
        </references>
      </pivotArea>
    </format>
    <format dxfId="4849">
      <pivotArea dataOnly="0" labelOnly="1" fieldPosition="0">
        <references count="5">
          <reference field="1" count="1" selected="0">
            <x v="57"/>
          </reference>
          <reference field="2" count="1" selected="0">
            <x v="26"/>
          </reference>
          <reference field="3" count="1" selected="0">
            <x v="1"/>
          </reference>
          <reference field="4" count="1" selected="0">
            <x v="140"/>
          </reference>
          <reference field="5" count="1">
            <x v="352"/>
          </reference>
        </references>
      </pivotArea>
    </format>
    <format dxfId="4848">
      <pivotArea dataOnly="0" labelOnly="1" fieldPosition="0">
        <references count="5">
          <reference field="1" count="1" selected="0">
            <x v="58"/>
          </reference>
          <reference field="2" count="1" selected="0">
            <x v="0"/>
          </reference>
          <reference field="3" count="1" selected="0">
            <x v="12"/>
          </reference>
          <reference field="4" count="1" selected="0">
            <x v="2"/>
          </reference>
          <reference field="5" count="1">
            <x v="39"/>
          </reference>
        </references>
      </pivotArea>
    </format>
    <format dxfId="4847">
      <pivotArea dataOnly="0" labelOnly="1" fieldPosition="0">
        <references count="5">
          <reference field="1" count="1" selected="0">
            <x v="58"/>
          </reference>
          <reference field="2" count="1" selected="0">
            <x v="0"/>
          </reference>
          <reference field="3" count="1" selected="0">
            <x v="12"/>
          </reference>
          <reference field="4" count="1" selected="0">
            <x v="18"/>
          </reference>
          <reference field="5" count="1">
            <x v="18"/>
          </reference>
        </references>
      </pivotArea>
    </format>
    <format dxfId="4846">
      <pivotArea dataOnly="0" labelOnly="1" fieldPosition="0">
        <references count="5">
          <reference field="1" count="1" selected="0">
            <x v="58"/>
          </reference>
          <reference field="2" count="1" selected="0">
            <x v="0"/>
          </reference>
          <reference field="3" count="1" selected="0">
            <x v="12"/>
          </reference>
          <reference field="4" count="1" selected="0">
            <x v="56"/>
          </reference>
          <reference field="5" count="1">
            <x v="26"/>
          </reference>
        </references>
      </pivotArea>
    </format>
    <format dxfId="4845">
      <pivotArea dataOnly="0" labelOnly="1" fieldPosition="0">
        <references count="5">
          <reference field="1" count="1" selected="0">
            <x v="58"/>
          </reference>
          <reference field="2" count="1" selected="0">
            <x v="0"/>
          </reference>
          <reference field="3" count="1" selected="0">
            <x v="12"/>
          </reference>
          <reference field="4" count="1" selected="0">
            <x v="58"/>
          </reference>
          <reference field="5" count="1">
            <x v="6"/>
          </reference>
        </references>
      </pivotArea>
    </format>
    <format dxfId="4844">
      <pivotArea dataOnly="0" labelOnly="1" fieldPosition="0">
        <references count="5">
          <reference field="1" count="1" selected="0">
            <x v="58"/>
          </reference>
          <reference field="2" count="1" selected="0">
            <x v="0"/>
          </reference>
          <reference field="3" count="1" selected="0">
            <x v="12"/>
          </reference>
          <reference field="4" count="1" selected="0">
            <x v="71"/>
          </reference>
          <reference field="5" count="1">
            <x v="18"/>
          </reference>
        </references>
      </pivotArea>
    </format>
    <format dxfId="4843">
      <pivotArea dataOnly="0" labelOnly="1" fieldPosition="0">
        <references count="5">
          <reference field="1" count="1" selected="0">
            <x v="58"/>
          </reference>
          <reference field="2" count="1" selected="0">
            <x v="12"/>
          </reference>
          <reference field="3" count="1" selected="0">
            <x v="1"/>
          </reference>
          <reference field="4" count="1" selected="0">
            <x v="141"/>
          </reference>
          <reference field="5" count="6">
            <x v="80"/>
            <x v="213"/>
            <x v="352"/>
            <x v="607"/>
            <x v="771"/>
            <x v="911"/>
          </reference>
        </references>
      </pivotArea>
    </format>
    <format dxfId="4842">
      <pivotArea dataOnly="0" labelOnly="1" fieldPosition="0">
        <references count="5">
          <reference field="1" count="1" selected="0">
            <x v="58"/>
          </reference>
          <reference field="2" count="1" selected="0">
            <x v="21"/>
          </reference>
          <reference field="3" count="1" selected="0">
            <x v="37"/>
          </reference>
          <reference field="4" count="1" selected="0">
            <x v="141"/>
          </reference>
          <reference field="5" count="1">
            <x v="702"/>
          </reference>
        </references>
      </pivotArea>
    </format>
    <format dxfId="4841">
      <pivotArea dataOnly="0" labelOnly="1" fieldPosition="0">
        <references count="5">
          <reference field="1" count="1" selected="0">
            <x v="58"/>
          </reference>
          <reference field="2" count="1" selected="0">
            <x v="23"/>
          </reference>
          <reference field="3" count="1" selected="0">
            <x v="37"/>
          </reference>
          <reference field="4" count="1" selected="0">
            <x v="141"/>
          </reference>
          <reference field="5" count="1">
            <x v="135"/>
          </reference>
        </references>
      </pivotArea>
    </format>
    <format dxfId="4840">
      <pivotArea dataOnly="0" labelOnly="1" fieldPosition="0">
        <references count="5">
          <reference field="1" count="1" selected="0">
            <x v="58"/>
          </reference>
          <reference field="2" count="1" selected="0">
            <x v="35"/>
          </reference>
          <reference field="3" count="1" selected="0">
            <x v="1"/>
          </reference>
          <reference field="4" count="1" selected="0">
            <x v="141"/>
          </reference>
          <reference field="5" count="2">
            <x v="80"/>
            <x v="213"/>
          </reference>
        </references>
      </pivotArea>
    </format>
    <format dxfId="4839">
      <pivotArea dataOnly="0" labelOnly="1" fieldPosition="0">
        <references count="5">
          <reference field="1" count="1" selected="0">
            <x v="59"/>
          </reference>
          <reference field="2" count="1" selected="0">
            <x v="0"/>
          </reference>
          <reference field="3" count="1" selected="0">
            <x v="1"/>
          </reference>
          <reference field="4" count="1" selected="0">
            <x v="142"/>
          </reference>
          <reference field="5" count="1">
            <x v="80"/>
          </reference>
        </references>
      </pivotArea>
    </format>
    <format dxfId="4838">
      <pivotArea dataOnly="0" labelOnly="1" fieldPosition="0">
        <references count="5">
          <reference field="1" count="1" selected="0">
            <x v="59"/>
          </reference>
          <reference field="2" count="1" selected="0">
            <x v="0"/>
          </reference>
          <reference field="3" count="1" selected="0">
            <x v="6"/>
          </reference>
          <reference field="4" count="1" selected="0">
            <x v="142"/>
          </reference>
          <reference field="5" count="1">
            <x v="212"/>
          </reference>
        </references>
      </pivotArea>
    </format>
    <format dxfId="4837">
      <pivotArea dataOnly="0" labelOnly="1" fieldPosition="0">
        <references count="5">
          <reference field="1" count="1" selected="0">
            <x v="59"/>
          </reference>
          <reference field="2" count="1" selected="0">
            <x v="0"/>
          </reference>
          <reference field="3" count="1" selected="0">
            <x v="8"/>
          </reference>
          <reference field="4" count="1" selected="0">
            <x v="142"/>
          </reference>
          <reference field="5" count="5">
            <x v="159"/>
            <x v="200"/>
            <x v="549"/>
            <x v="613"/>
            <x v="1264"/>
          </reference>
        </references>
      </pivotArea>
    </format>
    <format dxfId="4836">
      <pivotArea dataOnly="0" labelOnly="1" fieldPosition="0">
        <references count="5">
          <reference field="1" count="1" selected="0">
            <x v="59"/>
          </reference>
          <reference field="2" count="1" selected="0">
            <x v="0"/>
          </reference>
          <reference field="3" count="1" selected="0">
            <x v="9"/>
          </reference>
          <reference field="4" count="1" selected="0">
            <x v="142"/>
          </reference>
          <reference field="5" count="8">
            <x v="17"/>
            <x v="537"/>
            <x v="582"/>
            <x v="627"/>
            <x v="702"/>
            <x v="750"/>
            <x v="905"/>
            <x v="1134"/>
          </reference>
        </references>
      </pivotArea>
    </format>
    <format dxfId="4835">
      <pivotArea dataOnly="0" labelOnly="1" fieldPosition="0">
        <references count="5">
          <reference field="1" count="1" selected="0">
            <x v="59"/>
          </reference>
          <reference field="2" count="1" selected="0">
            <x v="0"/>
          </reference>
          <reference field="3" count="1" selected="0">
            <x v="12"/>
          </reference>
          <reference field="4" count="1" selected="0">
            <x v="18"/>
          </reference>
          <reference field="5" count="1">
            <x v="18"/>
          </reference>
        </references>
      </pivotArea>
    </format>
    <format dxfId="4834">
      <pivotArea dataOnly="0" labelOnly="1" fieldPosition="0">
        <references count="5">
          <reference field="1" count="1" selected="0">
            <x v="59"/>
          </reference>
          <reference field="2" count="1" selected="0">
            <x v="0"/>
          </reference>
          <reference field="3" count="1" selected="0">
            <x v="12"/>
          </reference>
          <reference field="4" count="1" selected="0">
            <x v="21"/>
          </reference>
          <reference field="5" count="1">
            <x v="11"/>
          </reference>
        </references>
      </pivotArea>
    </format>
    <format dxfId="4833">
      <pivotArea dataOnly="0" labelOnly="1" fieldPosition="0">
        <references count="5">
          <reference field="1" count="1" selected="0">
            <x v="59"/>
          </reference>
          <reference field="2" count="1" selected="0">
            <x v="0"/>
          </reference>
          <reference field="3" count="1" selected="0">
            <x v="12"/>
          </reference>
          <reference field="4" count="1" selected="0">
            <x v="66"/>
          </reference>
          <reference field="5" count="1">
            <x v="69"/>
          </reference>
        </references>
      </pivotArea>
    </format>
    <format dxfId="4832">
      <pivotArea dataOnly="0" labelOnly="1" fieldPosition="0">
        <references count="5">
          <reference field="1" count="1" selected="0">
            <x v="59"/>
          </reference>
          <reference field="2" count="1" selected="0">
            <x v="0"/>
          </reference>
          <reference field="3" count="1" selected="0">
            <x v="38"/>
          </reference>
          <reference field="4" count="1" selected="0">
            <x v="142"/>
          </reference>
          <reference field="5" count="1">
            <x v="964"/>
          </reference>
        </references>
      </pivotArea>
    </format>
    <format dxfId="4831">
      <pivotArea dataOnly="0" labelOnly="1" fieldPosition="0">
        <references count="5">
          <reference field="1" count="1" selected="0">
            <x v="59"/>
          </reference>
          <reference field="2" count="1" selected="0">
            <x v="5"/>
          </reference>
          <reference field="3" count="1" selected="0">
            <x v="37"/>
          </reference>
          <reference field="4" count="1" selected="0">
            <x v="142"/>
          </reference>
          <reference field="5" count="1">
            <x v="524"/>
          </reference>
        </references>
      </pivotArea>
    </format>
    <format dxfId="4830">
      <pivotArea dataOnly="0" labelOnly="1" fieldPosition="0">
        <references count="5">
          <reference field="1" count="1" selected="0">
            <x v="59"/>
          </reference>
          <reference field="2" count="1" selected="0">
            <x v="8"/>
          </reference>
          <reference field="3" count="1" selected="0">
            <x v="1"/>
          </reference>
          <reference field="4" count="1" selected="0">
            <x v="142"/>
          </reference>
          <reference field="5" count="1">
            <x v="1093"/>
          </reference>
        </references>
      </pivotArea>
    </format>
    <format dxfId="4829">
      <pivotArea dataOnly="0" labelOnly="1" fieldPosition="0">
        <references count="5">
          <reference field="1" count="1" selected="0">
            <x v="59"/>
          </reference>
          <reference field="2" count="1" selected="0">
            <x v="8"/>
          </reference>
          <reference field="3" count="1" selected="0">
            <x v="8"/>
          </reference>
          <reference field="4" count="1" selected="0">
            <x v="142"/>
          </reference>
          <reference field="5" count="1">
            <x v="1024"/>
          </reference>
        </references>
      </pivotArea>
    </format>
    <format dxfId="4828">
      <pivotArea dataOnly="0" labelOnly="1" fieldPosition="0">
        <references count="5">
          <reference field="1" count="1" selected="0">
            <x v="59"/>
          </reference>
          <reference field="2" count="1" selected="0">
            <x v="12"/>
          </reference>
          <reference field="3" count="1" selected="0">
            <x v="1"/>
          </reference>
          <reference field="4" count="1" selected="0">
            <x v="142"/>
          </reference>
          <reference field="5" count="5">
            <x v="80"/>
            <x v="213"/>
            <x v="500"/>
            <x v="702"/>
            <x v="1069"/>
          </reference>
        </references>
      </pivotArea>
    </format>
    <format dxfId="4827">
      <pivotArea dataOnly="0" labelOnly="1" fieldPosition="0">
        <references count="5">
          <reference field="1" count="1" selected="0">
            <x v="59"/>
          </reference>
          <reference field="2" count="1" selected="0">
            <x v="15"/>
          </reference>
          <reference field="3" count="1" selected="0">
            <x v="1"/>
          </reference>
          <reference field="4" count="1" selected="0">
            <x v="142"/>
          </reference>
          <reference field="5" count="1">
            <x v="1243"/>
          </reference>
        </references>
      </pivotArea>
    </format>
    <format dxfId="4826">
      <pivotArea dataOnly="0" labelOnly="1" fieldPosition="0">
        <references count="5">
          <reference field="1" count="1" selected="0">
            <x v="59"/>
          </reference>
          <reference field="2" count="1" selected="0">
            <x v="35"/>
          </reference>
          <reference field="3" count="1" selected="0">
            <x v="1"/>
          </reference>
          <reference field="4" count="1" selected="0">
            <x v="142"/>
          </reference>
          <reference field="5" count="1">
            <x v="80"/>
          </reference>
        </references>
      </pivotArea>
    </format>
    <format dxfId="4825">
      <pivotArea dataOnly="0" labelOnly="1" fieldPosition="0">
        <references count="5">
          <reference field="1" count="1" selected="0">
            <x v="60"/>
          </reference>
          <reference field="2" count="1" selected="0">
            <x v="0"/>
          </reference>
          <reference field="3" count="1" selected="0">
            <x v="12"/>
          </reference>
          <reference field="4" count="1" selected="0">
            <x v="30"/>
          </reference>
          <reference field="5" count="1">
            <x v="59"/>
          </reference>
        </references>
      </pivotArea>
    </format>
    <format dxfId="4824">
      <pivotArea dataOnly="0" labelOnly="1" fieldPosition="0">
        <references count="5">
          <reference field="1" count="1" selected="0">
            <x v="60"/>
          </reference>
          <reference field="2" count="1" selected="0">
            <x v="0"/>
          </reference>
          <reference field="3" count="1" selected="0">
            <x v="38"/>
          </reference>
          <reference field="4" count="1" selected="0">
            <x v="143"/>
          </reference>
          <reference field="5" count="2">
            <x v="1206"/>
            <x v="1364"/>
          </reference>
        </references>
      </pivotArea>
    </format>
    <format dxfId="4823">
      <pivotArea dataOnly="0" labelOnly="1" fieldPosition="0">
        <references count="5">
          <reference field="1" count="1" selected="0">
            <x v="60"/>
          </reference>
          <reference field="2" count="1" selected="0">
            <x v="5"/>
          </reference>
          <reference field="3" count="1" selected="0">
            <x v="38"/>
          </reference>
          <reference field="4" count="1" selected="0">
            <x v="143"/>
          </reference>
          <reference field="5" count="1">
            <x v="1842"/>
          </reference>
        </references>
      </pivotArea>
    </format>
    <format dxfId="4822">
      <pivotArea dataOnly="0" labelOnly="1" fieldPosition="0">
        <references count="5">
          <reference field="1" count="1" selected="0">
            <x v="60"/>
          </reference>
          <reference field="2" count="1" selected="0">
            <x v="6"/>
          </reference>
          <reference field="3" count="1" selected="0">
            <x v="37"/>
          </reference>
          <reference field="4" count="1" selected="0">
            <x v="143"/>
          </reference>
          <reference field="5" count="1">
            <x v="898"/>
          </reference>
        </references>
      </pivotArea>
    </format>
    <format dxfId="4821">
      <pivotArea dataOnly="0" labelOnly="1" fieldPosition="0">
        <references count="5">
          <reference field="1" count="1" selected="0">
            <x v="60"/>
          </reference>
          <reference field="2" count="1" selected="0">
            <x v="8"/>
          </reference>
          <reference field="3" count="1" selected="0">
            <x v="37"/>
          </reference>
          <reference field="4" count="1" selected="0">
            <x v="143"/>
          </reference>
          <reference field="5" count="1">
            <x v="1155"/>
          </reference>
        </references>
      </pivotArea>
    </format>
    <format dxfId="4820">
      <pivotArea dataOnly="0" labelOnly="1" fieldPosition="0">
        <references count="5">
          <reference field="1" count="1" selected="0">
            <x v="60"/>
          </reference>
          <reference field="2" count="1" selected="0">
            <x v="10"/>
          </reference>
          <reference field="3" count="1" selected="0">
            <x v="38"/>
          </reference>
          <reference field="4" count="1" selected="0">
            <x v="143"/>
          </reference>
          <reference field="5" count="1">
            <x v="1172"/>
          </reference>
        </references>
      </pivotArea>
    </format>
    <format dxfId="4819">
      <pivotArea dataOnly="0" labelOnly="1" fieldPosition="0">
        <references count="5">
          <reference field="1" count="1" selected="0">
            <x v="60"/>
          </reference>
          <reference field="2" count="1" selected="0">
            <x v="12"/>
          </reference>
          <reference field="3" count="1" selected="0">
            <x v="1"/>
          </reference>
          <reference field="4" count="1" selected="0">
            <x v="143"/>
          </reference>
          <reference field="5" count="2">
            <x v="80"/>
            <x v="500"/>
          </reference>
        </references>
      </pivotArea>
    </format>
    <format dxfId="4818">
      <pivotArea dataOnly="0" labelOnly="1" fieldPosition="0">
        <references count="5">
          <reference field="1" count="1" selected="0">
            <x v="60"/>
          </reference>
          <reference field="2" count="1" selected="0">
            <x v="14"/>
          </reference>
          <reference field="3" count="1" selected="0">
            <x v="38"/>
          </reference>
          <reference field="4" count="1" selected="0">
            <x v="143"/>
          </reference>
          <reference field="5" count="1">
            <x v="1327"/>
          </reference>
        </references>
      </pivotArea>
    </format>
    <format dxfId="4817">
      <pivotArea dataOnly="0" labelOnly="1" fieldPosition="0">
        <references count="5">
          <reference field="1" count="1" selected="0">
            <x v="60"/>
          </reference>
          <reference field="2" count="1" selected="0">
            <x v="15"/>
          </reference>
          <reference field="3" count="1" selected="0">
            <x v="38"/>
          </reference>
          <reference field="4" count="1" selected="0">
            <x v="143"/>
          </reference>
          <reference field="5" count="1">
            <x v="1484"/>
          </reference>
        </references>
      </pivotArea>
    </format>
    <format dxfId="4816">
      <pivotArea dataOnly="0" labelOnly="1" fieldPosition="0">
        <references count="5">
          <reference field="1" count="1" selected="0">
            <x v="60"/>
          </reference>
          <reference field="2" count="1" selected="0">
            <x v="23"/>
          </reference>
          <reference field="3" count="1" selected="0">
            <x v="38"/>
          </reference>
          <reference field="4" count="1" selected="0">
            <x v="143"/>
          </reference>
          <reference field="5" count="1">
            <x v="120"/>
          </reference>
        </references>
      </pivotArea>
    </format>
    <format dxfId="4815">
      <pivotArea dataOnly="0" labelOnly="1" fieldPosition="0">
        <references count="5">
          <reference field="1" count="1" selected="0">
            <x v="60"/>
          </reference>
          <reference field="2" count="1" selected="0">
            <x v="26"/>
          </reference>
          <reference field="3" count="1" selected="0">
            <x v="1"/>
          </reference>
          <reference field="4" count="1" selected="0">
            <x v="143"/>
          </reference>
          <reference field="5" count="1">
            <x v="39"/>
          </reference>
        </references>
      </pivotArea>
    </format>
    <format dxfId="4814">
      <pivotArea dataOnly="0" labelOnly="1" fieldPosition="0">
        <references count="5">
          <reference field="1" count="1" selected="0">
            <x v="60"/>
          </reference>
          <reference field="2" count="1" selected="0">
            <x v="36"/>
          </reference>
          <reference field="3" count="1" selected="0">
            <x v="38"/>
          </reference>
          <reference field="4" count="1" selected="0">
            <x v="143"/>
          </reference>
          <reference field="5" count="1">
            <x v="252"/>
          </reference>
        </references>
      </pivotArea>
    </format>
    <format dxfId="4813">
      <pivotArea dataOnly="0" labelOnly="1" fieldPosition="0">
        <references count="5">
          <reference field="1" count="1" selected="0">
            <x v="61"/>
          </reference>
          <reference field="2" count="1" selected="0">
            <x v="0"/>
          </reference>
          <reference field="3" count="1" selected="0">
            <x v="12"/>
          </reference>
          <reference field="4" count="1" selected="0">
            <x v="21"/>
          </reference>
          <reference field="5" count="1">
            <x v="69"/>
          </reference>
        </references>
      </pivotArea>
    </format>
    <format dxfId="4812">
      <pivotArea dataOnly="0" labelOnly="1" fieldPosition="0">
        <references count="5">
          <reference field="1" count="1" selected="0">
            <x v="61"/>
          </reference>
          <reference field="2" count="1" selected="0">
            <x v="7"/>
          </reference>
          <reference field="3" count="1" selected="0">
            <x v="38"/>
          </reference>
          <reference field="4" count="1" selected="0">
            <x v="144"/>
          </reference>
          <reference field="5" count="1">
            <x v="1377"/>
          </reference>
        </references>
      </pivotArea>
    </format>
    <format dxfId="4811">
      <pivotArea dataOnly="0" labelOnly="1" fieldPosition="0">
        <references count="5">
          <reference field="1" count="1" selected="0">
            <x v="61"/>
          </reference>
          <reference field="2" count="1" selected="0">
            <x v="10"/>
          </reference>
          <reference field="3" count="1" selected="0">
            <x v="33"/>
          </reference>
          <reference field="4" count="1" selected="0">
            <x v="144"/>
          </reference>
          <reference field="5" count="1">
            <x v="1835"/>
          </reference>
        </references>
      </pivotArea>
    </format>
    <format dxfId="4810">
      <pivotArea dataOnly="0" labelOnly="1" fieldPosition="0">
        <references count="5">
          <reference field="1" count="1" selected="0">
            <x v="61"/>
          </reference>
          <reference field="2" count="1" selected="0">
            <x v="12"/>
          </reference>
          <reference field="3" count="1" selected="0">
            <x v="1"/>
          </reference>
          <reference field="4" count="1" selected="0">
            <x v="144"/>
          </reference>
          <reference field="5" count="2">
            <x v="80"/>
            <x v="213"/>
          </reference>
        </references>
      </pivotArea>
    </format>
    <format dxfId="4809">
      <pivotArea dataOnly="0" labelOnly="1" fieldPosition="0">
        <references count="5">
          <reference field="1" count="1" selected="0">
            <x v="61"/>
          </reference>
          <reference field="2" count="1" selected="0">
            <x v="19"/>
          </reference>
          <reference field="3" count="1" selected="0">
            <x v="38"/>
          </reference>
          <reference field="4" count="1" selected="0">
            <x v="144"/>
          </reference>
          <reference field="5" count="1">
            <x v="520"/>
          </reference>
        </references>
      </pivotArea>
    </format>
    <format dxfId="4808">
      <pivotArea dataOnly="0" labelOnly="1" fieldPosition="0">
        <references count="5">
          <reference field="1" count="1" selected="0">
            <x v="61"/>
          </reference>
          <reference field="2" count="1" selected="0">
            <x v="23"/>
          </reference>
          <reference field="3" count="1" selected="0">
            <x v="1"/>
          </reference>
          <reference field="4" count="1" selected="0">
            <x v="144"/>
          </reference>
          <reference field="5" count="1">
            <x v="606"/>
          </reference>
        </references>
      </pivotArea>
    </format>
    <format dxfId="4807">
      <pivotArea dataOnly="0" labelOnly="1" fieldPosition="0">
        <references count="5">
          <reference field="1" count="1" selected="0">
            <x v="62"/>
          </reference>
          <reference field="2" count="1" selected="0">
            <x v="0"/>
          </reference>
          <reference field="3" count="1" selected="0">
            <x v="5"/>
          </reference>
          <reference field="4" count="1" selected="0">
            <x v="1"/>
          </reference>
          <reference field="5" count="1">
            <x v="134"/>
          </reference>
        </references>
      </pivotArea>
    </format>
    <format dxfId="4806">
      <pivotArea dataOnly="0" labelOnly="1" fieldPosition="0">
        <references count="5">
          <reference field="1" count="1" selected="0">
            <x v="62"/>
          </reference>
          <reference field="2" count="1" selected="0">
            <x v="0"/>
          </reference>
          <reference field="3" count="1" selected="0">
            <x v="8"/>
          </reference>
          <reference field="4" count="1" selected="0">
            <x v="145"/>
          </reference>
          <reference field="5" count="1">
            <x v="187"/>
          </reference>
        </references>
      </pivotArea>
    </format>
    <format dxfId="4805">
      <pivotArea dataOnly="0" labelOnly="1" fieldPosition="0">
        <references count="5">
          <reference field="1" count="1" selected="0">
            <x v="62"/>
          </reference>
          <reference field="2" count="1" selected="0">
            <x v="0"/>
          </reference>
          <reference field="3" count="1" selected="0">
            <x v="9"/>
          </reference>
          <reference field="4" count="1" selected="0">
            <x v="145"/>
          </reference>
          <reference field="5" count="2">
            <x v="431"/>
            <x v="657"/>
          </reference>
        </references>
      </pivotArea>
    </format>
    <format dxfId="4804">
      <pivotArea dataOnly="0" labelOnly="1" fieldPosition="0">
        <references count="5">
          <reference field="1" count="1" selected="0">
            <x v="62"/>
          </reference>
          <reference field="2" count="1" selected="0">
            <x v="0"/>
          </reference>
          <reference field="3" count="1" selected="0">
            <x v="12"/>
          </reference>
          <reference field="4" count="1" selected="0">
            <x v="18"/>
          </reference>
          <reference field="5" count="1">
            <x v="59"/>
          </reference>
        </references>
      </pivotArea>
    </format>
    <format dxfId="4803">
      <pivotArea dataOnly="0" labelOnly="1" fieldPosition="0">
        <references count="5">
          <reference field="1" count="1" selected="0">
            <x v="62"/>
          </reference>
          <reference field="2" count="1" selected="0">
            <x v="0"/>
          </reference>
          <reference field="3" count="1" selected="0">
            <x v="12"/>
          </reference>
          <reference field="4" count="1" selected="0">
            <x v="26"/>
          </reference>
          <reference field="5" count="1">
            <x v="53"/>
          </reference>
        </references>
      </pivotArea>
    </format>
    <format dxfId="4802">
      <pivotArea dataOnly="0" labelOnly="1" fieldPosition="0">
        <references count="5">
          <reference field="1" count="1" selected="0">
            <x v="62"/>
          </reference>
          <reference field="2" count="1" selected="0">
            <x v="0"/>
          </reference>
          <reference field="3" count="1" selected="0">
            <x v="12"/>
          </reference>
          <reference field="4" count="1" selected="0">
            <x v="32"/>
          </reference>
          <reference field="5" count="1">
            <x v="391"/>
          </reference>
        </references>
      </pivotArea>
    </format>
    <format dxfId="4801">
      <pivotArea dataOnly="0" labelOnly="1" fieldPosition="0">
        <references count="5">
          <reference field="1" count="1" selected="0">
            <x v="62"/>
          </reference>
          <reference field="2" count="1" selected="0">
            <x v="2"/>
          </reference>
          <reference field="3" count="1" selected="0">
            <x v="10"/>
          </reference>
          <reference field="4" count="1" selected="0">
            <x v="145"/>
          </reference>
          <reference field="5" count="1">
            <x v="1685"/>
          </reference>
        </references>
      </pivotArea>
    </format>
    <format dxfId="4800">
      <pivotArea dataOnly="0" labelOnly="1" fieldPosition="0">
        <references count="5">
          <reference field="1" count="1" selected="0">
            <x v="62"/>
          </reference>
          <reference field="2" count="1" selected="0">
            <x v="3"/>
          </reference>
          <reference field="3" count="1" selected="0">
            <x v="10"/>
          </reference>
          <reference field="4" count="1" selected="0">
            <x v="145"/>
          </reference>
          <reference field="5" count="1">
            <x v="1261"/>
          </reference>
        </references>
      </pivotArea>
    </format>
    <format dxfId="4799">
      <pivotArea dataOnly="0" labelOnly="1" fieldPosition="0">
        <references count="5">
          <reference field="1" count="1" selected="0">
            <x v="62"/>
          </reference>
          <reference field="2" count="1" selected="0">
            <x v="9"/>
          </reference>
          <reference field="3" count="1" selected="0">
            <x v="10"/>
          </reference>
          <reference field="4" count="1" selected="0">
            <x v="145"/>
          </reference>
          <reference field="5" count="1">
            <x v="505"/>
          </reference>
        </references>
      </pivotArea>
    </format>
    <format dxfId="4798">
      <pivotArea dataOnly="0" labelOnly="1" fieldPosition="0">
        <references count="5">
          <reference field="1" count="1" selected="0">
            <x v="62"/>
          </reference>
          <reference field="2" count="1" selected="0">
            <x v="11"/>
          </reference>
          <reference field="3" count="1" selected="0">
            <x v="10"/>
          </reference>
          <reference field="4" count="1" selected="0">
            <x v="145"/>
          </reference>
          <reference field="5" count="1">
            <x v="761"/>
          </reference>
        </references>
      </pivotArea>
    </format>
    <format dxfId="4797">
      <pivotArea dataOnly="0" labelOnly="1" fieldPosition="0">
        <references count="5">
          <reference field="1" count="1" selected="0">
            <x v="62"/>
          </reference>
          <reference field="2" count="1" selected="0">
            <x v="12"/>
          </reference>
          <reference field="3" count="1" selected="0">
            <x v="1"/>
          </reference>
          <reference field="4" count="1" selected="0">
            <x v="145"/>
          </reference>
          <reference field="5" count="1">
            <x v="213"/>
          </reference>
        </references>
      </pivotArea>
    </format>
    <format dxfId="4796">
      <pivotArea dataOnly="0" labelOnly="1" fieldPosition="0">
        <references count="5">
          <reference field="1" count="1" selected="0">
            <x v="62"/>
          </reference>
          <reference field="2" count="1" selected="0">
            <x v="26"/>
          </reference>
          <reference field="3" count="1" selected="0">
            <x v="37"/>
          </reference>
          <reference field="4" count="1" selected="0">
            <x v="145"/>
          </reference>
          <reference field="5" count="1">
            <x v="469"/>
          </reference>
        </references>
      </pivotArea>
    </format>
    <format dxfId="4795">
      <pivotArea dataOnly="0" labelOnly="1" fieldPosition="0">
        <references count="5">
          <reference field="1" count="1" selected="0">
            <x v="62"/>
          </reference>
          <reference field="2" count="1" selected="0">
            <x v="29"/>
          </reference>
          <reference field="3" count="1" selected="0">
            <x v="10"/>
          </reference>
          <reference field="4" count="1" selected="0">
            <x v="145"/>
          </reference>
          <reference field="5" count="1">
            <x v="1091"/>
          </reference>
        </references>
      </pivotArea>
    </format>
    <format dxfId="4794">
      <pivotArea dataOnly="0" labelOnly="1" fieldPosition="0">
        <references count="5">
          <reference field="1" count="1" selected="0">
            <x v="62"/>
          </reference>
          <reference field="2" count="1" selected="0">
            <x v="36"/>
          </reference>
          <reference field="3" count="1" selected="0">
            <x v="10"/>
          </reference>
          <reference field="4" count="1" selected="0">
            <x v="145"/>
          </reference>
          <reference field="5" count="1">
            <x v="1614"/>
          </reference>
        </references>
      </pivotArea>
    </format>
    <format dxfId="4793">
      <pivotArea dataOnly="0" labelOnly="1" fieldPosition="0">
        <references count="5">
          <reference field="1" count="1" selected="0">
            <x v="62"/>
          </reference>
          <reference field="2" count="1" selected="0">
            <x v="37"/>
          </reference>
          <reference field="3" count="1" selected="0">
            <x v="10"/>
          </reference>
          <reference field="4" count="1" selected="0">
            <x v="145"/>
          </reference>
          <reference field="5" count="1">
            <x v="1568"/>
          </reference>
        </references>
      </pivotArea>
    </format>
    <format dxfId="4792">
      <pivotArea dataOnly="0" labelOnly="1" fieldPosition="0">
        <references count="5">
          <reference field="1" count="1" selected="0">
            <x v="62"/>
          </reference>
          <reference field="2" count="1" selected="0">
            <x v="38"/>
          </reference>
          <reference field="3" count="1" selected="0">
            <x v="10"/>
          </reference>
          <reference field="4" count="1" selected="0">
            <x v="145"/>
          </reference>
          <reference field="5" count="1">
            <x v="1107"/>
          </reference>
        </references>
      </pivotArea>
    </format>
    <format dxfId="4791">
      <pivotArea dataOnly="0" labelOnly="1" fieldPosition="0">
        <references count="5">
          <reference field="1" count="1" selected="0">
            <x v="63"/>
          </reference>
          <reference field="2" count="1" selected="0">
            <x v="0"/>
          </reference>
          <reference field="3" count="1" selected="0">
            <x v="1"/>
          </reference>
          <reference field="4" count="1" selected="0">
            <x v="146"/>
          </reference>
          <reference field="5" count="1">
            <x v="80"/>
          </reference>
        </references>
      </pivotArea>
    </format>
    <format dxfId="4790">
      <pivotArea dataOnly="0" labelOnly="1" fieldPosition="0">
        <references count="5">
          <reference field="1" count="1" selected="0">
            <x v="63"/>
          </reference>
          <reference field="2" count="1" selected="0">
            <x v="0"/>
          </reference>
          <reference field="3" count="1" selected="0">
            <x v="6"/>
          </reference>
          <reference field="4" count="1" selected="0">
            <x v="146"/>
          </reference>
          <reference field="5" count="1">
            <x v="469"/>
          </reference>
        </references>
      </pivotArea>
    </format>
    <format dxfId="4789">
      <pivotArea dataOnly="0" labelOnly="1" fieldPosition="0">
        <references count="5">
          <reference field="1" count="1" selected="0">
            <x v="63"/>
          </reference>
          <reference field="2" count="1" selected="0">
            <x v="0"/>
          </reference>
          <reference field="3" count="1" selected="0">
            <x v="12"/>
          </reference>
          <reference field="4" count="1" selected="0">
            <x v="8"/>
          </reference>
          <reference field="5" count="1">
            <x v="37"/>
          </reference>
        </references>
      </pivotArea>
    </format>
    <format dxfId="4788">
      <pivotArea dataOnly="0" labelOnly="1" fieldPosition="0">
        <references count="5">
          <reference field="1" count="1" selected="0">
            <x v="63"/>
          </reference>
          <reference field="2" count="1" selected="0">
            <x v="0"/>
          </reference>
          <reference field="3" count="1" selected="0">
            <x v="12"/>
          </reference>
          <reference field="4" count="1" selected="0">
            <x v="38"/>
          </reference>
          <reference field="5" count="1">
            <x v="46"/>
          </reference>
        </references>
      </pivotArea>
    </format>
    <format dxfId="4787">
      <pivotArea dataOnly="0" labelOnly="1" fieldPosition="0">
        <references count="5">
          <reference field="1" count="1" selected="0">
            <x v="63"/>
          </reference>
          <reference field="2" count="1" selected="0">
            <x v="0"/>
          </reference>
          <reference field="3" count="1" selected="0">
            <x v="38"/>
          </reference>
          <reference field="4" count="1" selected="0">
            <x v="146"/>
          </reference>
          <reference field="5" count="1">
            <x v="524"/>
          </reference>
        </references>
      </pivotArea>
    </format>
    <format dxfId="4786">
      <pivotArea dataOnly="0" labelOnly="1" fieldPosition="0">
        <references count="5">
          <reference field="1" count="1" selected="0">
            <x v="63"/>
          </reference>
          <reference field="2" count="1" selected="0">
            <x v="8"/>
          </reference>
          <reference field="3" count="1" selected="0">
            <x v="38"/>
          </reference>
          <reference field="4" count="1" selected="0">
            <x v="146"/>
          </reference>
          <reference field="5" count="1">
            <x v="846"/>
          </reference>
        </references>
      </pivotArea>
    </format>
    <format dxfId="4785">
      <pivotArea dataOnly="0" labelOnly="1" fieldPosition="0">
        <references count="5">
          <reference field="1" count="1" selected="0">
            <x v="63"/>
          </reference>
          <reference field="2" count="1" selected="0">
            <x v="9"/>
          </reference>
          <reference field="3" count="1" selected="0">
            <x v="38"/>
          </reference>
          <reference field="4" count="1" selected="0">
            <x v="146"/>
          </reference>
          <reference field="5" count="1">
            <x v="198"/>
          </reference>
        </references>
      </pivotArea>
    </format>
    <format dxfId="4784">
      <pivotArea dataOnly="0" labelOnly="1" fieldPosition="0">
        <references count="5">
          <reference field="1" count="1" selected="0">
            <x v="63"/>
          </reference>
          <reference field="2" count="1" selected="0">
            <x v="12"/>
          </reference>
          <reference field="3" count="1" selected="0">
            <x v="1"/>
          </reference>
          <reference field="4" count="1" selected="0">
            <x v="146"/>
          </reference>
          <reference field="5" count="2">
            <x v="80"/>
            <x v="352"/>
          </reference>
        </references>
      </pivotArea>
    </format>
    <format dxfId="4783">
      <pivotArea dataOnly="0" labelOnly="1" fieldPosition="0">
        <references count="5">
          <reference field="1" count="1" selected="0">
            <x v="63"/>
          </reference>
          <reference field="2" count="1" selected="0">
            <x v="15"/>
          </reference>
          <reference field="3" count="1" selected="0">
            <x v="1"/>
          </reference>
          <reference field="4" count="1" selected="0">
            <x v="146"/>
          </reference>
          <reference field="5" count="1">
            <x v="383"/>
          </reference>
        </references>
      </pivotArea>
    </format>
    <format dxfId="4782">
      <pivotArea dataOnly="0" labelOnly="1" fieldPosition="0">
        <references count="5">
          <reference field="1" count="1" selected="0">
            <x v="63"/>
          </reference>
          <reference field="2" count="1" selected="0">
            <x v="30"/>
          </reference>
          <reference field="3" count="1" selected="0">
            <x v="6"/>
          </reference>
          <reference field="4" count="1" selected="0">
            <x v="146"/>
          </reference>
          <reference field="5" count="1">
            <x v="1795"/>
          </reference>
        </references>
      </pivotArea>
    </format>
    <format dxfId="4781">
      <pivotArea dataOnly="0" labelOnly="1" fieldPosition="0">
        <references count="5">
          <reference field="1" count="1" selected="0">
            <x v="64"/>
          </reference>
          <reference field="2" count="1" selected="0">
            <x v="0"/>
          </reference>
          <reference field="3" count="1" selected="0">
            <x v="1"/>
          </reference>
          <reference field="4" count="1" selected="0">
            <x v="148"/>
          </reference>
          <reference field="5" count="1">
            <x v="80"/>
          </reference>
        </references>
      </pivotArea>
    </format>
    <format dxfId="4780">
      <pivotArea dataOnly="0" labelOnly="1" fieldPosition="0">
        <references count="5">
          <reference field="1" count="1" selected="0">
            <x v="64"/>
          </reference>
          <reference field="2" count="1" selected="0">
            <x v="0"/>
          </reference>
          <reference field="3" count="1" selected="0">
            <x v="11"/>
          </reference>
          <reference field="4" count="1" selected="0">
            <x v="51"/>
          </reference>
          <reference field="5" count="1">
            <x v="39"/>
          </reference>
        </references>
      </pivotArea>
    </format>
    <format dxfId="4779">
      <pivotArea dataOnly="0" labelOnly="1" fieldPosition="0">
        <references count="5">
          <reference field="1" count="1" selected="0">
            <x v="64"/>
          </reference>
          <reference field="2" count="1" selected="0">
            <x v="0"/>
          </reference>
          <reference field="3" count="1" selected="0">
            <x v="12"/>
          </reference>
          <reference field="4" count="1" selected="0">
            <x v="10"/>
          </reference>
          <reference field="5" count="1">
            <x v="9"/>
          </reference>
        </references>
      </pivotArea>
    </format>
    <format dxfId="4778">
      <pivotArea dataOnly="0" labelOnly="1" fieldPosition="0">
        <references count="5">
          <reference field="1" count="1" selected="0">
            <x v="64"/>
          </reference>
          <reference field="2" count="1" selected="0">
            <x v="0"/>
          </reference>
          <reference field="3" count="1" selected="0">
            <x v="12"/>
          </reference>
          <reference field="4" count="1" selected="0">
            <x v="50"/>
          </reference>
          <reference field="5" count="1">
            <x v="469"/>
          </reference>
        </references>
      </pivotArea>
    </format>
    <format dxfId="4777">
      <pivotArea dataOnly="0" labelOnly="1" fieldPosition="0">
        <references count="5">
          <reference field="1" count="1" selected="0">
            <x v="64"/>
          </reference>
          <reference field="2" count="1" selected="0">
            <x v="0"/>
          </reference>
          <reference field="3" count="1" selected="0">
            <x v="25"/>
          </reference>
          <reference field="4" count="1" selected="0">
            <x v="147"/>
          </reference>
          <reference field="5" count="4">
            <x v="454"/>
            <x v="727"/>
            <x v="1042"/>
            <x v="1615"/>
          </reference>
        </references>
      </pivotArea>
    </format>
    <format dxfId="4776">
      <pivotArea dataOnly="0" labelOnly="1" fieldPosition="0">
        <references count="5">
          <reference field="1" count="1" selected="0">
            <x v="64"/>
          </reference>
          <reference field="2" count="1" selected="0">
            <x v="0"/>
          </reference>
          <reference field="3" count="1" selected="0">
            <x v="38"/>
          </reference>
          <reference field="4" count="1" selected="0">
            <x v="148"/>
          </reference>
          <reference field="5" count="1">
            <x v="592"/>
          </reference>
        </references>
      </pivotArea>
    </format>
    <format dxfId="4775">
      <pivotArea dataOnly="0" labelOnly="1" fieldPosition="0">
        <references count="5">
          <reference field="1" count="1" selected="0">
            <x v="64"/>
          </reference>
          <reference field="2" count="1" selected="0">
            <x v="2"/>
          </reference>
          <reference field="3" count="1" selected="0">
            <x v="25"/>
          </reference>
          <reference field="4" count="1" selected="0">
            <x v="147"/>
          </reference>
          <reference field="5" count="1">
            <x v="1822"/>
          </reference>
        </references>
      </pivotArea>
    </format>
    <format dxfId="4774">
      <pivotArea dataOnly="0" labelOnly="1" fieldPosition="0">
        <references count="5">
          <reference field="1" count="1" selected="0">
            <x v="64"/>
          </reference>
          <reference field="2" count="1" selected="0">
            <x v="12"/>
          </reference>
          <reference field="3" count="1" selected="0">
            <x v="1"/>
          </reference>
          <reference field="4" count="1" selected="0">
            <x v="148"/>
          </reference>
          <reference field="5" count="3">
            <x v="213"/>
            <x v="352"/>
            <x v="607"/>
          </reference>
        </references>
      </pivotArea>
    </format>
    <format dxfId="4773">
      <pivotArea dataOnly="0" labelOnly="1" fieldPosition="0">
        <references count="5">
          <reference field="1" count="1" selected="0">
            <x v="64"/>
          </reference>
          <reference field="2" count="1" selected="0">
            <x v="12"/>
          </reference>
          <reference field="3" count="1" selected="0">
            <x v="25"/>
          </reference>
          <reference field="4" count="1" selected="0">
            <x v="147"/>
          </reference>
          <reference field="5" count="23">
            <x v="476"/>
            <x v="961"/>
            <x v="987"/>
            <x v="1026"/>
            <x v="1117"/>
            <x v="1250"/>
            <x v="1287"/>
            <x v="1314"/>
            <x v="1411"/>
            <x v="1419"/>
            <x v="1422"/>
            <x v="1454"/>
            <x v="1486"/>
            <x v="1557"/>
            <x v="1580"/>
            <x v="1624"/>
            <x v="1628"/>
            <x v="1645"/>
            <x v="1657"/>
            <x v="1667"/>
            <x v="1668"/>
            <x v="1691"/>
            <x v="1778"/>
          </reference>
        </references>
      </pivotArea>
    </format>
    <format dxfId="4772">
      <pivotArea dataOnly="0" labelOnly="1" fieldPosition="0">
        <references count="5">
          <reference field="1" count="1" selected="0">
            <x v="64"/>
          </reference>
          <reference field="2" count="1" selected="0">
            <x v="15"/>
          </reference>
          <reference field="3" count="1" selected="0">
            <x v="25"/>
          </reference>
          <reference field="4" count="1" selected="0">
            <x v="147"/>
          </reference>
          <reference field="5" count="1">
            <x v="67"/>
          </reference>
        </references>
      </pivotArea>
    </format>
    <format dxfId="4771">
      <pivotArea dataOnly="0" labelOnly="1" fieldPosition="0">
        <references count="5">
          <reference field="1" count="1" selected="0">
            <x v="64"/>
          </reference>
          <reference field="2" count="1" selected="0">
            <x v="19"/>
          </reference>
          <reference field="3" count="1" selected="0">
            <x v="6"/>
          </reference>
          <reference field="4" count="1" selected="0">
            <x v="148"/>
          </reference>
          <reference field="5" count="1">
            <x v="480"/>
          </reference>
        </references>
      </pivotArea>
    </format>
    <format dxfId="4770">
      <pivotArea dataOnly="0" labelOnly="1" fieldPosition="0">
        <references count="5">
          <reference field="1" count="1" selected="0">
            <x v="64"/>
          </reference>
          <reference field="2" count="1" selected="0">
            <x v="23"/>
          </reference>
          <reference field="3" count="1" selected="0">
            <x v="25"/>
          </reference>
          <reference field="4" count="1" selected="0">
            <x v="147"/>
          </reference>
          <reference field="5" count="1">
            <x v="1880"/>
          </reference>
        </references>
      </pivotArea>
    </format>
    <format dxfId="4769">
      <pivotArea dataOnly="0" labelOnly="1" fieldPosition="0">
        <references count="5">
          <reference field="1" count="1" selected="0">
            <x v="64"/>
          </reference>
          <reference field="2" count="1" selected="0">
            <x v="24"/>
          </reference>
          <reference field="3" count="1" selected="0">
            <x v="25"/>
          </reference>
          <reference field="4" count="1" selected="0">
            <x v="147"/>
          </reference>
          <reference field="5" count="1">
            <x v="1817"/>
          </reference>
        </references>
      </pivotArea>
    </format>
    <format dxfId="4768">
      <pivotArea dataOnly="0" labelOnly="1" fieldPosition="0">
        <references count="5">
          <reference field="1" count="1" selected="0">
            <x v="64"/>
          </reference>
          <reference field="2" count="1" selected="0">
            <x v="27"/>
          </reference>
          <reference field="3" count="1" selected="0">
            <x v="25"/>
          </reference>
          <reference field="4" count="1" selected="0">
            <x v="147"/>
          </reference>
          <reference field="5" count="1">
            <x v="570"/>
          </reference>
        </references>
      </pivotArea>
    </format>
    <format dxfId="4767">
      <pivotArea dataOnly="0" labelOnly="1" fieldPosition="0">
        <references count="5">
          <reference field="1" count="1" selected="0">
            <x v="64"/>
          </reference>
          <reference field="2" count="1" selected="0">
            <x v="35"/>
          </reference>
          <reference field="3" count="1" selected="0">
            <x v="25"/>
          </reference>
          <reference field="4" count="1" selected="0">
            <x v="147"/>
          </reference>
          <reference field="5" count="8">
            <x v="207"/>
            <x v="244"/>
            <x v="361"/>
            <x v="406"/>
            <x v="598"/>
            <x v="916"/>
            <x v="953"/>
            <x v="990"/>
          </reference>
        </references>
      </pivotArea>
    </format>
    <format dxfId="4766">
      <pivotArea dataOnly="0" labelOnly="1" fieldPosition="0">
        <references count="5">
          <reference field="1" count="1" selected="0">
            <x v="64"/>
          </reference>
          <reference field="2" count="1" selected="0">
            <x v="37"/>
          </reference>
          <reference field="3" count="1" selected="0">
            <x v="25"/>
          </reference>
          <reference field="4" count="1" selected="0">
            <x v="147"/>
          </reference>
          <reference field="5" count="1">
            <x v="1823"/>
          </reference>
        </references>
      </pivotArea>
    </format>
    <format dxfId="4765">
      <pivotArea dataOnly="0" labelOnly="1" fieldPosition="0">
        <references count="5">
          <reference field="1" count="1" selected="0">
            <x v="65"/>
          </reference>
          <reference field="2" count="1" selected="0">
            <x v="0"/>
          </reference>
          <reference field="3" count="1" selected="0">
            <x v="9"/>
          </reference>
          <reference field="4" count="1" selected="0">
            <x v="149"/>
          </reference>
          <reference field="5" count="4">
            <x v="542"/>
            <x v="603"/>
            <x v="1230"/>
            <x v="1388"/>
          </reference>
        </references>
      </pivotArea>
    </format>
    <format dxfId="4764">
      <pivotArea dataOnly="0" labelOnly="1" fieldPosition="0">
        <references count="5">
          <reference field="1" count="1" selected="0">
            <x v="65"/>
          </reference>
          <reference field="2" count="1" selected="0">
            <x v="0"/>
          </reference>
          <reference field="3" count="1" selected="0">
            <x v="38"/>
          </reference>
          <reference field="4" count="1" selected="0">
            <x v="149"/>
          </reference>
          <reference field="5" count="2">
            <x v="262"/>
            <x v="469"/>
          </reference>
        </references>
      </pivotArea>
    </format>
    <format dxfId="4763">
      <pivotArea dataOnly="0" labelOnly="1" fieldPosition="0">
        <references count="5">
          <reference field="1" count="1" selected="0">
            <x v="65"/>
          </reference>
          <reference field="2" count="1" selected="0">
            <x v="3"/>
          </reference>
          <reference field="3" count="1" selected="0">
            <x v="38"/>
          </reference>
          <reference field="4" count="1" selected="0">
            <x v="149"/>
          </reference>
          <reference field="5" count="1">
            <x v="109"/>
          </reference>
        </references>
      </pivotArea>
    </format>
    <format dxfId="4762">
      <pivotArea dataOnly="0" labelOnly="1" fieldPosition="0">
        <references count="5">
          <reference field="1" count="1" selected="0">
            <x v="65"/>
          </reference>
          <reference field="2" count="1" selected="0">
            <x v="5"/>
          </reference>
          <reference field="3" count="1" selected="0">
            <x v="38"/>
          </reference>
          <reference field="4" count="1" selected="0">
            <x v="149"/>
          </reference>
          <reference field="5" count="1">
            <x v="1801"/>
          </reference>
        </references>
      </pivotArea>
    </format>
    <format dxfId="4761">
      <pivotArea dataOnly="0" labelOnly="1" fieldPosition="0">
        <references count="5">
          <reference field="1" count="1" selected="0">
            <x v="65"/>
          </reference>
          <reference field="2" count="1" selected="0">
            <x v="6"/>
          </reference>
          <reference field="3" count="1" selected="0">
            <x v="38"/>
          </reference>
          <reference field="4" count="1" selected="0">
            <x v="149"/>
          </reference>
          <reference field="5" count="1">
            <x v="678"/>
          </reference>
        </references>
      </pivotArea>
    </format>
    <format dxfId="4760">
      <pivotArea dataOnly="0" labelOnly="1" fieldPosition="0">
        <references count="5">
          <reference field="1" count="1" selected="0">
            <x v="65"/>
          </reference>
          <reference field="2" count="1" selected="0">
            <x v="8"/>
          </reference>
          <reference field="3" count="1" selected="0">
            <x v="10"/>
          </reference>
          <reference field="4" count="1" selected="0">
            <x v="149"/>
          </reference>
          <reference field="5" count="1">
            <x v="1315"/>
          </reference>
        </references>
      </pivotArea>
    </format>
    <format dxfId="4759">
      <pivotArea dataOnly="0" labelOnly="1" fieldPosition="0">
        <references count="5">
          <reference field="1" count="1" selected="0">
            <x v="65"/>
          </reference>
          <reference field="2" count="1" selected="0">
            <x v="8"/>
          </reference>
          <reference field="3" count="1" selected="0">
            <x v="38"/>
          </reference>
          <reference field="4" count="1" selected="0">
            <x v="149"/>
          </reference>
          <reference field="5" count="1">
            <x v="828"/>
          </reference>
        </references>
      </pivotArea>
    </format>
    <format dxfId="4758">
      <pivotArea dataOnly="0" labelOnly="1" fieldPosition="0">
        <references count="5">
          <reference field="1" count="1" selected="0">
            <x v="65"/>
          </reference>
          <reference field="2" count="1" selected="0">
            <x v="10"/>
          </reference>
          <reference field="3" count="1" selected="0">
            <x v="38"/>
          </reference>
          <reference field="4" count="1" selected="0">
            <x v="149"/>
          </reference>
          <reference field="5" count="1">
            <x v="1729"/>
          </reference>
        </references>
      </pivotArea>
    </format>
    <format dxfId="4757">
      <pivotArea dataOnly="0" labelOnly="1" fieldPosition="0">
        <references count="5">
          <reference field="1" count="1" selected="0">
            <x v="65"/>
          </reference>
          <reference field="2" count="1" selected="0">
            <x v="12"/>
          </reference>
          <reference field="3" count="1" selected="0">
            <x v="1"/>
          </reference>
          <reference field="4" count="1" selected="0">
            <x v="149"/>
          </reference>
          <reference field="5" count="2">
            <x v="80"/>
            <x v="213"/>
          </reference>
        </references>
      </pivotArea>
    </format>
    <format dxfId="4756">
      <pivotArea dataOnly="0" labelOnly="1" fieldPosition="0">
        <references count="5">
          <reference field="1" count="1" selected="0">
            <x v="65"/>
          </reference>
          <reference field="2" count="1" selected="0">
            <x v="15"/>
          </reference>
          <reference field="3" count="1" selected="0">
            <x v="8"/>
          </reference>
          <reference field="4" count="1" selected="0">
            <x v="149"/>
          </reference>
          <reference field="5" count="1">
            <x v="622"/>
          </reference>
        </references>
      </pivotArea>
    </format>
    <format dxfId="4755">
      <pivotArea dataOnly="0" labelOnly="1" fieldPosition="0">
        <references count="5">
          <reference field="1" count="1" selected="0">
            <x v="65"/>
          </reference>
          <reference field="2" count="1" selected="0">
            <x v="15"/>
          </reference>
          <reference field="3" count="1" selected="0">
            <x v="9"/>
          </reference>
          <reference field="4" count="1" selected="0">
            <x v="149"/>
          </reference>
          <reference field="5" count="1">
            <x v="333"/>
          </reference>
        </references>
      </pivotArea>
    </format>
    <format dxfId="4754">
      <pivotArea dataOnly="0" labelOnly="1" fieldPosition="0">
        <references count="5">
          <reference field="1" count="1" selected="0">
            <x v="65"/>
          </reference>
          <reference field="2" count="1" selected="0">
            <x v="15"/>
          </reference>
          <reference field="3" count="1" selected="0">
            <x v="10"/>
          </reference>
          <reference field="4" count="1" selected="0">
            <x v="149"/>
          </reference>
          <reference field="5" count="1">
            <x v="1416"/>
          </reference>
        </references>
      </pivotArea>
    </format>
    <format dxfId="4753">
      <pivotArea dataOnly="0" labelOnly="1" fieldPosition="0">
        <references count="5">
          <reference field="1" count="1" selected="0">
            <x v="65"/>
          </reference>
          <reference field="2" count="1" selected="0">
            <x v="15"/>
          </reference>
          <reference field="3" count="1" selected="0">
            <x v="38"/>
          </reference>
          <reference field="4" count="1" selected="0">
            <x v="149"/>
          </reference>
          <reference field="5" count="1">
            <x v="1037"/>
          </reference>
        </references>
      </pivotArea>
    </format>
    <format dxfId="4752">
      <pivotArea dataOnly="0" labelOnly="1" fieldPosition="0">
        <references count="5">
          <reference field="1" count="1" selected="0">
            <x v="65"/>
          </reference>
          <reference field="2" count="1" selected="0">
            <x v="23"/>
          </reference>
          <reference field="3" count="1" selected="0">
            <x v="7"/>
          </reference>
          <reference field="4" count="1" selected="0">
            <x v="149"/>
          </reference>
          <reference field="5" count="1">
            <x v="1274"/>
          </reference>
        </references>
      </pivotArea>
    </format>
    <format dxfId="4751">
      <pivotArea dataOnly="0" labelOnly="1" fieldPosition="0">
        <references count="5">
          <reference field="1" count="1" selected="0">
            <x v="66"/>
          </reference>
          <reference field="2" count="1" selected="0">
            <x v="0"/>
          </reference>
          <reference field="3" count="1" selected="0">
            <x v="1"/>
          </reference>
          <reference field="4" count="1" selected="0">
            <x v="150"/>
          </reference>
          <reference field="5" count="1">
            <x v="80"/>
          </reference>
        </references>
      </pivotArea>
    </format>
    <format dxfId="4750">
      <pivotArea dataOnly="0" labelOnly="1" fieldPosition="0">
        <references count="5">
          <reference field="1" count="1" selected="0">
            <x v="66"/>
          </reference>
          <reference field="2" count="1" selected="0">
            <x v="0"/>
          </reference>
          <reference field="3" count="1" selected="0">
            <x v="9"/>
          </reference>
          <reference field="4" count="1" selected="0">
            <x v="150"/>
          </reference>
          <reference field="5" count="4">
            <x v="491"/>
            <x v="813"/>
            <x v="1007"/>
            <x v="1076"/>
          </reference>
        </references>
      </pivotArea>
    </format>
    <format dxfId="4749">
      <pivotArea dataOnly="0" labelOnly="1" fieldPosition="0">
        <references count="5">
          <reference field="1" count="1" selected="0">
            <x v="66"/>
          </reference>
          <reference field="2" count="1" selected="0">
            <x v="0"/>
          </reference>
          <reference field="3" count="1" selected="0">
            <x v="12"/>
          </reference>
          <reference field="4" count="1" selected="0">
            <x v="18"/>
          </reference>
          <reference field="5" count="1">
            <x v="20"/>
          </reference>
        </references>
      </pivotArea>
    </format>
    <format dxfId="4748">
      <pivotArea dataOnly="0" labelOnly="1" fieldPosition="0">
        <references count="5">
          <reference field="1" count="1" selected="0">
            <x v="66"/>
          </reference>
          <reference field="2" count="1" selected="0">
            <x v="0"/>
          </reference>
          <reference field="3" count="1" selected="0">
            <x v="12"/>
          </reference>
          <reference field="4" count="1" selected="0">
            <x v="23"/>
          </reference>
          <reference field="5" count="1">
            <x v="9"/>
          </reference>
        </references>
      </pivotArea>
    </format>
    <format dxfId="4747">
      <pivotArea dataOnly="0" labelOnly="1" fieldPosition="0">
        <references count="5">
          <reference field="1" count="1" selected="0">
            <x v="66"/>
          </reference>
          <reference field="2" count="1" selected="0">
            <x v="0"/>
          </reference>
          <reference field="3" count="1" selected="0">
            <x v="12"/>
          </reference>
          <reference field="4" count="1" selected="0">
            <x v="32"/>
          </reference>
          <reference field="5" count="1">
            <x v="391"/>
          </reference>
        </references>
      </pivotArea>
    </format>
    <format dxfId="4746">
      <pivotArea dataOnly="0" labelOnly="1" fieldPosition="0">
        <references count="5">
          <reference field="1" count="1" selected="0">
            <x v="66"/>
          </reference>
          <reference field="2" count="1" selected="0">
            <x v="0"/>
          </reference>
          <reference field="3" count="1" selected="0">
            <x v="12"/>
          </reference>
          <reference field="4" count="1" selected="0">
            <x v="36"/>
          </reference>
          <reference field="5" count="1">
            <x v="236"/>
          </reference>
        </references>
      </pivotArea>
    </format>
    <format dxfId="4745">
      <pivotArea dataOnly="0" labelOnly="1" fieldPosition="0">
        <references count="5">
          <reference field="1" count="1" selected="0">
            <x v="66"/>
          </reference>
          <reference field="2" count="1" selected="0">
            <x v="0"/>
          </reference>
          <reference field="3" count="1" selected="0">
            <x v="38"/>
          </reference>
          <reference field="4" count="1" selected="0">
            <x v="150"/>
          </reference>
          <reference field="5" count="4">
            <x v="262"/>
            <x v="1041"/>
            <x v="1254"/>
            <x v="1308"/>
          </reference>
        </references>
      </pivotArea>
    </format>
    <format dxfId="4744">
      <pivotArea dataOnly="0" labelOnly="1" fieldPosition="0">
        <references count="5">
          <reference field="1" count="1" selected="0">
            <x v="66"/>
          </reference>
          <reference field="2" count="1" selected="0">
            <x v="2"/>
          </reference>
          <reference field="3" count="1" selected="0">
            <x v="1"/>
          </reference>
          <reference field="4" count="1" selected="0">
            <x v="150"/>
          </reference>
          <reference field="5" count="1">
            <x v="199"/>
          </reference>
        </references>
      </pivotArea>
    </format>
    <format dxfId="4743">
      <pivotArea dataOnly="0" labelOnly="1" fieldPosition="0">
        <references count="5">
          <reference field="1" count="1" selected="0">
            <x v="66"/>
          </reference>
          <reference field="2" count="1" selected="0">
            <x v="2"/>
          </reference>
          <reference field="3" count="1" selected="0">
            <x v="6"/>
          </reference>
          <reference field="4" count="1" selected="0">
            <x v="150"/>
          </reference>
          <reference field="5" count="1">
            <x v="1193"/>
          </reference>
        </references>
      </pivotArea>
    </format>
    <format dxfId="4742">
      <pivotArea dataOnly="0" labelOnly="1" fieldPosition="0">
        <references count="5">
          <reference field="1" count="1" selected="0">
            <x v="66"/>
          </reference>
          <reference field="2" count="1" selected="0">
            <x v="3"/>
          </reference>
          <reference field="3" count="1" selected="0">
            <x v="38"/>
          </reference>
          <reference field="4" count="1" selected="0">
            <x v="150"/>
          </reference>
          <reference field="5" count="1">
            <x v="530"/>
          </reference>
        </references>
      </pivotArea>
    </format>
    <format dxfId="4741">
      <pivotArea dataOnly="0" labelOnly="1" fieldPosition="0">
        <references count="5">
          <reference field="1" count="1" selected="0">
            <x v="66"/>
          </reference>
          <reference field="2" count="1" selected="0">
            <x v="4"/>
          </reference>
          <reference field="3" count="1" selected="0">
            <x v="1"/>
          </reference>
          <reference field="4" count="1" selected="0">
            <x v="150"/>
          </reference>
          <reference field="5" count="1">
            <x v="112"/>
          </reference>
        </references>
      </pivotArea>
    </format>
    <format dxfId="4740">
      <pivotArea dataOnly="0" labelOnly="1" fieldPosition="0">
        <references count="5">
          <reference field="1" count="1" selected="0">
            <x v="66"/>
          </reference>
          <reference field="2" count="1" selected="0">
            <x v="9"/>
          </reference>
          <reference field="3" count="1" selected="0">
            <x v="38"/>
          </reference>
          <reference field="4" count="1" selected="0">
            <x v="150"/>
          </reference>
          <reference field="5" count="1">
            <x v="1565"/>
          </reference>
        </references>
      </pivotArea>
    </format>
    <format dxfId="4739">
      <pivotArea dataOnly="0" labelOnly="1" fieldPosition="0">
        <references count="5">
          <reference field="1" count="1" selected="0">
            <x v="66"/>
          </reference>
          <reference field="2" count="1" selected="0">
            <x v="10"/>
          </reference>
          <reference field="3" count="1" selected="0">
            <x v="37"/>
          </reference>
          <reference field="4" count="1" selected="0">
            <x v="150"/>
          </reference>
          <reference field="5" count="1">
            <x v="1248"/>
          </reference>
        </references>
      </pivotArea>
    </format>
    <format dxfId="4738">
      <pivotArea dataOnly="0" labelOnly="1" fieldPosition="0">
        <references count="5">
          <reference field="1" count="1" selected="0">
            <x v="66"/>
          </reference>
          <reference field="2" count="1" selected="0">
            <x v="12"/>
          </reference>
          <reference field="3" count="1" selected="0">
            <x v="1"/>
          </reference>
          <reference field="4" count="1" selected="0">
            <x v="150"/>
          </reference>
          <reference field="5" count="2">
            <x v="80"/>
            <x v="213"/>
          </reference>
        </references>
      </pivotArea>
    </format>
    <format dxfId="4737">
      <pivotArea dataOnly="0" labelOnly="1" fieldPosition="0">
        <references count="5">
          <reference field="1" count="1" selected="0">
            <x v="66"/>
          </reference>
          <reference field="2" count="1" selected="0">
            <x v="12"/>
          </reference>
          <reference field="3" count="1" selected="0">
            <x v="38"/>
          </reference>
          <reference field="4" count="1" selected="0">
            <x v="150"/>
          </reference>
          <reference field="5" count="1">
            <x v="1414"/>
          </reference>
        </references>
      </pivotArea>
    </format>
    <format dxfId="4736">
      <pivotArea dataOnly="0" labelOnly="1" fieldPosition="0">
        <references count="5">
          <reference field="1" count="1" selected="0">
            <x v="66"/>
          </reference>
          <reference field="2" count="1" selected="0">
            <x v="15"/>
          </reference>
          <reference field="3" count="1" selected="0">
            <x v="9"/>
          </reference>
          <reference field="4" count="1" selected="0">
            <x v="150"/>
          </reference>
          <reference field="5" count="1">
            <x v="248"/>
          </reference>
        </references>
      </pivotArea>
    </format>
    <format dxfId="4735">
      <pivotArea dataOnly="0" labelOnly="1" fieldPosition="0">
        <references count="5">
          <reference field="1" count="1" selected="0">
            <x v="66"/>
          </reference>
          <reference field="2" count="1" selected="0">
            <x v="15"/>
          </reference>
          <reference field="3" count="1" selected="0">
            <x v="37"/>
          </reference>
          <reference field="4" count="1" selected="0">
            <x v="150"/>
          </reference>
          <reference field="5" count="1">
            <x v="897"/>
          </reference>
        </references>
      </pivotArea>
    </format>
    <format dxfId="4734">
      <pivotArea dataOnly="0" labelOnly="1" fieldPosition="0">
        <references count="5">
          <reference field="1" count="1" selected="0">
            <x v="66"/>
          </reference>
          <reference field="2" count="1" selected="0">
            <x v="15"/>
          </reference>
          <reference field="3" count="1" selected="0">
            <x v="38"/>
          </reference>
          <reference field="4" count="1" selected="0">
            <x v="150"/>
          </reference>
          <reference field="5" count="1">
            <x v="1806"/>
          </reference>
        </references>
      </pivotArea>
    </format>
    <format dxfId="4733">
      <pivotArea dataOnly="0" labelOnly="1" fieldPosition="0">
        <references count="5">
          <reference field="1" count="1" selected="0">
            <x v="66"/>
          </reference>
          <reference field="2" count="1" selected="0">
            <x v="19"/>
          </reference>
          <reference field="3" count="1" selected="0">
            <x v="10"/>
          </reference>
          <reference field="4" count="1" selected="0">
            <x v="150"/>
          </reference>
          <reference field="5" count="1">
            <x v="511"/>
          </reference>
        </references>
      </pivotArea>
    </format>
    <format dxfId="4732">
      <pivotArea dataOnly="0" labelOnly="1" fieldPosition="0">
        <references count="5">
          <reference field="1" count="1" selected="0">
            <x v="66"/>
          </reference>
          <reference field="2" count="1" selected="0">
            <x v="23"/>
          </reference>
          <reference field="3" count="1" selected="0">
            <x v="9"/>
          </reference>
          <reference field="4" count="1" selected="0">
            <x v="150"/>
          </reference>
          <reference field="5" count="1">
            <x v="1485"/>
          </reference>
        </references>
      </pivotArea>
    </format>
    <format dxfId="4731">
      <pivotArea dataOnly="0" labelOnly="1" fieldPosition="0">
        <references count="5">
          <reference field="1" count="1" selected="0">
            <x v="66"/>
          </reference>
          <reference field="2" count="1" selected="0">
            <x v="26"/>
          </reference>
          <reference field="3" count="1" selected="0">
            <x v="1"/>
          </reference>
          <reference field="4" count="1" selected="0">
            <x v="150"/>
          </reference>
          <reference field="5" count="1">
            <x v="68"/>
          </reference>
        </references>
      </pivotArea>
    </format>
    <format dxfId="4730">
      <pivotArea dataOnly="0" labelOnly="1" fieldPosition="0">
        <references count="5">
          <reference field="1" count="1" selected="0">
            <x v="66"/>
          </reference>
          <reference field="2" count="1" selected="0">
            <x v="29"/>
          </reference>
          <reference field="3" count="1" selected="0">
            <x v="10"/>
          </reference>
          <reference field="4" count="1" selected="0">
            <x v="150"/>
          </reference>
          <reference field="5" count="1">
            <x v="1533"/>
          </reference>
        </references>
      </pivotArea>
    </format>
    <format dxfId="4729">
      <pivotArea dataOnly="0" labelOnly="1" fieldPosition="0">
        <references count="5">
          <reference field="1" count="1" selected="0">
            <x v="66"/>
          </reference>
          <reference field="2" count="1" selected="0">
            <x v="29"/>
          </reference>
          <reference field="3" count="1" selected="0">
            <x v="38"/>
          </reference>
          <reference field="4" count="1" selected="0">
            <x v="150"/>
          </reference>
          <reference field="5" count="1">
            <x v="352"/>
          </reference>
        </references>
      </pivotArea>
    </format>
    <format dxfId="4728">
      <pivotArea dataOnly="0" labelOnly="1" fieldPosition="0">
        <references count="5">
          <reference field="1" count="1" selected="0">
            <x v="66"/>
          </reference>
          <reference field="2" count="1" selected="0">
            <x v="35"/>
          </reference>
          <reference field="3" count="1" selected="0">
            <x v="38"/>
          </reference>
          <reference field="4" count="1" selected="0">
            <x v="150"/>
          </reference>
          <reference field="5" count="3">
            <x v="1160"/>
            <x v="1254"/>
            <x v="1414"/>
          </reference>
        </references>
      </pivotArea>
    </format>
    <format dxfId="4727">
      <pivotArea dataOnly="0" labelOnly="1" fieldPosition="0">
        <references count="5">
          <reference field="1" count="1" selected="0">
            <x v="66"/>
          </reference>
          <reference field="2" count="1" selected="0">
            <x v="36"/>
          </reference>
          <reference field="3" count="1" selected="0">
            <x v="38"/>
          </reference>
          <reference field="4" count="1" selected="0">
            <x v="150"/>
          </reference>
          <reference field="5" count="1">
            <x v="232"/>
          </reference>
        </references>
      </pivotArea>
    </format>
    <format dxfId="4726">
      <pivotArea dataOnly="0" labelOnly="1" fieldPosition="0">
        <references count="5">
          <reference field="1" count="1" selected="0">
            <x v="67"/>
          </reference>
          <reference field="2" count="1" selected="0">
            <x v="0"/>
          </reference>
          <reference field="3" count="1" selected="0">
            <x v="9"/>
          </reference>
          <reference field="4" count="1" selected="0">
            <x v="151"/>
          </reference>
          <reference field="5" count="1">
            <x v="1400"/>
          </reference>
        </references>
      </pivotArea>
    </format>
    <format dxfId="4725">
      <pivotArea dataOnly="0" labelOnly="1" fieldPosition="0">
        <references count="5">
          <reference field="1" count="1" selected="0">
            <x v="67"/>
          </reference>
          <reference field="2" count="1" selected="0">
            <x v="0"/>
          </reference>
          <reference field="3" count="1" selected="0">
            <x v="38"/>
          </reference>
          <reference field="4" count="1" selected="0">
            <x v="151"/>
          </reference>
          <reference field="5" count="1">
            <x v="522"/>
          </reference>
        </references>
      </pivotArea>
    </format>
    <format dxfId="4724">
      <pivotArea dataOnly="0" labelOnly="1" fieldPosition="0">
        <references count="5">
          <reference field="1" count="1" selected="0">
            <x v="67"/>
          </reference>
          <reference field="2" count="1" selected="0">
            <x v="2"/>
          </reference>
          <reference field="3" count="1" selected="0">
            <x v="6"/>
          </reference>
          <reference field="4" count="1" selected="0">
            <x v="151"/>
          </reference>
          <reference field="5" count="1">
            <x v="443"/>
          </reference>
        </references>
      </pivotArea>
    </format>
    <format dxfId="4723">
      <pivotArea dataOnly="0" labelOnly="1" fieldPosition="0">
        <references count="5">
          <reference field="1" count="1" selected="0">
            <x v="67"/>
          </reference>
          <reference field="2" count="1" selected="0">
            <x v="3"/>
          </reference>
          <reference field="3" count="1" selected="0">
            <x v="6"/>
          </reference>
          <reference field="4" count="1" selected="0">
            <x v="151"/>
          </reference>
          <reference field="5" count="1">
            <x v="1074"/>
          </reference>
        </references>
      </pivotArea>
    </format>
    <format dxfId="4722">
      <pivotArea dataOnly="0" labelOnly="1" fieldPosition="0">
        <references count="5">
          <reference field="1" count="1" selected="0">
            <x v="67"/>
          </reference>
          <reference field="2" count="1" selected="0">
            <x v="12"/>
          </reference>
          <reference field="3" count="1" selected="0">
            <x v="1"/>
          </reference>
          <reference field="4" count="1" selected="0">
            <x v="151"/>
          </reference>
          <reference field="5" count="2">
            <x v="80"/>
            <x v="213"/>
          </reference>
        </references>
      </pivotArea>
    </format>
    <format dxfId="4721">
      <pivotArea dataOnly="0" labelOnly="1" fieldPosition="0">
        <references count="5">
          <reference field="1" count="1" selected="0">
            <x v="67"/>
          </reference>
          <reference field="2" count="1" selected="0">
            <x v="24"/>
          </reference>
          <reference field="3" count="1" selected="0">
            <x v="38"/>
          </reference>
          <reference field="4" count="1" selected="0">
            <x v="151"/>
          </reference>
          <reference field="5" count="1">
            <x v="129"/>
          </reference>
        </references>
      </pivotArea>
    </format>
    <format dxfId="4720">
      <pivotArea dataOnly="0" labelOnly="1" fieldPosition="0">
        <references count="5">
          <reference field="1" count="1" selected="0">
            <x v="67"/>
          </reference>
          <reference field="2" count="1" selected="0">
            <x v="35"/>
          </reference>
          <reference field="3" count="1" selected="0">
            <x v="1"/>
          </reference>
          <reference field="4" count="1" selected="0">
            <x v="151"/>
          </reference>
          <reference field="5" count="2">
            <x v="80"/>
            <x v="500"/>
          </reference>
        </references>
      </pivotArea>
    </format>
    <format dxfId="4719">
      <pivotArea dataOnly="0" labelOnly="1" fieldPosition="0">
        <references count="5">
          <reference field="1" count="1" selected="0">
            <x v="68"/>
          </reference>
          <reference field="2" count="1" selected="0">
            <x v="0"/>
          </reference>
          <reference field="3" count="1" selected="0">
            <x v="1"/>
          </reference>
          <reference field="4" count="1" selected="0">
            <x v="152"/>
          </reference>
          <reference field="5" count="2">
            <x v="80"/>
            <x v="895"/>
          </reference>
        </references>
      </pivotArea>
    </format>
    <format dxfId="4718">
      <pivotArea dataOnly="0" labelOnly="1" fieldPosition="0">
        <references count="5">
          <reference field="1" count="1" selected="0">
            <x v="68"/>
          </reference>
          <reference field="2" count="1" selected="0">
            <x v="0"/>
          </reference>
          <reference field="3" count="1" selected="0">
            <x v="9"/>
          </reference>
          <reference field="4" count="1" selected="0">
            <x v="152"/>
          </reference>
          <reference field="5" count="1">
            <x v="124"/>
          </reference>
        </references>
      </pivotArea>
    </format>
    <format dxfId="4717">
      <pivotArea dataOnly="0" labelOnly="1" fieldPosition="0">
        <references count="5">
          <reference field="1" count="1" selected="0">
            <x v="68"/>
          </reference>
          <reference field="2" count="1" selected="0">
            <x v="0"/>
          </reference>
          <reference field="3" count="1" selected="0">
            <x v="12"/>
          </reference>
          <reference field="4" count="1" selected="0">
            <x v="50"/>
          </reference>
          <reference field="5" count="1">
            <x v="80"/>
          </reference>
        </references>
      </pivotArea>
    </format>
    <format dxfId="4716">
      <pivotArea dataOnly="0" labelOnly="1" fieldPosition="0">
        <references count="5">
          <reference field="1" count="1" selected="0">
            <x v="68"/>
          </reference>
          <reference field="2" count="1" selected="0">
            <x v="0"/>
          </reference>
          <reference field="3" count="1" selected="0">
            <x v="38"/>
          </reference>
          <reference field="4" count="1" selected="0">
            <x v="152"/>
          </reference>
          <reference field="5" count="1">
            <x v="633"/>
          </reference>
        </references>
      </pivotArea>
    </format>
    <format dxfId="4715">
      <pivotArea dataOnly="0" labelOnly="1" fieldPosition="0">
        <references count="5">
          <reference field="1" count="1" selected="0">
            <x v="68"/>
          </reference>
          <reference field="2" count="1" selected="0">
            <x v="3"/>
          </reference>
          <reference field="3" count="1" selected="0">
            <x v="1"/>
          </reference>
          <reference field="4" count="1" selected="0">
            <x v="152"/>
          </reference>
          <reference field="5" count="1">
            <x v="272"/>
          </reference>
        </references>
      </pivotArea>
    </format>
    <format dxfId="4714">
      <pivotArea dataOnly="0" labelOnly="1" fieldPosition="0">
        <references count="5">
          <reference field="1" count="1" selected="0">
            <x v="68"/>
          </reference>
          <reference field="2" count="1" selected="0">
            <x v="6"/>
          </reference>
          <reference field="3" count="1" selected="0">
            <x v="38"/>
          </reference>
          <reference field="4" count="1" selected="0">
            <x v="152"/>
          </reference>
          <reference field="5" count="1">
            <x v="524"/>
          </reference>
        </references>
      </pivotArea>
    </format>
    <format dxfId="4713">
      <pivotArea dataOnly="0" labelOnly="1" fieldPosition="0">
        <references count="5">
          <reference field="1" count="1" selected="0">
            <x v="68"/>
          </reference>
          <reference field="2" count="1" selected="0">
            <x v="12"/>
          </reference>
          <reference field="3" count="1" selected="0">
            <x v="1"/>
          </reference>
          <reference field="4" count="1" selected="0">
            <x v="152"/>
          </reference>
          <reference field="5" count="1">
            <x v="80"/>
          </reference>
        </references>
      </pivotArea>
    </format>
    <format dxfId="4712">
      <pivotArea dataOnly="0" labelOnly="1" fieldPosition="0">
        <references count="5">
          <reference field="1" count="1" selected="0">
            <x v="68"/>
          </reference>
          <reference field="2" count="1" selected="0">
            <x v="15"/>
          </reference>
          <reference field="3" count="1" selected="0">
            <x v="38"/>
          </reference>
          <reference field="4" count="1" selected="0">
            <x v="152"/>
          </reference>
          <reference field="5" count="1">
            <x v="1125"/>
          </reference>
        </references>
      </pivotArea>
    </format>
    <format dxfId="4711">
      <pivotArea dataOnly="0" labelOnly="1" fieldPosition="0">
        <references count="5">
          <reference field="1" count="1" selected="0">
            <x v="68"/>
          </reference>
          <reference field="2" count="1" selected="0">
            <x v="26"/>
          </reference>
          <reference field="3" count="1" selected="0">
            <x v="1"/>
          </reference>
          <reference field="4" count="1" selected="0">
            <x v="152"/>
          </reference>
          <reference field="5" count="1">
            <x v="539"/>
          </reference>
        </references>
      </pivotArea>
    </format>
    <format dxfId="4710">
      <pivotArea dataOnly="0" labelOnly="1" fieldPosition="0">
        <references count="5">
          <reference field="1" count="1" selected="0">
            <x v="68"/>
          </reference>
          <reference field="2" count="1" selected="0">
            <x v="27"/>
          </reference>
          <reference field="3" count="1" selected="0">
            <x v="10"/>
          </reference>
          <reference field="4" count="1" selected="0">
            <x v="152"/>
          </reference>
          <reference field="5" count="1">
            <x v="1172"/>
          </reference>
        </references>
      </pivotArea>
    </format>
    <format dxfId="4709">
      <pivotArea dataOnly="0" labelOnly="1" fieldPosition="0">
        <references count="5">
          <reference field="1" count="1" selected="0">
            <x v="68"/>
          </reference>
          <reference field="2" count="1" selected="0">
            <x v="35"/>
          </reference>
          <reference field="3" count="1" selected="0">
            <x v="1"/>
          </reference>
          <reference field="4" count="1" selected="0">
            <x v="152"/>
          </reference>
          <reference field="5" count="1">
            <x v="80"/>
          </reference>
        </references>
      </pivotArea>
    </format>
    <format dxfId="4708">
      <pivotArea dataOnly="0" labelOnly="1" fieldPosition="0">
        <references count="5">
          <reference field="1" count="1" selected="0">
            <x v="68"/>
          </reference>
          <reference field="2" count="1" selected="0">
            <x v="35"/>
          </reference>
          <reference field="3" count="1" selected="0">
            <x v="38"/>
          </reference>
          <reference field="4" count="1" selected="0">
            <x v="152"/>
          </reference>
          <reference field="5" count="1">
            <x v="92"/>
          </reference>
        </references>
      </pivotArea>
    </format>
    <format dxfId="4707">
      <pivotArea dataOnly="0" labelOnly="1" fieldPosition="0">
        <references count="5">
          <reference field="1" count="1" selected="0">
            <x v="69"/>
          </reference>
          <reference field="2" count="1" selected="0">
            <x v="0"/>
          </reference>
          <reference field="3" count="1" selected="0">
            <x v="12"/>
          </reference>
          <reference field="4" count="1" selected="0">
            <x v="48"/>
          </reference>
          <reference field="5" count="1">
            <x v="11"/>
          </reference>
        </references>
      </pivotArea>
    </format>
    <format dxfId="4706">
      <pivotArea dataOnly="0" labelOnly="1" fieldPosition="0">
        <references count="5">
          <reference field="1" count="1" selected="0">
            <x v="69"/>
          </reference>
          <reference field="2" count="1" selected="0">
            <x v="0"/>
          </reference>
          <reference field="3" count="1" selected="0">
            <x v="12"/>
          </reference>
          <reference field="4" count="1" selected="0">
            <x v="58"/>
          </reference>
          <reference field="5" count="1">
            <x v="6"/>
          </reference>
        </references>
      </pivotArea>
    </format>
    <format dxfId="4705">
      <pivotArea dataOnly="0" labelOnly="1" fieldPosition="0">
        <references count="5">
          <reference field="1" count="1" selected="0">
            <x v="70"/>
          </reference>
          <reference field="2" count="1" selected="0">
            <x v="0"/>
          </reference>
          <reference field="3" count="1" selected="0">
            <x v="6"/>
          </reference>
          <reference field="4" count="1" selected="0">
            <x v="153"/>
          </reference>
          <reference field="5" count="1">
            <x v="248"/>
          </reference>
        </references>
      </pivotArea>
    </format>
    <format dxfId="4704">
      <pivotArea dataOnly="0" labelOnly="1" fieldPosition="0">
        <references count="5">
          <reference field="1" count="1" selected="0">
            <x v="70"/>
          </reference>
          <reference field="2" count="1" selected="0">
            <x v="0"/>
          </reference>
          <reference field="3" count="1" selected="0">
            <x v="8"/>
          </reference>
          <reference field="4" count="1" selected="0">
            <x v="153"/>
          </reference>
          <reference field="5" count="1">
            <x v="1114"/>
          </reference>
        </references>
      </pivotArea>
    </format>
    <format dxfId="4703">
      <pivotArea dataOnly="0" labelOnly="1" fieldPosition="0">
        <references count="5">
          <reference field="1" count="1" selected="0">
            <x v="70"/>
          </reference>
          <reference field="2" count="1" selected="0">
            <x v="0"/>
          </reference>
          <reference field="3" count="1" selected="0">
            <x v="12"/>
          </reference>
          <reference field="4" count="1" selected="0">
            <x v="2"/>
          </reference>
          <reference field="5" count="1">
            <x v="109"/>
          </reference>
        </references>
      </pivotArea>
    </format>
    <format dxfId="4702">
      <pivotArea dataOnly="0" labelOnly="1" fieldPosition="0">
        <references count="5">
          <reference field="1" count="1" selected="0">
            <x v="70"/>
          </reference>
          <reference field="2" count="1" selected="0">
            <x v="0"/>
          </reference>
          <reference field="3" count="1" selected="0">
            <x v="12"/>
          </reference>
          <reference field="4" count="1" selected="0">
            <x v="27"/>
          </reference>
          <reference field="5" count="1">
            <x v="11"/>
          </reference>
        </references>
      </pivotArea>
    </format>
    <format dxfId="4701">
      <pivotArea dataOnly="0" labelOnly="1" fieldPosition="0">
        <references count="5">
          <reference field="1" count="1" selected="0">
            <x v="70"/>
          </reference>
          <reference field="2" count="1" selected="0">
            <x v="0"/>
          </reference>
          <reference field="3" count="1" selected="0">
            <x v="12"/>
          </reference>
          <reference field="4" count="1" selected="0">
            <x v="37"/>
          </reference>
          <reference field="5" count="1">
            <x v="90"/>
          </reference>
        </references>
      </pivotArea>
    </format>
    <format dxfId="4700">
      <pivotArea dataOnly="0" labelOnly="1" fieldPosition="0">
        <references count="5">
          <reference field="1" count="1" selected="0">
            <x v="70"/>
          </reference>
          <reference field="2" count="1" selected="0">
            <x v="0"/>
          </reference>
          <reference field="3" count="1" selected="0">
            <x v="12"/>
          </reference>
          <reference field="4" count="1" selected="0">
            <x v="52"/>
          </reference>
          <reference field="5" count="1">
            <x v="14"/>
          </reference>
        </references>
      </pivotArea>
    </format>
    <format dxfId="4699">
      <pivotArea dataOnly="0" labelOnly="1" fieldPosition="0">
        <references count="5">
          <reference field="1" count="1" selected="0">
            <x v="70"/>
          </reference>
          <reference field="2" count="1" selected="0">
            <x v="2"/>
          </reference>
          <reference field="3" count="1" selected="0">
            <x v="6"/>
          </reference>
          <reference field="4" count="1" selected="0">
            <x v="153"/>
          </reference>
          <reference field="5" count="1">
            <x v="790"/>
          </reference>
        </references>
      </pivotArea>
    </format>
    <format dxfId="4698">
      <pivotArea dataOnly="0" labelOnly="1" fieldPosition="0">
        <references count="5">
          <reference field="1" count="1" selected="0">
            <x v="70"/>
          </reference>
          <reference field="2" count="1" selected="0">
            <x v="12"/>
          </reference>
          <reference field="3" count="1" selected="0">
            <x v="1"/>
          </reference>
          <reference field="4" count="1" selected="0">
            <x v="153"/>
          </reference>
          <reference field="5" count="3">
            <x v="80"/>
            <x v="352"/>
            <x v="500"/>
          </reference>
        </references>
      </pivotArea>
    </format>
    <format dxfId="4697">
      <pivotArea dataOnly="0" labelOnly="1" fieldPosition="0">
        <references count="5">
          <reference field="1" count="1" selected="0">
            <x v="70"/>
          </reference>
          <reference field="2" count="1" selected="0">
            <x v="14"/>
          </reference>
          <reference field="3" count="1" selected="0">
            <x v="38"/>
          </reference>
          <reference field="4" count="1" selected="0">
            <x v="153"/>
          </reference>
          <reference field="5" count="1">
            <x v="569"/>
          </reference>
        </references>
      </pivotArea>
    </format>
    <format dxfId="4696">
      <pivotArea dataOnly="0" labelOnly="1" fieldPosition="0">
        <references count="5">
          <reference field="1" count="1" selected="0">
            <x v="70"/>
          </reference>
          <reference field="2" count="1" selected="0">
            <x v="15"/>
          </reference>
          <reference field="3" count="1" selected="0">
            <x v="1"/>
          </reference>
          <reference field="4" count="1" selected="0">
            <x v="153"/>
          </reference>
          <reference field="5" count="1">
            <x v="895"/>
          </reference>
        </references>
      </pivotArea>
    </format>
    <format dxfId="4695">
      <pivotArea dataOnly="0" labelOnly="1" fieldPosition="0">
        <references count="5">
          <reference field="1" count="1" selected="0">
            <x v="70"/>
          </reference>
          <reference field="2" count="1" selected="0">
            <x v="15"/>
          </reference>
          <reference field="3" count="1" selected="0">
            <x v="6"/>
          </reference>
          <reference field="4" count="1" selected="0">
            <x v="153"/>
          </reference>
          <reference field="5" count="1">
            <x v="410"/>
          </reference>
        </references>
      </pivotArea>
    </format>
    <format dxfId="4694">
      <pivotArea dataOnly="0" labelOnly="1" fieldPosition="0">
        <references count="5">
          <reference field="1" count="1" selected="0">
            <x v="70"/>
          </reference>
          <reference field="2" count="1" selected="0">
            <x v="17"/>
          </reference>
          <reference field="3" count="1" selected="0">
            <x v="6"/>
          </reference>
          <reference field="4" count="1" selected="0">
            <x v="153"/>
          </reference>
          <reference field="5" count="1">
            <x v="1477"/>
          </reference>
        </references>
      </pivotArea>
    </format>
    <format dxfId="4693">
      <pivotArea dataOnly="0" labelOnly="1" fieldPosition="0">
        <references count="5">
          <reference field="1" count="1" selected="0">
            <x v="70"/>
          </reference>
          <reference field="2" count="1" selected="0">
            <x v="28"/>
          </reference>
          <reference field="3" count="1" selected="0">
            <x v="1"/>
          </reference>
          <reference field="4" count="1" selected="0">
            <x v="153"/>
          </reference>
          <reference field="5" count="1">
            <x v="811"/>
          </reference>
        </references>
      </pivotArea>
    </format>
    <format dxfId="4692">
      <pivotArea dataOnly="0" labelOnly="1" fieldPosition="0">
        <references count="5">
          <reference field="1" count="1" selected="0">
            <x v="70"/>
          </reference>
          <reference field="2" count="1" selected="0">
            <x v="35"/>
          </reference>
          <reference field="3" count="1" selected="0">
            <x v="1"/>
          </reference>
          <reference field="4" count="1" selected="0">
            <x v="153"/>
          </reference>
          <reference field="5" count="1">
            <x v="80"/>
          </reference>
        </references>
      </pivotArea>
    </format>
    <format dxfId="4691">
      <pivotArea dataOnly="0" labelOnly="1" fieldPosition="0">
        <references count="5">
          <reference field="1" count="1" selected="0">
            <x v="70"/>
          </reference>
          <reference field="2" count="1" selected="0">
            <x v="35"/>
          </reference>
          <reference field="3" count="1" selected="0">
            <x v="38"/>
          </reference>
          <reference field="4" count="1" selected="0">
            <x v="153"/>
          </reference>
          <reference field="5" count="1">
            <x v="1041"/>
          </reference>
        </references>
      </pivotArea>
    </format>
    <format dxfId="4690">
      <pivotArea dataOnly="0" labelOnly="1" fieldPosition="0">
        <references count="5">
          <reference field="1" count="1" selected="0">
            <x v="71"/>
          </reference>
          <reference field="2" count="1" selected="0">
            <x v="0"/>
          </reference>
          <reference field="3" count="1" selected="0">
            <x v="6"/>
          </reference>
          <reference field="4" count="1" selected="0">
            <x v="154"/>
          </reference>
          <reference field="5" count="1">
            <x v="689"/>
          </reference>
        </references>
      </pivotArea>
    </format>
    <format dxfId="4689">
      <pivotArea dataOnly="0" labelOnly="1" fieldPosition="0">
        <references count="5">
          <reference field="1" count="1" selected="0">
            <x v="71"/>
          </reference>
          <reference field="2" count="1" selected="0">
            <x v="0"/>
          </reference>
          <reference field="3" count="1" selected="0">
            <x v="38"/>
          </reference>
          <reference field="4" count="1" selected="0">
            <x v="154"/>
          </reference>
          <reference field="5" count="1">
            <x v="628"/>
          </reference>
        </references>
      </pivotArea>
    </format>
    <format dxfId="4688">
      <pivotArea dataOnly="0" labelOnly="1" fieldPosition="0">
        <references count="5">
          <reference field="1" count="1" selected="0">
            <x v="71"/>
          </reference>
          <reference field="2" count="1" selected="0">
            <x v="6"/>
          </reference>
          <reference field="3" count="1" selected="0">
            <x v="38"/>
          </reference>
          <reference field="4" count="1" selected="0">
            <x v="154"/>
          </reference>
          <reference field="5" count="1">
            <x v="911"/>
          </reference>
        </references>
      </pivotArea>
    </format>
    <format dxfId="4687">
      <pivotArea dataOnly="0" labelOnly="1" fieldPosition="0">
        <references count="5">
          <reference field="1" count="1" selected="0">
            <x v="71"/>
          </reference>
          <reference field="2" count="1" selected="0">
            <x v="7"/>
          </reference>
          <reference field="3" count="1" selected="0">
            <x v="38"/>
          </reference>
          <reference field="4" count="1" selected="0">
            <x v="154"/>
          </reference>
          <reference field="5" count="1">
            <x v="564"/>
          </reference>
        </references>
      </pivotArea>
    </format>
    <format dxfId="4686">
      <pivotArea dataOnly="0" labelOnly="1" fieldPosition="0">
        <references count="5">
          <reference field="1" count="1" selected="0">
            <x v="71"/>
          </reference>
          <reference field="2" count="1" selected="0">
            <x v="8"/>
          </reference>
          <reference field="3" count="1" selected="0">
            <x v="38"/>
          </reference>
          <reference field="4" count="1" selected="0">
            <x v="154"/>
          </reference>
          <reference field="5" count="1">
            <x v="691"/>
          </reference>
        </references>
      </pivotArea>
    </format>
    <format dxfId="4685">
      <pivotArea dataOnly="0" labelOnly="1" fieldPosition="0">
        <references count="5">
          <reference field="1" count="1" selected="0">
            <x v="71"/>
          </reference>
          <reference field="2" count="1" selected="0">
            <x v="12"/>
          </reference>
          <reference field="3" count="1" selected="0">
            <x v="1"/>
          </reference>
          <reference field="4" count="1" selected="0">
            <x v="154"/>
          </reference>
          <reference field="5" count="4">
            <x v="213"/>
            <x v="352"/>
            <x v="702"/>
            <x v="846"/>
          </reference>
        </references>
      </pivotArea>
    </format>
    <format dxfId="4684">
      <pivotArea dataOnly="0" labelOnly="1" fieldPosition="0">
        <references count="5">
          <reference field="1" count="1" selected="0">
            <x v="71"/>
          </reference>
          <reference field="2" count="1" selected="0">
            <x v="15"/>
          </reference>
          <reference field="3" count="1" selected="0">
            <x v="38"/>
          </reference>
          <reference field="4" count="1" selected="0">
            <x v="154"/>
          </reference>
          <reference field="5" count="1">
            <x v="1274"/>
          </reference>
        </references>
      </pivotArea>
    </format>
    <format dxfId="4683">
      <pivotArea dataOnly="0" labelOnly="1" fieldPosition="0">
        <references count="5">
          <reference field="1" count="1" selected="0">
            <x v="71"/>
          </reference>
          <reference field="2" count="1" selected="0">
            <x v="19"/>
          </reference>
          <reference field="3" count="1" selected="0">
            <x v="6"/>
          </reference>
          <reference field="4" count="1" selected="0">
            <x v="154"/>
          </reference>
          <reference field="5" count="1">
            <x v="539"/>
          </reference>
        </references>
      </pivotArea>
    </format>
    <format dxfId="4682">
      <pivotArea dataOnly="0" labelOnly="1" fieldPosition="0">
        <references count="5">
          <reference field="1" count="1" selected="0">
            <x v="71"/>
          </reference>
          <reference field="2" count="1" selected="0">
            <x v="21"/>
          </reference>
          <reference field="3" count="1" selected="0">
            <x v="38"/>
          </reference>
          <reference field="4" count="1" selected="0">
            <x v="154"/>
          </reference>
          <reference field="5" count="1">
            <x v="1274"/>
          </reference>
        </references>
      </pivotArea>
    </format>
    <format dxfId="4681">
      <pivotArea dataOnly="0" labelOnly="1" fieldPosition="0">
        <references count="5">
          <reference field="1" count="1" selected="0">
            <x v="71"/>
          </reference>
          <reference field="2" count="1" selected="0">
            <x v="23"/>
          </reference>
          <reference field="3" count="1" selected="0">
            <x v="38"/>
          </reference>
          <reference field="4" count="1" selected="0">
            <x v="154"/>
          </reference>
          <reference field="5" count="1">
            <x v="1857"/>
          </reference>
        </references>
      </pivotArea>
    </format>
    <format dxfId="4680">
      <pivotArea dataOnly="0" labelOnly="1" fieldPosition="0">
        <references count="5">
          <reference field="1" count="1" selected="0">
            <x v="71"/>
          </reference>
          <reference field="2" count="1" selected="0">
            <x v="34"/>
          </reference>
          <reference field="3" count="1" selected="0">
            <x v="38"/>
          </reference>
          <reference field="4" count="1" selected="0">
            <x v="154"/>
          </reference>
          <reference field="5" count="1">
            <x v="872"/>
          </reference>
        </references>
      </pivotArea>
    </format>
    <format dxfId="4679">
      <pivotArea dataOnly="0" labelOnly="1" fieldPosition="0">
        <references count="5">
          <reference field="1" count="1" selected="0">
            <x v="71"/>
          </reference>
          <reference field="2" count="1" selected="0">
            <x v="35"/>
          </reference>
          <reference field="3" count="1" selected="0">
            <x v="1"/>
          </reference>
          <reference field="4" count="1" selected="0">
            <x v="154"/>
          </reference>
          <reference field="5" count="2">
            <x v="80"/>
            <x v="213"/>
          </reference>
        </references>
      </pivotArea>
    </format>
    <format dxfId="4678">
      <pivotArea dataOnly="0" labelOnly="1" fieldPosition="0">
        <references count="5">
          <reference field="1" count="1" selected="0">
            <x v="72"/>
          </reference>
          <reference field="2" count="1" selected="0">
            <x v="0"/>
          </reference>
          <reference field="3" count="1" selected="0">
            <x v="8"/>
          </reference>
          <reference field="4" count="1" selected="0">
            <x v="155"/>
          </reference>
          <reference field="5" count="8">
            <x v="148"/>
            <x v="358"/>
            <x v="390"/>
            <x v="482"/>
            <x v="549"/>
            <x v="578"/>
            <x v="610"/>
            <x v="1272"/>
          </reference>
        </references>
      </pivotArea>
    </format>
    <format dxfId="4677">
      <pivotArea dataOnly="0" labelOnly="1" fieldPosition="0">
        <references count="5">
          <reference field="1" count="1" selected="0">
            <x v="72"/>
          </reference>
          <reference field="2" count="1" selected="0">
            <x v="0"/>
          </reference>
          <reference field="3" count="1" selected="0">
            <x v="9"/>
          </reference>
          <reference field="4" count="1" selected="0">
            <x v="155"/>
          </reference>
          <reference field="5" count="15">
            <x v="81"/>
            <x v="163"/>
            <x v="213"/>
            <x v="424"/>
            <x v="499"/>
            <x v="830"/>
            <x v="856"/>
            <x v="908"/>
            <x v="942"/>
            <x v="1034"/>
            <x v="1036"/>
            <x v="1062"/>
            <x v="1084"/>
            <x v="1374"/>
            <x v="1418"/>
          </reference>
        </references>
      </pivotArea>
    </format>
    <format dxfId="4676">
      <pivotArea dataOnly="0" labelOnly="1" fieldPosition="0">
        <references count="5">
          <reference field="1" count="1" selected="0">
            <x v="72"/>
          </reference>
          <reference field="2" count="1" selected="0">
            <x v="0"/>
          </reference>
          <reference field="3" count="1" selected="0">
            <x v="12"/>
          </reference>
          <reference field="4" count="1" selected="0">
            <x v="19"/>
          </reference>
          <reference field="5" count="1">
            <x v="188"/>
          </reference>
        </references>
      </pivotArea>
    </format>
    <format dxfId="4675">
      <pivotArea dataOnly="0" labelOnly="1" fieldPosition="0">
        <references count="5">
          <reference field="1" count="1" selected="0">
            <x v="72"/>
          </reference>
          <reference field="2" count="1" selected="0">
            <x v="0"/>
          </reference>
          <reference field="3" count="1" selected="0">
            <x v="12"/>
          </reference>
          <reference field="4" count="1" selected="0">
            <x v="26"/>
          </reference>
          <reference field="5" count="1">
            <x v="52"/>
          </reference>
        </references>
      </pivotArea>
    </format>
    <format dxfId="4674">
      <pivotArea dataOnly="0" labelOnly="1" fieldPosition="0">
        <references count="5">
          <reference field="1" count="1" selected="0">
            <x v="72"/>
          </reference>
          <reference field="2" count="1" selected="0">
            <x v="0"/>
          </reference>
          <reference field="3" count="1" selected="0">
            <x v="12"/>
          </reference>
          <reference field="4" count="1" selected="0">
            <x v="50"/>
          </reference>
          <reference field="5" count="1">
            <x v="90"/>
          </reference>
        </references>
      </pivotArea>
    </format>
    <format dxfId="4673">
      <pivotArea dataOnly="0" labelOnly="1" fieldPosition="0">
        <references count="5">
          <reference field="1" count="1" selected="0">
            <x v="72"/>
          </reference>
          <reference field="2" count="1" selected="0">
            <x v="0"/>
          </reference>
          <reference field="3" count="1" selected="0">
            <x v="12"/>
          </reference>
          <reference field="4" count="1" selected="0">
            <x v="70"/>
          </reference>
          <reference field="5" count="1">
            <x v="11"/>
          </reference>
        </references>
      </pivotArea>
    </format>
    <format dxfId="4672">
      <pivotArea dataOnly="0" labelOnly="1" fieldPosition="0">
        <references count="5">
          <reference field="1" count="1" selected="0">
            <x v="72"/>
          </reference>
          <reference field="2" count="1" selected="0">
            <x v="5"/>
          </reference>
          <reference field="3" count="1" selected="0">
            <x v="38"/>
          </reference>
          <reference field="4" count="1" selected="0">
            <x v="155"/>
          </reference>
          <reference field="5" count="1">
            <x v="213"/>
          </reference>
        </references>
      </pivotArea>
    </format>
    <format dxfId="4671">
      <pivotArea dataOnly="0" labelOnly="1" fieldPosition="0">
        <references count="5">
          <reference field="1" count="1" selected="0">
            <x v="72"/>
          </reference>
          <reference field="2" count="1" selected="0">
            <x v="7"/>
          </reference>
          <reference field="3" count="1" selected="0">
            <x v="10"/>
          </reference>
          <reference field="4" count="1" selected="0">
            <x v="155"/>
          </reference>
          <reference field="5" count="1">
            <x v="1640"/>
          </reference>
        </references>
      </pivotArea>
    </format>
    <format dxfId="4670">
      <pivotArea dataOnly="0" labelOnly="1" fieldPosition="0">
        <references count="5">
          <reference field="1" count="1" selected="0">
            <x v="72"/>
          </reference>
          <reference field="2" count="1" selected="0">
            <x v="8"/>
          </reference>
          <reference field="3" count="1" selected="0">
            <x v="10"/>
          </reference>
          <reference field="4" count="1" selected="0">
            <x v="155"/>
          </reference>
          <reference field="5" count="1">
            <x v="647"/>
          </reference>
        </references>
      </pivotArea>
    </format>
    <format dxfId="4669">
      <pivotArea dataOnly="0" labelOnly="1" fieldPosition="0">
        <references count="5">
          <reference field="1" count="1" selected="0">
            <x v="72"/>
          </reference>
          <reference field="2" count="1" selected="0">
            <x v="8"/>
          </reference>
          <reference field="3" count="1" selected="0">
            <x v="38"/>
          </reference>
          <reference field="4" count="1" selected="0">
            <x v="155"/>
          </reference>
          <reference field="5" count="1">
            <x v="1259"/>
          </reference>
        </references>
      </pivotArea>
    </format>
    <format dxfId="4668">
      <pivotArea dataOnly="0" labelOnly="1" fieldPosition="0">
        <references count="5">
          <reference field="1" count="1" selected="0">
            <x v="72"/>
          </reference>
          <reference field="2" count="1" selected="0">
            <x v="9"/>
          </reference>
          <reference field="3" count="1" selected="0">
            <x v="8"/>
          </reference>
          <reference field="4" count="1" selected="0">
            <x v="155"/>
          </reference>
          <reference field="5" count="1">
            <x v="290"/>
          </reference>
        </references>
      </pivotArea>
    </format>
    <format dxfId="4667">
      <pivotArea dataOnly="0" labelOnly="1" fieldPosition="0">
        <references count="5">
          <reference field="1" count="1" selected="0">
            <x v="72"/>
          </reference>
          <reference field="2" count="1" selected="0">
            <x v="12"/>
          </reference>
          <reference field="3" count="1" selected="0">
            <x v="1"/>
          </reference>
          <reference field="4" count="1" selected="0">
            <x v="155"/>
          </reference>
          <reference field="5" count="5">
            <x v="80"/>
            <x v="352"/>
            <x v="607"/>
            <x v="702"/>
            <x v="846"/>
          </reference>
        </references>
      </pivotArea>
    </format>
    <format dxfId="4666">
      <pivotArea dataOnly="0" labelOnly="1" fieldPosition="0">
        <references count="5">
          <reference field="1" count="1" selected="0">
            <x v="72"/>
          </reference>
          <reference field="2" count="1" selected="0">
            <x v="15"/>
          </reference>
          <reference field="3" count="1" selected="0">
            <x v="8"/>
          </reference>
          <reference field="4" count="1" selected="0">
            <x v="155"/>
          </reference>
          <reference field="5" count="1">
            <x v="340"/>
          </reference>
        </references>
      </pivotArea>
    </format>
    <format dxfId="4665">
      <pivotArea dataOnly="0" labelOnly="1" fieldPosition="0">
        <references count="5">
          <reference field="1" count="1" selected="0">
            <x v="72"/>
          </reference>
          <reference field="2" count="1" selected="0">
            <x v="17"/>
          </reference>
          <reference field="3" count="1" selected="0">
            <x v="6"/>
          </reference>
          <reference field="4" count="1" selected="0">
            <x v="155"/>
          </reference>
          <reference field="5" count="1">
            <x v="1863"/>
          </reference>
        </references>
      </pivotArea>
    </format>
    <format dxfId="4664">
      <pivotArea dataOnly="0" labelOnly="1" fieldPosition="0">
        <references count="5">
          <reference field="1" count="1" selected="0">
            <x v="72"/>
          </reference>
          <reference field="2" count="1" selected="0">
            <x v="23"/>
          </reference>
          <reference field="3" count="1" selected="0">
            <x v="9"/>
          </reference>
          <reference field="4" count="1" selected="0">
            <x v="155"/>
          </reference>
          <reference field="5" count="1">
            <x v="558"/>
          </reference>
        </references>
      </pivotArea>
    </format>
    <format dxfId="4663">
      <pivotArea dataOnly="0" labelOnly="1" fieldPosition="0">
        <references count="5">
          <reference field="1" count="1" selected="0">
            <x v="72"/>
          </reference>
          <reference field="2" count="1" selected="0">
            <x v="25"/>
          </reference>
          <reference field="3" count="1" selected="0">
            <x v="9"/>
          </reference>
          <reference field="4" count="1" selected="0">
            <x v="155"/>
          </reference>
          <reference field="5" count="1">
            <x v="932"/>
          </reference>
        </references>
      </pivotArea>
    </format>
    <format dxfId="4662">
      <pivotArea dataOnly="0" labelOnly="1" fieldPosition="0">
        <references count="5">
          <reference field="1" count="1" selected="0">
            <x v="72"/>
          </reference>
          <reference field="2" count="1" selected="0">
            <x v="27"/>
          </reference>
          <reference field="3" count="1" selected="0">
            <x v="1"/>
          </reference>
          <reference field="4" count="1" selected="0">
            <x v="155"/>
          </reference>
          <reference field="5" count="1">
            <x v="195"/>
          </reference>
        </references>
      </pivotArea>
    </format>
    <format dxfId="4661">
      <pivotArea dataOnly="0" labelOnly="1" fieldPosition="0">
        <references count="5">
          <reference field="1" count="1" selected="0">
            <x v="72"/>
          </reference>
          <reference field="2" count="1" selected="0">
            <x v="27"/>
          </reference>
          <reference field="3" count="1" selected="0">
            <x v="38"/>
          </reference>
          <reference field="4" count="1" selected="0">
            <x v="155"/>
          </reference>
          <reference field="5" count="1">
            <x v="413"/>
          </reference>
        </references>
      </pivotArea>
    </format>
    <format dxfId="4660">
      <pivotArea dataOnly="0" labelOnly="1" fieldPosition="0">
        <references count="5">
          <reference field="1" count="1" selected="0">
            <x v="72"/>
          </reference>
          <reference field="2" count="1" selected="0">
            <x v="29"/>
          </reference>
          <reference field="3" count="1" selected="0">
            <x v="10"/>
          </reference>
          <reference field="4" count="1" selected="0">
            <x v="155"/>
          </reference>
          <reference field="5" count="1">
            <x v="3"/>
          </reference>
        </references>
      </pivotArea>
    </format>
    <format dxfId="4659">
      <pivotArea dataOnly="0" labelOnly="1" fieldPosition="0">
        <references count="5">
          <reference field="1" count="1" selected="0">
            <x v="72"/>
          </reference>
          <reference field="2" count="1" selected="0">
            <x v="35"/>
          </reference>
          <reference field="3" count="1" selected="0">
            <x v="1"/>
          </reference>
          <reference field="4" count="1" selected="0">
            <x v="155"/>
          </reference>
          <reference field="5" count="1">
            <x v="80"/>
          </reference>
        </references>
      </pivotArea>
    </format>
    <format dxfId="4658">
      <pivotArea dataOnly="0" labelOnly="1" fieldPosition="0">
        <references count="5">
          <reference field="1" count="1" selected="0">
            <x v="72"/>
          </reference>
          <reference field="2" count="1" selected="0">
            <x v="37"/>
          </reference>
          <reference field="3" count="1" selected="0">
            <x v="8"/>
          </reference>
          <reference field="4" count="1" selected="0">
            <x v="155"/>
          </reference>
          <reference field="5" count="1">
            <x v="1492"/>
          </reference>
        </references>
      </pivotArea>
    </format>
    <format dxfId="4657">
      <pivotArea dataOnly="0" labelOnly="1" fieldPosition="0">
        <references count="5">
          <reference field="1" count="1" selected="0">
            <x v="72"/>
          </reference>
          <reference field="2" count="1" selected="0">
            <x v="37"/>
          </reference>
          <reference field="3" count="1" selected="0">
            <x v="9"/>
          </reference>
          <reference field="4" count="1" selected="0">
            <x v="155"/>
          </reference>
          <reference field="5" count="1">
            <x v="1404"/>
          </reference>
        </references>
      </pivotArea>
    </format>
    <format dxfId="4656">
      <pivotArea dataOnly="0" labelOnly="1" fieldPosition="0">
        <references count="5">
          <reference field="1" count="1" selected="0">
            <x v="73"/>
          </reference>
          <reference field="2" count="1" selected="0">
            <x v="0"/>
          </reference>
          <reference field="3" count="1" selected="0">
            <x v="6"/>
          </reference>
          <reference field="4" count="1" selected="0">
            <x v="156"/>
          </reference>
          <reference field="5" count="1">
            <x v="1173"/>
          </reference>
        </references>
      </pivotArea>
    </format>
    <format dxfId="4655">
      <pivotArea dataOnly="0" labelOnly="1" fieldPosition="0">
        <references count="5">
          <reference field="1" count="1" selected="0">
            <x v="73"/>
          </reference>
          <reference field="2" count="1" selected="0">
            <x v="0"/>
          </reference>
          <reference field="3" count="1" selected="0">
            <x v="12"/>
          </reference>
          <reference field="4" count="1" selected="0">
            <x v="30"/>
          </reference>
          <reference field="5" count="1">
            <x v="35"/>
          </reference>
        </references>
      </pivotArea>
    </format>
    <format dxfId="4654">
      <pivotArea dataOnly="0" labelOnly="1" fieldPosition="0">
        <references count="5">
          <reference field="1" count="1" selected="0">
            <x v="73"/>
          </reference>
          <reference field="2" count="1" selected="0">
            <x v="12"/>
          </reference>
          <reference field="3" count="1" selected="0">
            <x v="1"/>
          </reference>
          <reference field="4" count="1" selected="0">
            <x v="156"/>
          </reference>
          <reference field="5" count="2">
            <x v="80"/>
            <x v="213"/>
          </reference>
        </references>
      </pivotArea>
    </format>
    <format dxfId="4653">
      <pivotArea dataOnly="0" labelOnly="1" fieldPosition="0">
        <references count="5">
          <reference field="1" count="1" selected="0">
            <x v="73"/>
          </reference>
          <reference field="2" count="1" selected="0">
            <x v="21"/>
          </reference>
          <reference field="3" count="1" selected="0">
            <x v="38"/>
          </reference>
          <reference field="4" count="1" selected="0">
            <x v="156"/>
          </reference>
          <reference field="5" count="1">
            <x v="1652"/>
          </reference>
        </references>
      </pivotArea>
    </format>
    <format dxfId="4652">
      <pivotArea dataOnly="0" labelOnly="1" fieldPosition="0">
        <references count="5">
          <reference field="1" count="1" selected="0">
            <x v="73"/>
          </reference>
          <reference field="2" count="1" selected="0">
            <x v="23"/>
          </reference>
          <reference field="3" count="1" selected="0">
            <x v="38"/>
          </reference>
          <reference field="4" count="1" selected="0">
            <x v="156"/>
          </reference>
          <reference field="5" count="1">
            <x v="352"/>
          </reference>
        </references>
      </pivotArea>
    </format>
    <format dxfId="4651">
      <pivotArea dataOnly="0" labelOnly="1" fieldPosition="0">
        <references count="5">
          <reference field="1" count="1" selected="0">
            <x v="73"/>
          </reference>
          <reference field="2" count="1" selected="0">
            <x v="35"/>
          </reference>
          <reference field="3" count="1" selected="0">
            <x v="1"/>
          </reference>
          <reference field="4" count="1" selected="0">
            <x v="156"/>
          </reference>
          <reference field="5" count="1">
            <x v="213"/>
          </reference>
        </references>
      </pivotArea>
    </format>
    <format dxfId="4650">
      <pivotArea dataOnly="0" labelOnly="1" fieldPosition="0">
        <references count="5">
          <reference field="1" count="1" selected="0">
            <x v="73"/>
          </reference>
          <reference field="2" count="1" selected="0">
            <x v="35"/>
          </reference>
          <reference field="3" count="1" selected="0">
            <x v="38"/>
          </reference>
          <reference field="4" count="1" selected="0">
            <x v="156"/>
          </reference>
          <reference field="5" count="1">
            <x v="1399"/>
          </reference>
        </references>
      </pivotArea>
    </format>
    <format dxfId="4649">
      <pivotArea dataOnly="0" labelOnly="1" fieldPosition="0">
        <references count="5">
          <reference field="1" count="1" selected="0">
            <x v="74"/>
          </reference>
          <reference field="2" count="1" selected="0">
            <x v="0"/>
          </reference>
          <reference field="3" count="1" selected="0">
            <x v="8"/>
          </reference>
          <reference field="4" count="1" selected="0">
            <x v="157"/>
          </reference>
          <reference field="5" count="3">
            <x v="389"/>
            <x v="785"/>
            <x v="1187"/>
          </reference>
        </references>
      </pivotArea>
    </format>
    <format dxfId="4648">
      <pivotArea dataOnly="0" labelOnly="1" fieldPosition="0">
        <references count="5">
          <reference field="1" count="1" selected="0">
            <x v="74"/>
          </reference>
          <reference field="2" count="1" selected="0">
            <x v="0"/>
          </reference>
          <reference field="3" count="1" selected="0">
            <x v="9"/>
          </reference>
          <reference field="4" count="1" selected="0">
            <x v="157"/>
          </reference>
          <reference field="5" count="8">
            <x v="261"/>
            <x v="312"/>
            <x v="394"/>
            <x v="563"/>
            <x v="736"/>
            <x v="759"/>
            <x v="874"/>
            <x v="1282"/>
          </reference>
        </references>
      </pivotArea>
    </format>
    <format dxfId="4647">
      <pivotArea dataOnly="0" labelOnly="1" fieldPosition="0">
        <references count="5">
          <reference field="1" count="1" selected="0">
            <x v="74"/>
          </reference>
          <reference field="2" count="1" selected="0">
            <x v="5"/>
          </reference>
          <reference field="3" count="1" selected="0">
            <x v="38"/>
          </reference>
          <reference field="4" count="1" selected="0">
            <x v="157"/>
          </reference>
          <reference field="5" count="1">
            <x v="1358"/>
          </reference>
        </references>
      </pivotArea>
    </format>
    <format dxfId="4646">
      <pivotArea dataOnly="0" labelOnly="1" fieldPosition="0">
        <references count="5">
          <reference field="1" count="1" selected="0">
            <x v="74"/>
          </reference>
          <reference field="2" count="1" selected="0">
            <x v="8"/>
          </reference>
          <reference field="3" count="1" selected="0">
            <x v="38"/>
          </reference>
          <reference field="4" count="1" selected="0">
            <x v="157"/>
          </reference>
          <reference field="5" count="1">
            <x v="517"/>
          </reference>
        </references>
      </pivotArea>
    </format>
    <format dxfId="4645">
      <pivotArea dataOnly="0" labelOnly="1" fieldPosition="0">
        <references count="5">
          <reference field="1" count="1" selected="0">
            <x v="74"/>
          </reference>
          <reference field="2" count="1" selected="0">
            <x v="12"/>
          </reference>
          <reference field="3" count="1" selected="0">
            <x v="1"/>
          </reference>
          <reference field="4" count="1" selected="0">
            <x v="157"/>
          </reference>
          <reference field="5" count="2">
            <x v="213"/>
            <x v="352"/>
          </reference>
        </references>
      </pivotArea>
    </format>
    <format dxfId="4644">
      <pivotArea dataOnly="0" labelOnly="1" fieldPosition="0">
        <references count="5">
          <reference field="1" count="1" selected="0">
            <x v="74"/>
          </reference>
          <reference field="2" count="1" selected="0">
            <x v="12"/>
          </reference>
          <reference field="3" count="1" selected="0">
            <x v="38"/>
          </reference>
          <reference field="4" count="1" selected="0">
            <x v="157"/>
          </reference>
          <reference field="5" count="2">
            <x v="1001"/>
            <x v="1265"/>
          </reference>
        </references>
      </pivotArea>
    </format>
    <format dxfId="4643">
      <pivotArea dataOnly="0" labelOnly="1" fieldPosition="0">
        <references count="5">
          <reference field="1" count="1" selected="0">
            <x v="74"/>
          </reference>
          <reference field="2" count="1" selected="0">
            <x v="15"/>
          </reference>
          <reference field="3" count="1" selected="0">
            <x v="8"/>
          </reference>
          <reference field="4" count="1" selected="0">
            <x v="157"/>
          </reference>
          <reference field="5" count="1">
            <x v="869"/>
          </reference>
        </references>
      </pivotArea>
    </format>
    <format dxfId="4642">
      <pivotArea dataOnly="0" labelOnly="1" fieldPosition="0">
        <references count="5">
          <reference field="1" count="1" selected="0">
            <x v="74"/>
          </reference>
          <reference field="2" count="1" selected="0">
            <x v="15"/>
          </reference>
          <reference field="3" count="1" selected="0">
            <x v="10"/>
          </reference>
          <reference field="4" count="1" selected="0">
            <x v="157"/>
          </reference>
          <reference field="5" count="1">
            <x v="314"/>
          </reference>
        </references>
      </pivotArea>
    </format>
    <format dxfId="4641">
      <pivotArea dataOnly="0" labelOnly="1" fieldPosition="0">
        <references count="5">
          <reference field="1" count="1" selected="0">
            <x v="74"/>
          </reference>
          <reference field="2" count="1" selected="0">
            <x v="17"/>
          </reference>
          <reference field="3" count="1" selected="0">
            <x v="8"/>
          </reference>
          <reference field="4" count="1" selected="0">
            <x v="157"/>
          </reference>
          <reference field="5" count="1">
            <x v="1214"/>
          </reference>
        </references>
      </pivotArea>
    </format>
    <format dxfId="4640">
      <pivotArea dataOnly="0" labelOnly="1" fieldPosition="0">
        <references count="5">
          <reference field="1" count="1" selected="0">
            <x v="74"/>
          </reference>
          <reference field="2" count="1" selected="0">
            <x v="23"/>
          </reference>
          <reference field="3" count="1" selected="0">
            <x v="6"/>
          </reference>
          <reference field="4" count="1" selected="0">
            <x v="157"/>
          </reference>
          <reference field="5" count="1">
            <x v="1146"/>
          </reference>
        </references>
      </pivotArea>
    </format>
    <format dxfId="4639">
      <pivotArea dataOnly="0" labelOnly="1" fieldPosition="0">
        <references count="5">
          <reference field="1" count="1" selected="0">
            <x v="74"/>
          </reference>
          <reference field="2" count="1" selected="0">
            <x v="23"/>
          </reference>
          <reference field="3" count="1" selected="0">
            <x v="38"/>
          </reference>
          <reference field="4" count="1" selected="0">
            <x v="157"/>
          </reference>
          <reference field="5" count="1">
            <x v="369"/>
          </reference>
        </references>
      </pivotArea>
    </format>
    <format dxfId="4638">
      <pivotArea dataOnly="0" labelOnly="1" fieldPosition="0">
        <references count="5">
          <reference field="1" count="1" selected="0">
            <x v="74"/>
          </reference>
          <reference field="2" count="1" selected="0">
            <x v="26"/>
          </reference>
          <reference field="3" count="1" selected="0">
            <x v="38"/>
          </reference>
          <reference field="4" count="1" selected="0">
            <x v="157"/>
          </reference>
          <reference field="5" count="1">
            <x v="371"/>
          </reference>
        </references>
      </pivotArea>
    </format>
    <format dxfId="4637">
      <pivotArea dataOnly="0" labelOnly="1" fieldPosition="0">
        <references count="5">
          <reference field="1" count="1" selected="0">
            <x v="74"/>
          </reference>
          <reference field="2" count="1" selected="0">
            <x v="27"/>
          </reference>
          <reference field="3" count="1" selected="0">
            <x v="6"/>
          </reference>
          <reference field="4" count="1" selected="0">
            <x v="157"/>
          </reference>
          <reference field="5" count="1">
            <x v="1536"/>
          </reference>
        </references>
      </pivotArea>
    </format>
    <format dxfId="4636">
      <pivotArea dataOnly="0" labelOnly="1" fieldPosition="0">
        <references count="5">
          <reference field="1" count="1" selected="0">
            <x v="74"/>
          </reference>
          <reference field="2" count="1" selected="0">
            <x v="35"/>
          </reference>
          <reference field="3" count="1" selected="0">
            <x v="1"/>
          </reference>
          <reference field="4" count="1" selected="0">
            <x v="157"/>
          </reference>
          <reference field="5" count="1">
            <x v="80"/>
          </reference>
        </references>
      </pivotArea>
    </format>
    <format dxfId="4635">
      <pivotArea dataOnly="0" labelOnly="1" fieldPosition="0">
        <references count="5">
          <reference field="1" count="1" selected="0">
            <x v="74"/>
          </reference>
          <reference field="2" count="1" selected="0">
            <x v="36"/>
          </reference>
          <reference field="3" count="1" selected="0">
            <x v="9"/>
          </reference>
          <reference field="4" count="1" selected="0">
            <x v="157"/>
          </reference>
          <reference field="5" count="1">
            <x v="1351"/>
          </reference>
        </references>
      </pivotArea>
    </format>
    <format dxfId="4634">
      <pivotArea dataOnly="0" labelOnly="1" fieldPosition="0">
        <references count="5">
          <reference field="1" count="1" selected="0">
            <x v="74"/>
          </reference>
          <reference field="2" count="1" selected="0">
            <x v="36"/>
          </reference>
          <reference field="3" count="1" selected="0">
            <x v="38"/>
          </reference>
          <reference field="4" count="1" selected="0">
            <x v="157"/>
          </reference>
          <reference field="5" count="1">
            <x v="743"/>
          </reference>
        </references>
      </pivotArea>
    </format>
    <format dxfId="4633">
      <pivotArea dataOnly="0" labelOnly="1" fieldPosition="0">
        <references count="5">
          <reference field="1" count="1" selected="0">
            <x v="75"/>
          </reference>
          <reference field="2" count="1" selected="0">
            <x v="0"/>
          </reference>
          <reference field="3" count="1" selected="0">
            <x v="1"/>
          </reference>
          <reference field="4" count="1" selected="0">
            <x v="158"/>
          </reference>
          <reference field="5" count="1">
            <x v="213"/>
          </reference>
        </references>
      </pivotArea>
    </format>
    <format dxfId="4632">
      <pivotArea dataOnly="0" labelOnly="1" fieldPosition="0">
        <references count="5">
          <reference field="1" count="1" selected="0">
            <x v="75"/>
          </reference>
          <reference field="2" count="1" selected="0">
            <x v="0"/>
          </reference>
          <reference field="3" count="1" selected="0">
            <x v="6"/>
          </reference>
          <reference field="4" count="1" selected="0">
            <x v="158"/>
          </reference>
          <reference field="5" count="1">
            <x v="1286"/>
          </reference>
        </references>
      </pivotArea>
    </format>
    <format dxfId="4631">
      <pivotArea dataOnly="0" labelOnly="1" fieldPosition="0">
        <references count="5">
          <reference field="1" count="1" selected="0">
            <x v="75"/>
          </reference>
          <reference field="2" count="1" selected="0">
            <x v="0"/>
          </reference>
          <reference field="3" count="1" selected="0">
            <x v="12"/>
          </reference>
          <reference field="4" count="1" selected="0">
            <x v="46"/>
          </reference>
          <reference field="5" count="1">
            <x v="325"/>
          </reference>
        </references>
      </pivotArea>
    </format>
    <format dxfId="4630">
      <pivotArea dataOnly="0" labelOnly="1" fieldPosition="0">
        <references count="5">
          <reference field="1" count="1" selected="0">
            <x v="75"/>
          </reference>
          <reference field="2" count="1" selected="0">
            <x v="2"/>
          </reference>
          <reference field="3" count="1" selected="0">
            <x v="6"/>
          </reference>
          <reference field="4" count="1" selected="0">
            <x v="158"/>
          </reference>
          <reference field="5" count="1">
            <x v="631"/>
          </reference>
        </references>
      </pivotArea>
    </format>
    <format dxfId="4629">
      <pivotArea dataOnly="0" labelOnly="1" fieldPosition="0">
        <references count="5">
          <reference field="1" count="1" selected="0">
            <x v="75"/>
          </reference>
          <reference field="2" count="1" selected="0">
            <x v="3"/>
          </reference>
          <reference field="3" count="1" selected="0">
            <x v="6"/>
          </reference>
          <reference field="4" count="1" selected="0">
            <x v="158"/>
          </reference>
          <reference field="5" count="1">
            <x v="1227"/>
          </reference>
        </references>
      </pivotArea>
    </format>
    <format dxfId="4628">
      <pivotArea dataOnly="0" labelOnly="1" fieldPosition="0">
        <references count="5">
          <reference field="1" count="1" selected="0">
            <x v="75"/>
          </reference>
          <reference field="2" count="1" selected="0">
            <x v="3"/>
          </reference>
          <reference field="3" count="1" selected="0">
            <x v="38"/>
          </reference>
          <reference field="4" count="1" selected="0">
            <x v="158"/>
          </reference>
          <reference field="5" count="1">
            <x v="109"/>
          </reference>
        </references>
      </pivotArea>
    </format>
    <format dxfId="4627">
      <pivotArea dataOnly="0" labelOnly="1" fieldPosition="0">
        <references count="5">
          <reference field="1" count="1" selected="0">
            <x v="75"/>
          </reference>
          <reference field="2" count="1" selected="0">
            <x v="7"/>
          </reference>
          <reference field="3" count="1" selected="0">
            <x v="37"/>
          </reference>
          <reference field="4" count="1" selected="0">
            <x v="158"/>
          </reference>
          <reference field="5" count="1">
            <x v="1022"/>
          </reference>
        </references>
      </pivotArea>
    </format>
    <format dxfId="4626">
      <pivotArea dataOnly="0" labelOnly="1" fieldPosition="0">
        <references count="5">
          <reference field="1" count="1" selected="0">
            <x v="75"/>
          </reference>
          <reference field="2" count="1" selected="0">
            <x v="12"/>
          </reference>
          <reference field="3" count="1" selected="0">
            <x v="1"/>
          </reference>
          <reference field="4" count="1" selected="0">
            <x v="158"/>
          </reference>
          <reference field="5" count="4">
            <x v="80"/>
            <x v="213"/>
            <x v="352"/>
            <x v="607"/>
          </reference>
        </references>
      </pivotArea>
    </format>
    <format dxfId="4625">
      <pivotArea dataOnly="0" labelOnly="1" fieldPosition="0">
        <references count="5">
          <reference field="1" count="1" selected="0">
            <x v="75"/>
          </reference>
          <reference field="2" count="1" selected="0">
            <x v="15"/>
          </reference>
          <reference field="3" count="1" selected="0">
            <x v="38"/>
          </reference>
          <reference field="4" count="1" selected="0">
            <x v="158"/>
          </reference>
          <reference field="5" count="1">
            <x v="270"/>
          </reference>
        </references>
      </pivotArea>
    </format>
    <format dxfId="4624">
      <pivotArea dataOnly="0" labelOnly="1" fieldPosition="0">
        <references count="5">
          <reference field="1" count="1" selected="0">
            <x v="75"/>
          </reference>
          <reference field="2" count="1" selected="0">
            <x v="23"/>
          </reference>
          <reference field="3" count="1" selected="0">
            <x v="38"/>
          </reference>
          <reference field="4" count="1" selected="0">
            <x v="158"/>
          </reference>
          <reference field="5" count="1">
            <x v="756"/>
          </reference>
        </references>
      </pivotArea>
    </format>
    <format dxfId="4623">
      <pivotArea dataOnly="0" labelOnly="1" fieldPosition="0">
        <references count="5">
          <reference field="1" count="1" selected="0">
            <x v="75"/>
          </reference>
          <reference field="2" count="1" selected="0">
            <x v="35"/>
          </reference>
          <reference field="3" count="1" selected="0">
            <x v="1"/>
          </reference>
          <reference field="4" count="1" selected="0">
            <x v="158"/>
          </reference>
          <reference field="5" count="1">
            <x v="80"/>
          </reference>
        </references>
      </pivotArea>
    </format>
    <format dxfId="4622">
      <pivotArea dataOnly="0" labelOnly="1" fieldPosition="0">
        <references count="5">
          <reference field="1" count="1" selected="0">
            <x v="76"/>
          </reference>
          <reference field="2" count="1" selected="0">
            <x v="0"/>
          </reference>
          <reference field="3" count="1" selected="0">
            <x v="12"/>
          </reference>
          <reference field="4" count="1" selected="0">
            <x v="21"/>
          </reference>
          <reference field="5" count="1">
            <x v="6"/>
          </reference>
        </references>
      </pivotArea>
    </format>
    <format dxfId="4621">
      <pivotArea dataOnly="0" labelOnly="1" fieldPosition="0">
        <references count="5">
          <reference field="1" count="1" selected="0">
            <x v="76"/>
          </reference>
          <reference field="2" count="1" selected="0">
            <x v="0"/>
          </reference>
          <reference field="3" count="1" selected="0">
            <x v="12"/>
          </reference>
          <reference field="4" count="1" selected="0">
            <x v="23"/>
          </reference>
          <reference field="5" count="1">
            <x v="11"/>
          </reference>
        </references>
      </pivotArea>
    </format>
    <format dxfId="4620">
      <pivotArea dataOnly="0" labelOnly="1" fieldPosition="0">
        <references count="5">
          <reference field="1" count="1" selected="0">
            <x v="76"/>
          </reference>
          <reference field="2" count="1" selected="0">
            <x v="0"/>
          </reference>
          <reference field="3" count="1" selected="0">
            <x v="12"/>
          </reference>
          <reference field="4" count="1" selected="0">
            <x v="39"/>
          </reference>
          <reference field="5" count="1">
            <x v="180"/>
          </reference>
        </references>
      </pivotArea>
    </format>
    <format dxfId="4619">
      <pivotArea dataOnly="0" labelOnly="1" fieldPosition="0">
        <references count="5">
          <reference field="1" count="1" selected="0">
            <x v="76"/>
          </reference>
          <reference field="2" count="1" selected="0">
            <x v="0"/>
          </reference>
          <reference field="3" count="1" selected="0">
            <x v="12"/>
          </reference>
          <reference field="4" count="1" selected="0">
            <x v="52"/>
          </reference>
          <reference field="5" count="1">
            <x v="37"/>
          </reference>
        </references>
      </pivotArea>
    </format>
    <format dxfId="4618">
      <pivotArea dataOnly="0" labelOnly="1" fieldPosition="0">
        <references count="5">
          <reference field="1" count="1" selected="0">
            <x v="76"/>
          </reference>
          <reference field="2" count="1" selected="0">
            <x v="8"/>
          </reference>
          <reference field="3" count="1" selected="0">
            <x v="38"/>
          </reference>
          <reference field="4" count="1" selected="0">
            <x v="159"/>
          </reference>
          <reference field="5" count="1">
            <x v="498"/>
          </reference>
        </references>
      </pivotArea>
    </format>
    <format dxfId="4617">
      <pivotArea dataOnly="0" labelOnly="1" fieldPosition="0">
        <references count="5">
          <reference field="1" count="1" selected="0">
            <x v="76"/>
          </reference>
          <reference field="2" count="1" selected="0">
            <x v="12"/>
          </reference>
          <reference field="3" count="1" selected="0">
            <x v="1"/>
          </reference>
          <reference field="4" count="1" selected="0">
            <x v="159"/>
          </reference>
          <reference field="5" count="1">
            <x v="80"/>
          </reference>
        </references>
      </pivotArea>
    </format>
    <format dxfId="4616">
      <pivotArea dataOnly="0" labelOnly="1" fieldPosition="0">
        <references count="5">
          <reference field="1" count="1" selected="0">
            <x v="76"/>
          </reference>
          <reference field="2" count="1" selected="0">
            <x v="15"/>
          </reference>
          <reference field="3" count="1" selected="0">
            <x v="37"/>
          </reference>
          <reference field="4" count="1" selected="0">
            <x v="159"/>
          </reference>
          <reference field="5" count="1">
            <x v="1780"/>
          </reference>
        </references>
      </pivotArea>
    </format>
    <format dxfId="4615">
      <pivotArea dataOnly="0" labelOnly="1" fieldPosition="0">
        <references count="5">
          <reference field="1" count="1" selected="0">
            <x v="76"/>
          </reference>
          <reference field="2" count="1" selected="0">
            <x v="19"/>
          </reference>
          <reference field="3" count="1" selected="0">
            <x v="38"/>
          </reference>
          <reference field="4" count="1" selected="0">
            <x v="159"/>
          </reference>
          <reference field="5" count="1">
            <x v="217"/>
          </reference>
        </references>
      </pivotArea>
    </format>
    <format dxfId="4614">
      <pivotArea dataOnly="0" labelOnly="1" fieldPosition="0">
        <references count="5">
          <reference field="1" count="1" selected="0">
            <x v="77"/>
          </reference>
          <reference field="2" count="1" selected="0">
            <x v="0"/>
          </reference>
          <reference field="3" count="1" selected="0">
            <x v="12"/>
          </reference>
          <reference field="4" count="1" selected="0">
            <x v="16"/>
          </reference>
          <reference field="5" count="1">
            <x v="32"/>
          </reference>
        </references>
      </pivotArea>
    </format>
    <format dxfId="4613">
      <pivotArea dataOnly="0" labelOnly="1" fieldPosition="0">
        <references count="5">
          <reference field="1" count="1" selected="0">
            <x v="77"/>
          </reference>
          <reference field="2" count="1" selected="0">
            <x v="0"/>
          </reference>
          <reference field="3" count="1" selected="0">
            <x v="12"/>
          </reference>
          <reference field="4" count="1" selected="0">
            <x v="54"/>
          </reference>
          <reference field="5" count="1">
            <x v="35"/>
          </reference>
        </references>
      </pivotArea>
    </format>
    <format dxfId="4612">
      <pivotArea dataOnly="0" labelOnly="1" fieldPosition="0">
        <references count="5">
          <reference field="1" count="1" selected="0">
            <x v="77"/>
          </reference>
          <reference field="2" count="1" selected="0">
            <x v="0"/>
          </reference>
          <reference field="3" count="1" selected="0">
            <x v="12"/>
          </reference>
          <reference field="4" count="1" selected="0">
            <x v="56"/>
          </reference>
          <reference field="5" count="1">
            <x v="18"/>
          </reference>
        </references>
      </pivotArea>
    </format>
    <format dxfId="4611">
      <pivotArea dataOnly="0" labelOnly="1" fieldPosition="0">
        <references count="5">
          <reference field="1" count="1" selected="0">
            <x v="77"/>
          </reference>
          <reference field="2" count="1" selected="0">
            <x v="3"/>
          </reference>
          <reference field="3" count="1" selected="0">
            <x v="6"/>
          </reference>
          <reference field="4" count="1" selected="0">
            <x v="160"/>
          </reference>
          <reference field="5" count="1">
            <x v="1124"/>
          </reference>
        </references>
      </pivotArea>
    </format>
    <format dxfId="4610">
      <pivotArea dataOnly="0" labelOnly="1" fieldPosition="0">
        <references count="5">
          <reference field="1" count="1" selected="0">
            <x v="77"/>
          </reference>
          <reference field="2" count="1" selected="0">
            <x v="3"/>
          </reference>
          <reference field="3" count="1" selected="0">
            <x v="38"/>
          </reference>
          <reference field="4" count="1" selected="0">
            <x v="160"/>
          </reference>
          <reference field="5" count="1">
            <x v="371"/>
          </reference>
        </references>
      </pivotArea>
    </format>
    <format dxfId="4609">
      <pivotArea dataOnly="0" labelOnly="1" fieldPosition="0">
        <references count="5">
          <reference field="1" count="1" selected="0">
            <x v="77"/>
          </reference>
          <reference field="2" count="1" selected="0">
            <x v="5"/>
          </reference>
          <reference field="3" count="1" selected="0">
            <x v="38"/>
          </reference>
          <reference field="4" count="1" selected="0">
            <x v="160"/>
          </reference>
          <reference field="5" count="1">
            <x v="619"/>
          </reference>
        </references>
      </pivotArea>
    </format>
    <format dxfId="4608">
      <pivotArea dataOnly="0" labelOnly="1" fieldPosition="0">
        <references count="5">
          <reference field="1" count="1" selected="0">
            <x v="77"/>
          </reference>
          <reference field="2" count="1" selected="0">
            <x v="12"/>
          </reference>
          <reference field="3" count="1" selected="0">
            <x v="1"/>
          </reference>
          <reference field="4" count="1" selected="0">
            <x v="160"/>
          </reference>
          <reference field="5" count="2">
            <x v="80"/>
            <x v="213"/>
          </reference>
        </references>
      </pivotArea>
    </format>
    <format dxfId="4607">
      <pivotArea dataOnly="0" labelOnly="1" fieldPosition="0">
        <references count="5">
          <reference field="1" count="1" selected="0">
            <x v="77"/>
          </reference>
          <reference field="2" count="1" selected="0">
            <x v="35"/>
          </reference>
          <reference field="3" count="1" selected="0">
            <x v="1"/>
          </reference>
          <reference field="4" count="1" selected="0">
            <x v="160"/>
          </reference>
          <reference field="5" count="1">
            <x v="80"/>
          </reference>
        </references>
      </pivotArea>
    </format>
    <format dxfId="4606">
      <pivotArea dataOnly="0" labelOnly="1" fieldPosition="0">
        <references count="5">
          <reference field="1" count="1" selected="0">
            <x v="78"/>
          </reference>
          <reference field="2" count="1" selected="0">
            <x v="0"/>
          </reference>
          <reference field="3" count="1" selected="0">
            <x v="12"/>
          </reference>
          <reference field="4" count="1" selected="0">
            <x v="19"/>
          </reference>
          <reference field="5" count="1">
            <x v="8"/>
          </reference>
        </references>
      </pivotArea>
    </format>
    <format dxfId="4605">
      <pivotArea dataOnly="0" labelOnly="1" fieldPosition="0">
        <references count="5">
          <reference field="1" count="1" selected="0">
            <x v="78"/>
          </reference>
          <reference field="2" count="1" selected="0">
            <x v="0"/>
          </reference>
          <reference field="3" count="1" selected="0">
            <x v="12"/>
          </reference>
          <reference field="4" count="1" selected="0">
            <x v="23"/>
          </reference>
          <reference field="5" count="1">
            <x v="11"/>
          </reference>
        </references>
      </pivotArea>
    </format>
    <format dxfId="4604">
      <pivotArea dataOnly="0" labelOnly="1" fieldPosition="0">
        <references count="5">
          <reference field="1" count="1" selected="0">
            <x v="78"/>
          </reference>
          <reference field="2" count="1" selected="0">
            <x v="0"/>
          </reference>
          <reference field="3" count="1" selected="0">
            <x v="12"/>
          </reference>
          <reference field="4" count="1" selected="0">
            <x v="42"/>
          </reference>
          <reference field="5" count="1">
            <x v="59"/>
          </reference>
        </references>
      </pivotArea>
    </format>
    <format dxfId="4603">
      <pivotArea dataOnly="0" labelOnly="1" fieldPosition="0">
        <references count="5">
          <reference field="1" count="1" selected="0">
            <x v="78"/>
          </reference>
          <reference field="2" count="1" selected="0">
            <x v="0"/>
          </reference>
          <reference field="3" count="1" selected="0">
            <x v="12"/>
          </reference>
          <reference field="4" count="1" selected="0">
            <x v="47"/>
          </reference>
          <reference field="5" count="1">
            <x v="654"/>
          </reference>
        </references>
      </pivotArea>
    </format>
    <format dxfId="4602">
      <pivotArea dataOnly="0" labelOnly="1" fieldPosition="0">
        <references count="5">
          <reference field="1" count="1" selected="0">
            <x v="78"/>
          </reference>
          <reference field="2" count="1" selected="0">
            <x v="0"/>
          </reference>
          <reference field="3" count="1" selected="0">
            <x v="13"/>
          </reference>
          <reference field="4" count="1" selected="0">
            <x v="161"/>
          </reference>
          <reference field="5" count="6">
            <x v="172"/>
            <x v="534"/>
            <x v="889"/>
            <x v="899"/>
            <x v="975"/>
            <x v="997"/>
          </reference>
        </references>
      </pivotArea>
    </format>
    <format dxfId="4601">
      <pivotArea dataOnly="0" labelOnly="1" fieldPosition="0">
        <references count="5">
          <reference field="1" count="1" selected="0">
            <x v="78"/>
          </reference>
          <reference field="2" count="1" selected="0">
            <x v="2"/>
          </reference>
          <reference field="3" count="1" selected="0">
            <x v="13"/>
          </reference>
          <reference field="4" count="1" selected="0">
            <x v="161"/>
          </reference>
          <reference field="5" count="1">
            <x v="1868"/>
          </reference>
        </references>
      </pivotArea>
    </format>
    <format dxfId="4600">
      <pivotArea dataOnly="0" labelOnly="1" fieldPosition="0">
        <references count="5">
          <reference field="1" count="1" selected="0">
            <x v="78"/>
          </reference>
          <reference field="2" count="1" selected="0">
            <x v="3"/>
          </reference>
          <reference field="3" count="1" selected="0">
            <x v="13"/>
          </reference>
          <reference field="4" count="1" selected="0">
            <x v="161"/>
          </reference>
          <reference field="5" count="1">
            <x v="666"/>
          </reference>
        </references>
      </pivotArea>
    </format>
    <format dxfId="4599">
      <pivotArea dataOnly="0" labelOnly="1" fieldPosition="0">
        <references count="5">
          <reference field="1" count="1" selected="0">
            <x v="78"/>
          </reference>
          <reference field="2" count="1" selected="0">
            <x v="12"/>
          </reference>
          <reference field="3" count="1" selected="0">
            <x v="1"/>
          </reference>
          <reference field="4" count="1" selected="0">
            <x v="162"/>
          </reference>
          <reference field="5" count="1">
            <x v="213"/>
          </reference>
        </references>
      </pivotArea>
    </format>
    <format dxfId="4598">
      <pivotArea dataOnly="0" labelOnly="1" fieldPosition="0">
        <references count="5">
          <reference field="1" count="1" selected="0">
            <x v="78"/>
          </reference>
          <reference field="2" count="1" selected="0">
            <x v="12"/>
          </reference>
          <reference field="3" count="1" selected="0">
            <x v="13"/>
          </reference>
          <reference field="4" count="1" selected="0">
            <x v="161"/>
          </reference>
          <reference field="5" count="32">
            <x v="571"/>
            <x v="575"/>
            <x v="593"/>
            <x v="671"/>
            <x v="880"/>
            <x v="904"/>
            <x v="978"/>
            <x v="1012"/>
            <x v="1054"/>
            <x v="1224"/>
            <x v="1281"/>
            <x v="1310"/>
            <x v="1316"/>
            <x v="1381"/>
            <x v="1391"/>
            <x v="1405"/>
            <x v="1409"/>
            <x v="1430"/>
            <x v="1473"/>
            <x v="1496"/>
            <x v="1516"/>
            <x v="1538"/>
            <x v="1589"/>
            <x v="1594"/>
            <x v="1612"/>
            <x v="1621"/>
            <x v="1641"/>
            <x v="1687"/>
            <x v="1689"/>
            <x v="1736"/>
            <x v="1751"/>
            <x v="1752"/>
          </reference>
        </references>
      </pivotArea>
    </format>
    <format dxfId="4597">
      <pivotArea dataOnly="0" labelOnly="1" fieldPosition="0">
        <references count="5">
          <reference field="1" count="1" selected="0">
            <x v="78"/>
          </reference>
          <reference field="2" count="1" selected="0">
            <x v="14"/>
          </reference>
          <reference field="3" count="1" selected="0">
            <x v="13"/>
          </reference>
          <reference field="4" count="1" selected="0">
            <x v="161"/>
          </reference>
          <reference field="5" count="1">
            <x v="1055"/>
          </reference>
        </references>
      </pivotArea>
    </format>
    <format dxfId="4596">
      <pivotArea dataOnly="0" labelOnly="1" fieldPosition="0">
        <references count="5">
          <reference field="1" count="1" selected="0">
            <x v="78"/>
          </reference>
          <reference field="2" count="1" selected="0">
            <x v="15"/>
          </reference>
          <reference field="3" count="1" selected="0">
            <x v="13"/>
          </reference>
          <reference field="4" count="1" selected="0">
            <x v="161"/>
          </reference>
          <reference field="5" count="1">
            <x v="1755"/>
          </reference>
        </references>
      </pivotArea>
    </format>
    <format dxfId="4595">
      <pivotArea dataOnly="0" labelOnly="1" fieldPosition="0">
        <references count="5">
          <reference field="1" count="1" selected="0">
            <x v="78"/>
          </reference>
          <reference field="2" count="1" selected="0">
            <x v="17"/>
          </reference>
          <reference field="3" count="1" selected="0">
            <x v="13"/>
          </reference>
          <reference field="4" count="1" selected="0">
            <x v="161"/>
          </reference>
          <reference field="5" count="1">
            <x v="1266"/>
          </reference>
        </references>
      </pivotArea>
    </format>
    <format dxfId="4594">
      <pivotArea dataOnly="0" labelOnly="1" fieldPosition="0">
        <references count="5">
          <reference field="1" count="1" selected="0">
            <x v="78"/>
          </reference>
          <reference field="2" count="1" selected="0">
            <x v="21"/>
          </reference>
          <reference field="3" count="1" selected="0">
            <x v="13"/>
          </reference>
          <reference field="4" count="1" selected="0">
            <x v="161"/>
          </reference>
          <reference field="5" count="1">
            <x v="1662"/>
          </reference>
        </references>
      </pivotArea>
    </format>
    <format dxfId="4593">
      <pivotArea dataOnly="0" labelOnly="1" fieldPosition="0">
        <references count="5">
          <reference field="1" count="1" selected="0">
            <x v="78"/>
          </reference>
          <reference field="2" count="1" selected="0">
            <x v="23"/>
          </reference>
          <reference field="3" count="1" selected="0">
            <x v="1"/>
          </reference>
          <reference field="4" count="1" selected="0">
            <x v="162"/>
          </reference>
          <reference field="5" count="1">
            <x v="669"/>
          </reference>
        </references>
      </pivotArea>
    </format>
    <format dxfId="4592">
      <pivotArea dataOnly="0" labelOnly="1" fieldPosition="0">
        <references count="5">
          <reference field="1" count="1" selected="0">
            <x v="78"/>
          </reference>
          <reference field="2" count="1" selected="0">
            <x v="23"/>
          </reference>
          <reference field="3" count="1" selected="0">
            <x v="13"/>
          </reference>
          <reference field="4" count="1" selected="0">
            <x v="161"/>
          </reference>
          <reference field="5" count="1">
            <x v="1245"/>
          </reference>
        </references>
      </pivotArea>
    </format>
    <format dxfId="4591">
      <pivotArea dataOnly="0" labelOnly="1" fieldPosition="0">
        <references count="5">
          <reference field="1" count="1" selected="0">
            <x v="78"/>
          </reference>
          <reference field="2" count="1" selected="0">
            <x v="26"/>
          </reference>
          <reference field="3" count="1" selected="0">
            <x v="1"/>
          </reference>
          <reference field="4" count="1" selected="0">
            <x v="162"/>
          </reference>
          <reference field="5" count="1">
            <x v="278"/>
          </reference>
        </references>
      </pivotArea>
    </format>
    <format dxfId="4590">
      <pivotArea dataOnly="0" labelOnly="1" fieldPosition="0">
        <references count="5">
          <reference field="1" count="1" selected="0">
            <x v="78"/>
          </reference>
          <reference field="2" count="1" selected="0">
            <x v="35"/>
          </reference>
          <reference field="3" count="1" selected="0">
            <x v="1"/>
          </reference>
          <reference field="4" count="1" selected="0">
            <x v="162"/>
          </reference>
          <reference field="5" count="1">
            <x v="80"/>
          </reference>
        </references>
      </pivotArea>
    </format>
    <format dxfId="4589">
      <pivotArea dataOnly="0" labelOnly="1" fieldPosition="0">
        <references count="5">
          <reference field="1" count="1" selected="0">
            <x v="78"/>
          </reference>
          <reference field="2" count="1" selected="0">
            <x v="35"/>
          </reference>
          <reference field="3" count="1" selected="0">
            <x v="13"/>
          </reference>
          <reference field="4" count="1" selected="0">
            <x v="161"/>
          </reference>
          <reference field="5" count="13">
            <x v="175"/>
            <x v="307"/>
            <x v="308"/>
            <x v="400"/>
            <x v="472"/>
            <x v="484"/>
            <x v="672"/>
            <x v="850"/>
            <x v="853"/>
            <x v="893"/>
            <x v="951"/>
            <x v="1083"/>
            <x v="1183"/>
          </reference>
        </references>
      </pivotArea>
    </format>
    <format dxfId="4588">
      <pivotArea dataOnly="0" labelOnly="1" fieldPosition="0">
        <references count="5">
          <reference field="1" count="1" selected="0">
            <x v="78"/>
          </reference>
          <reference field="2" count="1" selected="0">
            <x v="36"/>
          </reference>
          <reference field="3" count="1" selected="0">
            <x v="6"/>
          </reference>
          <reference field="4" count="1" selected="0">
            <x v="162"/>
          </reference>
          <reference field="5" count="1">
            <x v="886"/>
          </reference>
        </references>
      </pivotArea>
    </format>
    <format dxfId="4587">
      <pivotArea dataOnly="0" labelOnly="1" fieldPosition="0">
        <references count="5">
          <reference field="1" count="1" selected="0">
            <x v="78"/>
          </reference>
          <reference field="2" count="1" selected="0">
            <x v="37"/>
          </reference>
          <reference field="3" count="1" selected="0">
            <x v="13"/>
          </reference>
          <reference field="4" count="1" selected="0">
            <x v="161"/>
          </reference>
          <reference field="5" count="1">
            <x v="416"/>
          </reference>
        </references>
      </pivotArea>
    </format>
    <format dxfId="4586">
      <pivotArea dataOnly="0" labelOnly="1" fieldPosition="0">
        <references count="5">
          <reference field="1" count="1" selected="0">
            <x v="79"/>
          </reference>
          <reference field="2" count="1" selected="0">
            <x v="0"/>
          </reference>
          <reference field="3" count="1" selected="0">
            <x v="8"/>
          </reference>
          <reference field="4" count="1" selected="0">
            <x v="163"/>
          </reference>
          <reference field="5" count="2">
            <x v="181"/>
            <x v="351"/>
          </reference>
        </references>
      </pivotArea>
    </format>
    <format dxfId="4585">
      <pivotArea dataOnly="0" labelOnly="1" fieldPosition="0">
        <references count="5">
          <reference field="1" count="1" selected="0">
            <x v="79"/>
          </reference>
          <reference field="2" count="1" selected="0">
            <x v="0"/>
          </reference>
          <reference field="3" count="1" selected="0">
            <x v="9"/>
          </reference>
          <reference field="4" count="1" selected="0">
            <x v="163"/>
          </reference>
          <reference field="5" count="6">
            <x v="167"/>
            <x v="229"/>
            <x v="467"/>
            <x v="517"/>
            <x v="878"/>
            <x v="1109"/>
          </reference>
        </references>
      </pivotArea>
    </format>
    <format dxfId="4584">
      <pivotArea dataOnly="0" labelOnly="1" fieldPosition="0">
        <references count="5">
          <reference field="1" count="1" selected="0">
            <x v="79"/>
          </reference>
          <reference field="2" count="1" selected="0">
            <x v="0"/>
          </reference>
          <reference field="3" count="1" selected="0">
            <x v="12"/>
          </reference>
          <reference field="4" count="1" selected="0">
            <x v="63"/>
          </reference>
          <reference field="5" count="1">
            <x v="6"/>
          </reference>
        </references>
      </pivotArea>
    </format>
    <format dxfId="4583">
      <pivotArea dataOnly="0" labelOnly="1" fieldPosition="0">
        <references count="5">
          <reference field="1" count="1" selected="0">
            <x v="79"/>
          </reference>
          <reference field="2" count="1" selected="0">
            <x v="0"/>
          </reference>
          <reference field="3" count="1" selected="0">
            <x v="12"/>
          </reference>
          <reference field="4" count="1" selected="0">
            <x v="66"/>
          </reference>
          <reference field="5" count="1">
            <x v="8"/>
          </reference>
        </references>
      </pivotArea>
    </format>
    <format dxfId="4582">
      <pivotArea dataOnly="0" labelOnly="1" fieldPosition="0">
        <references count="5">
          <reference field="1" count="1" selected="0">
            <x v="79"/>
          </reference>
          <reference field="2" count="1" selected="0">
            <x v="2"/>
          </reference>
          <reference field="3" count="1" selected="0">
            <x v="9"/>
          </reference>
          <reference field="4" count="1" selected="0">
            <x v="163"/>
          </reference>
          <reference field="5" count="1">
            <x v="1582"/>
          </reference>
        </references>
      </pivotArea>
    </format>
    <format dxfId="4581">
      <pivotArea dataOnly="0" labelOnly="1" fieldPosition="0">
        <references count="5">
          <reference field="1" count="1" selected="0">
            <x v="79"/>
          </reference>
          <reference field="2" count="1" selected="0">
            <x v="7"/>
          </reference>
          <reference field="3" count="1" selected="0">
            <x v="8"/>
          </reference>
          <reference field="4" count="1" selected="0">
            <x v="163"/>
          </reference>
          <reference field="5" count="1">
            <x v="751"/>
          </reference>
        </references>
      </pivotArea>
    </format>
    <format dxfId="4580">
      <pivotArea dataOnly="0" labelOnly="1" fieldPosition="0">
        <references count="5">
          <reference field="1" count="1" selected="0">
            <x v="79"/>
          </reference>
          <reference field="2" count="1" selected="0">
            <x v="12"/>
          </reference>
          <reference field="3" count="1" selected="0">
            <x v="1"/>
          </reference>
          <reference field="4" count="1" selected="0">
            <x v="163"/>
          </reference>
          <reference field="5" count="1">
            <x v="80"/>
          </reference>
        </references>
      </pivotArea>
    </format>
    <format dxfId="4579">
      <pivotArea dataOnly="0" labelOnly="1" fieldPosition="0">
        <references count="5">
          <reference field="1" count="1" selected="0">
            <x v="79"/>
          </reference>
          <reference field="2" count="1" selected="0">
            <x v="14"/>
          </reference>
          <reference field="3" count="1" selected="0">
            <x v="1"/>
          </reference>
          <reference field="4" count="1" selected="0">
            <x v="163"/>
          </reference>
          <reference field="5" count="1">
            <x v="109"/>
          </reference>
        </references>
      </pivotArea>
    </format>
    <format dxfId="4578">
      <pivotArea dataOnly="0" labelOnly="1" fieldPosition="0">
        <references count="5">
          <reference field="1" count="1" selected="0">
            <x v="79"/>
          </reference>
          <reference field="2" count="1" selected="0">
            <x v="14"/>
          </reference>
          <reference field="3" count="1" selected="0">
            <x v="38"/>
          </reference>
          <reference field="4" count="1" selected="0">
            <x v="163"/>
          </reference>
          <reference field="5" count="1">
            <x v="304"/>
          </reference>
        </references>
      </pivotArea>
    </format>
    <format dxfId="4577">
      <pivotArea dataOnly="0" labelOnly="1" fieldPosition="0">
        <references count="5">
          <reference field="1" count="1" selected="0">
            <x v="79"/>
          </reference>
          <reference field="2" count="1" selected="0">
            <x v="15"/>
          </reference>
          <reference field="3" count="1" selected="0">
            <x v="8"/>
          </reference>
          <reference field="4" count="1" selected="0">
            <x v="163"/>
          </reference>
          <reference field="5" count="1">
            <x v="1228"/>
          </reference>
        </references>
      </pivotArea>
    </format>
    <format dxfId="4576">
      <pivotArea dataOnly="0" labelOnly="1" fieldPosition="0">
        <references count="5">
          <reference field="1" count="1" selected="0">
            <x v="79"/>
          </reference>
          <reference field="2" count="1" selected="0">
            <x v="15"/>
          </reference>
          <reference field="3" count="1" selected="0">
            <x v="9"/>
          </reference>
          <reference field="4" count="1" selected="0">
            <x v="163"/>
          </reference>
          <reference field="5" count="1">
            <x v="248"/>
          </reference>
        </references>
      </pivotArea>
    </format>
    <format dxfId="4575">
      <pivotArea dataOnly="0" labelOnly="1" fieldPosition="0">
        <references count="5">
          <reference field="1" count="1" selected="0">
            <x v="79"/>
          </reference>
          <reference field="2" count="1" selected="0">
            <x v="23"/>
          </reference>
          <reference field="3" count="1" selected="0">
            <x v="7"/>
          </reference>
          <reference field="4" count="1" selected="0">
            <x v="163"/>
          </reference>
          <reference field="5" count="1">
            <x v="841"/>
          </reference>
        </references>
      </pivotArea>
    </format>
    <format dxfId="4574">
      <pivotArea dataOnly="0" labelOnly="1" fieldPosition="0">
        <references count="5">
          <reference field="1" count="1" selected="0">
            <x v="79"/>
          </reference>
          <reference field="2" count="1" selected="0">
            <x v="23"/>
          </reference>
          <reference field="3" count="1" selected="0">
            <x v="38"/>
          </reference>
          <reference field="4" count="1" selected="0">
            <x v="163"/>
          </reference>
          <reference field="5" count="1">
            <x v="122"/>
          </reference>
        </references>
      </pivotArea>
    </format>
    <format dxfId="4573">
      <pivotArea dataOnly="0" labelOnly="1" fieldPosition="0">
        <references count="5">
          <reference field="1" count="1" selected="0">
            <x v="79"/>
          </reference>
          <reference field="2" count="1" selected="0">
            <x v="28"/>
          </reference>
          <reference field="3" count="1" selected="0">
            <x v="1"/>
          </reference>
          <reference field="4" count="1" selected="0">
            <x v="163"/>
          </reference>
          <reference field="5" count="1">
            <x v="516"/>
          </reference>
        </references>
      </pivotArea>
    </format>
    <format dxfId="4572">
      <pivotArea dataOnly="0" labelOnly="1" fieldPosition="0">
        <references count="5">
          <reference field="1" count="1" selected="0">
            <x v="79"/>
          </reference>
          <reference field="2" count="1" selected="0">
            <x v="36"/>
          </reference>
          <reference field="3" count="1" selected="0">
            <x v="8"/>
          </reference>
          <reference field="4" count="1" selected="0">
            <x v="163"/>
          </reference>
          <reference field="5" count="1">
            <x v="1056"/>
          </reference>
        </references>
      </pivotArea>
    </format>
    <format dxfId="4571">
      <pivotArea dataOnly="0" labelOnly="1" fieldPosition="0">
        <references count="5">
          <reference field="1" count="1" selected="0">
            <x v="80"/>
          </reference>
          <reference field="2" count="1" selected="0">
            <x v="0"/>
          </reference>
          <reference field="3" count="1" selected="0">
            <x v="9"/>
          </reference>
          <reference field="4" count="1" selected="0">
            <x v="164"/>
          </reference>
          <reference field="5" count="2">
            <x v="371"/>
            <x v="533"/>
          </reference>
        </references>
      </pivotArea>
    </format>
    <format dxfId="4570">
      <pivotArea dataOnly="0" labelOnly="1" fieldPosition="0">
        <references count="5">
          <reference field="1" count="1" selected="0">
            <x v="80"/>
          </reference>
          <reference field="2" count="1" selected="0">
            <x v="0"/>
          </reference>
          <reference field="3" count="1" selected="0">
            <x v="10"/>
          </reference>
          <reference field="4" count="1" selected="0">
            <x v="164"/>
          </reference>
          <reference field="5" count="1">
            <x v="539"/>
          </reference>
        </references>
      </pivotArea>
    </format>
    <format dxfId="4569">
      <pivotArea dataOnly="0" labelOnly="1" fieldPosition="0">
        <references count="5">
          <reference field="1" count="1" selected="0">
            <x v="80"/>
          </reference>
          <reference field="2" count="1" selected="0">
            <x v="0"/>
          </reference>
          <reference field="3" count="1" selected="0">
            <x v="12"/>
          </reference>
          <reference field="4" count="1" selected="0">
            <x v="17"/>
          </reference>
          <reference field="5" count="1">
            <x v="188"/>
          </reference>
        </references>
      </pivotArea>
    </format>
    <format dxfId="4568">
      <pivotArea dataOnly="0" labelOnly="1" fieldPosition="0">
        <references count="5">
          <reference field="1" count="1" selected="0">
            <x v="80"/>
          </reference>
          <reference field="2" count="1" selected="0">
            <x v="0"/>
          </reference>
          <reference field="3" count="1" selected="0">
            <x v="12"/>
          </reference>
          <reference field="4" count="1" selected="0">
            <x v="23"/>
          </reference>
          <reference field="5" count="1">
            <x v="11"/>
          </reference>
        </references>
      </pivotArea>
    </format>
    <format dxfId="4567">
      <pivotArea dataOnly="0" labelOnly="1" fieldPosition="0">
        <references count="5">
          <reference field="1" count="1" selected="0">
            <x v="80"/>
          </reference>
          <reference field="2" count="1" selected="0">
            <x v="0"/>
          </reference>
          <reference field="3" count="1" selected="0">
            <x v="12"/>
          </reference>
          <reference field="4" count="1" selected="0">
            <x v="40"/>
          </reference>
          <reference field="5" count="1">
            <x v="188"/>
          </reference>
        </references>
      </pivotArea>
    </format>
    <format dxfId="4566">
      <pivotArea dataOnly="0" labelOnly="1" fieldPosition="0">
        <references count="5">
          <reference field="1" count="1" selected="0">
            <x v="80"/>
          </reference>
          <reference field="2" count="1" selected="0">
            <x v="3"/>
          </reference>
          <reference field="3" count="1" selected="0">
            <x v="38"/>
          </reference>
          <reference field="4" count="1" selected="0">
            <x v="164"/>
          </reference>
          <reference field="5" count="1">
            <x v="371"/>
          </reference>
        </references>
      </pivotArea>
    </format>
    <format dxfId="4565">
      <pivotArea dataOnly="0" labelOnly="1" fieldPosition="0">
        <references count="5">
          <reference field="1" count="1" selected="0">
            <x v="80"/>
          </reference>
          <reference field="2" count="1" selected="0">
            <x v="7"/>
          </reference>
          <reference field="3" count="1" selected="0">
            <x v="8"/>
          </reference>
          <reference field="4" count="1" selected="0">
            <x v="164"/>
          </reference>
          <reference field="5" count="1">
            <x v="83"/>
          </reference>
        </references>
      </pivotArea>
    </format>
    <format dxfId="4564">
      <pivotArea dataOnly="0" labelOnly="1" fieldPosition="0">
        <references count="5">
          <reference field="1" count="1" selected="0">
            <x v="80"/>
          </reference>
          <reference field="2" count="1" selected="0">
            <x v="10"/>
          </reference>
          <reference field="3" count="1" selected="0">
            <x v="6"/>
          </reference>
          <reference field="4" count="1" selected="0">
            <x v="164"/>
          </reference>
          <reference field="5" count="1">
            <x v="1647"/>
          </reference>
        </references>
      </pivotArea>
    </format>
    <format dxfId="4563">
      <pivotArea dataOnly="0" labelOnly="1" fieldPosition="0">
        <references count="5">
          <reference field="1" count="1" selected="0">
            <x v="80"/>
          </reference>
          <reference field="2" count="1" selected="0">
            <x v="10"/>
          </reference>
          <reference field="3" count="1" selected="0">
            <x v="8"/>
          </reference>
          <reference field="4" count="1" selected="0">
            <x v="164"/>
          </reference>
          <reference field="5" count="1">
            <x v="23"/>
          </reference>
        </references>
      </pivotArea>
    </format>
    <format dxfId="4562">
      <pivotArea dataOnly="0" labelOnly="1" fieldPosition="0">
        <references count="5">
          <reference field="1" count="1" selected="0">
            <x v="80"/>
          </reference>
          <reference field="2" count="1" selected="0">
            <x v="12"/>
          </reference>
          <reference field="3" count="1" selected="0">
            <x v="1"/>
          </reference>
          <reference field="4" count="1" selected="0">
            <x v="164"/>
          </reference>
          <reference field="5" count="2">
            <x v="80"/>
            <x v="213"/>
          </reference>
        </references>
      </pivotArea>
    </format>
    <format dxfId="4561">
      <pivotArea dataOnly="0" labelOnly="1" fieldPosition="0">
        <references count="5">
          <reference field="1" count="1" selected="0">
            <x v="80"/>
          </reference>
          <reference field="2" count="1" selected="0">
            <x v="12"/>
          </reference>
          <reference field="3" count="1" selected="0">
            <x v="38"/>
          </reference>
          <reference field="4" count="1" selected="0">
            <x v="164"/>
          </reference>
          <reference field="5" count="1">
            <x v="1414"/>
          </reference>
        </references>
      </pivotArea>
    </format>
    <format dxfId="4560">
      <pivotArea dataOnly="0" labelOnly="1" fieldPosition="0">
        <references count="5">
          <reference field="1" count="1" selected="0">
            <x v="80"/>
          </reference>
          <reference field="2" count="1" selected="0">
            <x v="15"/>
          </reference>
          <reference field="3" count="1" selected="0">
            <x v="8"/>
          </reference>
          <reference field="4" count="1" selected="0">
            <x v="164"/>
          </reference>
          <reference field="5" count="1">
            <x v="684"/>
          </reference>
        </references>
      </pivotArea>
    </format>
    <format dxfId="4559">
      <pivotArea dataOnly="0" labelOnly="1" fieldPosition="0">
        <references count="5">
          <reference field="1" count="1" selected="0">
            <x v="80"/>
          </reference>
          <reference field="2" count="1" selected="0">
            <x v="24"/>
          </reference>
          <reference field="3" count="1" selected="0">
            <x v="38"/>
          </reference>
          <reference field="4" count="1" selected="0">
            <x v="164"/>
          </reference>
          <reference field="5" count="1">
            <x v="97"/>
          </reference>
        </references>
      </pivotArea>
    </format>
    <format dxfId="4558">
      <pivotArea dataOnly="0" labelOnly="1" fieldPosition="0">
        <references count="5">
          <reference field="1" count="1" selected="0">
            <x v="80"/>
          </reference>
          <reference field="2" count="1" selected="0">
            <x v="35"/>
          </reference>
          <reference field="3" count="1" selected="0">
            <x v="1"/>
          </reference>
          <reference field="4" count="1" selected="0">
            <x v="164"/>
          </reference>
          <reference field="5" count="1">
            <x v="80"/>
          </reference>
        </references>
      </pivotArea>
    </format>
    <format dxfId="4557">
      <pivotArea dataOnly="0" labelOnly="1" fieldPosition="0">
        <references count="5">
          <reference field="1" count="1" selected="0">
            <x v="80"/>
          </reference>
          <reference field="2" count="1" selected="0">
            <x v="35"/>
          </reference>
          <reference field="3" count="1" selected="0">
            <x v="38"/>
          </reference>
          <reference field="4" count="1" selected="0">
            <x v="164"/>
          </reference>
          <reference field="5" count="2">
            <x v="1343"/>
            <x v="1528"/>
          </reference>
        </references>
      </pivotArea>
    </format>
    <format dxfId="4556">
      <pivotArea dataOnly="0" labelOnly="1" fieldPosition="0">
        <references count="5">
          <reference field="1" count="1" selected="0">
            <x v="81"/>
          </reference>
          <reference field="2" count="1" selected="0">
            <x v="3"/>
          </reference>
          <reference field="3" count="1" selected="0">
            <x v="10"/>
          </reference>
          <reference field="4" count="1" selected="0">
            <x v="165"/>
          </reference>
          <reference field="5" count="1">
            <x v="0"/>
          </reference>
        </references>
      </pivotArea>
    </format>
    <format dxfId="4555">
      <pivotArea dataOnly="0" labelOnly="1" fieldPosition="0">
        <references count="5">
          <reference field="1" count="1" selected="0">
            <x v="82"/>
          </reference>
          <reference field="2" count="1" selected="0">
            <x v="0"/>
          </reference>
          <reference field="3" count="1" selected="0">
            <x v="12"/>
          </reference>
          <reference field="4" count="1" selected="0">
            <x v="52"/>
          </reference>
          <reference field="5" count="1">
            <x v="9"/>
          </reference>
        </references>
      </pivotArea>
    </format>
    <format dxfId="4554">
      <pivotArea dataOnly="0" labelOnly="1" fieldPosition="0">
        <references count="5">
          <reference field="1" count="1" selected="0">
            <x v="82"/>
          </reference>
          <reference field="2" count="1" selected="0">
            <x v="0"/>
          </reference>
          <reference field="3" count="1" selected="0">
            <x v="12"/>
          </reference>
          <reference field="4" count="1" selected="0">
            <x v="62"/>
          </reference>
          <reference field="5" count="1">
            <x v="59"/>
          </reference>
        </references>
      </pivotArea>
    </format>
    <format dxfId="4553">
      <pivotArea dataOnly="0" labelOnly="1" fieldPosition="0">
        <references count="5">
          <reference field="1" count="1" selected="0">
            <x v="82"/>
          </reference>
          <reference field="2" count="1" selected="0">
            <x v="0"/>
          </reference>
          <reference field="3" count="1" selected="0">
            <x v="38"/>
          </reference>
          <reference field="4" count="1" selected="0">
            <x v="166"/>
          </reference>
          <reference field="5" count="2">
            <x v="39"/>
            <x v="659"/>
          </reference>
        </references>
      </pivotArea>
    </format>
    <format dxfId="4552">
      <pivotArea dataOnly="0" labelOnly="1" fieldPosition="0">
        <references count="5">
          <reference field="1" count="1" selected="0">
            <x v="82"/>
          </reference>
          <reference field="2" count="1" selected="0">
            <x v="12"/>
          </reference>
          <reference field="3" count="1" selected="0">
            <x v="1"/>
          </reference>
          <reference field="4" count="1" selected="0">
            <x v="166"/>
          </reference>
          <reference field="5" count="4">
            <x v="80"/>
            <x v="213"/>
            <x v="352"/>
            <x v="607"/>
          </reference>
        </references>
      </pivotArea>
    </format>
    <format dxfId="4551">
      <pivotArea dataOnly="0" labelOnly="1" fieldPosition="0">
        <references count="5">
          <reference field="1" count="1" selected="0">
            <x v="82"/>
          </reference>
          <reference field="2" count="1" selected="0">
            <x v="14"/>
          </reference>
          <reference field="3" count="1" selected="0">
            <x v="1"/>
          </reference>
          <reference field="4" count="1" selected="0">
            <x v="166"/>
          </reference>
          <reference field="5" count="1">
            <x v="145"/>
          </reference>
        </references>
      </pivotArea>
    </format>
    <format dxfId="4550">
      <pivotArea dataOnly="0" labelOnly="1" fieldPosition="0">
        <references count="5">
          <reference field="1" count="1" selected="0">
            <x v="82"/>
          </reference>
          <reference field="2" count="1" selected="0">
            <x v="23"/>
          </reference>
          <reference field="3" count="1" selected="0">
            <x v="38"/>
          </reference>
          <reference field="4" count="1" selected="0">
            <x v="166"/>
          </reference>
          <reference field="5" count="1">
            <x v="100"/>
          </reference>
        </references>
      </pivotArea>
    </format>
    <format dxfId="4549">
      <pivotArea dataOnly="0" labelOnly="1" fieldPosition="0">
        <references count="5">
          <reference field="1" count="1" selected="0">
            <x v="82"/>
          </reference>
          <reference field="2" count="1" selected="0">
            <x v="34"/>
          </reference>
          <reference field="3" count="1" selected="0">
            <x v="38"/>
          </reference>
          <reference field="4" count="1" selected="0">
            <x v="166"/>
          </reference>
          <reference field="5" count="1">
            <x v="509"/>
          </reference>
        </references>
      </pivotArea>
    </format>
    <format dxfId="4548">
      <pivotArea dataOnly="0" labelOnly="1" fieldPosition="0">
        <references count="5">
          <reference field="1" count="1" selected="0">
            <x v="82"/>
          </reference>
          <reference field="2" count="1" selected="0">
            <x v="35"/>
          </reference>
          <reference field="3" count="1" selected="0">
            <x v="1"/>
          </reference>
          <reference field="4" count="1" selected="0">
            <x v="166"/>
          </reference>
          <reference field="5" count="1">
            <x v="80"/>
          </reference>
        </references>
      </pivotArea>
    </format>
    <format dxfId="4547">
      <pivotArea dataOnly="0" labelOnly="1" fieldPosition="0">
        <references count="5">
          <reference field="1" count="1" selected="0">
            <x v="82"/>
          </reference>
          <reference field="2" count="1" selected="0">
            <x v="36"/>
          </reference>
          <reference field="3" count="1" selected="0">
            <x v="6"/>
          </reference>
          <reference field="4" count="1" selected="0">
            <x v="166"/>
          </reference>
          <reference field="5" count="1">
            <x v="283"/>
          </reference>
        </references>
      </pivotArea>
    </format>
    <format dxfId="4546">
      <pivotArea dataOnly="0" labelOnly="1" fieldPosition="0">
        <references count="5">
          <reference field="1" count="1" selected="0">
            <x v="82"/>
          </reference>
          <reference field="2" count="1" selected="0">
            <x v="36"/>
          </reference>
          <reference field="3" count="1" selected="0">
            <x v="38"/>
          </reference>
          <reference field="4" count="1" selected="0">
            <x v="166"/>
          </reference>
          <reference field="5" count="1">
            <x v="395"/>
          </reference>
        </references>
      </pivotArea>
    </format>
    <format dxfId="4545">
      <pivotArea dataOnly="0" labelOnly="1" fieldPosition="0">
        <references count="5">
          <reference field="1" count="1" selected="0">
            <x v="82"/>
          </reference>
          <reference field="2" count="1" selected="0">
            <x v="37"/>
          </reference>
          <reference field="3" count="1" selected="0">
            <x v="6"/>
          </reference>
          <reference field="4" count="1" selected="0">
            <x v="166"/>
          </reference>
          <reference field="5" count="1">
            <x v="802"/>
          </reference>
        </references>
      </pivotArea>
    </format>
    <format dxfId="4544">
      <pivotArea dataOnly="0" labelOnly="1" fieldPosition="0">
        <references count="5">
          <reference field="1" count="1" selected="0">
            <x v="83"/>
          </reference>
          <reference field="2" count="1" selected="0">
            <x v="0"/>
          </reference>
          <reference field="3" count="1" selected="0">
            <x v="6"/>
          </reference>
          <reference field="4" count="1" selected="0">
            <x v="168"/>
          </reference>
          <reference field="5" count="2">
            <x v="359"/>
            <x v="749"/>
          </reference>
        </references>
      </pivotArea>
    </format>
    <format dxfId="4543">
      <pivotArea dataOnly="0" labelOnly="1" fieldPosition="0">
        <references count="5">
          <reference field="1" count="1" selected="0">
            <x v="83"/>
          </reference>
          <reference field="2" count="1" selected="0">
            <x v="0"/>
          </reference>
          <reference field="3" count="1" selected="0">
            <x v="8"/>
          </reference>
          <reference field="4" count="1" selected="0">
            <x v="168"/>
          </reference>
          <reference field="5" count="1">
            <x v="1028"/>
          </reference>
        </references>
      </pivotArea>
    </format>
    <format dxfId="4542">
      <pivotArea dataOnly="0" labelOnly="1" fieldPosition="0">
        <references count="5">
          <reference field="1" count="1" selected="0">
            <x v="83"/>
          </reference>
          <reference field="2" count="1" selected="0">
            <x v="0"/>
          </reference>
          <reference field="3" count="1" selected="0">
            <x v="12"/>
          </reference>
          <reference field="4" count="1" selected="0">
            <x v="5"/>
          </reference>
          <reference field="5" count="1">
            <x v="69"/>
          </reference>
        </references>
      </pivotArea>
    </format>
    <format dxfId="4541">
      <pivotArea dataOnly="0" labelOnly="1" fieldPosition="0">
        <references count="5">
          <reference field="1" count="1" selected="0">
            <x v="83"/>
          </reference>
          <reference field="2" count="1" selected="0">
            <x v="0"/>
          </reference>
          <reference field="3" count="1" selected="0">
            <x v="12"/>
          </reference>
          <reference field="4" count="1" selected="0">
            <x v="52"/>
          </reference>
          <reference field="5" count="1">
            <x v="9"/>
          </reference>
        </references>
      </pivotArea>
    </format>
    <format dxfId="4540">
      <pivotArea dataOnly="0" labelOnly="1" fieldPosition="0">
        <references count="5">
          <reference field="1" count="1" selected="0">
            <x v="83"/>
          </reference>
          <reference field="2" count="1" selected="0">
            <x v="0"/>
          </reference>
          <reference field="3" count="1" selected="0">
            <x v="12"/>
          </reference>
          <reference field="4" count="1" selected="0">
            <x v="57"/>
          </reference>
          <reference field="5" count="1">
            <x v="16"/>
          </reference>
        </references>
      </pivotArea>
    </format>
    <format dxfId="4539">
      <pivotArea dataOnly="0" labelOnly="1" fieldPosition="0">
        <references count="5">
          <reference field="1" count="1" selected="0">
            <x v="83"/>
          </reference>
          <reference field="2" count="1" selected="0">
            <x v="0"/>
          </reference>
          <reference field="3" count="1" selected="0">
            <x v="38"/>
          </reference>
          <reference field="4" count="1" selected="0">
            <x v="168"/>
          </reference>
          <reference field="5" count="1">
            <x v="138"/>
          </reference>
        </references>
      </pivotArea>
    </format>
    <format dxfId="4538">
      <pivotArea dataOnly="0" labelOnly="1" fieldPosition="0">
        <references count="5">
          <reference field="1" count="1" selected="0">
            <x v="83"/>
          </reference>
          <reference field="2" count="1" selected="0">
            <x v="2"/>
          </reference>
          <reference field="3" count="1" selected="0">
            <x v="27"/>
          </reference>
          <reference field="4" count="1" selected="0">
            <x v="167"/>
          </reference>
          <reference field="5" count="1">
            <x v="827"/>
          </reference>
        </references>
      </pivotArea>
    </format>
    <format dxfId="4537">
      <pivotArea dataOnly="0" labelOnly="1" fieldPosition="0">
        <references count="5">
          <reference field="1" count="1" selected="0">
            <x v="83"/>
          </reference>
          <reference field="2" count="1" selected="0">
            <x v="3"/>
          </reference>
          <reference field="3" count="1" selected="0">
            <x v="1"/>
          </reference>
          <reference field="4" count="1" selected="0">
            <x v="168"/>
          </reference>
          <reference field="5" count="1">
            <x v="109"/>
          </reference>
        </references>
      </pivotArea>
    </format>
    <format dxfId="4536">
      <pivotArea dataOnly="0" labelOnly="1" fieldPosition="0">
        <references count="5">
          <reference field="1" count="1" selected="0">
            <x v="83"/>
          </reference>
          <reference field="2" count="1" selected="0">
            <x v="3"/>
          </reference>
          <reference field="3" count="1" selected="0">
            <x v="38"/>
          </reference>
          <reference field="4" count="1" selected="0">
            <x v="168"/>
          </reference>
          <reference field="5" count="1">
            <x v="33"/>
          </reference>
        </references>
      </pivotArea>
    </format>
    <format dxfId="4535">
      <pivotArea dataOnly="0" labelOnly="1" fieldPosition="0">
        <references count="5">
          <reference field="1" count="1" selected="0">
            <x v="83"/>
          </reference>
          <reference field="2" count="1" selected="0">
            <x v="6"/>
          </reference>
          <reference field="3" count="1" selected="0">
            <x v="38"/>
          </reference>
          <reference field="4" count="1" selected="0">
            <x v="168"/>
          </reference>
          <reference field="5" count="1">
            <x v="1235"/>
          </reference>
        </references>
      </pivotArea>
    </format>
    <format dxfId="4534">
      <pivotArea dataOnly="0" labelOnly="1" fieldPosition="0">
        <references count="5">
          <reference field="1" count="1" selected="0">
            <x v="83"/>
          </reference>
          <reference field="2" count="1" selected="0">
            <x v="12"/>
          </reference>
          <reference field="3" count="1" selected="0">
            <x v="1"/>
          </reference>
          <reference field="4" count="1" selected="0">
            <x v="168"/>
          </reference>
          <reference field="5" count="6">
            <x v="80"/>
            <x v="213"/>
            <x v="352"/>
            <x v="500"/>
            <x v="607"/>
            <x v="771"/>
          </reference>
        </references>
      </pivotArea>
    </format>
    <format dxfId="4533">
      <pivotArea dataOnly="0" labelOnly="1" fieldPosition="0">
        <references count="5">
          <reference field="1" count="1" selected="0">
            <x v="83"/>
          </reference>
          <reference field="2" count="1" selected="0">
            <x v="12"/>
          </reference>
          <reference field="3" count="1" selected="0">
            <x v="27"/>
          </reference>
          <reference field="4" count="1" selected="0">
            <x v="167"/>
          </reference>
          <reference field="5" count="2">
            <x v="289"/>
            <x v="805"/>
          </reference>
        </references>
      </pivotArea>
    </format>
    <format dxfId="4532">
      <pivotArea dataOnly="0" labelOnly="1" fieldPosition="0">
        <references count="5">
          <reference field="1" count="1" selected="0">
            <x v="83"/>
          </reference>
          <reference field="2" count="1" selected="0">
            <x v="15"/>
          </reference>
          <reference field="3" count="1" selected="0">
            <x v="1"/>
          </reference>
          <reference field="4" count="1" selected="0">
            <x v="168"/>
          </reference>
          <reference field="5" count="1">
            <x v="1666"/>
          </reference>
        </references>
      </pivotArea>
    </format>
    <format dxfId="4531">
      <pivotArea dataOnly="0" labelOnly="1" fieldPosition="0">
        <references count="5">
          <reference field="1" count="1" selected="0">
            <x v="83"/>
          </reference>
          <reference field="2" count="1" selected="0">
            <x v="30"/>
          </reference>
          <reference field="3" count="1" selected="0">
            <x v="6"/>
          </reference>
          <reference field="4" count="1" selected="0">
            <x v="168"/>
          </reference>
          <reference field="5" count="1">
            <x v="1805"/>
          </reference>
        </references>
      </pivotArea>
    </format>
    <format dxfId="4530">
      <pivotArea dataOnly="0" labelOnly="1" fieldPosition="0">
        <references count="5">
          <reference field="1" count="1" selected="0">
            <x v="83"/>
          </reference>
          <reference field="2" count="1" selected="0">
            <x v="35"/>
          </reference>
          <reference field="3" count="1" selected="0">
            <x v="1"/>
          </reference>
          <reference field="4" count="1" selected="0">
            <x v="168"/>
          </reference>
          <reference field="5" count="2">
            <x v="80"/>
            <x v="213"/>
          </reference>
        </references>
      </pivotArea>
    </format>
    <format dxfId="4529">
      <pivotArea dataOnly="0" labelOnly="1" fieldPosition="0">
        <references count="5">
          <reference field="1" count="1" selected="0">
            <x v="84"/>
          </reference>
          <reference field="2" count="1" selected="0">
            <x v="0"/>
          </reference>
          <reference field="3" count="1" selected="0">
            <x v="6"/>
          </reference>
          <reference field="4" count="1" selected="0">
            <x v="169"/>
          </reference>
          <reference field="5" count="1">
            <x v="354"/>
          </reference>
        </references>
      </pivotArea>
    </format>
    <format dxfId="4528">
      <pivotArea dataOnly="0" labelOnly="1" fieldPosition="0">
        <references count="5">
          <reference field="1" count="1" selected="0">
            <x v="84"/>
          </reference>
          <reference field="2" count="1" selected="0">
            <x v="0"/>
          </reference>
          <reference field="3" count="1" selected="0">
            <x v="8"/>
          </reference>
          <reference field="4" count="1" selected="0">
            <x v="169"/>
          </reference>
          <reference field="5" count="1">
            <x v="825"/>
          </reference>
        </references>
      </pivotArea>
    </format>
    <format dxfId="4527">
      <pivotArea dataOnly="0" labelOnly="1" fieldPosition="0">
        <references count="5">
          <reference field="1" count="1" selected="0">
            <x v="84"/>
          </reference>
          <reference field="2" count="1" selected="0">
            <x v="0"/>
          </reference>
          <reference field="3" count="1" selected="0">
            <x v="9"/>
          </reference>
          <reference field="4" count="1" selected="0">
            <x v="169"/>
          </reference>
          <reference field="5" count="2">
            <x v="461"/>
            <x v="494"/>
          </reference>
        </references>
      </pivotArea>
    </format>
    <format dxfId="4526">
      <pivotArea dataOnly="0" labelOnly="1" fieldPosition="0">
        <references count="5">
          <reference field="1" count="1" selected="0">
            <x v="84"/>
          </reference>
          <reference field="2" count="1" selected="0">
            <x v="0"/>
          </reference>
          <reference field="3" count="1" selected="0">
            <x v="12"/>
          </reference>
          <reference field="4" count="1" selected="0">
            <x v="21"/>
          </reference>
          <reference field="5" count="1">
            <x v="227"/>
          </reference>
        </references>
      </pivotArea>
    </format>
    <format dxfId="4525">
      <pivotArea dataOnly="0" labelOnly="1" fieldPosition="0">
        <references count="5">
          <reference field="1" count="1" selected="0">
            <x v="84"/>
          </reference>
          <reference field="2" count="1" selected="0">
            <x v="0"/>
          </reference>
          <reference field="3" count="1" selected="0">
            <x v="38"/>
          </reference>
          <reference field="4" count="1" selected="0">
            <x v="169"/>
          </reference>
          <reference field="5" count="1">
            <x v="138"/>
          </reference>
        </references>
      </pivotArea>
    </format>
    <format dxfId="4524">
      <pivotArea dataOnly="0" labelOnly="1" fieldPosition="0">
        <references count="5">
          <reference field="1" count="1" selected="0">
            <x v="84"/>
          </reference>
          <reference field="2" count="1" selected="0">
            <x v="12"/>
          </reference>
          <reference field="3" count="1" selected="0">
            <x v="1"/>
          </reference>
          <reference field="4" count="1" selected="0">
            <x v="169"/>
          </reference>
          <reference field="5" count="6">
            <x v="80"/>
            <x v="213"/>
            <x v="352"/>
            <x v="607"/>
            <x v="702"/>
            <x v="771"/>
          </reference>
        </references>
      </pivotArea>
    </format>
    <format dxfId="4523">
      <pivotArea dataOnly="0" labelOnly="1" fieldPosition="0">
        <references count="5">
          <reference field="1" count="1" selected="0">
            <x v="84"/>
          </reference>
          <reference field="2" count="1" selected="0">
            <x v="14"/>
          </reference>
          <reference field="3" count="1" selected="0">
            <x v="6"/>
          </reference>
          <reference field="4" count="1" selected="0">
            <x v="169"/>
          </reference>
          <reference field="5" count="1">
            <x v="1865"/>
          </reference>
        </references>
      </pivotArea>
    </format>
    <format dxfId="4522">
      <pivotArea dataOnly="0" labelOnly="1" fieldPosition="0">
        <references count="5">
          <reference field="1" count="1" selected="0">
            <x v="84"/>
          </reference>
          <reference field="2" count="1" selected="0">
            <x v="26"/>
          </reference>
          <reference field="3" count="1" selected="0">
            <x v="38"/>
          </reference>
          <reference field="4" count="1" selected="0">
            <x v="169"/>
          </reference>
          <reference field="5" count="1">
            <x v="1840"/>
          </reference>
        </references>
      </pivotArea>
    </format>
    <format dxfId="4521">
      <pivotArea dataOnly="0" labelOnly="1" fieldPosition="0">
        <references count="5">
          <reference field="1" count="1" selected="0">
            <x v="84"/>
          </reference>
          <reference field="2" count="1" selected="0">
            <x v="35"/>
          </reference>
          <reference field="3" count="1" selected="0">
            <x v="1"/>
          </reference>
          <reference field="4" count="1" selected="0">
            <x v="169"/>
          </reference>
          <reference field="5" count="1">
            <x v="80"/>
          </reference>
        </references>
      </pivotArea>
    </format>
    <format dxfId="4520">
      <pivotArea dataOnly="0" labelOnly="1" fieldPosition="0">
        <references count="5">
          <reference field="1" count="1" selected="0">
            <x v="84"/>
          </reference>
          <reference field="2" count="1" selected="0">
            <x v="37"/>
          </reference>
          <reference field="3" count="1" selected="0">
            <x v="38"/>
          </reference>
          <reference field="4" count="1" selected="0">
            <x v="169"/>
          </reference>
          <reference field="5" count="1">
            <x v="271"/>
          </reference>
        </references>
      </pivotArea>
    </format>
    <format dxfId="4519">
      <pivotArea dataOnly="0" labelOnly="1" fieldPosition="0">
        <references count="5">
          <reference field="1" count="1" selected="0">
            <x v="85"/>
          </reference>
          <reference field="2" count="1" selected="0">
            <x v="0"/>
          </reference>
          <reference field="3" count="1" selected="0">
            <x v="8"/>
          </reference>
          <reference field="4" count="1" selected="0">
            <x v="170"/>
          </reference>
          <reference field="5" count="1">
            <x v="108"/>
          </reference>
        </references>
      </pivotArea>
    </format>
    <format dxfId="4518">
      <pivotArea dataOnly="0" labelOnly="1" fieldPosition="0">
        <references count="5">
          <reference field="1" count="1" selected="0">
            <x v="85"/>
          </reference>
          <reference field="2" count="1" selected="0">
            <x v="0"/>
          </reference>
          <reference field="3" count="1" selected="0">
            <x v="9"/>
          </reference>
          <reference field="4" count="1" selected="0">
            <x v="170"/>
          </reference>
          <reference field="5" count="2">
            <x v="430"/>
            <x v="640"/>
          </reference>
        </references>
      </pivotArea>
    </format>
    <format dxfId="4517">
      <pivotArea dataOnly="0" labelOnly="1" fieldPosition="0">
        <references count="5">
          <reference field="1" count="1" selected="0">
            <x v="85"/>
          </reference>
          <reference field="2" count="1" selected="0">
            <x v="8"/>
          </reference>
          <reference field="3" count="1" selected="0">
            <x v="10"/>
          </reference>
          <reference field="4" count="1" selected="0">
            <x v="170"/>
          </reference>
          <reference field="5" count="1">
            <x v="1304"/>
          </reference>
        </references>
      </pivotArea>
    </format>
    <format dxfId="4516">
      <pivotArea dataOnly="0" labelOnly="1" fieldPosition="0">
        <references count="5">
          <reference field="1" count="1" selected="0">
            <x v="85"/>
          </reference>
          <reference field="2" count="1" selected="0">
            <x v="12"/>
          </reference>
          <reference field="3" count="1" selected="0">
            <x v="1"/>
          </reference>
          <reference field="4" count="1" selected="0">
            <x v="170"/>
          </reference>
          <reference field="5" count="5">
            <x v="80"/>
            <x v="213"/>
            <x v="352"/>
            <x v="500"/>
            <x v="702"/>
          </reference>
        </references>
      </pivotArea>
    </format>
    <format dxfId="4515">
      <pivotArea dataOnly="0" labelOnly="1" fieldPosition="0">
        <references count="5">
          <reference field="1" count="1" selected="0">
            <x v="85"/>
          </reference>
          <reference field="2" count="1" selected="0">
            <x v="19"/>
          </reference>
          <reference field="3" count="1" selected="0">
            <x v="6"/>
          </reference>
          <reference field="4" count="1" selected="0">
            <x v="170"/>
          </reference>
          <reference field="5" count="1">
            <x v="883"/>
          </reference>
        </references>
      </pivotArea>
    </format>
    <format dxfId="4514">
      <pivotArea dataOnly="0" labelOnly="1" fieldPosition="0">
        <references count="5">
          <reference field="1" count="1" selected="0">
            <x v="85"/>
          </reference>
          <reference field="2" count="1" selected="0">
            <x v="37"/>
          </reference>
          <reference field="3" count="1" selected="0">
            <x v="10"/>
          </reference>
          <reference field="4" count="1" selected="0">
            <x v="170"/>
          </reference>
          <reference field="5" count="1">
            <x v="1491"/>
          </reference>
        </references>
      </pivotArea>
    </format>
    <format dxfId="4513">
      <pivotArea dataOnly="0" labelOnly="1" fieldPosition="0">
        <references count="5">
          <reference field="1" count="1" selected="0">
            <x v="86"/>
          </reference>
          <reference field="2" count="1" selected="0">
            <x v="0"/>
          </reference>
          <reference field="3" count="1" selected="0">
            <x v="1"/>
          </reference>
          <reference field="4" count="1" selected="0">
            <x v="171"/>
          </reference>
          <reference field="5" count="2">
            <x v="80"/>
            <x v="778"/>
          </reference>
        </references>
      </pivotArea>
    </format>
    <format dxfId="4512">
      <pivotArea dataOnly="0" labelOnly="1" fieldPosition="0">
        <references count="5">
          <reference field="1" count="1" selected="0">
            <x v="86"/>
          </reference>
          <reference field="2" count="1" selected="0">
            <x v="0"/>
          </reference>
          <reference field="3" count="1" selected="0">
            <x v="12"/>
          </reference>
          <reference field="4" count="1" selected="0">
            <x v="7"/>
          </reference>
          <reference field="5" count="1">
            <x v="219"/>
          </reference>
        </references>
      </pivotArea>
    </format>
    <format dxfId="4511">
      <pivotArea dataOnly="0" labelOnly="1" fieldPosition="0">
        <references count="5">
          <reference field="1" count="1" selected="0">
            <x v="86"/>
          </reference>
          <reference field="2" count="1" selected="0">
            <x v="0"/>
          </reference>
          <reference field="3" count="1" selected="0">
            <x v="12"/>
          </reference>
          <reference field="4" count="1" selected="0">
            <x v="32"/>
          </reference>
          <reference field="5" count="1">
            <x v="391"/>
          </reference>
        </references>
      </pivotArea>
    </format>
    <format dxfId="4510">
      <pivotArea dataOnly="0" labelOnly="1" fieldPosition="0">
        <references count="5">
          <reference field="1" count="1" selected="0">
            <x v="86"/>
          </reference>
          <reference field="2" count="1" selected="0">
            <x v="0"/>
          </reference>
          <reference field="3" count="1" selected="0">
            <x v="37"/>
          </reference>
          <reference field="4" count="1" selected="0">
            <x v="171"/>
          </reference>
          <reference field="5" count="1">
            <x v="1312"/>
          </reference>
        </references>
      </pivotArea>
    </format>
    <format dxfId="4509">
      <pivotArea dataOnly="0" labelOnly="1" fieldPosition="0">
        <references count="5">
          <reference field="1" count="1" selected="0">
            <x v="86"/>
          </reference>
          <reference field="2" count="1" selected="0">
            <x v="0"/>
          </reference>
          <reference field="3" count="1" selected="0">
            <x v="38"/>
          </reference>
          <reference field="4" count="1" selected="0">
            <x v="171"/>
          </reference>
          <reference field="5" count="1">
            <x v="1326"/>
          </reference>
        </references>
      </pivotArea>
    </format>
    <format dxfId="4508">
      <pivotArea dataOnly="0" labelOnly="1" fieldPosition="0">
        <references count="5">
          <reference field="1" count="1" selected="0">
            <x v="86"/>
          </reference>
          <reference field="2" count="1" selected="0">
            <x v="2"/>
          </reference>
          <reference field="3" count="1" selected="0">
            <x v="1"/>
          </reference>
          <reference field="4" count="1" selected="0">
            <x v="171"/>
          </reference>
          <reference field="5" count="1">
            <x v="1205"/>
          </reference>
        </references>
      </pivotArea>
    </format>
    <format dxfId="4507">
      <pivotArea dataOnly="0" labelOnly="1" fieldPosition="0">
        <references count="5">
          <reference field="1" count="1" selected="0">
            <x v="86"/>
          </reference>
          <reference field="2" count="1" selected="0">
            <x v="2"/>
          </reference>
          <reference field="3" count="1" selected="0">
            <x v="6"/>
          </reference>
          <reference field="4" count="1" selected="0">
            <x v="171"/>
          </reference>
          <reference field="5" count="1">
            <x v="615"/>
          </reference>
        </references>
      </pivotArea>
    </format>
    <format dxfId="4506">
      <pivotArea dataOnly="0" labelOnly="1" fieldPosition="0">
        <references count="5">
          <reference field="1" count="1" selected="0">
            <x v="86"/>
          </reference>
          <reference field="2" count="1" selected="0">
            <x v="3"/>
          </reference>
          <reference field="3" count="1" selected="0">
            <x v="38"/>
          </reference>
          <reference field="4" count="1" selected="0">
            <x v="171"/>
          </reference>
          <reference field="5" count="1">
            <x v="322"/>
          </reference>
        </references>
      </pivotArea>
    </format>
    <format dxfId="4505">
      <pivotArea dataOnly="0" labelOnly="1" fieldPosition="0">
        <references count="5">
          <reference field="1" count="1" selected="0">
            <x v="86"/>
          </reference>
          <reference field="2" count="1" selected="0">
            <x v="5"/>
          </reference>
          <reference field="3" count="1" selected="0">
            <x v="37"/>
          </reference>
          <reference field="4" count="1" selected="0">
            <x v="171"/>
          </reference>
          <reference field="5" count="1">
            <x v="1777"/>
          </reference>
        </references>
      </pivotArea>
    </format>
    <format dxfId="4504">
      <pivotArea dataOnly="0" labelOnly="1" fieldPosition="0">
        <references count="5">
          <reference field="1" count="1" selected="0">
            <x v="86"/>
          </reference>
          <reference field="2" count="1" selected="0">
            <x v="5"/>
          </reference>
          <reference field="3" count="1" selected="0">
            <x v="38"/>
          </reference>
          <reference field="4" count="1" selected="0">
            <x v="171"/>
          </reference>
          <reference field="5" count="1">
            <x v="1837"/>
          </reference>
        </references>
      </pivotArea>
    </format>
    <format dxfId="4503">
      <pivotArea dataOnly="0" labelOnly="1" fieldPosition="0">
        <references count="5">
          <reference field="1" count="1" selected="0">
            <x v="86"/>
          </reference>
          <reference field="2" count="1" selected="0">
            <x v="6"/>
          </reference>
          <reference field="3" count="1" selected="0">
            <x v="38"/>
          </reference>
          <reference field="4" count="1" selected="0">
            <x v="171"/>
          </reference>
          <reference field="5" count="1">
            <x v="1164"/>
          </reference>
        </references>
      </pivotArea>
    </format>
    <format dxfId="4502">
      <pivotArea dataOnly="0" labelOnly="1" fieldPosition="0">
        <references count="5">
          <reference field="1" count="1" selected="0">
            <x v="86"/>
          </reference>
          <reference field="2" count="1" selected="0">
            <x v="7"/>
          </reference>
          <reference field="3" count="1" selected="0">
            <x v="38"/>
          </reference>
          <reference field="4" count="1" selected="0">
            <x v="171"/>
          </reference>
          <reference field="5" count="1">
            <x v="1061"/>
          </reference>
        </references>
      </pivotArea>
    </format>
    <format dxfId="4501">
      <pivotArea dataOnly="0" labelOnly="1" fieldPosition="0">
        <references count="5">
          <reference field="1" count="1" selected="0">
            <x v="86"/>
          </reference>
          <reference field="2" count="1" selected="0">
            <x v="9"/>
          </reference>
          <reference field="3" count="1" selected="0">
            <x v="38"/>
          </reference>
          <reference field="4" count="1" selected="0">
            <x v="171"/>
          </reference>
          <reference field="5" count="1">
            <x v="66"/>
          </reference>
        </references>
      </pivotArea>
    </format>
    <format dxfId="4500">
      <pivotArea dataOnly="0" labelOnly="1" fieldPosition="0">
        <references count="5">
          <reference field="1" count="1" selected="0">
            <x v="86"/>
          </reference>
          <reference field="2" count="1" selected="0">
            <x v="10"/>
          </reference>
          <reference field="3" count="1" selected="0">
            <x v="38"/>
          </reference>
          <reference field="4" count="1" selected="0">
            <x v="171"/>
          </reference>
          <reference field="5" count="1">
            <x v="612"/>
          </reference>
        </references>
      </pivotArea>
    </format>
    <format dxfId="4499">
      <pivotArea dataOnly="0" labelOnly="1" fieldPosition="0">
        <references count="5">
          <reference field="1" count="1" selected="0">
            <x v="86"/>
          </reference>
          <reference field="2" count="1" selected="0">
            <x v="12"/>
          </reference>
          <reference field="3" count="1" selected="0">
            <x v="1"/>
          </reference>
          <reference field="4" count="1" selected="0">
            <x v="171"/>
          </reference>
          <reference field="5" count="3">
            <x v="80"/>
            <x v="213"/>
            <x v="352"/>
          </reference>
        </references>
      </pivotArea>
    </format>
    <format dxfId="4498">
      <pivotArea dataOnly="0" labelOnly="1" fieldPosition="0">
        <references count="5">
          <reference field="1" count="1" selected="0">
            <x v="86"/>
          </reference>
          <reference field="2" count="1" selected="0">
            <x v="14"/>
          </reference>
          <reference field="3" count="1" selected="0">
            <x v="37"/>
          </reference>
          <reference field="4" count="1" selected="0">
            <x v="171"/>
          </reference>
          <reference field="5" count="1">
            <x v="1375"/>
          </reference>
        </references>
      </pivotArea>
    </format>
    <format dxfId="4497">
      <pivotArea dataOnly="0" labelOnly="1" fieldPosition="0">
        <references count="5">
          <reference field="1" count="1" selected="0">
            <x v="86"/>
          </reference>
          <reference field="2" count="1" selected="0">
            <x v="14"/>
          </reference>
          <reference field="3" count="1" selected="0">
            <x v="38"/>
          </reference>
          <reference field="4" count="1" selected="0">
            <x v="171"/>
          </reference>
          <reference field="5" count="1">
            <x v="1599"/>
          </reference>
        </references>
      </pivotArea>
    </format>
    <format dxfId="4496">
      <pivotArea dataOnly="0" labelOnly="1" fieldPosition="0">
        <references count="5">
          <reference field="1" count="1" selected="0">
            <x v="86"/>
          </reference>
          <reference field="2" count="1" selected="0">
            <x v="15"/>
          </reference>
          <reference field="3" count="1" selected="0">
            <x v="38"/>
          </reference>
          <reference field="4" count="1" selected="0">
            <x v="171"/>
          </reference>
          <reference field="5" count="1">
            <x v="1826"/>
          </reference>
        </references>
      </pivotArea>
    </format>
    <format dxfId="4495">
      <pivotArea dataOnly="0" labelOnly="1" fieldPosition="0">
        <references count="5">
          <reference field="1" count="1" selected="0">
            <x v="86"/>
          </reference>
          <reference field="2" count="1" selected="0">
            <x v="19"/>
          </reference>
          <reference field="3" count="1" selected="0">
            <x v="37"/>
          </reference>
          <reference field="4" count="1" selected="0">
            <x v="171"/>
          </reference>
          <reference field="5" count="1">
            <x v="1574"/>
          </reference>
        </references>
      </pivotArea>
    </format>
    <format dxfId="4494">
      <pivotArea dataOnly="0" labelOnly="1" fieldPosition="0">
        <references count="5">
          <reference field="1" count="1" selected="0">
            <x v="86"/>
          </reference>
          <reference field="2" count="1" selected="0">
            <x v="19"/>
          </reference>
          <reference field="3" count="1" selected="0">
            <x v="38"/>
          </reference>
          <reference field="4" count="1" selected="0">
            <x v="171"/>
          </reference>
          <reference field="5" count="1">
            <x v="1725"/>
          </reference>
        </references>
      </pivotArea>
    </format>
    <format dxfId="4493">
      <pivotArea dataOnly="0" labelOnly="1" fieldPosition="0">
        <references count="5">
          <reference field="1" count="1" selected="0">
            <x v="86"/>
          </reference>
          <reference field="2" count="1" selected="0">
            <x v="21"/>
          </reference>
          <reference field="3" count="1" selected="0">
            <x v="10"/>
          </reference>
          <reference field="4" count="1" selected="0">
            <x v="171"/>
          </reference>
          <reference field="5" count="1">
            <x v="0"/>
          </reference>
        </references>
      </pivotArea>
    </format>
    <format dxfId="4492">
      <pivotArea dataOnly="0" labelOnly="1" fieldPosition="0">
        <references count="5">
          <reference field="1" count="1" selected="0">
            <x v="86"/>
          </reference>
          <reference field="2" count="1" selected="0">
            <x v="23"/>
          </reference>
          <reference field="3" count="1" selected="0">
            <x v="1"/>
          </reference>
          <reference field="4" count="1" selected="0">
            <x v="171"/>
          </reference>
          <reference field="5" count="1">
            <x v="278"/>
          </reference>
        </references>
      </pivotArea>
    </format>
    <format dxfId="4491">
      <pivotArea dataOnly="0" labelOnly="1" fieldPosition="0">
        <references count="5">
          <reference field="1" count="1" selected="0">
            <x v="86"/>
          </reference>
          <reference field="2" count="1" selected="0">
            <x v="33"/>
          </reference>
          <reference field="3" count="1" selected="0">
            <x v="38"/>
          </reference>
          <reference field="4" count="1" selected="0">
            <x v="171"/>
          </reference>
          <reference field="5" count="1">
            <x v="659"/>
          </reference>
        </references>
      </pivotArea>
    </format>
    <format dxfId="4490">
      <pivotArea dataOnly="0" labelOnly="1" fieldPosition="0">
        <references count="5">
          <reference field="1" count="1" selected="0">
            <x v="86"/>
          </reference>
          <reference field="2" count="1" selected="0">
            <x v="35"/>
          </reference>
          <reference field="3" count="1" selected="0">
            <x v="1"/>
          </reference>
          <reference field="4" count="1" selected="0">
            <x v="171"/>
          </reference>
          <reference field="5" count="1">
            <x v="80"/>
          </reference>
        </references>
      </pivotArea>
    </format>
    <format dxfId="4489">
      <pivotArea dataOnly="0" labelOnly="1" fieldPosition="0">
        <references count="5">
          <reference field="1" count="1" selected="0">
            <x v="87"/>
          </reference>
          <reference field="2" count="1" selected="0">
            <x v="0"/>
          </reference>
          <reference field="3" count="1" selected="0">
            <x v="9"/>
          </reference>
          <reference field="4" count="1" selected="0">
            <x v="172"/>
          </reference>
          <reference field="5" count="5">
            <x v="620"/>
            <x v="640"/>
            <x v="745"/>
            <x v="924"/>
            <x v="973"/>
          </reference>
        </references>
      </pivotArea>
    </format>
    <format dxfId="4488">
      <pivotArea dataOnly="0" labelOnly="1" fieldPosition="0">
        <references count="5">
          <reference field="1" count="1" selected="0">
            <x v="87"/>
          </reference>
          <reference field="2" count="1" selected="0">
            <x v="0"/>
          </reference>
          <reference field="3" count="1" selected="0">
            <x v="12"/>
          </reference>
          <reference field="4" count="1" selected="0">
            <x v="32"/>
          </reference>
          <reference field="5" count="1">
            <x v="391"/>
          </reference>
        </references>
      </pivotArea>
    </format>
    <format dxfId="4487">
      <pivotArea dataOnly="0" labelOnly="1" fieldPosition="0">
        <references count="5">
          <reference field="1" count="1" selected="0">
            <x v="87"/>
          </reference>
          <reference field="2" count="1" selected="0">
            <x v="0"/>
          </reference>
          <reference field="3" count="1" selected="0">
            <x v="12"/>
          </reference>
          <reference field="4" count="1" selected="0">
            <x v="44"/>
          </reference>
          <reference field="5" count="1">
            <x v="11"/>
          </reference>
        </references>
      </pivotArea>
    </format>
    <format dxfId="4486">
      <pivotArea dataOnly="0" labelOnly="1" fieldPosition="0">
        <references count="5">
          <reference field="1" count="1" selected="0">
            <x v="87"/>
          </reference>
          <reference field="2" count="1" selected="0">
            <x v="0"/>
          </reference>
          <reference field="3" count="1" selected="0">
            <x v="12"/>
          </reference>
          <reference field="4" count="1" selected="0">
            <x v="53"/>
          </reference>
          <reference field="5" count="1">
            <x v="25"/>
          </reference>
        </references>
      </pivotArea>
    </format>
    <format dxfId="4485">
      <pivotArea dataOnly="0" labelOnly="1" fieldPosition="0">
        <references count="5">
          <reference field="1" count="1" selected="0">
            <x v="87"/>
          </reference>
          <reference field="2" count="1" selected="0">
            <x v="0"/>
          </reference>
          <reference field="3" count="1" selected="0">
            <x v="12"/>
          </reference>
          <reference field="4" count="1" selected="0">
            <x v="61"/>
          </reference>
          <reference field="5" count="1">
            <x v="6"/>
          </reference>
        </references>
      </pivotArea>
    </format>
    <format dxfId="4484">
      <pivotArea dataOnly="0" labelOnly="1" fieldPosition="0">
        <references count="5">
          <reference field="1" count="1" selected="0">
            <x v="87"/>
          </reference>
          <reference field="2" count="1" selected="0">
            <x v="0"/>
          </reference>
          <reference field="3" count="1" selected="0">
            <x v="12"/>
          </reference>
          <reference field="4" count="1" selected="0">
            <x v="65"/>
          </reference>
          <reference field="5" count="1">
            <x v="18"/>
          </reference>
        </references>
      </pivotArea>
    </format>
    <format dxfId="4483">
      <pivotArea dataOnly="0" labelOnly="1" fieldPosition="0">
        <references count="5">
          <reference field="1" count="1" selected="0">
            <x v="87"/>
          </reference>
          <reference field="2" count="1" selected="0">
            <x v="0"/>
          </reference>
          <reference field="3" count="1" selected="0">
            <x v="12"/>
          </reference>
          <reference field="4" count="1" selected="0">
            <x v="66"/>
          </reference>
          <reference field="5" count="1">
            <x v="25"/>
          </reference>
        </references>
      </pivotArea>
    </format>
    <format dxfId="4482">
      <pivotArea dataOnly="0" labelOnly="1" fieldPosition="0">
        <references count="5">
          <reference field="1" count="1" selected="0">
            <x v="87"/>
          </reference>
          <reference field="2" count="1" selected="0">
            <x v="0"/>
          </reference>
          <reference field="3" count="1" selected="0">
            <x v="12"/>
          </reference>
          <reference field="4" count="1" selected="0">
            <x v="71"/>
          </reference>
          <reference field="5" count="1">
            <x v="11"/>
          </reference>
        </references>
      </pivotArea>
    </format>
    <format dxfId="4481">
      <pivotArea dataOnly="0" labelOnly="1" fieldPosition="0">
        <references count="5">
          <reference field="1" count="1" selected="0">
            <x v="87"/>
          </reference>
          <reference field="2" count="1" selected="0">
            <x v="11"/>
          </reference>
          <reference field="3" count="1" selected="0">
            <x v="8"/>
          </reference>
          <reference field="4" count="1" selected="0">
            <x v="172"/>
          </reference>
          <reference field="5" count="1">
            <x v="927"/>
          </reference>
        </references>
      </pivotArea>
    </format>
    <format dxfId="4480">
      <pivotArea dataOnly="0" labelOnly="1" fieldPosition="0">
        <references count="5">
          <reference field="1" count="1" selected="0">
            <x v="87"/>
          </reference>
          <reference field="2" count="1" selected="0">
            <x v="12"/>
          </reference>
          <reference field="3" count="1" selected="0">
            <x v="1"/>
          </reference>
          <reference field="4" count="1" selected="0">
            <x v="172"/>
          </reference>
          <reference field="5" count="3">
            <x v="213"/>
            <x v="500"/>
            <x v="702"/>
          </reference>
        </references>
      </pivotArea>
    </format>
    <format dxfId="4479">
      <pivotArea dataOnly="0" labelOnly="1" fieldPosition="0">
        <references count="5">
          <reference field="1" count="1" selected="0">
            <x v="87"/>
          </reference>
          <reference field="2" count="1" selected="0">
            <x v="15"/>
          </reference>
          <reference field="3" count="1" selected="0">
            <x v="6"/>
          </reference>
          <reference field="4" count="1" selected="0">
            <x v="172"/>
          </reference>
          <reference field="5" count="1">
            <x v="212"/>
          </reference>
        </references>
      </pivotArea>
    </format>
    <format dxfId="4478">
      <pivotArea dataOnly="0" labelOnly="1" fieldPosition="0">
        <references count="5">
          <reference field="1" count="1" selected="0">
            <x v="87"/>
          </reference>
          <reference field="2" count="1" selected="0">
            <x v="15"/>
          </reference>
          <reference field="3" count="1" selected="0">
            <x v="9"/>
          </reference>
          <reference field="4" count="1" selected="0">
            <x v="172"/>
          </reference>
          <reference field="5" count="1">
            <x v="331"/>
          </reference>
        </references>
      </pivotArea>
    </format>
    <format dxfId="4477">
      <pivotArea dataOnly="0" labelOnly="1" fieldPosition="0">
        <references count="5">
          <reference field="1" count="1" selected="0">
            <x v="87"/>
          </reference>
          <reference field="2" count="1" selected="0">
            <x v="23"/>
          </reference>
          <reference field="3" count="1" selected="0">
            <x v="38"/>
          </reference>
          <reference field="4" count="1" selected="0">
            <x v="172"/>
          </reference>
          <reference field="5" count="1">
            <x v="76"/>
          </reference>
        </references>
      </pivotArea>
    </format>
    <format dxfId="4476">
      <pivotArea dataOnly="0" labelOnly="1" fieldPosition="0">
        <references count="5">
          <reference field="1" count="1" selected="0">
            <x v="87"/>
          </reference>
          <reference field="2" count="1" selected="0">
            <x v="24"/>
          </reference>
          <reference field="3" count="1" selected="0">
            <x v="8"/>
          </reference>
          <reference field="4" count="1" selected="0">
            <x v="172"/>
          </reference>
          <reference field="5" count="1">
            <x v="896"/>
          </reference>
        </references>
      </pivotArea>
    </format>
    <format dxfId="4475">
      <pivotArea dataOnly="0" labelOnly="1" fieldPosition="0">
        <references count="5">
          <reference field="1" count="1" selected="0">
            <x v="87"/>
          </reference>
          <reference field="2" count="1" selected="0">
            <x v="25"/>
          </reference>
          <reference field="3" count="1" selected="0">
            <x v="9"/>
          </reference>
          <reference field="4" count="1" selected="0">
            <x v="172"/>
          </reference>
          <reference field="5" count="1">
            <x v="901"/>
          </reference>
        </references>
      </pivotArea>
    </format>
    <format dxfId="4474">
      <pivotArea dataOnly="0" labelOnly="1" fieldPosition="0">
        <references count="5">
          <reference field="1" count="1" selected="0">
            <x v="87"/>
          </reference>
          <reference field="2" count="1" selected="0">
            <x v="27"/>
          </reference>
          <reference field="3" count="1" selected="0">
            <x v="38"/>
          </reference>
          <reference field="4" count="1" selected="0">
            <x v="172"/>
          </reference>
          <reference field="5" count="1">
            <x v="633"/>
          </reference>
        </references>
      </pivotArea>
    </format>
    <format dxfId="4473">
      <pivotArea dataOnly="0" labelOnly="1" fieldPosition="0">
        <references count="5">
          <reference field="1" count="1" selected="0">
            <x v="88"/>
          </reference>
          <reference field="2" count="1" selected="0">
            <x v="0"/>
          </reference>
          <reference field="3" count="1" selected="0">
            <x v="12"/>
          </reference>
          <reference field="4" count="1" selected="0">
            <x v="21"/>
          </reference>
          <reference field="5" count="1">
            <x v="69"/>
          </reference>
        </references>
      </pivotArea>
    </format>
    <format dxfId="4472">
      <pivotArea dataOnly="0" labelOnly="1" fieldPosition="0">
        <references count="5">
          <reference field="1" count="1" selected="0">
            <x v="88"/>
          </reference>
          <reference field="2" count="1" selected="0">
            <x v="0"/>
          </reference>
          <reference field="3" count="1" selected="0">
            <x v="12"/>
          </reference>
          <reference field="4" count="1" selected="0">
            <x v="52"/>
          </reference>
          <reference field="5" count="1">
            <x v="92"/>
          </reference>
        </references>
      </pivotArea>
    </format>
    <format dxfId="4471">
      <pivotArea dataOnly="0" labelOnly="1" fieldPosition="0">
        <references count="5">
          <reference field="1" count="1" selected="0">
            <x v="88"/>
          </reference>
          <reference field="2" count="1" selected="0">
            <x v="0"/>
          </reference>
          <reference field="3" count="1" selected="0">
            <x v="38"/>
          </reference>
          <reference field="4" count="1" selected="0">
            <x v="173"/>
          </reference>
          <reference field="5" count="1">
            <x v="138"/>
          </reference>
        </references>
      </pivotArea>
    </format>
    <format dxfId="4470">
      <pivotArea dataOnly="0" labelOnly="1" fieldPosition="0">
        <references count="5">
          <reference field="1" count="1" selected="0">
            <x v="88"/>
          </reference>
          <reference field="2" count="1" selected="0">
            <x v="3"/>
          </reference>
          <reference field="3" count="1" selected="0">
            <x v="6"/>
          </reference>
          <reference field="4" count="1" selected="0">
            <x v="173"/>
          </reference>
          <reference field="5" count="1">
            <x v="1047"/>
          </reference>
        </references>
      </pivotArea>
    </format>
    <format dxfId="4469">
      <pivotArea dataOnly="0" labelOnly="1" fieldPosition="0">
        <references count="5">
          <reference field="1" count="1" selected="0">
            <x v="88"/>
          </reference>
          <reference field="2" count="1" selected="0">
            <x v="5"/>
          </reference>
          <reference field="3" count="1" selected="0">
            <x v="37"/>
          </reference>
          <reference field="4" count="1" selected="0">
            <x v="173"/>
          </reference>
          <reference field="5" count="1">
            <x v="1408"/>
          </reference>
        </references>
      </pivotArea>
    </format>
    <format dxfId="4468">
      <pivotArea dataOnly="0" labelOnly="1" fieldPosition="0">
        <references count="5">
          <reference field="1" count="1" selected="0">
            <x v="88"/>
          </reference>
          <reference field="2" count="1" selected="0">
            <x v="10"/>
          </reference>
          <reference field="3" count="1" selected="0">
            <x v="37"/>
          </reference>
          <reference field="4" count="1" selected="0">
            <x v="173"/>
          </reference>
          <reference field="5" count="1">
            <x v="1242"/>
          </reference>
        </references>
      </pivotArea>
    </format>
    <format dxfId="4467">
      <pivotArea dataOnly="0" labelOnly="1" fieldPosition="0">
        <references count="5">
          <reference field="1" count="1" selected="0">
            <x v="88"/>
          </reference>
          <reference field="2" count="1" selected="0">
            <x v="12"/>
          </reference>
          <reference field="3" count="1" selected="0">
            <x v="1"/>
          </reference>
          <reference field="4" count="1" selected="0">
            <x v="173"/>
          </reference>
          <reference field="5" count="5">
            <x v="80"/>
            <x v="213"/>
            <x v="500"/>
            <x v="771"/>
            <x v="1114"/>
          </reference>
        </references>
      </pivotArea>
    </format>
    <format dxfId="4466">
      <pivotArea dataOnly="0" labelOnly="1" fieldPosition="0">
        <references count="5">
          <reference field="1" count="1" selected="0">
            <x v="88"/>
          </reference>
          <reference field="2" count="1" selected="0">
            <x v="26"/>
          </reference>
          <reference field="3" count="1" selected="0">
            <x v="38"/>
          </reference>
          <reference field="4" count="1" selected="0">
            <x v="173"/>
          </reference>
          <reference field="5" count="1">
            <x v="771"/>
          </reference>
        </references>
      </pivotArea>
    </format>
    <format dxfId="4465">
      <pivotArea dataOnly="0" labelOnly="1" fieldPosition="0">
        <references count="5">
          <reference field="1" count="1" selected="0">
            <x v="88"/>
          </reference>
          <reference field="2" count="1" selected="0">
            <x v="35"/>
          </reference>
          <reference field="3" count="1" selected="0">
            <x v="1"/>
          </reference>
          <reference field="4" count="1" selected="0">
            <x v="173"/>
          </reference>
          <reference field="5" count="1">
            <x v="213"/>
          </reference>
        </references>
      </pivotArea>
    </format>
    <format dxfId="4464">
      <pivotArea dataOnly="0" labelOnly="1" fieldPosition="0">
        <references count="5">
          <reference field="1" count="1" selected="0">
            <x v="88"/>
          </reference>
          <reference field="2" count="1" selected="0">
            <x v="36"/>
          </reference>
          <reference field="3" count="1" selected="0">
            <x v="1"/>
          </reference>
          <reference field="4" count="1" selected="0">
            <x v="173"/>
          </reference>
          <reference field="5" count="1">
            <x v="317"/>
          </reference>
        </references>
      </pivotArea>
    </format>
    <format dxfId="4463">
      <pivotArea dataOnly="0" labelOnly="1" fieldPosition="0">
        <references count="5">
          <reference field="1" count="1" selected="0">
            <x v="89"/>
          </reference>
          <reference field="2" count="1" selected="0">
            <x v="0"/>
          </reference>
          <reference field="3" count="1" selected="0">
            <x v="9"/>
          </reference>
          <reference field="4" count="1" selected="0">
            <x v="175"/>
          </reference>
          <reference field="5" count="2">
            <x v="458"/>
            <x v="555"/>
          </reference>
        </references>
      </pivotArea>
    </format>
    <format dxfId="4462">
      <pivotArea dataOnly="0" labelOnly="1" fieldPosition="0">
        <references count="5">
          <reference field="1" count="1" selected="0">
            <x v="89"/>
          </reference>
          <reference field="2" count="1" selected="0">
            <x v="0"/>
          </reference>
          <reference field="3" count="1" selected="0">
            <x v="12"/>
          </reference>
          <reference field="4" count="1" selected="0">
            <x v="6"/>
          </reference>
          <reference field="5" count="1">
            <x v="32"/>
          </reference>
        </references>
      </pivotArea>
    </format>
    <format dxfId="4461">
      <pivotArea dataOnly="0" labelOnly="1" fieldPosition="0">
        <references count="5">
          <reference field="1" count="1" selected="0">
            <x v="89"/>
          </reference>
          <reference field="2" count="1" selected="0">
            <x v="0"/>
          </reference>
          <reference field="3" count="1" selected="0">
            <x v="12"/>
          </reference>
          <reference field="4" count="1" selected="0">
            <x v="8"/>
          </reference>
          <reference field="5" count="1">
            <x v="14"/>
          </reference>
        </references>
      </pivotArea>
    </format>
    <format dxfId="4460">
      <pivotArea dataOnly="0" labelOnly="1" fieldPosition="0">
        <references count="5">
          <reference field="1" count="1" selected="0">
            <x v="89"/>
          </reference>
          <reference field="2" count="1" selected="0">
            <x v="0"/>
          </reference>
          <reference field="3" count="1" selected="0">
            <x v="12"/>
          </reference>
          <reference field="4" count="1" selected="0">
            <x v="17"/>
          </reference>
          <reference field="5" count="1">
            <x v="219"/>
          </reference>
        </references>
      </pivotArea>
    </format>
    <format dxfId="4459">
      <pivotArea dataOnly="0" labelOnly="1" fieldPosition="0">
        <references count="5">
          <reference field="1" count="1" selected="0">
            <x v="89"/>
          </reference>
          <reference field="2" count="1" selected="0">
            <x v="0"/>
          </reference>
          <reference field="3" count="1" selected="0">
            <x v="12"/>
          </reference>
          <reference field="4" count="1" selected="0">
            <x v="18"/>
          </reference>
          <reference field="5" count="1">
            <x v="11"/>
          </reference>
        </references>
      </pivotArea>
    </format>
    <format dxfId="4458">
      <pivotArea dataOnly="0" labelOnly="1" fieldPosition="0">
        <references count="5">
          <reference field="1" count="1" selected="0">
            <x v="89"/>
          </reference>
          <reference field="2" count="1" selected="0">
            <x v="0"/>
          </reference>
          <reference field="3" count="1" selected="0">
            <x v="12"/>
          </reference>
          <reference field="4" count="1" selected="0">
            <x v="34"/>
          </reference>
          <reference field="5" count="1">
            <x v="719"/>
          </reference>
        </references>
      </pivotArea>
    </format>
    <format dxfId="4457">
      <pivotArea dataOnly="0" labelOnly="1" fieldPosition="0">
        <references count="5">
          <reference field="1" count="1" selected="0">
            <x v="89"/>
          </reference>
          <reference field="2" count="1" selected="0">
            <x v="0"/>
          </reference>
          <reference field="3" count="1" selected="0">
            <x v="12"/>
          </reference>
          <reference field="4" count="1" selected="0">
            <x v="50"/>
          </reference>
          <reference field="5" count="1">
            <x v="80"/>
          </reference>
        </references>
      </pivotArea>
    </format>
    <format dxfId="4456">
      <pivotArea dataOnly="0" labelOnly="1" fieldPosition="0">
        <references count="5">
          <reference field="1" count="1" selected="0">
            <x v="89"/>
          </reference>
          <reference field="2" count="1" selected="0">
            <x v="0"/>
          </reference>
          <reference field="3" count="1" selected="0">
            <x v="12"/>
          </reference>
          <reference field="4" count="1" selected="0">
            <x v="52"/>
          </reference>
          <reference field="5" count="1">
            <x v="14"/>
          </reference>
        </references>
      </pivotArea>
    </format>
    <format dxfId="4455">
      <pivotArea dataOnly="0" labelOnly="1" fieldPosition="0">
        <references count="5">
          <reference field="1" count="1" selected="0">
            <x v="89"/>
          </reference>
          <reference field="2" count="1" selected="0">
            <x v="0"/>
          </reference>
          <reference field="3" count="1" selected="0">
            <x v="12"/>
          </reference>
          <reference field="4" count="1" selected="0">
            <x v="55"/>
          </reference>
          <reference field="5" count="1">
            <x v="82"/>
          </reference>
        </references>
      </pivotArea>
    </format>
    <format dxfId="4454">
      <pivotArea dataOnly="0" labelOnly="1" fieldPosition="0">
        <references count="5">
          <reference field="1" count="1" selected="0">
            <x v="89"/>
          </reference>
          <reference field="2" count="1" selected="0">
            <x v="0"/>
          </reference>
          <reference field="3" count="1" selected="0">
            <x v="20"/>
          </reference>
          <reference field="4" count="1" selected="0">
            <x v="174"/>
          </reference>
          <reference field="5" count="5">
            <x v="471"/>
            <x v="580"/>
            <x v="699"/>
            <x v="1029"/>
            <x v="1236"/>
          </reference>
        </references>
      </pivotArea>
    </format>
    <format dxfId="4453">
      <pivotArea dataOnly="0" labelOnly="1" fieldPosition="0">
        <references count="5">
          <reference field="1" count="1" selected="0">
            <x v="89"/>
          </reference>
          <reference field="2" count="1" selected="0">
            <x v="2"/>
          </reference>
          <reference field="3" count="1" selected="0">
            <x v="1"/>
          </reference>
          <reference field="4" count="1" selected="0">
            <x v="175"/>
          </reference>
          <reference field="5" count="1">
            <x v="1205"/>
          </reference>
        </references>
      </pivotArea>
    </format>
    <format dxfId="4452">
      <pivotArea dataOnly="0" labelOnly="1" fieldPosition="0">
        <references count="5">
          <reference field="1" count="1" selected="0">
            <x v="89"/>
          </reference>
          <reference field="2" count="1" selected="0">
            <x v="2"/>
          </reference>
          <reference field="3" count="1" selected="0">
            <x v="20"/>
          </reference>
          <reference field="4" count="1" selected="0">
            <x v="174"/>
          </reference>
          <reference field="5" count="1">
            <x v="1850"/>
          </reference>
        </references>
      </pivotArea>
    </format>
    <format dxfId="4451">
      <pivotArea dataOnly="0" labelOnly="1" fieldPosition="0">
        <references count="5">
          <reference field="1" count="1" selected="0">
            <x v="89"/>
          </reference>
          <reference field="2" count="1" selected="0">
            <x v="6"/>
          </reference>
          <reference field="3" count="1" selected="0">
            <x v="38"/>
          </reference>
          <reference field="4" count="1" selected="0">
            <x v="175"/>
          </reference>
          <reference field="5" count="1">
            <x v="658"/>
          </reference>
        </references>
      </pivotArea>
    </format>
    <format dxfId="4450">
      <pivotArea dataOnly="0" labelOnly="1" fieldPosition="0">
        <references count="5">
          <reference field="1" count="1" selected="0">
            <x v="89"/>
          </reference>
          <reference field="2" count="1" selected="0">
            <x v="7"/>
          </reference>
          <reference field="3" count="1" selected="0">
            <x v="9"/>
          </reference>
          <reference field="4" count="1" selected="0">
            <x v="175"/>
          </reference>
          <reference field="5" count="1">
            <x v="228"/>
          </reference>
        </references>
      </pivotArea>
    </format>
    <format dxfId="4449">
      <pivotArea dataOnly="0" labelOnly="1" fieldPosition="0">
        <references count="5">
          <reference field="1" count="1" selected="0">
            <x v="89"/>
          </reference>
          <reference field="2" count="1" selected="0">
            <x v="7"/>
          </reference>
          <reference field="3" count="1" selected="0">
            <x v="10"/>
          </reference>
          <reference field="4" count="1" selected="0">
            <x v="175"/>
          </reference>
          <reference field="5" count="1">
            <x v="1581"/>
          </reference>
        </references>
      </pivotArea>
    </format>
    <format dxfId="4448">
      <pivotArea dataOnly="0" labelOnly="1" fieldPosition="0">
        <references count="5">
          <reference field="1" count="1" selected="0">
            <x v="89"/>
          </reference>
          <reference field="2" count="1" selected="0">
            <x v="12"/>
          </reference>
          <reference field="3" count="1" selected="0">
            <x v="1"/>
          </reference>
          <reference field="4" count="1" selected="0">
            <x v="175"/>
          </reference>
          <reference field="5" count="4">
            <x v="80"/>
            <x v="213"/>
            <x v="500"/>
            <x v="702"/>
          </reference>
        </references>
      </pivotArea>
    </format>
    <format dxfId="4447">
      <pivotArea dataOnly="0" labelOnly="1" fieldPosition="0">
        <references count="5">
          <reference field="1" count="1" selected="0">
            <x v="89"/>
          </reference>
          <reference field="2" count="1" selected="0">
            <x v="12"/>
          </reference>
          <reference field="3" count="1" selected="0">
            <x v="20"/>
          </reference>
          <reference field="4" count="1" selected="0">
            <x v="174"/>
          </reference>
          <reference field="5" count="34">
            <x v="71"/>
            <x v="166"/>
            <x v="174"/>
            <x v="282"/>
            <x v="336"/>
            <x v="675"/>
            <x v="720"/>
            <x v="780"/>
            <x v="801"/>
            <x v="839"/>
            <x v="912"/>
            <x v="967"/>
            <x v="983"/>
            <x v="994"/>
            <x v="1147"/>
            <x v="1239"/>
            <x v="1269"/>
            <x v="1320"/>
            <x v="1378"/>
            <x v="1413"/>
            <x v="1480"/>
            <x v="1515"/>
            <x v="1523"/>
            <x v="1560"/>
            <x v="1566"/>
            <x v="1571"/>
            <x v="1578"/>
            <x v="1604"/>
            <x v="1606"/>
            <x v="1644"/>
            <x v="1648"/>
            <x v="1678"/>
            <x v="1711"/>
            <x v="1721"/>
          </reference>
        </references>
      </pivotArea>
    </format>
    <format dxfId="4446">
      <pivotArea dataOnly="0" labelOnly="1" fieldPosition="0">
        <references count="5">
          <reference field="1" count="1" selected="0">
            <x v="89"/>
          </reference>
          <reference field="2" count="1" selected="0">
            <x v="14"/>
          </reference>
          <reference field="3" count="1" selected="0">
            <x v="38"/>
          </reference>
          <reference field="4" count="1" selected="0">
            <x v="175"/>
          </reference>
          <reference field="5" count="1">
            <x v="397"/>
          </reference>
        </references>
      </pivotArea>
    </format>
    <format dxfId="4445">
      <pivotArea dataOnly="0" labelOnly="1" fieldPosition="0">
        <references count="5">
          <reference field="1" count="1" selected="0">
            <x v="89"/>
          </reference>
          <reference field="2" count="1" selected="0">
            <x v="15"/>
          </reference>
          <reference field="3" count="1" selected="0">
            <x v="20"/>
          </reference>
          <reference field="4" count="1" selected="0">
            <x v="174"/>
          </reference>
          <reference field="5" count="1">
            <x v="1877"/>
          </reference>
        </references>
      </pivotArea>
    </format>
    <format dxfId="4444">
      <pivotArea dataOnly="0" labelOnly="1" fieldPosition="0">
        <references count="5">
          <reference field="1" count="1" selected="0">
            <x v="89"/>
          </reference>
          <reference field="2" count="1" selected="0">
            <x v="17"/>
          </reference>
          <reference field="3" count="1" selected="0">
            <x v="20"/>
          </reference>
          <reference field="4" count="1" selected="0">
            <x v="174"/>
          </reference>
          <reference field="5" count="1">
            <x v="717"/>
          </reference>
        </references>
      </pivotArea>
    </format>
    <format dxfId="4443">
      <pivotArea dataOnly="0" labelOnly="1" fieldPosition="0">
        <references count="5">
          <reference field="1" count="1" selected="0">
            <x v="89"/>
          </reference>
          <reference field="2" count="1" selected="0">
            <x v="21"/>
          </reference>
          <reference field="3" count="1" selected="0">
            <x v="20"/>
          </reference>
          <reference field="4" count="1" selected="0">
            <x v="174"/>
          </reference>
          <reference field="5" count="1">
            <x v="1677"/>
          </reference>
        </references>
      </pivotArea>
    </format>
    <format dxfId="4442">
      <pivotArea dataOnly="0" labelOnly="1" fieldPosition="0">
        <references count="5">
          <reference field="1" count="1" selected="0">
            <x v="89"/>
          </reference>
          <reference field="2" count="1" selected="0">
            <x v="23"/>
          </reference>
          <reference field="3" count="1" selected="0">
            <x v="20"/>
          </reference>
          <reference field="4" count="1" selected="0">
            <x v="174"/>
          </reference>
          <reference field="5" count="1">
            <x v="1859"/>
          </reference>
        </references>
      </pivotArea>
    </format>
    <format dxfId="4441">
      <pivotArea dataOnly="0" labelOnly="1" fieldPosition="0">
        <references count="5">
          <reference field="1" count="1" selected="0">
            <x v="89"/>
          </reference>
          <reference field="2" count="1" selected="0">
            <x v="24"/>
          </reference>
          <reference field="3" count="1" selected="0">
            <x v="20"/>
          </reference>
          <reference field="4" count="1" selected="0">
            <x v="174"/>
          </reference>
          <reference field="5" count="1">
            <x v="1660"/>
          </reference>
        </references>
      </pivotArea>
    </format>
    <format dxfId="4440">
      <pivotArea dataOnly="0" labelOnly="1" fieldPosition="0">
        <references count="5">
          <reference field="1" count="1" selected="0">
            <x v="89"/>
          </reference>
          <reference field="2" count="1" selected="0">
            <x v="26"/>
          </reference>
          <reference field="3" count="1" selected="0">
            <x v="20"/>
          </reference>
          <reference field="4" count="1" selected="0">
            <x v="174"/>
          </reference>
          <reference field="5" count="1">
            <x v="160"/>
          </reference>
        </references>
      </pivotArea>
    </format>
    <format dxfId="4439">
      <pivotArea dataOnly="0" labelOnly="1" fieldPosition="0">
        <references count="5">
          <reference field="1" count="1" selected="0">
            <x v="89"/>
          </reference>
          <reference field="2" count="1" selected="0">
            <x v="27"/>
          </reference>
          <reference field="3" count="1" selected="0">
            <x v="20"/>
          </reference>
          <reference field="4" count="1" selected="0">
            <x v="174"/>
          </reference>
          <reference field="5" count="1">
            <x v="1342"/>
          </reference>
        </references>
      </pivotArea>
    </format>
    <format dxfId="4438">
      <pivotArea dataOnly="0" labelOnly="1" fieldPosition="0">
        <references count="5">
          <reference field="1" count="1" selected="0">
            <x v="89"/>
          </reference>
          <reference field="2" count="1" selected="0">
            <x v="29"/>
          </reference>
          <reference field="3" count="1" selected="0">
            <x v="10"/>
          </reference>
          <reference field="4" count="1" selected="0">
            <x v="175"/>
          </reference>
          <reference field="5" count="1">
            <x v="1575"/>
          </reference>
        </references>
      </pivotArea>
    </format>
    <format dxfId="4437">
      <pivotArea dataOnly="0" labelOnly="1" fieldPosition="0">
        <references count="5">
          <reference field="1" count="1" selected="0">
            <x v="89"/>
          </reference>
          <reference field="2" count="1" selected="0">
            <x v="35"/>
          </reference>
          <reference field="3" count="1" selected="0">
            <x v="1"/>
          </reference>
          <reference field="4" count="1" selected="0">
            <x v="175"/>
          </reference>
          <reference field="5" count="2">
            <x v="80"/>
            <x v="500"/>
          </reference>
        </references>
      </pivotArea>
    </format>
    <format dxfId="4436">
      <pivotArea dataOnly="0" labelOnly="1" fieldPosition="0">
        <references count="5">
          <reference field="1" count="1" selected="0">
            <x v="89"/>
          </reference>
          <reference field="2" count="1" selected="0">
            <x v="35"/>
          </reference>
          <reference field="3" count="1" selected="0">
            <x v="20"/>
          </reference>
          <reference field="4" count="1" selected="0">
            <x v="174"/>
          </reference>
          <reference field="5" count="13">
            <x v="105"/>
            <x v="226"/>
            <x v="311"/>
            <x v="373"/>
            <x v="401"/>
            <x v="455"/>
            <x v="519"/>
            <x v="686"/>
            <x v="706"/>
            <x v="823"/>
            <x v="1132"/>
            <x v="1211"/>
            <x v="1366"/>
          </reference>
        </references>
      </pivotArea>
    </format>
    <format dxfId="4435">
      <pivotArea dataOnly="0" labelOnly="1" fieldPosition="0">
        <references count="5">
          <reference field="1" count="1" selected="0">
            <x v="90"/>
          </reference>
          <reference field="2" count="1" selected="0">
            <x v="0"/>
          </reference>
          <reference field="3" count="1" selected="0">
            <x v="1"/>
          </reference>
          <reference field="4" count="1" selected="0">
            <x v="176"/>
          </reference>
          <reference field="5" count="1">
            <x v="80"/>
          </reference>
        </references>
      </pivotArea>
    </format>
    <format dxfId="4434">
      <pivotArea dataOnly="0" labelOnly="1" fieldPosition="0">
        <references count="5">
          <reference field="1" count="1" selected="0">
            <x v="90"/>
          </reference>
          <reference field="2" count="1" selected="0">
            <x v="0"/>
          </reference>
          <reference field="3" count="1" selected="0">
            <x v="12"/>
          </reference>
          <reference field="4" count="1" selected="0">
            <x v="2"/>
          </reference>
          <reference field="5" count="1">
            <x v="39"/>
          </reference>
        </references>
      </pivotArea>
    </format>
    <format dxfId="4433">
      <pivotArea dataOnly="0" labelOnly="1" fieldPosition="0">
        <references count="5">
          <reference field="1" count="1" selected="0">
            <x v="90"/>
          </reference>
          <reference field="2" count="1" selected="0">
            <x v="0"/>
          </reference>
          <reference field="3" count="1" selected="0">
            <x v="12"/>
          </reference>
          <reference field="4" count="1" selected="0">
            <x v="21"/>
          </reference>
          <reference field="5" count="1">
            <x v="9"/>
          </reference>
        </references>
      </pivotArea>
    </format>
    <format dxfId="4432">
      <pivotArea dataOnly="0" labelOnly="1" fieldPosition="0">
        <references count="5">
          <reference field="1" count="1" selected="0">
            <x v="90"/>
          </reference>
          <reference field="2" count="1" selected="0">
            <x v="0"/>
          </reference>
          <reference field="3" count="1" selected="0">
            <x v="12"/>
          </reference>
          <reference field="4" count="1" selected="0">
            <x v="40"/>
          </reference>
          <reference field="5" count="1">
            <x v="219"/>
          </reference>
        </references>
      </pivotArea>
    </format>
    <format dxfId="4431">
      <pivotArea dataOnly="0" labelOnly="1" fieldPosition="0">
        <references count="5">
          <reference field="1" count="1" selected="0">
            <x v="90"/>
          </reference>
          <reference field="2" count="1" selected="0">
            <x v="0"/>
          </reference>
          <reference field="3" count="1" selected="0">
            <x v="12"/>
          </reference>
          <reference field="4" count="1" selected="0">
            <x v="55"/>
          </reference>
          <reference field="5" count="1">
            <x v="92"/>
          </reference>
        </references>
      </pivotArea>
    </format>
    <format dxfId="4430">
      <pivotArea dataOnly="0" labelOnly="1" fieldPosition="0">
        <references count="5">
          <reference field="1" count="1" selected="0">
            <x v="90"/>
          </reference>
          <reference field="2" count="1" selected="0">
            <x v="0"/>
          </reference>
          <reference field="3" count="1" selected="0">
            <x v="38"/>
          </reference>
          <reference field="4" count="1" selected="0">
            <x v="176"/>
          </reference>
          <reference field="5" count="1">
            <x v="650"/>
          </reference>
        </references>
      </pivotArea>
    </format>
    <format dxfId="4429">
      <pivotArea dataOnly="0" labelOnly="1" fieldPosition="0">
        <references count="5">
          <reference field="1" count="1" selected="0">
            <x v="90"/>
          </reference>
          <reference field="2" count="1" selected="0">
            <x v="2"/>
          </reference>
          <reference field="3" count="1" selected="0">
            <x v="10"/>
          </reference>
          <reference field="4" count="1" selected="0">
            <x v="176"/>
          </reference>
          <reference field="5" count="1">
            <x v="1694"/>
          </reference>
        </references>
      </pivotArea>
    </format>
    <format dxfId="4428">
      <pivotArea dataOnly="0" labelOnly="1" fieldPosition="0">
        <references count="5">
          <reference field="1" count="1" selected="0">
            <x v="90"/>
          </reference>
          <reference field="2" count="1" selected="0">
            <x v="3"/>
          </reference>
          <reference field="3" count="1" selected="0">
            <x v="10"/>
          </reference>
          <reference field="4" count="1" selected="0">
            <x v="176"/>
          </reference>
          <reference field="5" count="1">
            <x v="1254"/>
          </reference>
        </references>
      </pivotArea>
    </format>
    <format dxfId="4427">
      <pivotArea dataOnly="0" labelOnly="1" fieldPosition="0">
        <references count="5">
          <reference field="1" count="1" selected="0">
            <x v="90"/>
          </reference>
          <reference field="2" count="1" selected="0">
            <x v="11"/>
          </reference>
          <reference field="3" count="1" selected="0">
            <x v="10"/>
          </reference>
          <reference field="4" count="1" selected="0">
            <x v="176"/>
          </reference>
          <reference field="5" count="1">
            <x v="741"/>
          </reference>
        </references>
      </pivotArea>
    </format>
    <format dxfId="4426">
      <pivotArea dataOnly="0" labelOnly="1" fieldPosition="0">
        <references count="5">
          <reference field="1" count="1" selected="0">
            <x v="90"/>
          </reference>
          <reference field="2" count="1" selected="0">
            <x v="12"/>
          </reference>
          <reference field="3" count="1" selected="0">
            <x v="1"/>
          </reference>
          <reference field="4" count="1" selected="0">
            <x v="176"/>
          </reference>
          <reference field="5" count="2">
            <x v="213"/>
            <x v="352"/>
          </reference>
        </references>
      </pivotArea>
    </format>
    <format dxfId="4425">
      <pivotArea dataOnly="0" labelOnly="1" fieldPosition="0">
        <references count="5">
          <reference field="1" count="1" selected="0">
            <x v="90"/>
          </reference>
          <reference field="2" count="1" selected="0">
            <x v="15"/>
          </reference>
          <reference field="3" count="1" selected="0">
            <x v="38"/>
          </reference>
          <reference field="4" count="1" selected="0">
            <x v="176"/>
          </reference>
          <reference field="5" count="1">
            <x v="1028"/>
          </reference>
        </references>
      </pivotArea>
    </format>
    <format dxfId="4424">
      <pivotArea dataOnly="0" labelOnly="1" fieldPosition="0">
        <references count="5">
          <reference field="1" count="1" selected="0">
            <x v="90"/>
          </reference>
          <reference field="2" count="1" selected="0">
            <x v="23"/>
          </reference>
          <reference field="3" count="1" selected="0">
            <x v="38"/>
          </reference>
          <reference field="4" count="1" selected="0">
            <x v="176"/>
          </reference>
          <reference field="5" count="1">
            <x v="452"/>
          </reference>
        </references>
      </pivotArea>
    </format>
    <format dxfId="4423">
      <pivotArea dataOnly="0" labelOnly="1" fieldPosition="0">
        <references count="5">
          <reference field="1" count="1" selected="0">
            <x v="90"/>
          </reference>
          <reference field="2" count="1" selected="0">
            <x v="35"/>
          </reference>
          <reference field="3" count="1" selected="0">
            <x v="1"/>
          </reference>
          <reference field="4" count="1" selected="0">
            <x v="176"/>
          </reference>
          <reference field="5" count="1">
            <x v="80"/>
          </reference>
        </references>
      </pivotArea>
    </format>
    <format dxfId="4422">
      <pivotArea dataOnly="0" labelOnly="1" fieldPosition="0">
        <references count="5">
          <reference field="1" count="1" selected="0">
            <x v="90"/>
          </reference>
          <reference field="2" count="1" selected="0">
            <x v="36"/>
          </reference>
          <reference field="3" count="1" selected="0">
            <x v="10"/>
          </reference>
          <reference field="4" count="1" selected="0">
            <x v="176"/>
          </reference>
          <reference field="5" count="1">
            <x v="1539"/>
          </reference>
        </references>
      </pivotArea>
    </format>
    <format dxfId="4421">
      <pivotArea dataOnly="0" labelOnly="1" fieldPosition="0">
        <references count="5">
          <reference field="1" count="1" selected="0">
            <x v="90"/>
          </reference>
          <reference field="2" count="1" selected="0">
            <x v="38"/>
          </reference>
          <reference field="3" count="1" selected="0">
            <x v="10"/>
          </reference>
          <reference field="4" count="1" selected="0">
            <x v="176"/>
          </reference>
          <reference field="5" count="1">
            <x v="1175"/>
          </reference>
        </references>
      </pivotArea>
    </format>
    <format dxfId="4420">
      <pivotArea dataOnly="0" labelOnly="1" fieldPosition="0">
        <references count="5">
          <reference field="1" count="1" selected="0">
            <x v="91"/>
          </reference>
          <reference field="2" count="1" selected="0">
            <x v="0"/>
          </reference>
          <reference field="3" count="1" selected="0">
            <x v="12"/>
          </reference>
          <reference field="4" count="1" selected="0">
            <x v="28"/>
          </reference>
          <reference field="5" count="1">
            <x v="35"/>
          </reference>
        </references>
      </pivotArea>
    </format>
    <format dxfId="4419">
      <pivotArea dataOnly="0" labelOnly="1" fieldPosition="0">
        <references count="5">
          <reference field="1" count="1" selected="0">
            <x v="91"/>
          </reference>
          <reference field="2" count="1" selected="0">
            <x v="0"/>
          </reference>
          <reference field="3" count="1" selected="0">
            <x v="12"/>
          </reference>
          <reference field="4" count="1" selected="0">
            <x v="32"/>
          </reference>
          <reference field="5" count="1">
            <x v="391"/>
          </reference>
        </references>
      </pivotArea>
    </format>
    <format dxfId="4418">
      <pivotArea dataOnly="0" labelOnly="1" fieldPosition="0">
        <references count="5">
          <reference field="1" count="1" selected="0">
            <x v="91"/>
          </reference>
          <reference field="2" count="1" selected="0">
            <x v="0"/>
          </reference>
          <reference field="3" count="1" selected="0">
            <x v="12"/>
          </reference>
          <reference field="4" count="1" selected="0">
            <x v="54"/>
          </reference>
          <reference field="5" count="1">
            <x v="55"/>
          </reference>
        </references>
      </pivotArea>
    </format>
    <format dxfId="4417">
      <pivotArea dataOnly="0" labelOnly="1" fieldPosition="0">
        <references count="5">
          <reference field="1" count="1" selected="0">
            <x v="92"/>
          </reference>
          <reference field="2" count="1" selected="0">
            <x v="0"/>
          </reference>
          <reference field="3" count="1" selected="0">
            <x v="8"/>
          </reference>
          <reference field="4" count="1" selected="0">
            <x v="178"/>
          </reference>
          <reference field="5" count="1">
            <x v="514"/>
          </reference>
        </references>
      </pivotArea>
    </format>
    <format dxfId="4416">
      <pivotArea dataOnly="0" labelOnly="1" fieldPosition="0">
        <references count="5">
          <reference field="1" count="1" selected="0">
            <x v="92"/>
          </reference>
          <reference field="2" count="1" selected="0">
            <x v="0"/>
          </reference>
          <reference field="3" count="1" selected="0">
            <x v="9"/>
          </reference>
          <reference field="4" count="1" selected="0">
            <x v="178"/>
          </reference>
          <reference field="5" count="7">
            <x v="74"/>
            <x v="346"/>
            <x v="355"/>
            <x v="809"/>
            <x v="917"/>
            <x v="940"/>
            <x v="1128"/>
          </reference>
        </references>
      </pivotArea>
    </format>
    <format dxfId="4415">
      <pivotArea dataOnly="0" labelOnly="1" fieldPosition="0">
        <references count="5">
          <reference field="1" count="1" selected="0">
            <x v="92"/>
          </reference>
          <reference field="2" count="1" selected="0">
            <x v="0"/>
          </reference>
          <reference field="3" count="1" selected="0">
            <x v="38"/>
          </reference>
          <reference field="4" count="1" selected="0">
            <x v="178"/>
          </reference>
          <reference field="5" count="2">
            <x v="138"/>
            <x v="500"/>
          </reference>
        </references>
      </pivotArea>
    </format>
    <format dxfId="4414">
      <pivotArea dataOnly="0" labelOnly="1" fieldPosition="0">
        <references count="5">
          <reference field="1" count="1" selected="0">
            <x v="92"/>
          </reference>
          <reference field="2" count="1" selected="0">
            <x v="3"/>
          </reference>
          <reference field="3" count="1" selected="0">
            <x v="38"/>
          </reference>
          <reference field="4" count="1" selected="0">
            <x v="178"/>
          </reference>
          <reference field="5" count="1">
            <x v="78"/>
          </reference>
        </references>
      </pivotArea>
    </format>
    <format dxfId="4413">
      <pivotArea dataOnly="0" labelOnly="1" fieldPosition="0">
        <references count="5">
          <reference field="1" count="1" selected="0">
            <x v="92"/>
          </reference>
          <reference field="2" count="1" selected="0">
            <x v="8"/>
          </reference>
          <reference field="3" count="1" selected="0">
            <x v="10"/>
          </reference>
          <reference field="4" count="1" selected="0">
            <x v="178"/>
          </reference>
          <reference field="5" count="1">
            <x v="729"/>
          </reference>
        </references>
      </pivotArea>
    </format>
    <format dxfId="4412">
      <pivotArea dataOnly="0" labelOnly="1" fieldPosition="0">
        <references count="5">
          <reference field="1" count="1" selected="0">
            <x v="92"/>
          </reference>
          <reference field="2" count="1" selected="0">
            <x v="12"/>
          </reference>
          <reference field="3" count="1" selected="0">
            <x v="1"/>
          </reference>
          <reference field="4" count="1" selected="0">
            <x v="178"/>
          </reference>
          <reference field="5" count="2">
            <x v="80"/>
            <x v="352"/>
          </reference>
        </references>
      </pivotArea>
    </format>
    <format dxfId="4411">
      <pivotArea dataOnly="0" labelOnly="1" fieldPosition="0">
        <references count="5">
          <reference field="1" count="1" selected="0">
            <x v="92"/>
          </reference>
          <reference field="2" count="1" selected="0">
            <x v="15"/>
          </reference>
          <reference field="3" count="1" selected="0">
            <x v="27"/>
          </reference>
          <reference field="4" count="1" selected="0">
            <x v="177"/>
          </reference>
          <reference field="5" count="1">
            <x v="1737"/>
          </reference>
        </references>
      </pivotArea>
    </format>
    <format dxfId="4410">
      <pivotArea dataOnly="0" labelOnly="1" fieldPosition="0">
        <references count="5">
          <reference field="1" count="1" selected="0">
            <x v="92"/>
          </reference>
          <reference field="2" count="1" selected="0">
            <x v="23"/>
          </reference>
          <reference field="3" count="1" selected="0">
            <x v="38"/>
          </reference>
          <reference field="4" count="1" selected="0">
            <x v="178"/>
          </reference>
          <reference field="5" count="2">
            <x v="80"/>
            <x v="352"/>
          </reference>
        </references>
      </pivotArea>
    </format>
    <format dxfId="4409">
      <pivotArea dataOnly="0" labelOnly="1" fieldPosition="0">
        <references count="5">
          <reference field="1" count="1" selected="0">
            <x v="92"/>
          </reference>
          <reference field="2" count="1" selected="0">
            <x v="36"/>
          </reference>
          <reference field="3" count="1" selected="0">
            <x v="8"/>
          </reference>
          <reference field="4" count="1" selected="0">
            <x v="178"/>
          </reference>
          <reference field="5" count="1">
            <x v="977"/>
          </reference>
        </references>
      </pivotArea>
    </format>
    <format dxfId="4408">
      <pivotArea dataOnly="0" labelOnly="1" fieldPosition="0">
        <references count="5">
          <reference field="1" count="1" selected="0">
            <x v="93"/>
          </reference>
          <reference field="2" count="1" selected="0">
            <x v="10"/>
          </reference>
          <reference field="3" count="1" selected="0">
            <x v="33"/>
          </reference>
          <reference field="4" count="1" selected="0">
            <x v="179"/>
          </reference>
          <reference field="5" count="1">
            <x v="1793"/>
          </reference>
        </references>
      </pivotArea>
    </format>
    <format dxfId="4407">
      <pivotArea dataOnly="0" labelOnly="1" fieldPosition="0">
        <references count="5">
          <reference field="1" count="1" selected="0">
            <x v="93"/>
          </reference>
          <reference field="2" count="1" selected="0">
            <x v="12"/>
          </reference>
          <reference field="3" count="1" selected="0">
            <x v="38"/>
          </reference>
          <reference field="4" count="1" selected="0">
            <x v="179"/>
          </reference>
          <reference field="5" count="3">
            <x v="1137"/>
            <x v="1343"/>
            <x v="1730"/>
          </reference>
        </references>
      </pivotArea>
    </format>
    <format dxfId="4406">
      <pivotArea dataOnly="0" labelOnly="1" fieldPosition="0">
        <references count="5">
          <reference field="1" count="1" selected="0">
            <x v="93"/>
          </reference>
          <reference field="2" count="1" selected="0">
            <x v="15"/>
          </reference>
          <reference field="3" count="1" selected="0">
            <x v="33"/>
          </reference>
          <reference field="4" count="1" selected="0">
            <x v="179"/>
          </reference>
          <reference field="5" count="1">
            <x v="1873"/>
          </reference>
        </references>
      </pivotArea>
    </format>
    <format dxfId="4405">
      <pivotArea dataOnly="0" labelOnly="1" fieldPosition="0">
        <references count="5">
          <reference field="1" count="1" selected="0">
            <x v="93"/>
          </reference>
          <reference field="2" count="1" selected="0">
            <x v="15"/>
          </reference>
          <reference field="3" count="1" selected="0">
            <x v="35"/>
          </reference>
          <reference field="4" count="1" selected="0">
            <x v="76"/>
          </reference>
          <reference field="5" count="1">
            <x v="0"/>
          </reference>
        </references>
      </pivotArea>
    </format>
    <format dxfId="4404">
      <pivotArea dataOnly="0" labelOnly="1" fieldPosition="0">
        <references count="5">
          <reference field="1" count="1" selected="0">
            <x v="93"/>
          </reference>
          <reference field="2" count="1" selected="0">
            <x v="36"/>
          </reference>
          <reference field="3" count="1" selected="0">
            <x v="9"/>
          </reference>
          <reference field="4" count="1" selected="0">
            <x v="179"/>
          </reference>
          <reference field="5" count="1">
            <x v="1754"/>
          </reference>
        </references>
      </pivotArea>
    </format>
    <format dxfId="4403">
      <pivotArea dataOnly="0" labelOnly="1" fieldPosition="0">
        <references count="5">
          <reference field="1" count="1" selected="0">
            <x v="94"/>
          </reference>
          <reference field="2" count="1" selected="0">
            <x v="0"/>
          </reference>
          <reference field="3" count="1" selected="0">
            <x v="1"/>
          </reference>
          <reference field="4" count="1" selected="0">
            <x v="180"/>
          </reference>
          <reference field="5" count="1">
            <x v="80"/>
          </reference>
        </references>
      </pivotArea>
    </format>
    <format dxfId="4402">
      <pivotArea dataOnly="0" labelOnly="1" fieldPosition="0">
        <references count="5">
          <reference field="1" count="1" selected="0">
            <x v="94"/>
          </reference>
          <reference field="2" count="1" selected="0">
            <x v="0"/>
          </reference>
          <reference field="3" count="1" selected="0">
            <x v="11"/>
          </reference>
          <reference field="4" count="1" selected="0">
            <x v="51"/>
          </reference>
          <reference field="5" count="1">
            <x v="39"/>
          </reference>
        </references>
      </pivotArea>
    </format>
    <format dxfId="4401">
      <pivotArea dataOnly="0" labelOnly="1" fieldPosition="0">
        <references count="5">
          <reference field="1" count="1" selected="0">
            <x v="94"/>
          </reference>
          <reference field="2" count="1" selected="0">
            <x v="0"/>
          </reference>
          <reference field="3" count="1" selected="0">
            <x v="12"/>
          </reference>
          <reference field="4" count="1" selected="0">
            <x v="23"/>
          </reference>
          <reference field="5" count="1">
            <x v="109"/>
          </reference>
        </references>
      </pivotArea>
    </format>
    <format dxfId="4400">
      <pivotArea dataOnly="0" labelOnly="1" fieldPosition="0">
        <references count="5">
          <reference field="1" count="1" selected="0">
            <x v="94"/>
          </reference>
          <reference field="2" count="1" selected="0">
            <x v="2"/>
          </reference>
          <reference field="3" count="1" selected="0">
            <x v="6"/>
          </reference>
          <reference field="4" count="1" selected="0">
            <x v="180"/>
          </reference>
          <reference field="5" count="1">
            <x v="680"/>
          </reference>
        </references>
      </pivotArea>
    </format>
    <format dxfId="4399">
      <pivotArea dataOnly="0" labelOnly="1" fieldPosition="0">
        <references count="5">
          <reference field="1" count="1" selected="0">
            <x v="94"/>
          </reference>
          <reference field="2" count="1" selected="0">
            <x v="3"/>
          </reference>
          <reference field="3" count="1" selected="0">
            <x v="38"/>
          </reference>
          <reference field="4" count="1" selected="0">
            <x v="180"/>
          </reference>
          <reference field="5" count="1">
            <x v="78"/>
          </reference>
        </references>
      </pivotArea>
    </format>
    <format dxfId="4398">
      <pivotArea dataOnly="0" labelOnly="1" fieldPosition="0">
        <references count="5">
          <reference field="1" count="1" selected="0">
            <x v="94"/>
          </reference>
          <reference field="2" count="1" selected="0">
            <x v="12"/>
          </reference>
          <reference field="3" count="1" selected="0">
            <x v="1"/>
          </reference>
          <reference field="4" count="1" selected="0">
            <x v="180"/>
          </reference>
          <reference field="5" count="4">
            <x v="80"/>
            <x v="213"/>
            <x v="352"/>
            <x v="1028"/>
          </reference>
        </references>
      </pivotArea>
    </format>
    <format dxfId="4397">
      <pivotArea dataOnly="0" labelOnly="1" fieldPosition="0">
        <references count="5">
          <reference field="1" count="1" selected="0">
            <x v="94"/>
          </reference>
          <reference field="2" count="1" selected="0">
            <x v="15"/>
          </reference>
          <reference field="3" count="1" selected="0">
            <x v="33"/>
          </reference>
          <reference field="4" count="1" selected="0">
            <x v="180"/>
          </reference>
          <reference field="5" count="1">
            <x v="1881"/>
          </reference>
        </references>
      </pivotArea>
    </format>
    <format dxfId="4396">
      <pivotArea dataOnly="0" labelOnly="1" fieldPosition="0">
        <references count="5">
          <reference field="1" count="1" selected="0">
            <x v="94"/>
          </reference>
          <reference field="2" count="1" selected="0">
            <x v="15"/>
          </reference>
          <reference field="3" count="1" selected="0">
            <x v="38"/>
          </reference>
          <reference field="4" count="1" selected="0">
            <x v="180"/>
          </reference>
          <reference field="5" count="1">
            <x v="474"/>
          </reference>
        </references>
      </pivotArea>
    </format>
    <format dxfId="4395">
      <pivotArea dataOnly="0" labelOnly="1" fieldPosition="0">
        <references count="5">
          <reference field="1" count="1" selected="0">
            <x v="94"/>
          </reference>
          <reference field="2" count="1" selected="0">
            <x v="19"/>
          </reference>
          <reference field="3" count="1" selected="0">
            <x v="6"/>
          </reference>
          <reference field="4" count="1" selected="0">
            <x v="180"/>
          </reference>
          <reference field="5" count="1">
            <x v="469"/>
          </reference>
        </references>
      </pivotArea>
    </format>
    <format dxfId="4394">
      <pivotArea dataOnly="0" labelOnly="1" fieldPosition="0">
        <references count="5">
          <reference field="1" count="1" selected="0">
            <x v="94"/>
          </reference>
          <reference field="2" count="1" selected="0">
            <x v="23"/>
          </reference>
          <reference field="3" count="1" selected="0">
            <x v="38"/>
          </reference>
          <reference field="4" count="1" selected="0">
            <x v="180"/>
          </reference>
          <reference field="5" count="1">
            <x v="109"/>
          </reference>
        </references>
      </pivotArea>
    </format>
    <format dxfId="4393">
      <pivotArea dataOnly="0" labelOnly="1" fieldPosition="0">
        <references count="5">
          <reference field="1" count="1" selected="0">
            <x v="94"/>
          </reference>
          <reference field="2" count="1" selected="0">
            <x v="24"/>
          </reference>
          <reference field="3" count="1" selected="0">
            <x v="6"/>
          </reference>
          <reference field="4" count="1" selected="0">
            <x v="180"/>
          </reference>
          <reference field="5" count="1">
            <x v="1048"/>
          </reference>
        </references>
      </pivotArea>
    </format>
    <format dxfId="4392">
      <pivotArea dataOnly="0" labelOnly="1" fieldPosition="0">
        <references count="5">
          <reference field="1" count="1" selected="0">
            <x v="94"/>
          </reference>
          <reference field="2" count="1" selected="0">
            <x v="29"/>
          </reference>
          <reference field="3" count="1" selected="0">
            <x v="38"/>
          </reference>
          <reference field="4" count="1" selected="0">
            <x v="180"/>
          </reference>
          <reference field="5" count="1">
            <x v="180"/>
          </reference>
        </references>
      </pivotArea>
    </format>
    <format dxfId="4391">
      <pivotArea dataOnly="0" labelOnly="1" fieldPosition="0">
        <references count="5">
          <reference field="1" count="1" selected="0">
            <x v="94"/>
          </reference>
          <reference field="2" count="1" selected="0">
            <x v="33"/>
          </reference>
          <reference field="3" count="1" selected="0">
            <x v="38"/>
          </reference>
          <reference field="4" count="1" selected="0">
            <x v="180"/>
          </reference>
          <reference field="5" count="1">
            <x v="325"/>
          </reference>
        </references>
      </pivotArea>
    </format>
    <format dxfId="4390">
      <pivotArea dataOnly="0" labelOnly="1" fieldPosition="0">
        <references count="5">
          <reference field="1" count="1" selected="0">
            <x v="94"/>
          </reference>
          <reference field="2" count="1" selected="0">
            <x v="35"/>
          </reference>
          <reference field="3" count="1" selected="0">
            <x v="1"/>
          </reference>
          <reference field="4" count="1" selected="0">
            <x v="180"/>
          </reference>
          <reference field="5" count="2">
            <x v="80"/>
            <x v="213"/>
          </reference>
        </references>
      </pivotArea>
    </format>
    <format dxfId="4389">
      <pivotArea dataOnly="0" labelOnly="1" fieldPosition="0">
        <references count="5">
          <reference field="1" count="1" selected="0">
            <x v="95"/>
          </reference>
          <reference field="2" count="1" selected="0">
            <x v="0"/>
          </reference>
          <reference field="3" count="1" selected="0">
            <x v="8"/>
          </reference>
          <reference field="4" count="1" selected="0">
            <x v="181"/>
          </reference>
          <reference field="5" count="4">
            <x v="351"/>
            <x v="1069"/>
            <x v="1166"/>
            <x v="1305"/>
          </reference>
        </references>
      </pivotArea>
    </format>
    <format dxfId="4388">
      <pivotArea dataOnly="0" labelOnly="1" fieldPosition="0">
        <references count="5">
          <reference field="1" count="1" selected="0">
            <x v="95"/>
          </reference>
          <reference field="2" count="1" selected="0">
            <x v="0"/>
          </reference>
          <reference field="3" count="1" selected="0">
            <x v="9"/>
          </reference>
          <reference field="4" count="1" selected="0">
            <x v="181"/>
          </reference>
          <reference field="5" count="10">
            <x v="312"/>
            <x v="344"/>
            <x v="435"/>
            <x v="521"/>
            <x v="844"/>
            <x v="870"/>
            <x v="953"/>
            <x v="974"/>
            <x v="1003"/>
            <x v="1200"/>
          </reference>
        </references>
      </pivotArea>
    </format>
    <format dxfId="4387">
      <pivotArea dataOnly="0" labelOnly="1" fieldPosition="0">
        <references count="5">
          <reference field="1" count="1" selected="0">
            <x v="95"/>
          </reference>
          <reference field="2" count="1" selected="0">
            <x v="0"/>
          </reference>
          <reference field="3" count="1" selected="0">
            <x v="12"/>
          </reference>
          <reference field="4" count="1" selected="0">
            <x v="2"/>
          </reference>
          <reference field="5" count="1">
            <x v="9"/>
          </reference>
        </references>
      </pivotArea>
    </format>
    <format dxfId="4386">
      <pivotArea dataOnly="0" labelOnly="1" fieldPosition="0">
        <references count="5">
          <reference field="1" count="1" selected="0">
            <x v="95"/>
          </reference>
          <reference field="2" count="1" selected="0">
            <x v="0"/>
          </reference>
          <reference field="3" count="1" selected="0">
            <x v="12"/>
          </reference>
          <reference field="4" count="1" selected="0">
            <x v="42"/>
          </reference>
          <reference field="5" count="1">
            <x v="23"/>
          </reference>
        </references>
      </pivotArea>
    </format>
    <format dxfId="4385">
      <pivotArea dataOnly="0" labelOnly="1" fieldPosition="0">
        <references count="5">
          <reference field="1" count="1" selected="0">
            <x v="95"/>
          </reference>
          <reference field="2" count="1" selected="0">
            <x v="0"/>
          </reference>
          <reference field="3" count="1" selected="0">
            <x v="37"/>
          </reference>
          <reference field="4" count="1" selected="0">
            <x v="181"/>
          </reference>
          <reference field="5" count="1">
            <x v="1424"/>
          </reference>
        </references>
      </pivotArea>
    </format>
    <format dxfId="4384">
      <pivotArea dataOnly="0" labelOnly="1" fieldPosition="0">
        <references count="5">
          <reference field="1" count="1" selected="0">
            <x v="95"/>
          </reference>
          <reference field="2" count="1" selected="0">
            <x v="0"/>
          </reference>
          <reference field="3" count="1" selected="0">
            <x v="38"/>
          </reference>
          <reference field="4" count="1" selected="0">
            <x v="181"/>
          </reference>
          <reference field="5" count="1">
            <x v="89"/>
          </reference>
        </references>
      </pivotArea>
    </format>
    <format dxfId="4383">
      <pivotArea dataOnly="0" labelOnly="1" fieldPosition="0">
        <references count="5">
          <reference field="1" count="1" selected="0">
            <x v="95"/>
          </reference>
          <reference field="2" count="1" selected="0">
            <x v="3"/>
          </reference>
          <reference field="3" count="1" selected="0">
            <x v="37"/>
          </reference>
          <reference field="4" count="1" selected="0">
            <x v="181"/>
          </reference>
          <reference field="5" count="1">
            <x v="897"/>
          </reference>
        </references>
      </pivotArea>
    </format>
    <format dxfId="4382">
      <pivotArea dataOnly="0" labelOnly="1" fieldPosition="0">
        <references count="5">
          <reference field="1" count="1" selected="0">
            <x v="95"/>
          </reference>
          <reference field="2" count="1" selected="0">
            <x v="5"/>
          </reference>
          <reference field="3" count="1" selected="0">
            <x v="1"/>
          </reference>
          <reference field="4" count="1" selected="0">
            <x v="181"/>
          </reference>
          <reference field="5" count="1">
            <x v="835"/>
          </reference>
        </references>
      </pivotArea>
    </format>
    <format dxfId="4381">
      <pivotArea dataOnly="0" labelOnly="1" fieldPosition="0">
        <references count="5">
          <reference field="1" count="1" selected="0">
            <x v="95"/>
          </reference>
          <reference field="2" count="1" selected="0">
            <x v="5"/>
          </reference>
          <reference field="3" count="1" selected="0">
            <x v="37"/>
          </reference>
          <reference field="4" count="1" selected="0">
            <x v="181"/>
          </reference>
          <reference field="5" count="1">
            <x v="897"/>
          </reference>
        </references>
      </pivotArea>
    </format>
    <format dxfId="4380">
      <pivotArea dataOnly="0" labelOnly="1" fieldPosition="0">
        <references count="5">
          <reference field="1" count="1" selected="0">
            <x v="95"/>
          </reference>
          <reference field="2" count="1" selected="0">
            <x v="5"/>
          </reference>
          <reference field="3" count="1" selected="0">
            <x v="38"/>
          </reference>
          <reference field="4" count="1" selected="0">
            <x v="181"/>
          </reference>
          <reference field="5" count="1">
            <x v="1827"/>
          </reference>
        </references>
      </pivotArea>
    </format>
    <format dxfId="4379">
      <pivotArea dataOnly="0" labelOnly="1" fieldPosition="0">
        <references count="5">
          <reference field="1" count="1" selected="0">
            <x v="95"/>
          </reference>
          <reference field="2" count="1" selected="0">
            <x v="6"/>
          </reference>
          <reference field="3" count="1" selected="0">
            <x v="38"/>
          </reference>
          <reference field="4" count="1" selected="0">
            <x v="181"/>
          </reference>
          <reference field="5" count="1">
            <x v="1561"/>
          </reference>
        </references>
      </pivotArea>
    </format>
    <format dxfId="4378">
      <pivotArea dataOnly="0" labelOnly="1" fieldPosition="0">
        <references count="5">
          <reference field="1" count="1" selected="0">
            <x v="95"/>
          </reference>
          <reference field="2" count="1" selected="0">
            <x v="8"/>
          </reference>
          <reference field="3" count="1" selected="0">
            <x v="38"/>
          </reference>
          <reference field="4" count="1" selected="0">
            <x v="181"/>
          </reference>
          <reference field="5" count="1">
            <x v="584"/>
          </reference>
        </references>
      </pivotArea>
    </format>
    <format dxfId="4377">
      <pivotArea dataOnly="0" labelOnly="1" fieldPosition="0">
        <references count="5">
          <reference field="1" count="1" selected="0">
            <x v="95"/>
          </reference>
          <reference field="2" count="1" selected="0">
            <x v="9"/>
          </reference>
          <reference field="3" count="1" selected="0">
            <x v="10"/>
          </reference>
          <reference field="4" count="1" selected="0">
            <x v="181"/>
          </reference>
          <reference field="5" count="1">
            <x v="556"/>
          </reference>
        </references>
      </pivotArea>
    </format>
    <format dxfId="4376">
      <pivotArea dataOnly="0" labelOnly="1" fieldPosition="0">
        <references count="5">
          <reference field="1" count="1" selected="0">
            <x v="95"/>
          </reference>
          <reference field="2" count="1" selected="0">
            <x v="12"/>
          </reference>
          <reference field="3" count="1" selected="0">
            <x v="1"/>
          </reference>
          <reference field="4" count="1" selected="0">
            <x v="181"/>
          </reference>
          <reference field="5" count="3">
            <x v="80"/>
            <x v="213"/>
            <x v="500"/>
          </reference>
        </references>
      </pivotArea>
    </format>
    <format dxfId="4375">
      <pivotArea dataOnly="0" labelOnly="1" fieldPosition="0">
        <references count="5">
          <reference field="1" count="1" selected="0">
            <x v="95"/>
          </reference>
          <reference field="2" count="1" selected="0">
            <x v="14"/>
          </reference>
          <reference field="3" count="1" selected="0">
            <x v="10"/>
          </reference>
          <reference field="4" count="1" selected="0">
            <x v="181"/>
          </reference>
          <reference field="5" count="1">
            <x v="1856"/>
          </reference>
        </references>
      </pivotArea>
    </format>
    <format dxfId="4374">
      <pivotArea dataOnly="0" labelOnly="1" fieldPosition="0">
        <references count="5">
          <reference field="1" count="1" selected="0">
            <x v="95"/>
          </reference>
          <reference field="2" count="1" selected="0">
            <x v="14"/>
          </reference>
          <reference field="3" count="1" selected="0">
            <x v="38"/>
          </reference>
          <reference field="4" count="1" selected="0">
            <x v="181"/>
          </reference>
          <reference field="5" count="1">
            <x v="1631"/>
          </reference>
        </references>
      </pivotArea>
    </format>
    <format dxfId="4373">
      <pivotArea dataOnly="0" labelOnly="1" fieldPosition="0">
        <references count="5">
          <reference field="1" count="1" selected="0">
            <x v="95"/>
          </reference>
          <reference field="2" count="1" selected="0">
            <x v="15"/>
          </reference>
          <reference field="3" count="1" selected="0">
            <x v="1"/>
          </reference>
          <reference field="4" count="1" selected="0">
            <x v="181"/>
          </reference>
          <reference field="5" count="1">
            <x v="665"/>
          </reference>
        </references>
      </pivotArea>
    </format>
    <format dxfId="4372">
      <pivotArea dataOnly="0" labelOnly="1" fieldPosition="0">
        <references count="5">
          <reference field="1" count="1" selected="0">
            <x v="95"/>
          </reference>
          <reference field="2" count="1" selected="0">
            <x v="15"/>
          </reference>
          <reference field="3" count="1" selected="0">
            <x v="8"/>
          </reference>
          <reference field="4" count="1" selected="0">
            <x v="181"/>
          </reference>
          <reference field="5" count="1">
            <x v="965"/>
          </reference>
        </references>
      </pivotArea>
    </format>
    <format dxfId="4371">
      <pivotArea dataOnly="0" labelOnly="1" fieldPosition="0">
        <references count="5">
          <reference field="1" count="1" selected="0">
            <x v="95"/>
          </reference>
          <reference field="2" count="1" selected="0">
            <x v="15"/>
          </reference>
          <reference field="3" count="1" selected="0">
            <x v="38"/>
          </reference>
          <reference field="4" count="1" selected="0">
            <x v="181"/>
          </reference>
          <reference field="5" count="1">
            <x v="1415"/>
          </reference>
        </references>
      </pivotArea>
    </format>
    <format dxfId="4370">
      <pivotArea dataOnly="0" labelOnly="1" fieldPosition="0">
        <references count="5">
          <reference field="1" count="1" selected="0">
            <x v="95"/>
          </reference>
          <reference field="2" count="1" selected="0">
            <x v="19"/>
          </reference>
          <reference field="3" count="1" selected="0">
            <x v="38"/>
          </reference>
          <reference field="4" count="1" selected="0">
            <x v="181"/>
          </reference>
          <reference field="5" count="1">
            <x v="1608"/>
          </reference>
        </references>
      </pivotArea>
    </format>
    <format dxfId="4369">
      <pivotArea dataOnly="0" labelOnly="1" fieldPosition="0">
        <references count="5">
          <reference field="1" count="1" selected="0">
            <x v="95"/>
          </reference>
          <reference field="2" count="1" selected="0">
            <x v="21"/>
          </reference>
          <reference field="3" count="1" selected="0">
            <x v="38"/>
          </reference>
          <reference field="4" count="1" selected="0">
            <x v="181"/>
          </reference>
          <reference field="5" count="1">
            <x v="1274"/>
          </reference>
        </references>
      </pivotArea>
    </format>
    <format dxfId="4368">
      <pivotArea dataOnly="0" labelOnly="1" fieldPosition="0">
        <references count="5">
          <reference field="1" count="1" selected="0">
            <x v="95"/>
          </reference>
          <reference field="2" count="1" selected="0">
            <x v="23"/>
          </reference>
          <reference field="3" count="1" selected="0">
            <x v="38"/>
          </reference>
          <reference field="4" count="1" selected="0">
            <x v="181"/>
          </reference>
          <reference field="5" count="1">
            <x v="1857"/>
          </reference>
        </references>
      </pivotArea>
    </format>
    <format dxfId="4367">
      <pivotArea dataOnly="0" labelOnly="1" fieldPosition="0">
        <references count="5">
          <reference field="1" count="1" selected="0">
            <x v="95"/>
          </reference>
          <reference field="2" count="1" selected="0">
            <x v="29"/>
          </reference>
          <reference field="3" count="1" selected="0">
            <x v="38"/>
          </reference>
          <reference field="4" count="1" selected="0">
            <x v="181"/>
          </reference>
          <reference field="5" count="1">
            <x v="1321"/>
          </reference>
        </references>
      </pivotArea>
    </format>
    <format dxfId="4366">
      <pivotArea dataOnly="0" labelOnly="1" fieldPosition="0">
        <references count="5">
          <reference field="1" count="1" selected="0">
            <x v="95"/>
          </reference>
          <reference field="2" count="1" selected="0">
            <x v="33"/>
          </reference>
          <reference field="3" count="1" selected="0">
            <x v="8"/>
          </reference>
          <reference field="4" count="1" selected="0">
            <x v="181"/>
          </reference>
          <reference field="5" count="1">
            <x v="738"/>
          </reference>
        </references>
      </pivotArea>
    </format>
    <format dxfId="4365">
      <pivotArea dataOnly="0" labelOnly="1" fieldPosition="0">
        <references count="5">
          <reference field="1" count="1" selected="0">
            <x v="95"/>
          </reference>
          <reference field="2" count="1" selected="0">
            <x v="35"/>
          </reference>
          <reference field="3" count="1" selected="0">
            <x v="1"/>
          </reference>
          <reference field="4" count="1" selected="0">
            <x v="181"/>
          </reference>
          <reference field="5" count="1">
            <x v="80"/>
          </reference>
        </references>
      </pivotArea>
    </format>
    <format dxfId="4364">
      <pivotArea dataOnly="0" labelOnly="1" fieldPosition="0">
        <references count="5">
          <reference field="1" count="1" selected="0">
            <x v="96"/>
          </reference>
          <reference field="2" count="1" selected="0">
            <x v="0"/>
          </reference>
          <reference field="3" count="1" selected="0">
            <x v="12"/>
          </reference>
          <reference field="4" count="1" selected="0">
            <x v="62"/>
          </reference>
          <reference field="5" count="1">
            <x v="13"/>
          </reference>
        </references>
      </pivotArea>
    </format>
    <format dxfId="4363">
      <pivotArea dataOnly="0" labelOnly="1" fieldPosition="0">
        <references count="5">
          <reference field="1" count="1" selected="0">
            <x v="96"/>
          </reference>
          <reference field="2" count="1" selected="0">
            <x v="3"/>
          </reference>
          <reference field="3" count="1" selected="0">
            <x v="1"/>
          </reference>
          <reference field="4" count="1" selected="0">
            <x v="182"/>
          </reference>
          <reference field="5" count="1">
            <x v="109"/>
          </reference>
        </references>
      </pivotArea>
    </format>
    <format dxfId="4362">
      <pivotArea dataOnly="0" labelOnly="1" fieldPosition="0">
        <references count="5">
          <reference field="1" count="1" selected="0">
            <x v="96"/>
          </reference>
          <reference field="2" count="1" selected="0">
            <x v="3"/>
          </reference>
          <reference field="3" count="1" selected="0">
            <x v="6"/>
          </reference>
          <reference field="4" count="1" selected="0">
            <x v="182"/>
          </reference>
          <reference field="5" count="1">
            <x v="387"/>
          </reference>
        </references>
      </pivotArea>
    </format>
    <format dxfId="4361">
      <pivotArea dataOnly="0" labelOnly="1" fieldPosition="0">
        <references count="5">
          <reference field="1" count="1" selected="0">
            <x v="96"/>
          </reference>
          <reference field="2" count="1" selected="0">
            <x v="3"/>
          </reference>
          <reference field="3" count="1" selected="0">
            <x v="38"/>
          </reference>
          <reference field="4" count="1" selected="0">
            <x v="182"/>
          </reference>
          <reference field="5" count="1">
            <x v="33"/>
          </reference>
        </references>
      </pivotArea>
    </format>
    <format dxfId="4360">
      <pivotArea dataOnly="0" labelOnly="1" fieldPosition="0">
        <references count="5">
          <reference field="1" count="1" selected="0">
            <x v="96"/>
          </reference>
          <reference field="2" count="1" selected="0">
            <x v="12"/>
          </reference>
          <reference field="3" count="1" selected="0">
            <x v="1"/>
          </reference>
          <reference field="4" count="1" selected="0">
            <x v="182"/>
          </reference>
          <reference field="5" count="7">
            <x v="80"/>
            <x v="213"/>
            <x v="500"/>
            <x v="607"/>
            <x v="702"/>
            <x v="964"/>
            <x v="1069"/>
          </reference>
        </references>
      </pivotArea>
    </format>
    <format dxfId="4359">
      <pivotArea dataOnly="0" labelOnly="1" fieldPosition="0">
        <references count="5">
          <reference field="1" count="1" selected="0">
            <x v="96"/>
          </reference>
          <reference field="2" count="1" selected="0">
            <x v="23"/>
          </reference>
          <reference field="3" count="1" selected="0">
            <x v="38"/>
          </reference>
          <reference field="4" count="1" selected="0">
            <x v="182"/>
          </reference>
          <reference field="5" count="1">
            <x v="182"/>
          </reference>
        </references>
      </pivotArea>
    </format>
    <format dxfId="4358">
      <pivotArea dataOnly="0" labelOnly="1" fieldPosition="0">
        <references count="5">
          <reference field="1" count="1" selected="0">
            <x v="96"/>
          </reference>
          <reference field="2" count="1" selected="0">
            <x v="35"/>
          </reference>
          <reference field="3" count="1" selected="0">
            <x v="1"/>
          </reference>
          <reference field="4" count="1" selected="0">
            <x v="182"/>
          </reference>
          <reference field="5" count="1">
            <x v="213"/>
          </reference>
        </references>
      </pivotArea>
    </format>
    <format dxfId="4357">
      <pivotArea dataOnly="0" labelOnly="1" fieldPosition="0">
        <references count="5">
          <reference field="1" count="1" selected="0">
            <x v="97"/>
          </reference>
          <reference field="2" count="1" selected="0">
            <x v="0"/>
          </reference>
          <reference field="3" count="1" selected="0">
            <x v="9"/>
          </reference>
          <reference field="4" count="1" selected="0">
            <x v="183"/>
          </reference>
          <reference field="5" count="7">
            <x v="105"/>
            <x v="364"/>
            <x v="483"/>
            <x v="707"/>
            <x v="767"/>
            <x v="876"/>
            <x v="1041"/>
          </reference>
        </references>
      </pivotArea>
    </format>
    <format dxfId="4356">
      <pivotArea dataOnly="0" labelOnly="1" fieldPosition="0">
        <references count="5">
          <reference field="1" count="1" selected="0">
            <x v="97"/>
          </reference>
          <reference field="2" count="1" selected="0">
            <x v="0"/>
          </reference>
          <reference field="3" count="1" selected="0">
            <x v="12"/>
          </reference>
          <reference field="4" count="1" selected="0">
            <x v="26"/>
          </reference>
          <reference field="5" count="1">
            <x v="18"/>
          </reference>
        </references>
      </pivotArea>
    </format>
    <format dxfId="4355">
      <pivotArea dataOnly="0" labelOnly="1" fieldPosition="0">
        <references count="5">
          <reference field="1" count="1" selected="0">
            <x v="97"/>
          </reference>
          <reference field="2" count="1" selected="0">
            <x v="0"/>
          </reference>
          <reference field="3" count="1" selected="0">
            <x v="12"/>
          </reference>
          <reference field="4" count="1" selected="0">
            <x v="47"/>
          </reference>
          <reference field="5" count="1">
            <x v="314"/>
          </reference>
        </references>
      </pivotArea>
    </format>
    <format dxfId="4354">
      <pivotArea dataOnly="0" labelOnly="1" fieldPosition="0">
        <references count="5">
          <reference field="1" count="1" selected="0">
            <x v="97"/>
          </reference>
          <reference field="2" count="1" selected="0">
            <x v="0"/>
          </reference>
          <reference field="3" count="1" selected="0">
            <x v="12"/>
          </reference>
          <reference field="4" count="1" selected="0">
            <x v="49"/>
          </reference>
          <reference field="5" count="1">
            <x v="20"/>
          </reference>
        </references>
      </pivotArea>
    </format>
    <format dxfId="4353">
      <pivotArea dataOnly="0" labelOnly="1" fieldPosition="0">
        <references count="5">
          <reference field="1" count="1" selected="0">
            <x v="97"/>
          </reference>
          <reference field="2" count="1" selected="0">
            <x v="3"/>
          </reference>
          <reference field="3" count="1" selected="0">
            <x v="38"/>
          </reference>
          <reference field="4" count="1" selected="0">
            <x v="183"/>
          </reference>
          <reference field="5" count="1">
            <x v="36"/>
          </reference>
        </references>
      </pivotArea>
    </format>
    <format dxfId="4352">
      <pivotArea dataOnly="0" labelOnly="1" fieldPosition="0">
        <references count="5">
          <reference field="1" count="1" selected="0">
            <x v="97"/>
          </reference>
          <reference field="2" count="1" selected="0">
            <x v="6"/>
          </reference>
          <reference field="3" count="1" selected="0">
            <x v="38"/>
          </reference>
          <reference field="4" count="1" selected="0">
            <x v="183"/>
          </reference>
          <reference field="5" count="1">
            <x v="944"/>
          </reference>
        </references>
      </pivotArea>
    </format>
    <format dxfId="4351">
      <pivotArea dataOnly="0" labelOnly="1" fieldPosition="0">
        <references count="5">
          <reference field="1" count="1" selected="0">
            <x v="97"/>
          </reference>
          <reference field="2" count="1" selected="0">
            <x v="8"/>
          </reference>
          <reference field="3" count="1" selected="0">
            <x v="38"/>
          </reference>
          <reference field="4" count="1" selected="0">
            <x v="183"/>
          </reference>
          <reference field="5" count="1">
            <x v="1387"/>
          </reference>
        </references>
      </pivotArea>
    </format>
    <format dxfId="4350">
      <pivotArea dataOnly="0" labelOnly="1" fieldPosition="0">
        <references count="5">
          <reference field="1" count="1" selected="0">
            <x v="97"/>
          </reference>
          <reference field="2" count="1" selected="0">
            <x v="12"/>
          </reference>
          <reference field="3" count="1" selected="0">
            <x v="1"/>
          </reference>
          <reference field="4" count="1" selected="0">
            <x v="183"/>
          </reference>
          <reference field="5" count="8">
            <x v="80"/>
            <x v="213"/>
            <x v="352"/>
            <x v="500"/>
            <x v="607"/>
            <x v="771"/>
            <x v="846"/>
            <x v="1028"/>
          </reference>
        </references>
      </pivotArea>
    </format>
    <format dxfId="4349">
      <pivotArea dataOnly="0" labelOnly="1" fieldPosition="0">
        <references count="5">
          <reference field="1" count="1" selected="0">
            <x v="97"/>
          </reference>
          <reference field="2" count="1" selected="0">
            <x v="12"/>
          </reference>
          <reference field="3" count="1" selected="0">
            <x v="38"/>
          </reference>
          <reference field="4" count="1" selected="0">
            <x v="183"/>
          </reference>
          <reference field="5" count="1">
            <x v="1562"/>
          </reference>
        </references>
      </pivotArea>
    </format>
    <format dxfId="4348">
      <pivotArea dataOnly="0" labelOnly="1" fieldPosition="0">
        <references count="5">
          <reference field="1" count="1" selected="0">
            <x v="97"/>
          </reference>
          <reference field="2" count="1" selected="0">
            <x v="14"/>
          </reference>
          <reference field="3" count="1" selected="0">
            <x v="1"/>
          </reference>
          <reference field="4" count="1" selected="0">
            <x v="183"/>
          </reference>
          <reference field="5" count="1">
            <x v="715"/>
          </reference>
        </references>
      </pivotArea>
    </format>
    <format dxfId="4347">
      <pivotArea dataOnly="0" labelOnly="1" fieldPosition="0">
        <references count="5">
          <reference field="1" count="1" selected="0">
            <x v="97"/>
          </reference>
          <reference field="2" count="1" selected="0">
            <x v="15"/>
          </reference>
          <reference field="3" count="1" selected="0">
            <x v="8"/>
          </reference>
          <reference field="4" count="1" selected="0">
            <x v="183"/>
          </reference>
          <reference field="5" count="1">
            <x v="295"/>
          </reference>
        </references>
      </pivotArea>
    </format>
    <format dxfId="4346">
      <pivotArea dataOnly="0" labelOnly="1" fieldPosition="0">
        <references count="5">
          <reference field="1" count="1" selected="0">
            <x v="97"/>
          </reference>
          <reference field="2" count="1" selected="0">
            <x v="27"/>
          </reference>
          <reference field="3" count="1" selected="0">
            <x v="6"/>
          </reference>
          <reference field="4" count="1" selected="0">
            <x v="183"/>
          </reference>
          <reference field="5" count="1">
            <x v="1481"/>
          </reference>
        </references>
      </pivotArea>
    </format>
    <format dxfId="4345">
      <pivotArea dataOnly="0" labelOnly="1" fieldPosition="0">
        <references count="5">
          <reference field="1" count="1" selected="0">
            <x v="97"/>
          </reference>
          <reference field="2" count="1" selected="0">
            <x v="34"/>
          </reference>
          <reference field="3" count="1" selected="0">
            <x v="38"/>
          </reference>
          <reference field="4" count="1" selected="0">
            <x v="183"/>
          </reference>
          <reference field="5" count="1">
            <x v="739"/>
          </reference>
        </references>
      </pivotArea>
    </format>
    <format dxfId="4344">
      <pivotArea dataOnly="0" labelOnly="1" fieldPosition="0">
        <references count="5">
          <reference field="1" count="1" selected="0">
            <x v="98"/>
          </reference>
          <reference field="2" count="1" selected="0">
            <x v="0"/>
          </reference>
          <reference field="3" count="1" selected="0">
            <x v="8"/>
          </reference>
          <reference field="4" count="1" selected="0">
            <x v="185"/>
          </reference>
          <reference field="5" count="1">
            <x v="549"/>
          </reference>
        </references>
      </pivotArea>
    </format>
    <format dxfId="4343">
      <pivotArea dataOnly="0" labelOnly="1" fieldPosition="0">
        <references count="5">
          <reference field="1" count="1" selected="0">
            <x v="98"/>
          </reference>
          <reference field="2" count="1" selected="0">
            <x v="0"/>
          </reference>
          <reference field="3" count="1" selected="0">
            <x v="9"/>
          </reference>
          <reference field="4" count="1" selected="0">
            <x v="185"/>
          </reference>
          <reference field="5" count="6">
            <x v="382"/>
            <x v="560"/>
            <x v="634"/>
            <x v="757"/>
            <x v="848"/>
            <x v="1309"/>
          </reference>
        </references>
      </pivotArea>
    </format>
    <format dxfId="4342">
      <pivotArea dataOnly="0" labelOnly="1" fieldPosition="0">
        <references count="5">
          <reference field="1" count="1" selected="0">
            <x v="98"/>
          </reference>
          <reference field="2" count="1" selected="0">
            <x v="0"/>
          </reference>
          <reference field="3" count="1" selected="0">
            <x v="11"/>
          </reference>
          <reference field="4" count="1" selected="0">
            <x v="51"/>
          </reference>
          <reference field="5" count="1">
            <x v="109"/>
          </reference>
        </references>
      </pivotArea>
    </format>
    <format dxfId="4341">
      <pivotArea dataOnly="0" labelOnly="1" fieldPosition="0">
        <references count="5">
          <reference field="1" count="1" selected="0">
            <x v="98"/>
          </reference>
          <reference field="2" count="1" selected="0">
            <x v="0"/>
          </reference>
          <reference field="3" count="1" selected="0">
            <x v="12"/>
          </reference>
          <reference field="4" count="1" selected="0">
            <x v="47"/>
          </reference>
          <reference field="5" count="1">
            <x v="314"/>
          </reference>
        </references>
      </pivotArea>
    </format>
    <format dxfId="4340">
      <pivotArea dataOnly="0" labelOnly="1" fieldPosition="0">
        <references count="5">
          <reference field="1" count="1" selected="0">
            <x v="98"/>
          </reference>
          <reference field="2" count="1" selected="0">
            <x v="2"/>
          </reference>
          <reference field="3" count="1" selected="0">
            <x v="8"/>
          </reference>
          <reference field="4" count="1" selected="0">
            <x v="185"/>
          </reference>
          <reference field="5" count="1">
            <x v="1252"/>
          </reference>
        </references>
      </pivotArea>
    </format>
    <format dxfId="4339">
      <pivotArea dataOnly="0" labelOnly="1" fieldPosition="0">
        <references count="5">
          <reference field="1" count="1" selected="0">
            <x v="98"/>
          </reference>
          <reference field="2" count="1" selected="0">
            <x v="8"/>
          </reference>
          <reference field="3" count="1" selected="0">
            <x v="38"/>
          </reference>
          <reference field="4" count="1" selected="0">
            <x v="185"/>
          </reference>
          <reference field="5" count="1">
            <x v="1548"/>
          </reference>
        </references>
      </pivotArea>
    </format>
    <format dxfId="4338">
      <pivotArea dataOnly="0" labelOnly="1" fieldPosition="0">
        <references count="5">
          <reference field="1" count="1" selected="0">
            <x v="98"/>
          </reference>
          <reference field="2" count="1" selected="0">
            <x v="11"/>
          </reference>
          <reference field="3" count="1" selected="0">
            <x v="8"/>
          </reference>
          <reference field="4" count="1" selected="0">
            <x v="185"/>
          </reference>
          <reference field="5" count="1">
            <x v="42"/>
          </reference>
        </references>
      </pivotArea>
    </format>
    <format dxfId="4337">
      <pivotArea dataOnly="0" labelOnly="1" fieldPosition="0">
        <references count="5">
          <reference field="1" count="1" selected="0">
            <x v="98"/>
          </reference>
          <reference field="2" count="1" selected="0">
            <x v="12"/>
          </reference>
          <reference field="3" count="1" selected="0">
            <x v="1"/>
          </reference>
          <reference field="4" count="1" selected="0">
            <x v="185"/>
          </reference>
          <reference field="5" count="5">
            <x v="80"/>
            <x v="213"/>
            <x v="352"/>
            <x v="771"/>
            <x v="964"/>
          </reference>
        </references>
      </pivotArea>
    </format>
    <format dxfId="4336">
      <pivotArea dataOnly="0" labelOnly="1" fieldPosition="0">
        <references count="5">
          <reference field="1" count="1" selected="0">
            <x v="98"/>
          </reference>
          <reference field="2" count="1" selected="0">
            <x v="12"/>
          </reference>
          <reference field="3" count="1" selected="0">
            <x v="31"/>
          </reference>
          <reference field="4" count="1" selected="0">
            <x v="184"/>
          </reference>
          <reference field="5" count="1">
            <x v="1153"/>
          </reference>
        </references>
      </pivotArea>
    </format>
    <format dxfId="4335">
      <pivotArea dataOnly="0" labelOnly="1" fieldPosition="0">
        <references count="5">
          <reference field="1" count="1" selected="0">
            <x v="98"/>
          </reference>
          <reference field="2" count="1" selected="0">
            <x v="12"/>
          </reference>
          <reference field="3" count="1" selected="0">
            <x v="38"/>
          </reference>
          <reference field="4" count="1" selected="0">
            <x v="185"/>
          </reference>
          <reference field="5" count="1">
            <x v="1265"/>
          </reference>
        </references>
      </pivotArea>
    </format>
    <format dxfId="4334">
      <pivotArea dataOnly="0" labelOnly="1" fieldPosition="0">
        <references count="5">
          <reference field="1" count="1" selected="0">
            <x v="98"/>
          </reference>
          <reference field="2" count="1" selected="0">
            <x v="14"/>
          </reference>
          <reference field="3" count="1" selected="0">
            <x v="38"/>
          </reference>
          <reference field="4" count="1" selected="0">
            <x v="185"/>
          </reference>
          <reference field="5" count="1">
            <x v="397"/>
          </reference>
        </references>
      </pivotArea>
    </format>
    <format dxfId="4333">
      <pivotArea dataOnly="0" labelOnly="1" fieldPosition="0">
        <references count="5">
          <reference field="1" count="1" selected="0">
            <x v="98"/>
          </reference>
          <reference field="2" count="1" selected="0">
            <x v="19"/>
          </reference>
          <reference field="3" count="1" selected="0">
            <x v="7"/>
          </reference>
          <reference field="4" count="1" selected="0">
            <x v="185"/>
          </reference>
          <reference field="5" count="1">
            <x v="1005"/>
          </reference>
        </references>
      </pivotArea>
    </format>
    <format dxfId="4332">
      <pivotArea dataOnly="0" labelOnly="1" fieldPosition="0">
        <references count="5">
          <reference field="1" count="1" selected="0">
            <x v="98"/>
          </reference>
          <reference field="2" count="1" selected="0">
            <x v="19"/>
          </reference>
          <reference field="3" count="1" selected="0">
            <x v="38"/>
          </reference>
          <reference field="4" count="1" selected="0">
            <x v="185"/>
          </reference>
          <reference field="5" count="1">
            <x v="330"/>
          </reference>
        </references>
      </pivotArea>
    </format>
    <format dxfId="4331">
      <pivotArea dataOnly="0" labelOnly="1" fieldPosition="0">
        <references count="5">
          <reference field="1" count="1" selected="0">
            <x v="98"/>
          </reference>
          <reference field="2" count="1" selected="0">
            <x v="24"/>
          </reference>
          <reference field="3" count="1" selected="0">
            <x v="1"/>
          </reference>
          <reference field="4" count="1" selected="0">
            <x v="185"/>
          </reference>
          <reference field="5" count="1">
            <x v="297"/>
          </reference>
        </references>
      </pivotArea>
    </format>
    <format dxfId="4330">
      <pivotArea dataOnly="0" labelOnly="1" fieldPosition="0">
        <references count="5">
          <reference field="1" count="1" selected="0">
            <x v="98"/>
          </reference>
          <reference field="2" count="1" selected="0">
            <x v="33"/>
          </reference>
          <reference field="3" count="1" selected="0">
            <x v="6"/>
          </reference>
          <reference field="4" count="1" selected="0">
            <x v="185"/>
          </reference>
          <reference field="5" count="1">
            <x v="469"/>
          </reference>
        </references>
      </pivotArea>
    </format>
    <format dxfId="4329">
      <pivotArea dataOnly="0" labelOnly="1" fieldPosition="0">
        <references count="5">
          <reference field="1" count="1" selected="0">
            <x v="98"/>
          </reference>
          <reference field="2" count="1" selected="0">
            <x v="35"/>
          </reference>
          <reference field="3" count="1" selected="0">
            <x v="1"/>
          </reference>
          <reference field="4" count="1" selected="0">
            <x v="185"/>
          </reference>
          <reference field="5" count="1">
            <x v="80"/>
          </reference>
        </references>
      </pivotArea>
    </format>
    <format dxfId="4328">
      <pivotArea dataOnly="0" labelOnly="1" fieldPosition="0">
        <references count="5">
          <reference field="1" count="1" selected="0">
            <x v="98"/>
          </reference>
          <reference field="2" count="1" selected="0">
            <x v="36"/>
          </reference>
          <reference field="3" count="1" selected="0">
            <x v="1"/>
          </reference>
          <reference field="4" count="1" selected="0">
            <x v="185"/>
          </reference>
          <reference field="5" count="1">
            <x v="1302"/>
          </reference>
        </references>
      </pivotArea>
    </format>
    <format dxfId="4327">
      <pivotArea dataOnly="0" labelOnly="1" fieldPosition="0">
        <references count="5">
          <reference field="1" count="1" selected="0">
            <x v="99"/>
          </reference>
          <reference field="2" count="1" selected="0">
            <x v="0"/>
          </reference>
          <reference field="3" count="1" selected="0">
            <x v="12"/>
          </reference>
          <reference field="4" count="1" selected="0">
            <x v="24"/>
          </reference>
          <reference field="5" count="1">
            <x v="24"/>
          </reference>
        </references>
      </pivotArea>
    </format>
    <format dxfId="4326">
      <pivotArea dataOnly="0" labelOnly="1" fieldPosition="0">
        <references count="5">
          <reference field="1" count="1" selected="0">
            <x v="99"/>
          </reference>
          <reference field="2" count="1" selected="0">
            <x v="0"/>
          </reference>
          <reference field="3" count="1" selected="0">
            <x v="12"/>
          </reference>
          <reference field="4" count="1" selected="0">
            <x v="31"/>
          </reference>
          <reference field="5" count="1">
            <x v="218"/>
          </reference>
        </references>
      </pivotArea>
    </format>
    <format dxfId="4325">
      <pivotArea dataOnly="0" labelOnly="1" fieldPosition="0">
        <references count="5">
          <reference field="1" count="1" selected="0">
            <x v="99"/>
          </reference>
          <reference field="2" count="1" selected="0">
            <x v="0"/>
          </reference>
          <reference field="3" count="1" selected="0">
            <x v="12"/>
          </reference>
          <reference field="4" count="1" selected="0">
            <x v="71"/>
          </reference>
          <reference field="5" count="1">
            <x v="37"/>
          </reference>
        </references>
      </pivotArea>
    </format>
    <format dxfId="4324">
      <pivotArea dataOnly="0" labelOnly="1" fieldPosition="0">
        <references count="5">
          <reference field="1" count="1" selected="0">
            <x v="99"/>
          </reference>
          <reference field="2" count="1" selected="0">
            <x v="0"/>
          </reference>
          <reference field="3" count="1" selected="0">
            <x v="38"/>
          </reference>
          <reference field="4" count="1" selected="0">
            <x v="186"/>
          </reference>
          <reference field="5" count="1">
            <x v="138"/>
          </reference>
        </references>
      </pivotArea>
    </format>
    <format dxfId="4323">
      <pivotArea dataOnly="0" labelOnly="1" fieldPosition="0">
        <references count="5">
          <reference field="1" count="1" selected="0">
            <x v="99"/>
          </reference>
          <reference field="2" count="1" selected="0">
            <x v="2"/>
          </reference>
          <reference field="3" count="1" selected="0">
            <x v="1"/>
          </reference>
          <reference field="4" count="1" selected="0">
            <x v="186"/>
          </reference>
          <reference field="5" count="1">
            <x v="151"/>
          </reference>
        </references>
      </pivotArea>
    </format>
    <format dxfId="4322">
      <pivotArea dataOnly="0" labelOnly="1" fieldPosition="0">
        <references count="5">
          <reference field="1" count="1" selected="0">
            <x v="99"/>
          </reference>
          <reference field="2" count="1" selected="0">
            <x v="2"/>
          </reference>
          <reference field="3" count="1" selected="0">
            <x v="8"/>
          </reference>
          <reference field="4" count="1" selected="0">
            <x v="186"/>
          </reference>
          <reference field="5" count="1">
            <x v="0"/>
          </reference>
        </references>
      </pivotArea>
    </format>
    <format dxfId="4321">
      <pivotArea dataOnly="0" labelOnly="1" fieldPosition="0">
        <references count="5">
          <reference field="1" count="1" selected="0">
            <x v="99"/>
          </reference>
          <reference field="2" count="1" selected="0">
            <x v="3"/>
          </reference>
          <reference field="3" count="1" selected="0">
            <x v="38"/>
          </reference>
          <reference field="4" count="1" selected="0">
            <x v="186"/>
          </reference>
          <reference field="5" count="1">
            <x v="352"/>
          </reference>
        </references>
      </pivotArea>
    </format>
    <format dxfId="4320">
      <pivotArea dataOnly="0" labelOnly="1" fieldPosition="0">
        <references count="5">
          <reference field="1" count="1" selected="0">
            <x v="99"/>
          </reference>
          <reference field="2" count="1" selected="0">
            <x v="6"/>
          </reference>
          <reference field="3" count="1" selected="0">
            <x v="38"/>
          </reference>
          <reference field="4" count="1" selected="0">
            <x v="186"/>
          </reference>
          <reference field="5" count="1">
            <x v="579"/>
          </reference>
        </references>
      </pivotArea>
    </format>
    <format dxfId="4319">
      <pivotArea dataOnly="0" labelOnly="1" fieldPosition="0">
        <references count="5">
          <reference field="1" count="1" selected="0">
            <x v="99"/>
          </reference>
          <reference field="2" count="1" selected="0">
            <x v="12"/>
          </reference>
          <reference field="3" count="1" selected="0">
            <x v="1"/>
          </reference>
          <reference field="4" count="1" selected="0">
            <x v="186"/>
          </reference>
          <reference field="5" count="3">
            <x v="80"/>
            <x v="213"/>
            <x v="352"/>
          </reference>
        </references>
      </pivotArea>
    </format>
    <format dxfId="4318">
      <pivotArea dataOnly="0" labelOnly="1" fieldPosition="0">
        <references count="5">
          <reference field="1" count="1" selected="0">
            <x v="99"/>
          </reference>
          <reference field="2" count="1" selected="0">
            <x v="24"/>
          </reference>
          <reference field="3" count="1" selected="0">
            <x v="6"/>
          </reference>
          <reference field="4" count="1" selected="0">
            <x v="186"/>
          </reference>
          <reference field="5" count="1">
            <x v="1013"/>
          </reference>
        </references>
      </pivotArea>
    </format>
    <format dxfId="4317">
      <pivotArea dataOnly="0" labelOnly="1" fieldPosition="0">
        <references count="5">
          <reference field="1" count="1" selected="0">
            <x v="100"/>
          </reference>
          <reference field="2" count="1" selected="0">
            <x v="0"/>
          </reference>
          <reference field="3" count="1" selected="0">
            <x v="1"/>
          </reference>
          <reference field="4" count="1" selected="0">
            <x v="187"/>
          </reference>
          <reference field="5" count="1">
            <x v="352"/>
          </reference>
        </references>
      </pivotArea>
    </format>
    <format dxfId="4316">
      <pivotArea dataOnly="0" labelOnly="1" fieldPosition="0">
        <references count="5">
          <reference field="1" count="1" selected="0">
            <x v="100"/>
          </reference>
          <reference field="2" count="1" selected="0">
            <x v="0"/>
          </reference>
          <reference field="3" count="1" selected="0">
            <x v="9"/>
          </reference>
          <reference field="4" count="1" selected="0">
            <x v="187"/>
          </reference>
          <reference field="5" count="5">
            <x v="287"/>
            <x v="514"/>
            <x v="515"/>
            <x v="600"/>
            <x v="648"/>
          </reference>
        </references>
      </pivotArea>
    </format>
    <format dxfId="4315">
      <pivotArea dataOnly="0" labelOnly="1" fieldPosition="0">
        <references count="5">
          <reference field="1" count="1" selected="0">
            <x v="100"/>
          </reference>
          <reference field="2" count="1" selected="0">
            <x v="0"/>
          </reference>
          <reference field="3" count="1" selected="0">
            <x v="12"/>
          </reference>
          <reference field="4" count="1" selected="0">
            <x v="20"/>
          </reference>
          <reference field="5" count="1">
            <x v="46"/>
          </reference>
        </references>
      </pivotArea>
    </format>
    <format dxfId="4314">
      <pivotArea dataOnly="0" labelOnly="1" fieldPosition="0">
        <references count="5">
          <reference field="1" count="1" selected="0">
            <x v="100"/>
          </reference>
          <reference field="2" count="1" selected="0">
            <x v="0"/>
          </reference>
          <reference field="3" count="1" selected="0">
            <x v="12"/>
          </reference>
          <reference field="4" count="1" selected="0">
            <x v="38"/>
          </reference>
          <reference field="5" count="1">
            <x v="6"/>
          </reference>
        </references>
      </pivotArea>
    </format>
    <format dxfId="4313">
      <pivotArea dataOnly="0" labelOnly="1" fieldPosition="0">
        <references count="5">
          <reference field="1" count="1" selected="0">
            <x v="100"/>
          </reference>
          <reference field="2" count="1" selected="0">
            <x v="0"/>
          </reference>
          <reference field="3" count="1" selected="0">
            <x v="38"/>
          </reference>
          <reference field="4" count="1" selected="0">
            <x v="187"/>
          </reference>
          <reference field="5" count="2">
            <x v="45"/>
            <x v="809"/>
          </reference>
        </references>
      </pivotArea>
    </format>
    <format dxfId="4312">
      <pivotArea dataOnly="0" labelOnly="1" fieldPosition="0">
        <references count="5">
          <reference field="1" count="1" selected="0">
            <x v="100"/>
          </reference>
          <reference field="2" count="1" selected="0">
            <x v="2"/>
          </reference>
          <reference field="3" count="1" selected="0">
            <x v="33"/>
          </reference>
          <reference field="4" count="1" selected="0">
            <x v="187"/>
          </reference>
          <reference field="5" count="1">
            <x v="1038"/>
          </reference>
        </references>
      </pivotArea>
    </format>
    <format dxfId="4311">
      <pivotArea dataOnly="0" labelOnly="1" fieldPosition="0">
        <references count="5">
          <reference field="1" count="1" selected="0">
            <x v="100"/>
          </reference>
          <reference field="2" count="1" selected="0">
            <x v="12"/>
          </reference>
          <reference field="3" count="1" selected="0">
            <x v="1"/>
          </reference>
          <reference field="4" count="1" selected="0">
            <x v="187"/>
          </reference>
          <reference field="5" count="3">
            <x v="80"/>
            <x v="213"/>
            <x v="771"/>
          </reference>
        </references>
      </pivotArea>
    </format>
    <format dxfId="4310">
      <pivotArea dataOnly="0" labelOnly="1" fieldPosition="0">
        <references count="5">
          <reference field="1" count="1" selected="0">
            <x v="100"/>
          </reference>
          <reference field="2" count="1" selected="0">
            <x v="15"/>
          </reference>
          <reference field="3" count="1" selected="0">
            <x v="8"/>
          </reference>
          <reference field="4" count="1" selected="0">
            <x v="187"/>
          </reference>
          <reference field="5" count="1">
            <x v="458"/>
          </reference>
        </references>
      </pivotArea>
    </format>
    <format dxfId="4309">
      <pivotArea dataOnly="0" labelOnly="1" fieldPosition="0">
        <references count="5">
          <reference field="1" count="1" selected="0">
            <x v="100"/>
          </reference>
          <reference field="2" count="1" selected="0">
            <x v="21"/>
          </reference>
          <reference field="3" count="1" selected="0">
            <x v="38"/>
          </reference>
          <reference field="4" count="1" selected="0">
            <x v="187"/>
          </reference>
          <reference field="5" count="1">
            <x v="80"/>
          </reference>
        </references>
      </pivotArea>
    </format>
    <format dxfId="4308">
      <pivotArea dataOnly="0" labelOnly="1" fieldPosition="0">
        <references count="5">
          <reference field="1" count="1" selected="0">
            <x v="100"/>
          </reference>
          <reference field="2" count="1" selected="0">
            <x v="24"/>
          </reference>
          <reference field="3" count="1" selected="0">
            <x v="10"/>
          </reference>
          <reference field="4" count="1" selected="0">
            <x v="187"/>
          </reference>
          <reference field="5" count="1">
            <x v="445"/>
          </reference>
        </references>
      </pivotArea>
    </format>
    <format dxfId="4307">
      <pivotArea dataOnly="0" labelOnly="1" fieldPosition="0">
        <references count="5">
          <reference field="1" count="1" selected="0">
            <x v="100"/>
          </reference>
          <reference field="2" count="1" selected="0">
            <x v="35"/>
          </reference>
          <reference field="3" count="1" selected="0">
            <x v="1"/>
          </reference>
          <reference field="4" count="1" selected="0">
            <x v="187"/>
          </reference>
          <reference field="5" count="1">
            <x v="80"/>
          </reference>
        </references>
      </pivotArea>
    </format>
    <format dxfId="4306">
      <pivotArea dataOnly="0" labelOnly="1" fieldPosition="0">
        <references count="5">
          <reference field="1" count="1" selected="0">
            <x v="100"/>
          </reference>
          <reference field="2" count="1" selected="0">
            <x v="36"/>
          </reference>
          <reference field="3" count="1" selected="0">
            <x v="1"/>
          </reference>
          <reference field="4" count="1" selected="0">
            <x v="187"/>
          </reference>
          <reference field="5" count="1">
            <x v="190"/>
          </reference>
        </references>
      </pivotArea>
    </format>
    <format dxfId="4305">
      <pivotArea dataOnly="0" labelOnly="1" fieldPosition="0">
        <references count="5">
          <reference field="1" count="1" selected="0">
            <x v="101"/>
          </reference>
          <reference field="2" count="1" selected="0">
            <x v="0"/>
          </reference>
          <reference field="3" count="1" selected="0">
            <x v="1"/>
          </reference>
          <reference field="4" count="1" selected="0">
            <x v="189"/>
          </reference>
          <reference field="5" count="1">
            <x v="500"/>
          </reference>
        </references>
      </pivotArea>
    </format>
    <format dxfId="4304">
      <pivotArea dataOnly="0" labelOnly="1" fieldPosition="0">
        <references count="5">
          <reference field="1" count="1" selected="0">
            <x v="101"/>
          </reference>
          <reference field="2" count="1" selected="0">
            <x v="0"/>
          </reference>
          <reference field="3" count="1" selected="0">
            <x v="6"/>
          </reference>
          <reference field="4" count="1" selected="0">
            <x v="189"/>
          </reference>
          <reference field="5" count="2">
            <x v="372"/>
            <x v="469"/>
          </reference>
        </references>
      </pivotArea>
    </format>
    <format dxfId="4303">
      <pivotArea dataOnly="0" labelOnly="1" fieldPosition="0">
        <references count="5">
          <reference field="1" count="1" selected="0">
            <x v="101"/>
          </reference>
          <reference field="2" count="1" selected="0">
            <x v="0"/>
          </reference>
          <reference field="3" count="1" selected="0">
            <x v="8"/>
          </reference>
          <reference field="4" count="1" selected="0">
            <x v="189"/>
          </reference>
          <reference field="5" count="1">
            <x v="95"/>
          </reference>
        </references>
      </pivotArea>
    </format>
    <format dxfId="4302">
      <pivotArea dataOnly="0" labelOnly="1" fieldPosition="0">
        <references count="5">
          <reference field="1" count="1" selected="0">
            <x v="101"/>
          </reference>
          <reference field="2" count="1" selected="0">
            <x v="0"/>
          </reference>
          <reference field="3" count="1" selected="0">
            <x v="9"/>
          </reference>
          <reference field="4" count="1" selected="0">
            <x v="189"/>
          </reference>
          <reference field="5" count="6">
            <x v="179"/>
            <x v="260"/>
            <x v="300"/>
            <x v="670"/>
            <x v="907"/>
            <x v="1060"/>
          </reference>
        </references>
      </pivotArea>
    </format>
    <format dxfId="4301">
      <pivotArea dataOnly="0" labelOnly="1" fieldPosition="0">
        <references count="5">
          <reference field="1" count="1" selected="0">
            <x v="101"/>
          </reference>
          <reference field="2" count="1" selected="0">
            <x v="0"/>
          </reference>
          <reference field="3" count="1" selected="0">
            <x v="12"/>
          </reference>
          <reference field="4" count="1" selected="0">
            <x v="16"/>
          </reference>
          <reference field="5" count="1">
            <x v="138"/>
          </reference>
        </references>
      </pivotArea>
    </format>
    <format dxfId="4300">
      <pivotArea dataOnly="0" labelOnly="1" fieldPosition="0">
        <references count="5">
          <reference field="1" count="1" selected="0">
            <x v="101"/>
          </reference>
          <reference field="2" count="1" selected="0">
            <x v="0"/>
          </reference>
          <reference field="3" count="1" selected="0">
            <x v="12"/>
          </reference>
          <reference field="4" count="1" selected="0">
            <x v="17"/>
          </reference>
          <reference field="5" count="1">
            <x v="96"/>
          </reference>
        </references>
      </pivotArea>
    </format>
    <format dxfId="4299">
      <pivotArea dataOnly="0" labelOnly="1" fieldPosition="0">
        <references count="5">
          <reference field="1" count="1" selected="0">
            <x v="101"/>
          </reference>
          <reference field="2" count="1" selected="0">
            <x v="0"/>
          </reference>
          <reference field="3" count="1" selected="0">
            <x v="12"/>
          </reference>
          <reference field="4" count="1" selected="0">
            <x v="34"/>
          </reference>
          <reference field="5" count="1">
            <x v="199"/>
          </reference>
        </references>
      </pivotArea>
    </format>
    <format dxfId="4298">
      <pivotArea dataOnly="0" labelOnly="1" fieldPosition="0">
        <references count="5">
          <reference field="1" count="1" selected="0">
            <x v="101"/>
          </reference>
          <reference field="2" count="1" selected="0">
            <x v="0"/>
          </reference>
          <reference field="3" count="1" selected="0">
            <x v="19"/>
          </reference>
          <reference field="4" count="1" selected="0">
            <x v="188"/>
          </reference>
          <reference field="5" count="8">
            <x v="580"/>
            <x v="753"/>
            <x v="877"/>
            <x v="931"/>
            <x v="998"/>
            <x v="1008"/>
            <x v="1021"/>
            <x v="1588"/>
          </reference>
        </references>
      </pivotArea>
    </format>
    <format dxfId="4297">
      <pivotArea dataOnly="0" labelOnly="1" fieldPosition="0">
        <references count="5">
          <reference field="1" count="1" selected="0">
            <x v="101"/>
          </reference>
          <reference field="2" count="1" selected="0">
            <x v="0"/>
          </reference>
          <reference field="3" count="1" selected="0">
            <x v="38"/>
          </reference>
          <reference field="4" count="1" selected="0">
            <x v="189"/>
          </reference>
          <reference field="5" count="1">
            <x v="138"/>
          </reference>
        </references>
      </pivotArea>
    </format>
    <format dxfId="4296">
      <pivotArea dataOnly="0" labelOnly="1" fieldPosition="0">
        <references count="5">
          <reference field="1" count="1" selected="0">
            <x v="101"/>
          </reference>
          <reference field="2" count="1" selected="0">
            <x v="2"/>
          </reference>
          <reference field="3" count="1" selected="0">
            <x v="19"/>
          </reference>
          <reference field="4" count="1" selected="0">
            <x v="188"/>
          </reference>
          <reference field="5" count="1">
            <x v="1803"/>
          </reference>
        </references>
      </pivotArea>
    </format>
    <format dxfId="4295">
      <pivotArea dataOnly="0" labelOnly="1" fieldPosition="0">
        <references count="5">
          <reference field="1" count="1" selected="0">
            <x v="101"/>
          </reference>
          <reference field="2" count="1" selected="0">
            <x v="3"/>
          </reference>
          <reference field="3" count="1" selected="0">
            <x v="19"/>
          </reference>
          <reference field="4" count="1" selected="0">
            <x v="188"/>
          </reference>
          <reference field="5" count="1">
            <x v="251"/>
          </reference>
        </references>
      </pivotArea>
    </format>
    <format dxfId="4294">
      <pivotArea dataOnly="0" labelOnly="1" fieldPosition="0">
        <references count="5">
          <reference field="1" count="1" selected="0">
            <x v="101"/>
          </reference>
          <reference field="2" count="1" selected="0">
            <x v="3"/>
          </reference>
          <reference field="3" count="1" selected="0">
            <x v="38"/>
          </reference>
          <reference field="4" count="1" selected="0">
            <x v="189"/>
          </reference>
          <reference field="5" count="1">
            <x v="182"/>
          </reference>
        </references>
      </pivotArea>
    </format>
    <format dxfId="4293">
      <pivotArea dataOnly="0" labelOnly="1" fieldPosition="0">
        <references count="5">
          <reference field="1" count="1" selected="0">
            <x v="101"/>
          </reference>
          <reference field="2" count="1" selected="0">
            <x v="10"/>
          </reference>
          <reference field="3" count="1" selected="0">
            <x v="19"/>
          </reference>
          <reference field="4" count="1" selected="0">
            <x v="188"/>
          </reference>
          <reference field="5" count="1">
            <x v="1535"/>
          </reference>
        </references>
      </pivotArea>
    </format>
    <format dxfId="4292">
      <pivotArea dataOnly="0" labelOnly="1" fieldPosition="0">
        <references count="5">
          <reference field="1" count="1" selected="0">
            <x v="101"/>
          </reference>
          <reference field="2" count="1" selected="0">
            <x v="11"/>
          </reference>
          <reference field="3" count="1" selected="0">
            <x v="8"/>
          </reference>
          <reference field="4" count="1" selected="0">
            <x v="189"/>
          </reference>
          <reference field="5" count="1">
            <x v="1045"/>
          </reference>
        </references>
      </pivotArea>
    </format>
    <format dxfId="4291">
      <pivotArea dataOnly="0" labelOnly="1" fieldPosition="0">
        <references count="5">
          <reference field="1" count="1" selected="0">
            <x v="101"/>
          </reference>
          <reference field="2" count="1" selected="0">
            <x v="12"/>
          </reference>
          <reference field="3" count="1" selected="0">
            <x v="1"/>
          </reference>
          <reference field="4" count="1" selected="0">
            <x v="189"/>
          </reference>
          <reference field="5" count="1">
            <x v="213"/>
          </reference>
        </references>
      </pivotArea>
    </format>
    <format dxfId="4290">
      <pivotArea dataOnly="0" labelOnly="1" fieldPosition="0">
        <references count="5">
          <reference field="1" count="1" selected="0">
            <x v="101"/>
          </reference>
          <reference field="2" count="1" selected="0">
            <x v="12"/>
          </reference>
          <reference field="3" count="1" selected="0">
            <x v="19"/>
          </reference>
          <reference field="4" count="1" selected="0">
            <x v="188"/>
          </reference>
          <reference field="5" count="24">
            <x v="99"/>
            <x v="110"/>
            <x v="370"/>
            <x v="1032"/>
            <x v="1191"/>
            <x v="1221"/>
            <x v="1349"/>
            <x v="1392"/>
            <x v="1438"/>
            <x v="1452"/>
            <x v="1498"/>
            <x v="1544"/>
            <x v="1549"/>
            <x v="1550"/>
            <x v="1552"/>
            <x v="1556"/>
            <x v="1610"/>
            <x v="1617"/>
            <x v="1695"/>
            <x v="1703"/>
            <x v="1704"/>
            <x v="1727"/>
            <x v="1731"/>
            <x v="1812"/>
          </reference>
        </references>
      </pivotArea>
    </format>
    <format dxfId="4289">
      <pivotArea dataOnly="0" labelOnly="1" fieldPosition="0">
        <references count="5">
          <reference field="1" count="1" selected="0">
            <x v="101"/>
          </reference>
          <reference field="2" count="1" selected="0">
            <x v="15"/>
          </reference>
          <reference field="3" count="1" selected="0">
            <x v="19"/>
          </reference>
          <reference field="4" count="1" selected="0">
            <x v="188"/>
          </reference>
          <reference field="5" count="1">
            <x v="1862"/>
          </reference>
        </references>
      </pivotArea>
    </format>
    <format dxfId="4288">
      <pivotArea dataOnly="0" labelOnly="1" fieldPosition="0">
        <references count="5">
          <reference field="1" count="1" selected="0">
            <x v="101"/>
          </reference>
          <reference field="2" count="1" selected="0">
            <x v="17"/>
          </reference>
          <reference field="3" count="1" selected="0">
            <x v="19"/>
          </reference>
          <reference field="4" count="1" selected="0">
            <x v="188"/>
          </reference>
          <reference field="5" count="1">
            <x v="323"/>
          </reference>
        </references>
      </pivotArea>
    </format>
    <format dxfId="4287">
      <pivotArea dataOnly="0" labelOnly="1" fieldPosition="0">
        <references count="5">
          <reference field="1" count="1" selected="0">
            <x v="101"/>
          </reference>
          <reference field="2" count="1" selected="0">
            <x v="21"/>
          </reference>
          <reference field="3" count="1" selected="0">
            <x v="6"/>
          </reference>
          <reference field="4" count="1" selected="0">
            <x v="189"/>
          </reference>
          <reference field="5" count="1">
            <x v="864"/>
          </reference>
        </references>
      </pivotArea>
    </format>
    <format dxfId="4286">
      <pivotArea dataOnly="0" labelOnly="1" fieldPosition="0">
        <references count="5">
          <reference field="1" count="1" selected="0">
            <x v="101"/>
          </reference>
          <reference field="2" count="1" selected="0">
            <x v="21"/>
          </reference>
          <reference field="3" count="1" selected="0">
            <x v="19"/>
          </reference>
          <reference field="4" count="1" selected="0">
            <x v="188"/>
          </reference>
          <reference field="5" count="1">
            <x v="1833"/>
          </reference>
        </references>
      </pivotArea>
    </format>
    <format dxfId="4285">
      <pivotArea dataOnly="0" labelOnly="1" fieldPosition="0">
        <references count="5">
          <reference field="1" count="1" selected="0">
            <x v="101"/>
          </reference>
          <reference field="2" count="1" selected="0">
            <x v="23"/>
          </reference>
          <reference field="3" count="1" selected="0">
            <x v="6"/>
          </reference>
          <reference field="4" count="1" selected="0">
            <x v="189"/>
          </reference>
          <reference field="5" count="1">
            <x v="979"/>
          </reference>
        </references>
      </pivotArea>
    </format>
    <format dxfId="4284">
      <pivotArea dataOnly="0" labelOnly="1" fieldPosition="0">
        <references count="5">
          <reference field="1" count="1" selected="0">
            <x v="101"/>
          </reference>
          <reference field="2" count="1" selected="0">
            <x v="23"/>
          </reference>
          <reference field="3" count="1" selected="0">
            <x v="19"/>
          </reference>
          <reference field="4" count="1" selected="0">
            <x v="188"/>
          </reference>
          <reference field="5" count="1">
            <x v="1860"/>
          </reference>
        </references>
      </pivotArea>
    </format>
    <format dxfId="4283">
      <pivotArea dataOnly="0" labelOnly="1" fieldPosition="0">
        <references count="5">
          <reference field="1" count="1" selected="0">
            <x v="101"/>
          </reference>
          <reference field="2" count="1" selected="0">
            <x v="23"/>
          </reference>
          <reference field="3" count="1" selected="0">
            <x v="38"/>
          </reference>
          <reference field="4" count="1" selected="0">
            <x v="189"/>
          </reference>
          <reference field="5" count="1">
            <x v="347"/>
          </reference>
        </references>
      </pivotArea>
    </format>
    <format dxfId="4282">
      <pivotArea dataOnly="0" labelOnly="1" fieldPosition="0">
        <references count="5">
          <reference field="1" count="1" selected="0">
            <x v="101"/>
          </reference>
          <reference field="2" count="1" selected="0">
            <x v="24"/>
          </reference>
          <reference field="3" count="1" selected="0">
            <x v="19"/>
          </reference>
          <reference field="4" count="1" selected="0">
            <x v="188"/>
          </reference>
          <reference field="5" count="1">
            <x v="1680"/>
          </reference>
        </references>
      </pivotArea>
    </format>
    <format dxfId="4281">
      <pivotArea dataOnly="0" labelOnly="1" fieldPosition="0">
        <references count="5">
          <reference field="1" count="1" selected="0">
            <x v="101"/>
          </reference>
          <reference field="2" count="1" selected="0">
            <x v="26"/>
          </reference>
          <reference field="3" count="1" selected="0">
            <x v="19"/>
          </reference>
          <reference field="4" count="1" selected="0">
            <x v="188"/>
          </reference>
          <reference field="5" count="1">
            <x v="588"/>
          </reference>
        </references>
      </pivotArea>
    </format>
    <format dxfId="4280">
      <pivotArea dataOnly="0" labelOnly="1" fieldPosition="0">
        <references count="5">
          <reference field="1" count="1" selected="0">
            <x v="101"/>
          </reference>
          <reference field="2" count="1" selected="0">
            <x v="35"/>
          </reference>
          <reference field="3" count="1" selected="0">
            <x v="1"/>
          </reference>
          <reference field="4" count="1" selected="0">
            <x v="189"/>
          </reference>
          <reference field="5" count="1">
            <x v="80"/>
          </reference>
        </references>
      </pivotArea>
    </format>
    <format dxfId="4279">
      <pivotArea dataOnly="0" labelOnly="1" fieldPosition="0">
        <references count="5">
          <reference field="1" count="1" selected="0">
            <x v="101"/>
          </reference>
          <reference field="2" count="1" selected="0">
            <x v="35"/>
          </reference>
          <reference field="3" count="1" selected="0">
            <x v="19"/>
          </reference>
          <reference field="4" count="1" selected="0">
            <x v="188"/>
          </reference>
          <reference field="5" count="17">
            <x v="100"/>
            <x v="150"/>
            <x v="185"/>
            <x v="381"/>
            <x v="411"/>
            <x v="421"/>
            <x v="501"/>
            <x v="506"/>
            <x v="577"/>
            <x v="608"/>
            <x v="644"/>
            <x v="810"/>
            <x v="1127"/>
            <x v="1130"/>
            <x v="1255"/>
            <x v="1517"/>
            <x v="1526"/>
          </reference>
        </references>
      </pivotArea>
    </format>
    <format dxfId="4278">
      <pivotArea dataOnly="0" labelOnly="1" fieldPosition="0">
        <references count="5">
          <reference field="1" count="1" selected="0">
            <x v="101"/>
          </reference>
          <reference field="2" count="1" selected="0">
            <x v="36"/>
          </reference>
          <reference field="3" count="1" selected="0">
            <x v="8"/>
          </reference>
          <reference field="4" count="1" selected="0">
            <x v="189"/>
          </reference>
          <reference field="5" count="1">
            <x v="1747"/>
          </reference>
        </references>
      </pivotArea>
    </format>
    <format dxfId="4277">
      <pivotArea dataOnly="0" labelOnly="1" fieldPosition="0">
        <references count="5">
          <reference field="1" count="1" selected="0">
            <x v="101"/>
          </reference>
          <reference field="2" count="1" selected="0">
            <x v="36"/>
          </reference>
          <reference field="3" count="1" selected="0">
            <x v="9"/>
          </reference>
          <reference field="4" count="1" selected="0">
            <x v="189"/>
          </reference>
          <reference field="5" count="1">
            <x v="41"/>
          </reference>
        </references>
      </pivotArea>
    </format>
    <format dxfId="4276">
      <pivotArea dataOnly="0" labelOnly="1" fieldPosition="0">
        <references count="5">
          <reference field="1" count="1" selected="0">
            <x v="101"/>
          </reference>
          <reference field="2" count="1" selected="0">
            <x v="37"/>
          </reference>
          <reference field="3" count="1" selected="0">
            <x v="38"/>
          </reference>
          <reference field="4" count="1" selected="0">
            <x v="189"/>
          </reference>
          <reference field="5" count="1">
            <x v="114"/>
          </reference>
        </references>
      </pivotArea>
    </format>
    <format dxfId="4275">
      <pivotArea dataOnly="0" labelOnly="1" fieldPosition="0">
        <references count="5">
          <reference field="1" count="1" selected="0">
            <x v="102"/>
          </reference>
          <reference field="2" count="1" selected="0">
            <x v="0"/>
          </reference>
          <reference field="3" count="1" selected="0">
            <x v="12"/>
          </reference>
          <reference field="4" count="1" selected="0">
            <x v="26"/>
          </reference>
          <reference field="5" count="1">
            <x v="52"/>
          </reference>
        </references>
      </pivotArea>
    </format>
    <format dxfId="4274">
      <pivotArea dataOnly="0" labelOnly="1" fieldPosition="0">
        <references count="5">
          <reference field="1" count="1" selected="0">
            <x v="103"/>
          </reference>
          <reference field="2" count="1" selected="0">
            <x v="0"/>
          </reference>
          <reference field="3" count="1" selected="0">
            <x v="1"/>
          </reference>
          <reference field="4" count="1" selected="0">
            <x v="190"/>
          </reference>
          <reference field="5" count="1">
            <x v="80"/>
          </reference>
        </references>
      </pivotArea>
    </format>
    <format dxfId="4273">
      <pivotArea dataOnly="0" labelOnly="1" fieldPosition="0">
        <references count="5">
          <reference field="1" count="1" selected="0">
            <x v="103"/>
          </reference>
          <reference field="2" count="1" selected="0">
            <x v="0"/>
          </reference>
          <reference field="3" count="1" selected="0">
            <x v="9"/>
          </reference>
          <reference field="4" count="1" selected="0">
            <x v="190"/>
          </reference>
          <reference field="5" count="2">
            <x v="368"/>
            <x v="539"/>
          </reference>
        </references>
      </pivotArea>
    </format>
    <format dxfId="4272">
      <pivotArea dataOnly="0" labelOnly="1" fieldPosition="0">
        <references count="5">
          <reference field="1" count="1" selected="0">
            <x v="103"/>
          </reference>
          <reference field="2" count="1" selected="0">
            <x v="0"/>
          </reference>
          <reference field="3" count="1" selected="0">
            <x v="12"/>
          </reference>
          <reference field="4" count="1" selected="0">
            <x v="2"/>
          </reference>
          <reference field="5" count="1">
            <x v="18"/>
          </reference>
        </references>
      </pivotArea>
    </format>
    <format dxfId="4271">
      <pivotArea dataOnly="0" labelOnly="1" fieldPosition="0">
        <references count="5">
          <reference field="1" count="1" selected="0">
            <x v="103"/>
          </reference>
          <reference field="2" count="1" selected="0">
            <x v="0"/>
          </reference>
          <reference field="3" count="1" selected="0">
            <x v="12"/>
          </reference>
          <reference field="4" count="1" selected="0">
            <x v="17"/>
          </reference>
          <reference field="5" count="1">
            <x v="29"/>
          </reference>
        </references>
      </pivotArea>
    </format>
    <format dxfId="4270">
      <pivotArea dataOnly="0" labelOnly="1" fieldPosition="0">
        <references count="5">
          <reference field="1" count="1" selected="0">
            <x v="103"/>
          </reference>
          <reference field="2" count="1" selected="0">
            <x v="0"/>
          </reference>
          <reference field="3" count="1" selected="0">
            <x v="12"/>
          </reference>
          <reference field="4" count="1" selected="0">
            <x v="32"/>
          </reference>
          <reference field="5" count="1">
            <x v="391"/>
          </reference>
        </references>
      </pivotArea>
    </format>
    <format dxfId="4269">
      <pivotArea dataOnly="0" labelOnly="1" fieldPosition="0">
        <references count="5">
          <reference field="1" count="1" selected="0">
            <x v="103"/>
          </reference>
          <reference field="2" count="1" selected="0">
            <x v="3"/>
          </reference>
          <reference field="3" count="1" selected="0">
            <x v="38"/>
          </reference>
          <reference field="4" count="1" selected="0">
            <x v="190"/>
          </reference>
          <reference field="5" count="1">
            <x v="129"/>
          </reference>
        </references>
      </pivotArea>
    </format>
    <format dxfId="4268">
      <pivotArea dataOnly="0" labelOnly="1" fieldPosition="0">
        <references count="5">
          <reference field="1" count="1" selected="0">
            <x v="103"/>
          </reference>
          <reference field="2" count="1" selected="0">
            <x v="12"/>
          </reference>
          <reference field="3" count="1" selected="0">
            <x v="1"/>
          </reference>
          <reference field="4" count="1" selected="0">
            <x v="190"/>
          </reference>
          <reference field="5" count="4">
            <x v="80"/>
            <x v="213"/>
            <x v="607"/>
            <x v="702"/>
          </reference>
        </references>
      </pivotArea>
    </format>
    <format dxfId="4267">
      <pivotArea dataOnly="0" labelOnly="1" fieldPosition="0">
        <references count="5">
          <reference field="1" count="1" selected="0">
            <x v="103"/>
          </reference>
          <reference field="2" count="1" selected="0">
            <x v="15"/>
          </reference>
          <reference field="3" count="1" selected="0">
            <x v="7"/>
          </reference>
          <reference field="4" count="1" selected="0">
            <x v="190"/>
          </reference>
          <reference field="5" count="1">
            <x v="719"/>
          </reference>
        </references>
      </pivotArea>
    </format>
    <format dxfId="4266">
      <pivotArea dataOnly="0" labelOnly="1" fieldPosition="0">
        <references count="5">
          <reference field="1" count="1" selected="0">
            <x v="103"/>
          </reference>
          <reference field="2" count="1" selected="0">
            <x v="15"/>
          </reference>
          <reference field="3" count="1" selected="0">
            <x v="8"/>
          </reference>
          <reference field="4" count="1" selected="0">
            <x v="190"/>
          </reference>
          <reference field="5" count="1">
            <x v="851"/>
          </reference>
        </references>
      </pivotArea>
    </format>
    <format dxfId="4265">
      <pivotArea dataOnly="0" labelOnly="1" fieldPosition="0">
        <references count="5">
          <reference field="1" count="1" selected="0">
            <x v="103"/>
          </reference>
          <reference field="2" count="1" selected="0">
            <x v="35"/>
          </reference>
          <reference field="3" count="1" selected="0">
            <x v="1"/>
          </reference>
          <reference field="4" count="1" selected="0">
            <x v="190"/>
          </reference>
          <reference field="5" count="2">
            <x v="80"/>
            <x v="352"/>
          </reference>
        </references>
      </pivotArea>
    </format>
    <format dxfId="4264">
      <pivotArea dataOnly="0" labelOnly="1" fieldPosition="0">
        <references count="5">
          <reference field="1" count="1" selected="0">
            <x v="104"/>
          </reference>
          <reference field="2" count="1" selected="0">
            <x v="0"/>
          </reference>
          <reference field="3" count="1" selected="0">
            <x v="1"/>
          </reference>
          <reference field="4" count="1" selected="0">
            <x v="191"/>
          </reference>
          <reference field="5" count="1">
            <x v="80"/>
          </reference>
        </references>
      </pivotArea>
    </format>
    <format dxfId="4263">
      <pivotArea dataOnly="0" labelOnly="1" fieldPosition="0">
        <references count="5">
          <reference field="1" count="1" selected="0">
            <x v="104"/>
          </reference>
          <reference field="2" count="1" selected="0">
            <x v="0"/>
          </reference>
          <reference field="3" count="1" selected="0">
            <x v="9"/>
          </reference>
          <reference field="4" count="1" selected="0">
            <x v="191"/>
          </reference>
          <reference field="5" count="1">
            <x v="0"/>
          </reference>
        </references>
      </pivotArea>
    </format>
    <format dxfId="4262">
      <pivotArea dataOnly="0" labelOnly="1" fieldPosition="0">
        <references count="5">
          <reference field="1" count="1" selected="0">
            <x v="104"/>
          </reference>
          <reference field="2" count="1" selected="0">
            <x v="0"/>
          </reference>
          <reference field="3" count="1" selected="0">
            <x v="12"/>
          </reference>
          <reference field="4" count="1" selected="0">
            <x v="30"/>
          </reference>
          <reference field="5" count="1">
            <x v="18"/>
          </reference>
        </references>
      </pivotArea>
    </format>
    <format dxfId="4261">
      <pivotArea dataOnly="0" labelOnly="1" fieldPosition="0">
        <references count="5">
          <reference field="1" count="1" selected="0">
            <x v="104"/>
          </reference>
          <reference field="2" count="1" selected="0">
            <x v="0"/>
          </reference>
          <reference field="3" count="1" selected="0">
            <x v="12"/>
          </reference>
          <reference field="4" count="1" selected="0">
            <x v="32"/>
          </reference>
          <reference field="5" count="1">
            <x v="391"/>
          </reference>
        </references>
      </pivotArea>
    </format>
    <format dxfId="4260">
      <pivotArea dataOnly="0" labelOnly="1" fieldPosition="0">
        <references count="5">
          <reference field="1" count="1" selected="0">
            <x v="104"/>
          </reference>
          <reference field="2" count="1" selected="0">
            <x v="0"/>
          </reference>
          <reference field="3" count="1" selected="0">
            <x v="38"/>
          </reference>
          <reference field="4" count="1" selected="0">
            <x v="191"/>
          </reference>
          <reference field="5" count="1">
            <x v="138"/>
          </reference>
        </references>
      </pivotArea>
    </format>
    <format dxfId="4259">
      <pivotArea dataOnly="0" labelOnly="1" fieldPosition="0">
        <references count="5">
          <reference field="1" count="1" selected="0">
            <x v="104"/>
          </reference>
          <reference field="2" count="1" selected="0">
            <x v="3"/>
          </reference>
          <reference field="3" count="1" selected="0">
            <x v="38"/>
          </reference>
          <reference field="4" count="1" selected="0">
            <x v="191"/>
          </reference>
          <reference field="5" count="1">
            <x v="245"/>
          </reference>
        </references>
      </pivotArea>
    </format>
    <format dxfId="4258">
      <pivotArea dataOnly="0" labelOnly="1" fieldPosition="0">
        <references count="5">
          <reference field="1" count="1" selected="0">
            <x v="104"/>
          </reference>
          <reference field="2" count="1" selected="0">
            <x v="26"/>
          </reference>
          <reference field="3" count="1" selected="0">
            <x v="38"/>
          </reference>
          <reference field="4" count="1" selected="0">
            <x v="191"/>
          </reference>
          <reference field="5" count="1">
            <x v="371"/>
          </reference>
        </references>
      </pivotArea>
    </format>
    <format dxfId="4257">
      <pivotArea dataOnly="0" labelOnly="1" fieldPosition="0">
        <references count="5">
          <reference field="1" count="1" selected="0">
            <x v="105"/>
          </reference>
          <reference field="2" count="1" selected="0">
            <x v="0"/>
          </reference>
          <reference field="3" count="1" selected="0">
            <x v="1"/>
          </reference>
          <reference field="4" count="1" selected="0">
            <x v="192"/>
          </reference>
          <reference field="5" count="1">
            <x v="1206"/>
          </reference>
        </references>
      </pivotArea>
    </format>
    <format dxfId="4256">
      <pivotArea dataOnly="0" labelOnly="1" fieldPosition="0">
        <references count="5">
          <reference field="1" count="1" selected="0">
            <x v="105"/>
          </reference>
          <reference field="2" count="1" selected="0">
            <x v="0"/>
          </reference>
          <reference field="3" count="1" selected="0">
            <x v="7"/>
          </reference>
          <reference field="4" count="1" selected="0">
            <x v="192"/>
          </reference>
          <reference field="5" count="1">
            <x v="719"/>
          </reference>
        </references>
      </pivotArea>
    </format>
    <format dxfId="4255">
      <pivotArea dataOnly="0" labelOnly="1" fieldPosition="0">
        <references count="5">
          <reference field="1" count="1" selected="0">
            <x v="105"/>
          </reference>
          <reference field="2" count="1" selected="0">
            <x v="0"/>
          </reference>
          <reference field="3" count="1" selected="0">
            <x v="8"/>
          </reference>
          <reference field="4" count="1" selected="0">
            <x v="192"/>
          </reference>
          <reference field="5" count="1">
            <x v="854"/>
          </reference>
        </references>
      </pivotArea>
    </format>
    <format dxfId="4254">
      <pivotArea dataOnly="0" labelOnly="1" fieldPosition="0">
        <references count="5">
          <reference field="1" count="1" selected="0">
            <x v="105"/>
          </reference>
          <reference field="2" count="1" selected="0">
            <x v="0"/>
          </reference>
          <reference field="3" count="1" selected="0">
            <x v="9"/>
          </reference>
          <reference field="4" count="1" selected="0">
            <x v="192"/>
          </reference>
          <reference field="5" count="7">
            <x v="85"/>
            <x v="265"/>
            <x v="326"/>
            <x v="486"/>
            <x v="1049"/>
            <x v="1178"/>
            <x v="1251"/>
          </reference>
        </references>
      </pivotArea>
    </format>
    <format dxfId="4253">
      <pivotArea dataOnly="0" labelOnly="1" fieldPosition="0">
        <references count="5">
          <reference field="1" count="1" selected="0">
            <x v="105"/>
          </reference>
          <reference field="2" count="1" selected="0">
            <x v="0"/>
          </reference>
          <reference field="3" count="1" selected="0">
            <x v="12"/>
          </reference>
          <reference field="4" count="1" selected="0">
            <x v="7"/>
          </reference>
          <reference field="5" count="1">
            <x v="18"/>
          </reference>
        </references>
      </pivotArea>
    </format>
    <format dxfId="4252">
      <pivotArea dataOnly="0" labelOnly="1" fieldPosition="0">
        <references count="5">
          <reference field="1" count="1" selected="0">
            <x v="105"/>
          </reference>
          <reference field="2" count="1" selected="0">
            <x v="0"/>
          </reference>
          <reference field="3" count="1" selected="0">
            <x v="12"/>
          </reference>
          <reference field="4" count="1" selected="0">
            <x v="62"/>
          </reference>
          <reference field="5" count="1">
            <x v="85"/>
          </reference>
        </references>
      </pivotArea>
    </format>
    <format dxfId="4251">
      <pivotArea dataOnly="0" labelOnly="1" fieldPosition="0">
        <references count="5">
          <reference field="1" count="1" selected="0">
            <x v="105"/>
          </reference>
          <reference field="2" count="1" selected="0">
            <x v="3"/>
          </reference>
          <reference field="3" count="1" selected="0">
            <x v="1"/>
          </reference>
          <reference field="4" count="1" selected="0">
            <x v="192"/>
          </reference>
          <reference field="5" count="1">
            <x v="109"/>
          </reference>
        </references>
      </pivotArea>
    </format>
    <format dxfId="4250">
      <pivotArea dataOnly="0" labelOnly="1" fieldPosition="0">
        <references count="5">
          <reference field="1" count="1" selected="0">
            <x v="105"/>
          </reference>
          <reference field="2" count="1" selected="0">
            <x v="7"/>
          </reference>
          <reference field="3" count="1" selected="0">
            <x v="38"/>
          </reference>
          <reference field="4" count="1" selected="0">
            <x v="192"/>
          </reference>
          <reference field="5" count="1">
            <x v="1195"/>
          </reference>
        </references>
      </pivotArea>
    </format>
    <format dxfId="4249">
      <pivotArea dataOnly="0" labelOnly="1" fieldPosition="0">
        <references count="5">
          <reference field="1" count="1" selected="0">
            <x v="105"/>
          </reference>
          <reference field="2" count="1" selected="0">
            <x v="12"/>
          </reference>
          <reference field="3" count="1" selected="0">
            <x v="1"/>
          </reference>
          <reference field="4" count="1" selected="0">
            <x v="192"/>
          </reference>
          <reference field="5" count="4">
            <x v="80"/>
            <x v="213"/>
            <x v="607"/>
            <x v="846"/>
          </reference>
        </references>
      </pivotArea>
    </format>
    <format dxfId="4248">
      <pivotArea dataOnly="0" labelOnly="1" fieldPosition="0">
        <references count="5">
          <reference field="1" count="1" selected="0">
            <x v="105"/>
          </reference>
          <reference field="2" count="1" selected="0">
            <x v="12"/>
          </reference>
          <reference field="3" count="1" selected="0">
            <x v="38"/>
          </reference>
          <reference field="4" count="1" selected="0">
            <x v="192"/>
          </reference>
          <reference field="5" count="1">
            <x v="1279"/>
          </reference>
        </references>
      </pivotArea>
    </format>
    <format dxfId="4247">
      <pivotArea dataOnly="0" labelOnly="1" fieldPosition="0">
        <references count="5">
          <reference field="1" count="1" selected="0">
            <x v="105"/>
          </reference>
          <reference field="2" count="1" selected="0">
            <x v="14"/>
          </reference>
          <reference field="3" count="1" selected="0">
            <x v="1"/>
          </reference>
          <reference field="4" count="1" selected="0">
            <x v="192"/>
          </reference>
          <reference field="5" count="1">
            <x v="1241"/>
          </reference>
        </references>
      </pivotArea>
    </format>
    <format dxfId="4246">
      <pivotArea dataOnly="0" labelOnly="1" fieldPosition="0">
        <references count="5">
          <reference field="1" count="1" selected="0">
            <x v="105"/>
          </reference>
          <reference field="2" count="1" selected="0">
            <x v="15"/>
          </reference>
          <reference field="3" count="1" selected="0">
            <x v="9"/>
          </reference>
          <reference field="4" count="1" selected="0">
            <x v="192"/>
          </reference>
          <reference field="5" count="1">
            <x v="327"/>
          </reference>
        </references>
      </pivotArea>
    </format>
    <format dxfId="4245">
      <pivotArea dataOnly="0" labelOnly="1" fieldPosition="0">
        <references count="5">
          <reference field="1" count="1" selected="0">
            <x v="105"/>
          </reference>
          <reference field="2" count="1" selected="0">
            <x v="30"/>
          </reference>
          <reference field="3" count="1" selected="0">
            <x v="38"/>
          </reference>
          <reference field="4" count="1" selected="0">
            <x v="192"/>
          </reference>
          <reference field="5" count="1">
            <x v="1448"/>
          </reference>
        </references>
      </pivotArea>
    </format>
    <format dxfId="4244">
      <pivotArea dataOnly="0" labelOnly="1" fieldPosition="0">
        <references count="5">
          <reference field="1" count="1" selected="0">
            <x v="105"/>
          </reference>
          <reference field="2" count="1" selected="0">
            <x v="36"/>
          </reference>
          <reference field="3" count="1" selected="0">
            <x v="7"/>
          </reference>
          <reference field="4" count="1" selected="0">
            <x v="192"/>
          </reference>
          <reference field="5" count="1">
            <x v="1476"/>
          </reference>
        </references>
      </pivotArea>
    </format>
    <format dxfId="4243">
      <pivotArea dataOnly="0" labelOnly="1" fieldPosition="0">
        <references count="5">
          <reference field="1" count="1" selected="0">
            <x v="105"/>
          </reference>
          <reference field="2" count="1" selected="0">
            <x v="36"/>
          </reference>
          <reference field="3" count="1" selected="0">
            <x v="38"/>
          </reference>
          <reference field="4" count="1" selected="0">
            <x v="192"/>
          </reference>
          <reference field="5" count="1">
            <x v="125"/>
          </reference>
        </references>
      </pivotArea>
    </format>
    <format dxfId="4242">
      <pivotArea dataOnly="0" labelOnly="1" fieldPosition="0">
        <references count="5">
          <reference field="1" count="1" selected="0">
            <x v="106"/>
          </reference>
          <reference field="2" count="1" selected="0">
            <x v="0"/>
          </reference>
          <reference field="3" count="1" selected="0">
            <x v="8"/>
          </reference>
          <reference field="4" count="1" selected="0">
            <x v="193"/>
          </reference>
          <reference field="5" count="1">
            <x v="1141"/>
          </reference>
        </references>
      </pivotArea>
    </format>
    <format dxfId="4241">
      <pivotArea dataOnly="0" labelOnly="1" fieldPosition="0">
        <references count="5">
          <reference field="1" count="1" selected="0">
            <x v="106"/>
          </reference>
          <reference field="2" count="1" selected="0">
            <x v="0"/>
          </reference>
          <reference field="3" count="1" selected="0">
            <x v="12"/>
          </reference>
          <reference field="4" count="1" selected="0">
            <x v="21"/>
          </reference>
          <reference field="5" count="1">
            <x v="18"/>
          </reference>
        </references>
      </pivotArea>
    </format>
    <format dxfId="4240">
      <pivotArea dataOnly="0" labelOnly="1" fieldPosition="0">
        <references count="5">
          <reference field="1" count="1" selected="0">
            <x v="106"/>
          </reference>
          <reference field="2" count="1" selected="0">
            <x v="0"/>
          </reference>
          <reference field="3" count="1" selected="0">
            <x v="12"/>
          </reference>
          <reference field="4" count="1" selected="0">
            <x v="46"/>
          </reference>
          <reference field="5" count="1">
            <x v="325"/>
          </reference>
        </references>
      </pivotArea>
    </format>
    <format dxfId="4239">
      <pivotArea dataOnly="0" labelOnly="1" fieldPosition="0">
        <references count="5">
          <reference field="1" count="1" selected="0">
            <x v="106"/>
          </reference>
          <reference field="2" count="1" selected="0">
            <x v="0"/>
          </reference>
          <reference field="3" count="1" selected="0">
            <x v="12"/>
          </reference>
          <reference field="4" count="1" selected="0">
            <x v="60"/>
          </reference>
          <reference field="5" count="1">
            <x v="39"/>
          </reference>
        </references>
      </pivotArea>
    </format>
    <format dxfId="4238">
      <pivotArea dataOnly="0" labelOnly="1" fieldPosition="0">
        <references count="5">
          <reference field="1" count="1" selected="0">
            <x v="106"/>
          </reference>
          <reference field="2" count="1" selected="0">
            <x v="0"/>
          </reference>
          <reference field="3" count="1" selected="0">
            <x v="38"/>
          </reference>
          <reference field="4" count="1" selected="0">
            <x v="193"/>
          </reference>
          <reference field="5" count="1">
            <x v="1137"/>
          </reference>
        </references>
      </pivotArea>
    </format>
    <format dxfId="4237">
      <pivotArea dataOnly="0" labelOnly="1" fieldPosition="0">
        <references count="5">
          <reference field="1" count="1" selected="0">
            <x v="106"/>
          </reference>
          <reference field="2" count="1" selected="0">
            <x v="2"/>
          </reference>
          <reference field="3" count="1" selected="0">
            <x v="10"/>
          </reference>
          <reference field="4" count="1" selected="0">
            <x v="193"/>
          </reference>
          <reference field="5" count="1">
            <x v="0"/>
          </reference>
        </references>
      </pivotArea>
    </format>
    <format dxfId="4236">
      <pivotArea dataOnly="0" labelOnly="1" fieldPosition="0">
        <references count="5">
          <reference field="1" count="1" selected="0">
            <x v="106"/>
          </reference>
          <reference field="2" count="1" selected="0">
            <x v="6"/>
          </reference>
          <reference field="3" count="1" selected="0">
            <x v="38"/>
          </reference>
          <reference field="4" count="1" selected="0">
            <x v="193"/>
          </reference>
          <reference field="5" count="1">
            <x v="719"/>
          </reference>
        </references>
      </pivotArea>
    </format>
    <format dxfId="4235">
      <pivotArea dataOnly="0" labelOnly="1" fieldPosition="0">
        <references count="5">
          <reference field="1" count="1" selected="0">
            <x v="106"/>
          </reference>
          <reference field="2" count="1" selected="0">
            <x v="9"/>
          </reference>
          <reference field="3" count="1" selected="0">
            <x v="10"/>
          </reference>
          <reference field="4" count="1" selected="0">
            <x v="193"/>
          </reference>
          <reference field="5" count="1">
            <x v="0"/>
          </reference>
        </references>
      </pivotArea>
    </format>
    <format dxfId="4234">
      <pivotArea dataOnly="0" labelOnly="1" fieldPosition="0">
        <references count="5">
          <reference field="1" count="1" selected="0">
            <x v="106"/>
          </reference>
          <reference field="2" count="1" selected="0">
            <x v="12"/>
          </reference>
          <reference field="3" count="1" selected="0">
            <x v="1"/>
          </reference>
          <reference field="4" count="1" selected="0">
            <x v="193"/>
          </reference>
          <reference field="5" count="5">
            <x v="80"/>
            <x v="213"/>
            <x v="352"/>
            <x v="607"/>
            <x v="702"/>
          </reference>
        </references>
      </pivotArea>
    </format>
    <format dxfId="4233">
      <pivotArea dataOnly="0" labelOnly="1" fieldPosition="0">
        <references count="5">
          <reference field="1" count="1" selected="0">
            <x v="106"/>
          </reference>
          <reference field="2" count="1" selected="0">
            <x v="12"/>
          </reference>
          <reference field="3" count="1" selected="0">
            <x v="38"/>
          </reference>
          <reference field="4" count="1" selected="0">
            <x v="193"/>
          </reference>
          <reference field="5" count="1">
            <x v="1730"/>
          </reference>
        </references>
      </pivotArea>
    </format>
    <format dxfId="4232">
      <pivotArea dataOnly="0" labelOnly="1" fieldPosition="0">
        <references count="5">
          <reference field="1" count="1" selected="0">
            <x v="106"/>
          </reference>
          <reference field="2" count="1" selected="0">
            <x v="14"/>
          </reference>
          <reference field="3" count="1" selected="0">
            <x v="1"/>
          </reference>
          <reference field="4" count="1" selected="0">
            <x v="193"/>
          </reference>
          <reference field="5" count="1">
            <x v="1301"/>
          </reference>
        </references>
      </pivotArea>
    </format>
    <format dxfId="4231">
      <pivotArea dataOnly="0" labelOnly="1" fieldPosition="0">
        <references count="5">
          <reference field="1" count="1" selected="0">
            <x v="106"/>
          </reference>
          <reference field="2" count="1" selected="0">
            <x v="19"/>
          </reference>
          <reference field="3" count="1" selected="0">
            <x v="6"/>
          </reference>
          <reference field="4" count="1" selected="0">
            <x v="193"/>
          </reference>
          <reference field="5" count="1">
            <x v="607"/>
          </reference>
        </references>
      </pivotArea>
    </format>
    <format dxfId="4230">
      <pivotArea dataOnly="0" labelOnly="1" fieldPosition="0">
        <references count="5">
          <reference field="1" count="1" selected="0">
            <x v="106"/>
          </reference>
          <reference field="2" count="1" selected="0">
            <x v="23"/>
          </reference>
          <reference field="3" count="1" selected="0">
            <x v="38"/>
          </reference>
          <reference field="4" count="1" selected="0">
            <x v="193"/>
          </reference>
          <reference field="5" count="1">
            <x v="296"/>
          </reference>
        </references>
      </pivotArea>
    </format>
    <format dxfId="4229">
      <pivotArea dataOnly="0" labelOnly="1" fieldPosition="0">
        <references count="5">
          <reference field="1" count="1" selected="0">
            <x v="106"/>
          </reference>
          <reference field="2" count="1" selected="0">
            <x v="35"/>
          </reference>
          <reference field="3" count="1" selected="0">
            <x v="1"/>
          </reference>
          <reference field="4" count="1" selected="0">
            <x v="193"/>
          </reference>
          <reference field="5" count="1">
            <x v="80"/>
          </reference>
        </references>
      </pivotArea>
    </format>
    <format dxfId="4228">
      <pivotArea dataOnly="0" labelOnly="1" fieldPosition="0">
        <references count="5">
          <reference field="1" count="1" selected="0">
            <x v="106"/>
          </reference>
          <reference field="2" count="1" selected="0">
            <x v="35"/>
          </reference>
          <reference field="3" count="1" selected="0">
            <x v="38"/>
          </reference>
          <reference field="4" count="1" selected="0">
            <x v="193"/>
          </reference>
          <reference field="5" count="1">
            <x v="1343"/>
          </reference>
        </references>
      </pivotArea>
    </format>
    <format dxfId="4227">
      <pivotArea dataOnly="0" labelOnly="1" fieldPosition="0">
        <references count="5">
          <reference field="1" count="1" selected="0">
            <x v="106"/>
          </reference>
          <reference field="2" count="1" selected="0">
            <x v="36"/>
          </reference>
          <reference field="3" count="1" selected="0">
            <x v="10"/>
          </reference>
          <reference field="4" count="1" selected="0">
            <x v="193"/>
          </reference>
          <reference field="5" count="1">
            <x v="0"/>
          </reference>
        </references>
      </pivotArea>
    </format>
    <format dxfId="4226">
      <pivotArea dataOnly="0" labelOnly="1" fieldPosition="0">
        <references count="5">
          <reference field="1" count="1" selected="0">
            <x v="107"/>
          </reference>
          <reference field="2" count="1" selected="0">
            <x v="0"/>
          </reference>
          <reference field="3" count="1" selected="0">
            <x v="12"/>
          </reference>
          <reference field="4" count="1" selected="0">
            <x v="6"/>
          </reference>
          <reference field="5" count="1">
            <x v="90"/>
          </reference>
        </references>
      </pivotArea>
    </format>
    <format dxfId="4225">
      <pivotArea dataOnly="0" labelOnly="1" fieldPosition="0">
        <references count="5">
          <reference field="1" count="1" selected="0">
            <x v="107"/>
          </reference>
          <reference field="2" count="1" selected="0">
            <x v="0"/>
          </reference>
          <reference field="3" count="1" selected="0">
            <x v="12"/>
          </reference>
          <reference field="4" count="1" selected="0">
            <x v="46"/>
          </reference>
          <reference field="5" count="1">
            <x v="325"/>
          </reference>
        </references>
      </pivotArea>
    </format>
    <format dxfId="4224">
      <pivotArea dataOnly="0" labelOnly="1" fieldPosition="0">
        <references count="5">
          <reference field="1" count="1" selected="0">
            <x v="107"/>
          </reference>
          <reference field="2" count="1" selected="0">
            <x v="2"/>
          </reference>
          <reference field="3" count="1" selected="0">
            <x v="10"/>
          </reference>
          <reference field="4" count="1" selected="0">
            <x v="195"/>
          </reference>
          <reference field="5" count="1">
            <x v="1820"/>
          </reference>
        </references>
      </pivotArea>
    </format>
    <format dxfId="4223">
      <pivotArea dataOnly="0" labelOnly="1" fieldPosition="0">
        <references count="5">
          <reference field="1" count="1" selected="0">
            <x v="107"/>
          </reference>
          <reference field="2" count="1" selected="0">
            <x v="2"/>
          </reference>
          <reference field="3" count="1" selected="0">
            <x v="31"/>
          </reference>
          <reference field="4" count="1" selected="0">
            <x v="194"/>
          </reference>
          <reference field="5" count="1">
            <x v="10"/>
          </reference>
        </references>
      </pivotArea>
    </format>
    <format dxfId="4222">
      <pivotArea dataOnly="0" labelOnly="1" fieldPosition="0">
        <references count="5">
          <reference field="1" count="1" selected="0">
            <x v="107"/>
          </reference>
          <reference field="2" count="1" selected="0">
            <x v="3"/>
          </reference>
          <reference field="3" count="1" selected="0">
            <x v="10"/>
          </reference>
          <reference field="4" count="1" selected="0">
            <x v="195"/>
          </reference>
          <reference field="5" count="1">
            <x v="1564"/>
          </reference>
        </references>
      </pivotArea>
    </format>
    <format dxfId="4221">
      <pivotArea dataOnly="0" labelOnly="1" fieldPosition="0">
        <references count="5">
          <reference field="1" count="1" selected="0">
            <x v="107"/>
          </reference>
          <reference field="2" count="1" selected="0">
            <x v="3"/>
          </reference>
          <reference field="3" count="1" selected="0">
            <x v="38"/>
          </reference>
          <reference field="4" count="1" selected="0">
            <x v="195"/>
          </reference>
          <reference field="5" count="1">
            <x v="281"/>
          </reference>
        </references>
      </pivotArea>
    </format>
    <format dxfId="4220">
      <pivotArea dataOnly="0" labelOnly="1" fieldPosition="0">
        <references count="5">
          <reference field="1" count="1" selected="0">
            <x v="107"/>
          </reference>
          <reference field="2" count="1" selected="0">
            <x v="9"/>
          </reference>
          <reference field="3" count="1" selected="0">
            <x v="1"/>
          </reference>
          <reference field="4" count="1" selected="0">
            <x v="195"/>
          </reference>
          <reference field="5" count="1">
            <x v="929"/>
          </reference>
        </references>
      </pivotArea>
    </format>
    <format dxfId="4219">
      <pivotArea dataOnly="0" labelOnly="1" fieldPosition="0">
        <references count="5">
          <reference field="1" count="1" selected="0">
            <x v="107"/>
          </reference>
          <reference field="2" count="1" selected="0">
            <x v="9"/>
          </reference>
          <reference field="3" count="1" selected="0">
            <x v="10"/>
          </reference>
          <reference field="4" count="1" selected="0">
            <x v="195"/>
          </reference>
          <reference field="5" count="1">
            <x v="676"/>
          </reference>
        </references>
      </pivotArea>
    </format>
    <format dxfId="4218">
      <pivotArea dataOnly="0" labelOnly="1" fieldPosition="0">
        <references count="5">
          <reference field="1" count="1" selected="0">
            <x v="107"/>
          </reference>
          <reference field="2" count="1" selected="0">
            <x v="11"/>
          </reference>
          <reference field="3" count="1" selected="0">
            <x v="10"/>
          </reference>
          <reference field="4" count="1" selected="0">
            <x v="195"/>
          </reference>
          <reference field="5" count="1">
            <x v="5"/>
          </reference>
        </references>
      </pivotArea>
    </format>
    <format dxfId="4217">
      <pivotArea dataOnly="0" labelOnly="1" fieldPosition="0">
        <references count="5">
          <reference field="1" count="1" selected="0">
            <x v="107"/>
          </reference>
          <reference field="2" count="1" selected="0">
            <x v="15"/>
          </reference>
          <reference field="3" count="1" selected="0">
            <x v="38"/>
          </reference>
          <reference field="4" count="1" selected="0">
            <x v="195"/>
          </reference>
          <reference field="5" count="1">
            <x v="352"/>
          </reference>
        </references>
      </pivotArea>
    </format>
    <format dxfId="4216">
      <pivotArea dataOnly="0" labelOnly="1" fieldPosition="0">
        <references count="5">
          <reference field="1" count="1" selected="0">
            <x v="107"/>
          </reference>
          <reference field="2" count="1" selected="0">
            <x v="17"/>
          </reference>
          <reference field="3" count="1" selected="0">
            <x v="38"/>
          </reference>
          <reference field="4" count="1" selected="0">
            <x v="195"/>
          </reference>
          <reference field="5" count="1">
            <x v="695"/>
          </reference>
        </references>
      </pivotArea>
    </format>
    <format dxfId="4215">
      <pivotArea dataOnly="0" labelOnly="1" fieldPosition="0">
        <references count="5">
          <reference field="1" count="1" selected="0">
            <x v="107"/>
          </reference>
          <reference field="2" count="1" selected="0">
            <x v="19"/>
          </reference>
          <reference field="3" count="1" selected="0">
            <x v="37"/>
          </reference>
          <reference field="4" count="1" selected="0">
            <x v="195"/>
          </reference>
          <reference field="5" count="1">
            <x v="405"/>
          </reference>
        </references>
      </pivotArea>
    </format>
    <format dxfId="4214">
      <pivotArea dataOnly="0" labelOnly="1" fieldPosition="0">
        <references count="5">
          <reference field="1" count="1" selected="0">
            <x v="107"/>
          </reference>
          <reference field="2" count="1" selected="0">
            <x v="21"/>
          </reference>
          <reference field="3" count="1" selected="0">
            <x v="38"/>
          </reference>
          <reference field="4" count="1" selected="0">
            <x v="195"/>
          </reference>
          <reference field="5" count="1">
            <x v="1110"/>
          </reference>
        </references>
      </pivotArea>
    </format>
    <format dxfId="4213">
      <pivotArea dataOnly="0" labelOnly="1" fieldPosition="0">
        <references count="5">
          <reference field="1" count="1" selected="0">
            <x v="107"/>
          </reference>
          <reference field="2" count="1" selected="0">
            <x v="24"/>
          </reference>
          <reference field="3" count="1" selected="0">
            <x v="38"/>
          </reference>
          <reference field="4" count="1" selected="0">
            <x v="195"/>
          </reference>
          <reference field="5" count="1">
            <x v="352"/>
          </reference>
        </references>
      </pivotArea>
    </format>
    <format dxfId="4212">
      <pivotArea dataOnly="0" labelOnly="1" fieldPosition="0">
        <references count="5">
          <reference field="1" count="1" selected="0">
            <x v="107"/>
          </reference>
          <reference field="2" count="1" selected="0">
            <x v="26"/>
          </reference>
          <reference field="3" count="1" selected="0">
            <x v="38"/>
          </reference>
          <reference field="4" count="1" selected="0">
            <x v="195"/>
          </reference>
          <reference field="5" count="1">
            <x v="838"/>
          </reference>
        </references>
      </pivotArea>
    </format>
    <format dxfId="4211">
      <pivotArea dataOnly="0" labelOnly="1" fieldPosition="0">
        <references count="5">
          <reference field="1" count="1" selected="0">
            <x v="107"/>
          </reference>
          <reference field="2" count="1" selected="0">
            <x v="36"/>
          </reference>
          <reference field="3" count="1" selected="0">
            <x v="10"/>
          </reference>
          <reference field="4" count="1" selected="0">
            <x v="195"/>
          </reference>
          <reference field="5" count="1">
            <x v="1735"/>
          </reference>
        </references>
      </pivotArea>
    </format>
    <format dxfId="4210">
      <pivotArea dataOnly="0" labelOnly="1" fieldPosition="0">
        <references count="5">
          <reference field="1" count="1" selected="0">
            <x v="107"/>
          </reference>
          <reference field="2" count="1" selected="0">
            <x v="38"/>
          </reference>
          <reference field="3" count="1" selected="0">
            <x v="10"/>
          </reference>
          <reference field="4" count="1" selected="0">
            <x v="195"/>
          </reference>
          <reference field="5" count="1">
            <x v="1350"/>
          </reference>
        </references>
      </pivotArea>
    </format>
    <format dxfId="4209">
      <pivotArea dataOnly="0" labelOnly="1" fieldPosition="0">
        <references count="5">
          <reference field="1" count="1" selected="0">
            <x v="108"/>
          </reference>
          <reference field="2" count="1" selected="0">
            <x v="0"/>
          </reference>
          <reference field="3" count="1" selected="0">
            <x v="38"/>
          </reference>
          <reference field="4" count="1" selected="0">
            <x v="196"/>
          </reference>
          <reference field="5" count="2">
            <x v="138"/>
            <x v="607"/>
          </reference>
        </references>
      </pivotArea>
    </format>
    <format dxfId="4208">
      <pivotArea dataOnly="0" labelOnly="1" fieldPosition="0">
        <references count="5">
          <reference field="1" count="1" selected="0">
            <x v="108"/>
          </reference>
          <reference field="2" count="1" selected="0">
            <x v="12"/>
          </reference>
          <reference field="3" count="1" selected="0">
            <x v="1"/>
          </reference>
          <reference field="4" count="1" selected="0">
            <x v="196"/>
          </reference>
          <reference field="5" count="9">
            <x v="80"/>
            <x v="213"/>
            <x v="352"/>
            <x v="500"/>
            <x v="607"/>
            <x v="771"/>
            <x v="846"/>
            <x v="964"/>
            <x v="1069"/>
          </reference>
        </references>
      </pivotArea>
    </format>
    <format dxfId="4207">
      <pivotArea dataOnly="0" labelOnly="1" fieldPosition="0">
        <references count="5">
          <reference field="1" count="1" selected="0">
            <x v="108"/>
          </reference>
          <reference field="2" count="1" selected="0">
            <x v="15"/>
          </reference>
          <reference field="3" count="1" selected="0">
            <x v="6"/>
          </reference>
          <reference field="4" count="1" selected="0">
            <x v="196"/>
          </reference>
          <reference field="5" count="1">
            <x v="862"/>
          </reference>
        </references>
      </pivotArea>
    </format>
    <format dxfId="4206">
      <pivotArea dataOnly="0" labelOnly="1" fieldPosition="0">
        <references count="5">
          <reference field="1" count="1" selected="0">
            <x v="108"/>
          </reference>
          <reference field="2" count="1" selected="0">
            <x v="21"/>
          </reference>
          <reference field="3" count="1" selected="0">
            <x v="38"/>
          </reference>
          <reference field="4" count="1" selected="0">
            <x v="196"/>
          </reference>
          <reference field="5" count="1">
            <x v="375"/>
          </reference>
        </references>
      </pivotArea>
    </format>
    <format dxfId="4205">
      <pivotArea dataOnly="0" labelOnly="1" fieldPosition="0">
        <references count="5">
          <reference field="1" count="1" selected="0">
            <x v="108"/>
          </reference>
          <reference field="2" count="1" selected="0">
            <x v="28"/>
          </reference>
          <reference field="3" count="1" selected="0">
            <x v="1"/>
          </reference>
          <reference field="4" count="1" selected="0">
            <x v="196"/>
          </reference>
          <reference field="5" count="1">
            <x v="147"/>
          </reference>
        </references>
      </pivotArea>
    </format>
    <format dxfId="4204">
      <pivotArea dataOnly="0" labelOnly="1" fieldPosition="0">
        <references count="5">
          <reference field="1" count="1" selected="0">
            <x v="108"/>
          </reference>
          <reference field="2" count="1" selected="0">
            <x v="29"/>
          </reference>
          <reference field="3" count="1" selected="0">
            <x v="6"/>
          </reference>
          <reference field="4" count="1" selected="0">
            <x v="196"/>
          </reference>
          <reference field="5" count="1">
            <x v="1670"/>
          </reference>
        </references>
      </pivotArea>
    </format>
    <format dxfId="4203">
      <pivotArea dataOnly="0" labelOnly="1" fieldPosition="0">
        <references count="5">
          <reference field="1" count="1" selected="0">
            <x v="109"/>
          </reference>
          <reference field="2" count="1" selected="0">
            <x v="0"/>
          </reference>
          <reference field="3" count="1" selected="0">
            <x v="38"/>
          </reference>
          <reference field="4" count="1" selected="0">
            <x v="197"/>
          </reference>
          <reference field="5" count="1">
            <x v="262"/>
          </reference>
        </references>
      </pivotArea>
    </format>
    <format dxfId="4202">
      <pivotArea dataOnly="0" labelOnly="1" fieldPosition="0">
        <references count="5">
          <reference field="1" count="1" selected="0">
            <x v="109"/>
          </reference>
          <reference field="2" count="1" selected="0">
            <x v="12"/>
          </reference>
          <reference field="3" count="1" selected="0">
            <x v="1"/>
          </reference>
          <reference field="4" count="1" selected="0">
            <x v="197"/>
          </reference>
          <reference field="5" count="1">
            <x v="771"/>
          </reference>
        </references>
      </pivotArea>
    </format>
    <format dxfId="4201">
      <pivotArea dataOnly="0" labelOnly="1" fieldPosition="0">
        <references count="5">
          <reference field="1" count="1" selected="0">
            <x v="109"/>
          </reference>
          <reference field="2" count="1" selected="0">
            <x v="26"/>
          </reference>
          <reference field="3" count="1" selected="0">
            <x v="10"/>
          </reference>
          <reference field="4" count="1" selected="0">
            <x v="197"/>
          </reference>
          <reference field="5" count="1">
            <x v="0"/>
          </reference>
        </references>
      </pivotArea>
    </format>
    <format dxfId="4200">
      <pivotArea dataOnly="0" labelOnly="1" fieldPosition="0">
        <references count="5">
          <reference field="1" count="1" selected="0">
            <x v="110"/>
          </reference>
          <reference field="2" count="1" selected="0">
            <x v="0"/>
          </reference>
          <reference field="3" count="1" selected="0">
            <x v="1"/>
          </reference>
          <reference field="4" count="1" selected="0">
            <x v="198"/>
          </reference>
          <reference field="5" count="1">
            <x v="80"/>
          </reference>
        </references>
      </pivotArea>
    </format>
    <format dxfId="4199">
      <pivotArea dataOnly="0" labelOnly="1" fieldPosition="0">
        <references count="5">
          <reference field="1" count="1" selected="0">
            <x v="110"/>
          </reference>
          <reference field="2" count="1" selected="0">
            <x v="0"/>
          </reference>
          <reference field="3" count="1" selected="0">
            <x v="8"/>
          </reference>
          <reference field="4" count="1" selected="0">
            <x v="198"/>
          </reference>
          <reference field="5" count="1">
            <x v="624"/>
          </reference>
        </references>
      </pivotArea>
    </format>
    <format dxfId="4198">
      <pivotArea dataOnly="0" labelOnly="1" fieldPosition="0">
        <references count="5">
          <reference field="1" count="1" selected="0">
            <x v="110"/>
          </reference>
          <reference field="2" count="1" selected="0">
            <x v="0"/>
          </reference>
          <reference field="3" count="1" selected="0">
            <x v="9"/>
          </reference>
          <reference field="4" count="1" selected="0">
            <x v="198"/>
          </reference>
          <reference field="5" count="7">
            <x v="128"/>
            <x v="490"/>
            <x v="565"/>
            <x v="632"/>
            <x v="777"/>
            <x v="986"/>
            <x v="1014"/>
          </reference>
        </references>
      </pivotArea>
    </format>
    <format dxfId="4197">
      <pivotArea dataOnly="0" labelOnly="1" fieldPosition="0">
        <references count="5">
          <reference field="1" count="1" selected="0">
            <x v="110"/>
          </reference>
          <reference field="2" count="1" selected="0">
            <x v="0"/>
          </reference>
          <reference field="3" count="1" selected="0">
            <x v="10"/>
          </reference>
          <reference field="4" count="1" selected="0">
            <x v="198"/>
          </reference>
          <reference field="5" count="1">
            <x v="433"/>
          </reference>
        </references>
      </pivotArea>
    </format>
    <format dxfId="4196">
      <pivotArea dataOnly="0" labelOnly="1" fieldPosition="0">
        <references count="5">
          <reference field="1" count="1" selected="0">
            <x v="110"/>
          </reference>
          <reference field="2" count="1" selected="0">
            <x v="0"/>
          </reference>
          <reference field="3" count="1" selected="0">
            <x v="12"/>
          </reference>
          <reference field="4" count="1" selected="0">
            <x v="2"/>
          </reference>
          <reference field="5" count="1">
            <x v="7"/>
          </reference>
        </references>
      </pivotArea>
    </format>
    <format dxfId="4195">
      <pivotArea dataOnly="0" labelOnly="1" fieldPosition="0">
        <references count="5">
          <reference field="1" count="1" selected="0">
            <x v="110"/>
          </reference>
          <reference field="2" count="1" selected="0">
            <x v="0"/>
          </reference>
          <reference field="3" count="1" selected="0">
            <x v="12"/>
          </reference>
          <reference field="4" count="1" selected="0">
            <x v="38"/>
          </reference>
          <reference field="5" count="1">
            <x v="114"/>
          </reference>
        </references>
      </pivotArea>
    </format>
    <format dxfId="4194">
      <pivotArea dataOnly="0" labelOnly="1" fieldPosition="0">
        <references count="5">
          <reference field="1" count="1" selected="0">
            <x v="110"/>
          </reference>
          <reference field="2" count="1" selected="0">
            <x v="0"/>
          </reference>
          <reference field="3" count="1" selected="0">
            <x v="12"/>
          </reference>
          <reference field="4" count="1" selected="0">
            <x v="47"/>
          </reference>
          <reference field="5" count="1">
            <x v="314"/>
          </reference>
        </references>
      </pivotArea>
    </format>
    <format dxfId="4193">
      <pivotArea dataOnly="0" labelOnly="1" fieldPosition="0">
        <references count="5">
          <reference field="1" count="1" selected="0">
            <x v="110"/>
          </reference>
          <reference field="2" count="1" selected="0">
            <x v="0"/>
          </reference>
          <reference field="3" count="1" selected="0">
            <x v="38"/>
          </reference>
          <reference field="4" count="1" selected="0">
            <x v="198"/>
          </reference>
          <reference field="5" count="1">
            <x v="481"/>
          </reference>
        </references>
      </pivotArea>
    </format>
    <format dxfId="4192">
      <pivotArea dataOnly="0" labelOnly="1" fieldPosition="0">
        <references count="5">
          <reference field="1" count="1" selected="0">
            <x v="110"/>
          </reference>
          <reference field="2" count="1" selected="0">
            <x v="3"/>
          </reference>
          <reference field="3" count="1" selected="0">
            <x v="38"/>
          </reference>
          <reference field="4" count="1" selected="0">
            <x v="198"/>
          </reference>
          <reference field="5" count="1">
            <x v="475"/>
          </reference>
        </references>
      </pivotArea>
    </format>
    <format dxfId="4191">
      <pivotArea dataOnly="0" labelOnly="1" fieldPosition="0">
        <references count="5">
          <reference field="1" count="1" selected="0">
            <x v="110"/>
          </reference>
          <reference field="2" count="1" selected="0">
            <x v="5"/>
          </reference>
          <reference field="3" count="1" selected="0">
            <x v="8"/>
          </reference>
          <reference field="4" count="1" selected="0">
            <x v="198"/>
          </reference>
          <reference field="5" count="1">
            <x v="305"/>
          </reference>
        </references>
      </pivotArea>
    </format>
    <format dxfId="4190">
      <pivotArea dataOnly="0" labelOnly="1" fieldPosition="0">
        <references count="5">
          <reference field="1" count="1" selected="0">
            <x v="110"/>
          </reference>
          <reference field="2" count="1" selected="0">
            <x v="5"/>
          </reference>
          <reference field="3" count="1" selected="0">
            <x v="10"/>
          </reference>
          <reference field="4" count="1" selected="0">
            <x v="198"/>
          </reference>
          <reference field="5" count="1">
            <x v="1370"/>
          </reference>
        </references>
      </pivotArea>
    </format>
    <format dxfId="4189">
      <pivotArea dataOnly="0" labelOnly="1" fieldPosition="0">
        <references count="5">
          <reference field="1" count="1" selected="0">
            <x v="110"/>
          </reference>
          <reference field="2" count="1" selected="0">
            <x v="7"/>
          </reference>
          <reference field="3" count="1" selected="0">
            <x v="9"/>
          </reference>
          <reference field="4" count="1" selected="0">
            <x v="198"/>
          </reference>
          <reference field="5" count="1">
            <x v="334"/>
          </reference>
        </references>
      </pivotArea>
    </format>
    <format dxfId="4188">
      <pivotArea dataOnly="0" labelOnly="1" fieldPosition="0">
        <references count="5">
          <reference field="1" count="1" selected="0">
            <x v="110"/>
          </reference>
          <reference field="2" count="1" selected="0">
            <x v="8"/>
          </reference>
          <reference field="3" count="1" selected="0">
            <x v="10"/>
          </reference>
          <reference field="4" count="1" selected="0">
            <x v="198"/>
          </reference>
          <reference field="5" count="1">
            <x v="539"/>
          </reference>
        </references>
      </pivotArea>
    </format>
    <format dxfId="4187">
      <pivotArea dataOnly="0" labelOnly="1" fieldPosition="0">
        <references count="5">
          <reference field="1" count="1" selected="0">
            <x v="110"/>
          </reference>
          <reference field="2" count="1" selected="0">
            <x v="12"/>
          </reference>
          <reference field="3" count="1" selected="0">
            <x v="1"/>
          </reference>
          <reference field="4" count="1" selected="0">
            <x v="198"/>
          </reference>
          <reference field="5" count="5">
            <x v="80"/>
            <x v="213"/>
            <x v="352"/>
            <x v="771"/>
            <x v="911"/>
          </reference>
        </references>
      </pivotArea>
    </format>
    <format dxfId="4186">
      <pivotArea dataOnly="0" labelOnly="1" fieldPosition="0">
        <references count="5">
          <reference field="1" count="1" selected="0">
            <x v="110"/>
          </reference>
          <reference field="2" count="1" selected="0">
            <x v="15"/>
          </reference>
          <reference field="3" count="1" selected="0">
            <x v="6"/>
          </reference>
          <reference field="4" count="1" selected="0">
            <x v="198"/>
          </reference>
          <reference field="5" count="1">
            <x v="512"/>
          </reference>
        </references>
      </pivotArea>
    </format>
    <format dxfId="4185">
      <pivotArea dataOnly="0" labelOnly="1" fieldPosition="0">
        <references count="5">
          <reference field="1" count="1" selected="0">
            <x v="110"/>
          </reference>
          <reference field="2" count="1" selected="0">
            <x v="15"/>
          </reference>
          <reference field="3" count="1" selected="0">
            <x v="8"/>
          </reference>
          <reference field="4" count="1" selected="0">
            <x v="198"/>
          </reference>
          <reference field="5" count="1">
            <x v="0"/>
          </reference>
        </references>
      </pivotArea>
    </format>
    <format dxfId="4184">
      <pivotArea dataOnly="0" labelOnly="1" fieldPosition="0">
        <references count="5">
          <reference field="1" count="1" selected="0">
            <x v="110"/>
          </reference>
          <reference field="2" count="1" selected="0">
            <x v="15"/>
          </reference>
          <reference field="3" count="1" selected="0">
            <x v="9"/>
          </reference>
          <reference field="4" count="1" selected="0">
            <x v="198"/>
          </reference>
          <reference field="5" count="1">
            <x v="503"/>
          </reference>
        </references>
      </pivotArea>
    </format>
    <format dxfId="4183">
      <pivotArea dataOnly="0" labelOnly="1" fieldPosition="0">
        <references count="5">
          <reference field="1" count="1" selected="0">
            <x v="110"/>
          </reference>
          <reference field="2" count="1" selected="0">
            <x v="23"/>
          </reference>
          <reference field="3" count="1" selected="0">
            <x v="38"/>
          </reference>
          <reference field="4" count="1" selected="0">
            <x v="198"/>
          </reference>
          <reference field="5" count="1">
            <x v="765"/>
          </reference>
        </references>
      </pivotArea>
    </format>
    <format dxfId="4182">
      <pivotArea dataOnly="0" labelOnly="1" fieldPosition="0">
        <references count="5">
          <reference field="1" count="1" selected="0">
            <x v="110"/>
          </reference>
          <reference field="2" count="1" selected="0">
            <x v="35"/>
          </reference>
          <reference field="3" count="1" selected="0">
            <x v="1"/>
          </reference>
          <reference field="4" count="1" selected="0">
            <x v="198"/>
          </reference>
          <reference field="5" count="1">
            <x v="80"/>
          </reference>
        </references>
      </pivotArea>
    </format>
    <format dxfId="4181">
      <pivotArea dataOnly="0" labelOnly="1" fieldPosition="0">
        <references count="5">
          <reference field="1" count="1" selected="0">
            <x v="110"/>
          </reference>
          <reference field="2" count="1" selected="0">
            <x v="37"/>
          </reference>
          <reference field="3" count="1" selected="0">
            <x v="8"/>
          </reference>
          <reference field="4" count="1" selected="0">
            <x v="198"/>
          </reference>
          <reference field="5" count="1">
            <x v="852"/>
          </reference>
        </references>
      </pivotArea>
    </format>
    <format dxfId="4180">
      <pivotArea dataOnly="0" labelOnly="1" fieldPosition="0">
        <references count="5">
          <reference field="1" count="1" selected="0">
            <x v="111"/>
          </reference>
          <reference field="2" count="1" selected="0">
            <x v="0"/>
          </reference>
          <reference field="3" count="1" selected="0">
            <x v="12"/>
          </reference>
          <reference field="4" count="1" selected="0">
            <x v="17"/>
          </reference>
          <reference field="5" count="1">
            <x v="219"/>
          </reference>
        </references>
      </pivotArea>
    </format>
    <format dxfId="4179">
      <pivotArea dataOnly="0" labelOnly="1" fieldPosition="0">
        <references count="5">
          <reference field="1" count="1" selected="0">
            <x v="111"/>
          </reference>
          <reference field="2" count="1" selected="0">
            <x v="0"/>
          </reference>
          <reference field="3" count="1" selected="0">
            <x v="12"/>
          </reference>
          <reference field="4" count="1" selected="0">
            <x v="24"/>
          </reference>
          <reference field="5" count="1">
            <x v="306"/>
          </reference>
        </references>
      </pivotArea>
    </format>
    <format dxfId="4178">
      <pivotArea dataOnly="0" labelOnly="1" fieldPosition="0">
        <references count="5">
          <reference field="1" count="1" selected="0">
            <x v="111"/>
          </reference>
          <reference field="2" count="1" selected="0">
            <x v="0"/>
          </reference>
          <reference field="3" count="1" selected="0">
            <x v="12"/>
          </reference>
          <reference field="4" count="1" selected="0">
            <x v="31"/>
          </reference>
          <reference field="5" count="1">
            <x v="219"/>
          </reference>
        </references>
      </pivotArea>
    </format>
    <format dxfId="4177">
      <pivotArea dataOnly="0" labelOnly="1" fieldPosition="0">
        <references count="5">
          <reference field="1" count="1" selected="0">
            <x v="111"/>
          </reference>
          <reference field="2" count="1" selected="0">
            <x v="0"/>
          </reference>
          <reference field="3" count="1" selected="0">
            <x v="12"/>
          </reference>
          <reference field="4" count="1" selected="0">
            <x v="36"/>
          </reference>
          <reference field="5" count="1">
            <x v="535"/>
          </reference>
        </references>
      </pivotArea>
    </format>
    <format dxfId="4176">
      <pivotArea dataOnly="0" labelOnly="1" fieldPosition="0">
        <references count="5">
          <reference field="1" count="1" selected="0">
            <x v="111"/>
          </reference>
          <reference field="2" count="1" selected="0">
            <x v="0"/>
          </reference>
          <reference field="3" count="1" selected="0">
            <x v="12"/>
          </reference>
          <reference field="4" count="1" selected="0">
            <x v="53"/>
          </reference>
          <reference field="5" count="1">
            <x v="223"/>
          </reference>
        </references>
      </pivotArea>
    </format>
    <format dxfId="4175">
      <pivotArea dataOnly="0" labelOnly="1" fieldPosition="0">
        <references count="5">
          <reference field="1" count="1" selected="0">
            <x v="111"/>
          </reference>
          <reference field="2" count="1" selected="0">
            <x v="0"/>
          </reference>
          <reference field="3" count="1" selected="0">
            <x v="12"/>
          </reference>
          <reference field="4" count="1" selected="0">
            <x v="55"/>
          </reference>
          <reference field="5" count="1">
            <x v="92"/>
          </reference>
        </references>
      </pivotArea>
    </format>
    <format dxfId="4174">
      <pivotArea dataOnly="0" labelOnly="1" fieldPosition="0">
        <references count="5">
          <reference field="1" count="1" selected="0">
            <x v="111"/>
          </reference>
          <reference field="2" count="1" selected="0">
            <x v="0"/>
          </reference>
          <reference field="3" count="1" selected="0">
            <x v="38"/>
          </reference>
          <reference field="4" count="1" selected="0">
            <x v="199"/>
          </reference>
          <reference field="5" count="2">
            <x v="469"/>
            <x v="592"/>
          </reference>
        </references>
      </pivotArea>
    </format>
    <format dxfId="4173">
      <pivotArea dataOnly="0" labelOnly="1" fieldPosition="0">
        <references count="5">
          <reference field="1" count="1" selected="0">
            <x v="111"/>
          </reference>
          <reference field="2" count="1" selected="0">
            <x v="3"/>
          </reference>
          <reference field="3" count="1" selected="0">
            <x v="1"/>
          </reference>
          <reference field="4" count="1" selected="0">
            <x v="199"/>
          </reference>
          <reference field="5" count="1">
            <x v="806"/>
          </reference>
        </references>
      </pivotArea>
    </format>
    <format dxfId="4172">
      <pivotArea dataOnly="0" labelOnly="1" fieldPosition="0">
        <references count="5">
          <reference field="1" count="1" selected="0">
            <x v="111"/>
          </reference>
          <reference field="2" count="1" selected="0">
            <x v="3"/>
          </reference>
          <reference field="3" count="1" selected="0">
            <x v="6"/>
          </reference>
          <reference field="4" count="1" selected="0">
            <x v="199"/>
          </reference>
          <reference field="5" count="1">
            <x v="517"/>
          </reference>
        </references>
      </pivotArea>
    </format>
    <format dxfId="4171">
      <pivotArea dataOnly="0" labelOnly="1" fieldPosition="0">
        <references count="5">
          <reference field="1" count="1" selected="0">
            <x v="111"/>
          </reference>
          <reference field="2" count="1" selected="0">
            <x v="3"/>
          </reference>
          <reference field="3" count="1" selected="0">
            <x v="38"/>
          </reference>
          <reference field="4" count="1" selected="0">
            <x v="199"/>
          </reference>
          <reference field="5" count="1">
            <x v="109"/>
          </reference>
        </references>
      </pivotArea>
    </format>
    <format dxfId="4170">
      <pivotArea dataOnly="0" labelOnly="1" fieldPosition="0">
        <references count="5">
          <reference field="1" count="1" selected="0">
            <x v="111"/>
          </reference>
          <reference field="2" count="1" selected="0">
            <x v="12"/>
          </reference>
          <reference field="3" count="1" selected="0">
            <x v="1"/>
          </reference>
          <reference field="4" count="1" selected="0">
            <x v="199"/>
          </reference>
          <reference field="5" count="2">
            <x v="80"/>
            <x v="213"/>
          </reference>
        </references>
      </pivotArea>
    </format>
    <format dxfId="4169">
      <pivotArea dataOnly="0" labelOnly="1" fieldPosition="0">
        <references count="5">
          <reference field="1" count="1" selected="0">
            <x v="111"/>
          </reference>
          <reference field="2" count="1" selected="0">
            <x v="20"/>
          </reference>
          <reference field="3" count="1" selected="0">
            <x v="6"/>
          </reference>
          <reference field="4" count="1" selected="0">
            <x v="199"/>
          </reference>
          <reference field="5" count="1">
            <x v="1705"/>
          </reference>
        </references>
      </pivotArea>
    </format>
    <format dxfId="4168">
      <pivotArea dataOnly="0" labelOnly="1" fieldPosition="0">
        <references count="5">
          <reference field="1" count="1" selected="0">
            <x v="111"/>
          </reference>
          <reference field="2" count="1" selected="0">
            <x v="21"/>
          </reference>
          <reference field="3" count="1" selected="0">
            <x v="33"/>
          </reference>
          <reference field="4" count="1" selected="0">
            <x v="199"/>
          </reference>
          <reference field="5" count="1">
            <x v="719"/>
          </reference>
        </references>
      </pivotArea>
    </format>
    <format dxfId="4167">
      <pivotArea dataOnly="0" labelOnly="1" fieldPosition="0">
        <references count="5">
          <reference field="1" count="1" selected="0">
            <x v="111"/>
          </reference>
          <reference field="2" count="1" selected="0">
            <x v="23"/>
          </reference>
          <reference field="3" count="1" selected="0">
            <x v="38"/>
          </reference>
          <reference field="4" count="1" selected="0">
            <x v="199"/>
          </reference>
          <reference field="5" count="1">
            <x v="79"/>
          </reference>
        </references>
      </pivotArea>
    </format>
    <format dxfId="4166">
      <pivotArea dataOnly="0" labelOnly="1" fieldPosition="0">
        <references count="5">
          <reference field="1" count="1" selected="0">
            <x v="111"/>
          </reference>
          <reference field="2" count="1" selected="0">
            <x v="35"/>
          </reference>
          <reference field="3" count="1" selected="0">
            <x v="1"/>
          </reference>
          <reference field="4" count="1" selected="0">
            <x v="199"/>
          </reference>
          <reference field="5" count="2">
            <x v="80"/>
            <x v="352"/>
          </reference>
        </references>
      </pivotArea>
    </format>
    <format dxfId="4165">
      <pivotArea dataOnly="0" labelOnly="1" fieldPosition="0">
        <references count="5">
          <reference field="1" count="1" selected="0">
            <x v="112"/>
          </reference>
          <reference field="2" count="1" selected="0">
            <x v="0"/>
          </reference>
          <reference field="3" count="1" selected="0">
            <x v="8"/>
          </reference>
          <reference field="4" count="1" selected="0">
            <x v="200"/>
          </reference>
          <reference field="5" count="1">
            <x v="0"/>
          </reference>
        </references>
      </pivotArea>
    </format>
    <format dxfId="4164">
      <pivotArea dataOnly="0" labelOnly="1" fieldPosition="0">
        <references count="5">
          <reference field="1" count="1" selected="0">
            <x v="112"/>
          </reference>
          <reference field="2" count="1" selected="0">
            <x v="0"/>
          </reference>
          <reference field="3" count="1" selected="0">
            <x v="12"/>
          </reference>
          <reference field="4" count="1" selected="0">
            <x v="40"/>
          </reference>
          <reference field="5" count="1">
            <x v="219"/>
          </reference>
        </references>
      </pivotArea>
    </format>
    <format dxfId="4163">
      <pivotArea dataOnly="0" labelOnly="1" fieldPosition="0">
        <references count="5">
          <reference field="1" count="1" selected="0">
            <x v="112"/>
          </reference>
          <reference field="2" count="1" selected="0">
            <x v="8"/>
          </reference>
          <reference field="3" count="1" selected="0">
            <x v="38"/>
          </reference>
          <reference field="4" count="1" selected="0">
            <x v="200"/>
          </reference>
          <reference field="5" count="1">
            <x v="769"/>
          </reference>
        </references>
      </pivotArea>
    </format>
    <format dxfId="4162">
      <pivotArea dataOnly="0" labelOnly="1" fieldPosition="0">
        <references count="5">
          <reference field="1" count="1" selected="0">
            <x v="112"/>
          </reference>
          <reference field="2" count="1" selected="0">
            <x v="12"/>
          </reference>
          <reference field="3" count="1" selected="0">
            <x v="1"/>
          </reference>
          <reference field="4" count="1" selected="0">
            <x v="200"/>
          </reference>
          <reference field="5" count="3">
            <x v="80"/>
            <x v="213"/>
            <x v="607"/>
          </reference>
        </references>
      </pivotArea>
    </format>
    <format dxfId="4161">
      <pivotArea dataOnly="0" labelOnly="1" fieldPosition="0">
        <references count="5">
          <reference field="1" count="1" selected="0">
            <x v="112"/>
          </reference>
          <reference field="2" count="1" selected="0">
            <x v="27"/>
          </reference>
          <reference field="3" count="1" selected="0">
            <x v="10"/>
          </reference>
          <reference field="4" count="1" selected="0">
            <x v="200"/>
          </reference>
          <reference field="5" count="1">
            <x v="180"/>
          </reference>
        </references>
      </pivotArea>
    </format>
    <format dxfId="4160">
      <pivotArea dataOnly="0" labelOnly="1" fieldPosition="0">
        <references count="5">
          <reference field="1" count="1" selected="0">
            <x v="112"/>
          </reference>
          <reference field="2" count="1" selected="0">
            <x v="29"/>
          </reference>
          <reference field="3" count="1" selected="0">
            <x v="10"/>
          </reference>
          <reference field="4" count="1" selected="0">
            <x v="200"/>
          </reference>
          <reference field="5" count="1">
            <x v="0"/>
          </reference>
        </references>
      </pivotArea>
    </format>
    <format dxfId="4159">
      <pivotArea dataOnly="0" labelOnly="1" fieldPosition="0">
        <references count="5">
          <reference field="1" count="1" selected="0">
            <x v="112"/>
          </reference>
          <reference field="2" count="1" selected="0">
            <x v="35"/>
          </reference>
          <reference field="3" count="1" selected="0">
            <x v="1"/>
          </reference>
          <reference field="4" count="1" selected="0">
            <x v="200"/>
          </reference>
          <reference field="5" count="1">
            <x v="771"/>
          </reference>
        </references>
      </pivotArea>
    </format>
    <format dxfId="4158">
      <pivotArea dataOnly="0" labelOnly="1" fieldPosition="0">
        <references count="5">
          <reference field="1" count="1" selected="0">
            <x v="113"/>
          </reference>
          <reference field="2" count="1" selected="0">
            <x v="0"/>
          </reference>
          <reference field="3" count="1" selected="0">
            <x v="8"/>
          </reference>
          <reference field="4" count="1" selected="0">
            <x v="201"/>
          </reference>
          <reference field="5" count="5">
            <x v="349"/>
            <x v="351"/>
            <x v="385"/>
            <x v="923"/>
            <x v="1267"/>
          </reference>
        </references>
      </pivotArea>
    </format>
    <format dxfId="4157">
      <pivotArea dataOnly="0" labelOnly="1" fieldPosition="0">
        <references count="5">
          <reference field="1" count="1" selected="0">
            <x v="113"/>
          </reference>
          <reference field="2" count="1" selected="0">
            <x v="0"/>
          </reference>
          <reference field="3" count="1" selected="0">
            <x v="9"/>
          </reference>
          <reference field="4" count="1" selected="0">
            <x v="201"/>
          </reference>
          <reference field="5" count="4">
            <x v="388"/>
            <x v="652"/>
            <x v="1078"/>
            <x v="1090"/>
          </reference>
        </references>
      </pivotArea>
    </format>
    <format dxfId="4156">
      <pivotArea dataOnly="0" labelOnly="1" fieldPosition="0">
        <references count="5">
          <reference field="1" count="1" selected="0">
            <x v="113"/>
          </reference>
          <reference field="2" count="1" selected="0">
            <x v="5"/>
          </reference>
          <reference field="3" count="1" selected="0">
            <x v="38"/>
          </reference>
          <reference field="4" count="1" selected="0">
            <x v="201"/>
          </reference>
          <reference field="5" count="1">
            <x v="1654"/>
          </reference>
        </references>
      </pivotArea>
    </format>
    <format dxfId="4155">
      <pivotArea dataOnly="0" labelOnly="1" fieldPosition="0">
        <references count="5">
          <reference field="1" count="1" selected="0">
            <x v="113"/>
          </reference>
          <reference field="2" count="1" selected="0">
            <x v="6"/>
          </reference>
          <reference field="3" count="1" selected="0">
            <x v="37"/>
          </reference>
          <reference field="4" count="1" selected="0">
            <x v="201"/>
          </reference>
          <reference field="5" count="1">
            <x v="654"/>
          </reference>
        </references>
      </pivotArea>
    </format>
    <format dxfId="4154">
      <pivotArea dataOnly="0" labelOnly="1" fieldPosition="0">
        <references count="5">
          <reference field="1" count="1" selected="0">
            <x v="113"/>
          </reference>
          <reference field="2" count="1" selected="0">
            <x v="9"/>
          </reference>
          <reference field="3" count="1" selected="0">
            <x v="8"/>
          </reference>
          <reference field="4" count="1" selected="0">
            <x v="201"/>
          </reference>
          <reference field="5" count="1">
            <x v="490"/>
          </reference>
        </references>
      </pivotArea>
    </format>
    <format dxfId="4153">
      <pivotArea dataOnly="0" labelOnly="1" fieldPosition="0">
        <references count="5">
          <reference field="1" count="1" selected="0">
            <x v="113"/>
          </reference>
          <reference field="2" count="1" selected="0">
            <x v="12"/>
          </reference>
          <reference field="3" count="1" selected="0">
            <x v="1"/>
          </reference>
          <reference field="4" count="1" selected="0">
            <x v="201"/>
          </reference>
          <reference field="5" count="1">
            <x v="80"/>
          </reference>
        </references>
      </pivotArea>
    </format>
    <format dxfId="4152">
      <pivotArea dataOnly="0" labelOnly="1" fieldPosition="0">
        <references count="5">
          <reference field="1" count="1" selected="0">
            <x v="113"/>
          </reference>
          <reference field="2" count="1" selected="0">
            <x v="14"/>
          </reference>
          <reference field="3" count="1" selected="0">
            <x v="38"/>
          </reference>
          <reference field="4" count="1" selected="0">
            <x v="201"/>
          </reference>
          <reference field="5" count="1">
            <x v="109"/>
          </reference>
        </references>
      </pivotArea>
    </format>
    <format dxfId="4151">
      <pivotArea dataOnly="0" labelOnly="1" fieldPosition="0">
        <references count="5">
          <reference field="1" count="1" selected="0">
            <x v="113"/>
          </reference>
          <reference field="2" count="1" selected="0">
            <x v="15"/>
          </reference>
          <reference field="3" count="1" selected="0">
            <x v="8"/>
          </reference>
          <reference field="4" count="1" selected="0">
            <x v="201"/>
          </reference>
          <reference field="5" count="1">
            <x v="238"/>
          </reference>
        </references>
      </pivotArea>
    </format>
    <format dxfId="4150">
      <pivotArea dataOnly="0" labelOnly="1" fieldPosition="0">
        <references count="5">
          <reference field="1" count="1" selected="0">
            <x v="113"/>
          </reference>
          <reference field="2" count="1" selected="0">
            <x v="15"/>
          </reference>
          <reference field="3" count="1" selected="0">
            <x v="38"/>
          </reference>
          <reference field="4" count="1" selected="0">
            <x v="201"/>
          </reference>
          <reference field="5" count="1">
            <x v="1317"/>
          </reference>
        </references>
      </pivotArea>
    </format>
    <format dxfId="4149">
      <pivotArea dataOnly="0" labelOnly="1" fieldPosition="0">
        <references count="5">
          <reference field="1" count="1" selected="0">
            <x v="113"/>
          </reference>
          <reference field="2" count="1" selected="0">
            <x v="21"/>
          </reference>
          <reference field="3" count="1" selected="0">
            <x v="38"/>
          </reference>
          <reference field="4" count="1" selected="0">
            <x v="201"/>
          </reference>
          <reference field="5" count="1">
            <x v="728"/>
          </reference>
        </references>
      </pivotArea>
    </format>
    <format dxfId="4148">
      <pivotArea dataOnly="0" labelOnly="1" fieldPosition="0">
        <references count="5">
          <reference field="1" count="1" selected="0">
            <x v="113"/>
          </reference>
          <reference field="2" count="1" selected="0">
            <x v="23"/>
          </reference>
          <reference field="3" count="1" selected="0">
            <x v="7"/>
          </reference>
          <reference field="4" count="1" selected="0">
            <x v="201"/>
          </reference>
          <reference field="5" count="1">
            <x v="371"/>
          </reference>
        </references>
      </pivotArea>
    </format>
    <format dxfId="4147">
      <pivotArea dataOnly="0" labelOnly="1" fieldPosition="0">
        <references count="5">
          <reference field="1" count="1" selected="0">
            <x v="113"/>
          </reference>
          <reference field="2" count="1" selected="0">
            <x v="24"/>
          </reference>
          <reference field="3" count="1" selected="0">
            <x v="38"/>
          </reference>
          <reference field="4" count="1" selected="0">
            <x v="201"/>
          </reference>
          <reference field="5" count="1">
            <x v="1759"/>
          </reference>
        </references>
      </pivotArea>
    </format>
    <format dxfId="4146">
      <pivotArea dataOnly="0" labelOnly="1" fieldPosition="0">
        <references count="5">
          <reference field="1" count="1" selected="0">
            <x v="113"/>
          </reference>
          <reference field="2" count="1" selected="0">
            <x v="26"/>
          </reference>
          <reference field="3" count="1" selected="0">
            <x v="38"/>
          </reference>
          <reference field="4" count="1" selected="0">
            <x v="201"/>
          </reference>
          <reference field="5" count="1">
            <x v="109"/>
          </reference>
        </references>
      </pivotArea>
    </format>
    <format dxfId="4145">
      <pivotArea dataOnly="0" labelOnly="1" fieldPosition="0">
        <references count="5">
          <reference field="1" count="1" selected="0">
            <x v="113"/>
          </reference>
          <reference field="2" count="1" selected="0">
            <x v="27"/>
          </reference>
          <reference field="3" count="1" selected="0">
            <x v="38"/>
          </reference>
          <reference field="4" count="1" selected="0">
            <x v="201"/>
          </reference>
          <reference field="5" count="1">
            <x v="39"/>
          </reference>
        </references>
      </pivotArea>
    </format>
    <format dxfId="4144">
      <pivotArea dataOnly="0" labelOnly="1" fieldPosition="0">
        <references count="5">
          <reference field="1" count="1" selected="0">
            <x v="113"/>
          </reference>
          <reference field="2" count="1" selected="0">
            <x v="29"/>
          </reference>
          <reference field="3" count="1" selected="0">
            <x v="38"/>
          </reference>
          <reference field="4" count="1" selected="0">
            <x v="201"/>
          </reference>
          <reference field="5" count="1">
            <x v="1583"/>
          </reference>
        </references>
      </pivotArea>
    </format>
    <format dxfId="4143">
      <pivotArea dataOnly="0" labelOnly="1" fieldPosition="0">
        <references count="5">
          <reference field="1" count="1" selected="0">
            <x v="113"/>
          </reference>
          <reference field="2" count="1" selected="0">
            <x v="35"/>
          </reference>
          <reference field="3" count="1" selected="0">
            <x v="1"/>
          </reference>
          <reference field="4" count="1" selected="0">
            <x v="201"/>
          </reference>
          <reference field="5" count="1">
            <x v="80"/>
          </reference>
        </references>
      </pivotArea>
    </format>
    <format dxfId="4142">
      <pivotArea dataOnly="0" labelOnly="1" fieldPosition="0">
        <references count="5">
          <reference field="1" count="1" selected="0">
            <x v="114"/>
          </reference>
          <reference field="2" count="1" selected="0">
            <x v="0"/>
          </reference>
          <reference field="3" count="1" selected="0">
            <x v="12"/>
          </reference>
          <reference field="4" count="1" selected="0">
            <x v="62"/>
          </reference>
          <reference field="5" count="1">
            <x v="77"/>
          </reference>
        </references>
      </pivotArea>
    </format>
    <format dxfId="4141">
      <pivotArea dataOnly="0" labelOnly="1" fieldPosition="0">
        <references count="5">
          <reference field="1" count="1" selected="0">
            <x v="114"/>
          </reference>
          <reference field="2" count="1" selected="0">
            <x v="0"/>
          </reference>
          <reference field="3" count="1" selected="0">
            <x v="26"/>
          </reference>
          <reference field="4" count="1" selected="0">
            <x v="202"/>
          </reference>
          <reference field="5" count="6">
            <x v="601"/>
            <x v="725"/>
            <x v="796"/>
            <x v="1046"/>
            <x v="1102"/>
            <x v="1531"/>
          </reference>
        </references>
      </pivotArea>
    </format>
    <format dxfId="4140">
      <pivotArea dataOnly="0" labelOnly="1" fieldPosition="0">
        <references count="5">
          <reference field="1" count="1" selected="0">
            <x v="114"/>
          </reference>
          <reference field="2" count="1" selected="0">
            <x v="0"/>
          </reference>
          <reference field="3" count="1" selected="0">
            <x v="38"/>
          </reference>
          <reference field="4" count="1" selected="0">
            <x v="203"/>
          </reference>
          <reference field="5" count="1">
            <x v="138"/>
          </reference>
        </references>
      </pivotArea>
    </format>
    <format dxfId="4139">
      <pivotArea dataOnly="0" labelOnly="1" fieldPosition="0">
        <references count="5">
          <reference field="1" count="1" selected="0">
            <x v="114"/>
          </reference>
          <reference field="2" count="1" selected="0">
            <x v="2"/>
          </reference>
          <reference field="3" count="1" selected="0">
            <x v="26"/>
          </reference>
          <reference field="4" count="1" selected="0">
            <x v="202"/>
          </reference>
          <reference field="5" count="1">
            <x v="1724"/>
          </reference>
        </references>
      </pivotArea>
    </format>
    <format dxfId="4138">
      <pivotArea dataOnly="0" labelOnly="1" fieldPosition="0">
        <references count="5">
          <reference field="1" count="1" selected="0">
            <x v="114"/>
          </reference>
          <reference field="2" count="1" selected="0">
            <x v="3"/>
          </reference>
          <reference field="3" count="1" selected="0">
            <x v="26"/>
          </reference>
          <reference field="4" count="1" selected="0">
            <x v="202"/>
          </reference>
          <reference field="5" count="1">
            <x v="178"/>
          </reference>
        </references>
      </pivotArea>
    </format>
    <format dxfId="4137">
      <pivotArea dataOnly="0" labelOnly="1" fieldPosition="0">
        <references count="5">
          <reference field="1" count="1" selected="0">
            <x v="114"/>
          </reference>
          <reference field="2" count="1" selected="0">
            <x v="3"/>
          </reference>
          <reference field="3" count="1" selected="0">
            <x v="38"/>
          </reference>
          <reference field="4" count="1" selected="0">
            <x v="203"/>
          </reference>
          <reference field="5" count="1">
            <x v="202"/>
          </reference>
        </references>
      </pivotArea>
    </format>
    <format dxfId="4136">
      <pivotArea dataOnly="0" labelOnly="1" fieldPosition="0">
        <references count="5">
          <reference field="1" count="1" selected="0">
            <x v="114"/>
          </reference>
          <reference field="2" count="1" selected="0">
            <x v="10"/>
          </reference>
          <reference field="3" count="1" selected="0">
            <x v="1"/>
          </reference>
          <reference field="4" count="1" selected="0">
            <x v="203"/>
          </reference>
          <reference field="5" count="1">
            <x v="1487"/>
          </reference>
        </references>
      </pivotArea>
    </format>
    <format dxfId="4135">
      <pivotArea dataOnly="0" labelOnly="1" fieldPosition="0">
        <references count="5">
          <reference field="1" count="1" selected="0">
            <x v="114"/>
          </reference>
          <reference field="2" count="1" selected="0">
            <x v="12"/>
          </reference>
          <reference field="3" count="1" selected="0">
            <x v="1"/>
          </reference>
          <reference field="4" count="1" selected="0">
            <x v="203"/>
          </reference>
          <reference field="5" count="3">
            <x v="80"/>
            <x v="352"/>
            <x v="607"/>
          </reference>
        </references>
      </pivotArea>
    </format>
    <format dxfId="4134">
      <pivotArea dataOnly="0" labelOnly="1" fieldPosition="0">
        <references count="5">
          <reference field="1" count="1" selected="0">
            <x v="114"/>
          </reference>
          <reference field="2" count="1" selected="0">
            <x v="12"/>
          </reference>
          <reference field="3" count="1" selected="0">
            <x v="8"/>
          </reference>
          <reference field="4" count="1" selected="0">
            <x v="203"/>
          </reference>
          <reference field="5" count="1">
            <x v="0"/>
          </reference>
        </references>
      </pivotArea>
    </format>
    <format dxfId="4133">
      <pivotArea dataOnly="0" labelOnly="1" fieldPosition="0">
        <references count="5">
          <reference field="1" count="1" selected="0">
            <x v="114"/>
          </reference>
          <reference field="2" count="1" selected="0">
            <x v="12"/>
          </reference>
          <reference field="3" count="1" selected="0">
            <x v="26"/>
          </reference>
          <reference field="4" count="1" selected="0">
            <x v="202"/>
          </reference>
          <reference field="5" count="27">
            <x v="269"/>
            <x v="378"/>
            <x v="442"/>
            <x v="492"/>
            <x v="799"/>
            <x v="815"/>
            <x v="1179"/>
            <x v="1300"/>
            <x v="1384"/>
            <x v="1389"/>
            <x v="1406"/>
            <x v="1435"/>
            <x v="1436"/>
            <x v="1474"/>
            <x v="1502"/>
            <x v="1551"/>
            <x v="1629"/>
            <x v="1642"/>
            <x v="1664"/>
            <x v="1686"/>
            <x v="1718"/>
            <x v="1739"/>
            <x v="1761"/>
            <x v="1782"/>
            <x v="1787"/>
            <x v="1797"/>
            <x v="1828"/>
          </reference>
        </references>
      </pivotArea>
    </format>
    <format dxfId="4132">
      <pivotArea dataOnly="0" labelOnly="1" fieldPosition="0">
        <references count="5">
          <reference field="1" count="1" selected="0">
            <x v="114"/>
          </reference>
          <reference field="2" count="1" selected="0">
            <x v="12"/>
          </reference>
          <reference field="3" count="1" selected="0">
            <x v="38"/>
          </reference>
          <reference field="4" count="1" selected="0">
            <x v="203"/>
          </reference>
          <reference field="5" count="1">
            <x v="352"/>
          </reference>
        </references>
      </pivotArea>
    </format>
    <format dxfId="4131">
      <pivotArea dataOnly="0" labelOnly="1" fieldPosition="0">
        <references count="5">
          <reference field="1" count="1" selected="0">
            <x v="114"/>
          </reference>
          <reference field="2" count="1" selected="0">
            <x v="23"/>
          </reference>
          <reference field="3" count="1" selected="0">
            <x v="26"/>
          </reference>
          <reference field="4" count="1" selected="0">
            <x v="202"/>
          </reference>
          <reference field="5" count="1">
            <x v="1878"/>
          </reference>
        </references>
      </pivotArea>
    </format>
    <format dxfId="4130">
      <pivotArea dataOnly="0" labelOnly="1" fieldPosition="0">
        <references count="5">
          <reference field="1" count="1" selected="0">
            <x v="114"/>
          </reference>
          <reference field="2" count="1" selected="0">
            <x v="24"/>
          </reference>
          <reference field="3" count="1" selected="0">
            <x v="26"/>
          </reference>
          <reference field="4" count="1" selected="0">
            <x v="202"/>
          </reference>
          <reference field="5" count="1">
            <x v="1520"/>
          </reference>
        </references>
      </pivotArea>
    </format>
    <format dxfId="4129">
      <pivotArea dataOnly="0" labelOnly="1" fieldPosition="0">
        <references count="5">
          <reference field="1" count="1" selected="0">
            <x v="114"/>
          </reference>
          <reference field="2" count="1" selected="0">
            <x v="26"/>
          </reference>
          <reference field="3" count="1" selected="0">
            <x v="38"/>
          </reference>
          <reference field="4" count="1" selected="0">
            <x v="203"/>
          </reference>
          <reference field="5" count="1">
            <x v="109"/>
          </reference>
        </references>
      </pivotArea>
    </format>
    <format dxfId="4128">
      <pivotArea dataOnly="0" labelOnly="1" fieldPosition="0">
        <references count="5">
          <reference field="1" count="1" selected="0">
            <x v="114"/>
          </reference>
          <reference field="2" count="1" selected="0">
            <x v="29"/>
          </reference>
          <reference field="3" count="1" selected="0">
            <x v="37"/>
          </reference>
          <reference field="4" count="1" selected="0">
            <x v="203"/>
          </reference>
          <reference field="5" count="1">
            <x v="721"/>
          </reference>
        </references>
      </pivotArea>
    </format>
    <format dxfId="4127">
      <pivotArea dataOnly="0" labelOnly="1" fieldPosition="0">
        <references count="5">
          <reference field="1" count="1" selected="0">
            <x v="114"/>
          </reference>
          <reference field="2" count="1" selected="0">
            <x v="30"/>
          </reference>
          <reference field="3" count="1" selected="0">
            <x v="6"/>
          </reference>
          <reference field="4" count="1" selected="0">
            <x v="203"/>
          </reference>
          <reference field="5" count="1">
            <x v="1844"/>
          </reference>
        </references>
      </pivotArea>
    </format>
    <format dxfId="4126">
      <pivotArea dataOnly="0" labelOnly="1" fieldPosition="0">
        <references count="5">
          <reference field="1" count="1" selected="0">
            <x v="114"/>
          </reference>
          <reference field="2" count="1" selected="0">
            <x v="35"/>
          </reference>
          <reference field="3" count="1" selected="0">
            <x v="1"/>
          </reference>
          <reference field="4" count="1" selected="0">
            <x v="203"/>
          </reference>
          <reference field="5" count="1">
            <x v="80"/>
          </reference>
        </references>
      </pivotArea>
    </format>
    <format dxfId="4125">
      <pivotArea dataOnly="0" labelOnly="1" fieldPosition="0">
        <references count="5">
          <reference field="1" count="1" selected="0">
            <x v="114"/>
          </reference>
          <reference field="2" count="1" selected="0">
            <x v="35"/>
          </reference>
          <reference field="3" count="1" selected="0">
            <x v="26"/>
          </reference>
          <reference field="4" count="1" selected="0">
            <x v="202"/>
          </reference>
          <reference field="5" count="15">
            <x v="115"/>
            <x v="130"/>
            <x v="266"/>
            <x v="487"/>
            <x v="504"/>
            <x v="574"/>
            <x v="581"/>
            <x v="734"/>
            <x v="928"/>
            <x v="946"/>
            <x v="1000"/>
            <x v="1190"/>
            <x v="1275"/>
            <x v="1372"/>
            <x v="1467"/>
          </reference>
        </references>
      </pivotArea>
    </format>
    <format dxfId="4124">
      <pivotArea dataOnly="0" labelOnly="1" fieldPosition="0">
        <references count="5">
          <reference field="1" count="1" selected="0">
            <x v="114"/>
          </reference>
          <reference field="2" count="1" selected="0">
            <x v="37"/>
          </reference>
          <reference field="3" count="1" selected="0">
            <x v="26"/>
          </reference>
          <reference field="4" count="1" selected="0">
            <x v="202"/>
          </reference>
          <reference field="5" count="1">
            <x v="1658"/>
          </reference>
        </references>
      </pivotArea>
    </format>
    <format dxfId="4123">
      <pivotArea dataOnly="0" labelOnly="1" fieldPosition="0">
        <references count="5">
          <reference field="1" count="1" selected="0">
            <x v="115"/>
          </reference>
          <reference field="2" count="1" selected="0">
            <x v="0"/>
          </reference>
          <reference field="3" count="1" selected="0">
            <x v="6"/>
          </reference>
          <reference field="4" count="1" selected="0">
            <x v="204"/>
          </reference>
          <reference field="5" count="1">
            <x v="1356"/>
          </reference>
        </references>
      </pivotArea>
    </format>
    <format dxfId="4122">
      <pivotArea dataOnly="0" labelOnly="1" fieldPosition="0">
        <references count="5">
          <reference field="1" count="1" selected="0">
            <x v="115"/>
          </reference>
          <reference field="2" count="1" selected="0">
            <x v="0"/>
          </reference>
          <reference field="3" count="1" selected="0">
            <x v="7"/>
          </reference>
          <reference field="4" count="1" selected="0">
            <x v="204"/>
          </reference>
          <reference field="5" count="2">
            <x v="247"/>
            <x v="469"/>
          </reference>
        </references>
      </pivotArea>
    </format>
    <format dxfId="4121">
      <pivotArea dataOnly="0" labelOnly="1" fieldPosition="0">
        <references count="5">
          <reference field="1" count="1" selected="0">
            <x v="115"/>
          </reference>
          <reference field="2" count="1" selected="0">
            <x v="0"/>
          </reference>
          <reference field="3" count="1" selected="0">
            <x v="8"/>
          </reference>
          <reference field="4" count="1" selected="0">
            <x v="204"/>
          </reference>
          <reference field="5" count="4">
            <x v="113"/>
            <x v="550"/>
            <x v="614"/>
            <x v="768"/>
          </reference>
        </references>
      </pivotArea>
    </format>
    <format dxfId="4120">
      <pivotArea dataOnly="0" labelOnly="1" fieldPosition="0">
        <references count="5">
          <reference field="1" count="1" selected="0">
            <x v="115"/>
          </reference>
          <reference field="2" count="1" selected="0">
            <x v="0"/>
          </reference>
          <reference field="3" count="1" selected="0">
            <x v="9"/>
          </reference>
          <reference field="4" count="1" selected="0">
            <x v="204"/>
          </reference>
          <reference field="5" count="6">
            <x v="118"/>
            <x v="439"/>
            <x v="704"/>
            <x v="1058"/>
            <x v="1159"/>
            <x v="1303"/>
          </reference>
        </references>
      </pivotArea>
    </format>
    <format dxfId="4119">
      <pivotArea dataOnly="0" labelOnly="1" fieldPosition="0">
        <references count="5">
          <reference field="1" count="1" selected="0">
            <x v="115"/>
          </reference>
          <reference field="2" count="1" selected="0">
            <x v="0"/>
          </reference>
          <reference field="3" count="1" selected="0">
            <x v="12"/>
          </reference>
          <reference field="4" count="1" selected="0">
            <x v="30"/>
          </reference>
          <reference field="5" count="1">
            <x v="14"/>
          </reference>
        </references>
      </pivotArea>
    </format>
    <format dxfId="4118">
      <pivotArea dataOnly="0" labelOnly="1" fieldPosition="0">
        <references count="5">
          <reference field="1" count="1" selected="0">
            <x v="115"/>
          </reference>
          <reference field="2" count="1" selected="0">
            <x v="0"/>
          </reference>
          <reference field="3" count="1" selected="0">
            <x v="12"/>
          </reference>
          <reference field="4" count="1" selected="0">
            <x v="58"/>
          </reference>
          <reference field="5" count="1">
            <x v="11"/>
          </reference>
        </references>
      </pivotArea>
    </format>
    <format dxfId="4117">
      <pivotArea dataOnly="0" labelOnly="1" fieldPosition="0">
        <references count="5">
          <reference field="1" count="1" selected="0">
            <x v="115"/>
          </reference>
          <reference field="2" count="1" selected="0">
            <x v="0"/>
          </reference>
          <reference field="3" count="1" selected="0">
            <x v="12"/>
          </reference>
          <reference field="4" count="1" selected="0">
            <x v="60"/>
          </reference>
          <reference field="5" count="1">
            <x v="138"/>
          </reference>
        </references>
      </pivotArea>
    </format>
    <format dxfId="4116">
      <pivotArea dataOnly="0" labelOnly="1" fieldPosition="0">
        <references count="5">
          <reference field="1" count="1" selected="0">
            <x v="115"/>
          </reference>
          <reference field="2" count="1" selected="0">
            <x v="0"/>
          </reference>
          <reference field="3" count="1" selected="0">
            <x v="38"/>
          </reference>
          <reference field="4" count="1" selected="0">
            <x v="204"/>
          </reference>
          <reference field="5" count="1">
            <x v="481"/>
          </reference>
        </references>
      </pivotArea>
    </format>
    <format dxfId="4115">
      <pivotArea dataOnly="0" labelOnly="1" fieldPosition="0">
        <references count="5">
          <reference field="1" count="1" selected="0">
            <x v="115"/>
          </reference>
          <reference field="2" count="1" selected="0">
            <x v="7"/>
          </reference>
          <reference field="3" count="1" selected="0">
            <x v="10"/>
          </reference>
          <reference field="4" count="1" selected="0">
            <x v="204"/>
          </reference>
          <reference field="5" count="1">
            <x v="875"/>
          </reference>
        </references>
      </pivotArea>
    </format>
    <format dxfId="4114">
      <pivotArea dataOnly="0" labelOnly="1" fieldPosition="0">
        <references count="5">
          <reference field="1" count="1" selected="0">
            <x v="115"/>
          </reference>
          <reference field="2" count="1" selected="0">
            <x v="11"/>
          </reference>
          <reference field="3" count="1" selected="0">
            <x v="9"/>
          </reference>
          <reference field="4" count="1" selected="0">
            <x v="204"/>
          </reference>
          <reference field="5" count="1">
            <x v="1101"/>
          </reference>
        </references>
      </pivotArea>
    </format>
    <format dxfId="4113">
      <pivotArea dataOnly="0" labelOnly="1" fieldPosition="0">
        <references count="5">
          <reference field="1" count="1" selected="0">
            <x v="115"/>
          </reference>
          <reference field="2" count="1" selected="0">
            <x v="12"/>
          </reference>
          <reference field="3" count="1" selected="0">
            <x v="1"/>
          </reference>
          <reference field="4" count="1" selected="0">
            <x v="204"/>
          </reference>
          <reference field="5" count="1">
            <x v="213"/>
          </reference>
        </references>
      </pivotArea>
    </format>
    <format dxfId="4112">
      <pivotArea dataOnly="0" labelOnly="1" fieldPosition="0">
        <references count="5">
          <reference field="1" count="1" selected="0">
            <x v="115"/>
          </reference>
          <reference field="2" count="1" selected="0">
            <x v="15"/>
          </reference>
          <reference field="3" count="1" selected="0">
            <x v="8"/>
          </reference>
          <reference field="4" count="1" selected="0">
            <x v="204"/>
          </reference>
          <reference field="5" count="1">
            <x v="352"/>
          </reference>
        </references>
      </pivotArea>
    </format>
    <format dxfId="4111">
      <pivotArea dataOnly="0" labelOnly="1" fieldPosition="0">
        <references count="5">
          <reference field="1" count="1" selected="0">
            <x v="115"/>
          </reference>
          <reference field="2" count="1" selected="0">
            <x v="15"/>
          </reference>
          <reference field="3" count="1" selected="0">
            <x v="38"/>
          </reference>
          <reference field="4" count="1" selected="0">
            <x v="204"/>
          </reference>
          <reference field="5" count="1">
            <x v="797"/>
          </reference>
        </references>
      </pivotArea>
    </format>
    <format dxfId="4110">
      <pivotArea dataOnly="0" labelOnly="1" fieldPosition="0">
        <references count="5">
          <reference field="1" count="1" selected="0">
            <x v="115"/>
          </reference>
          <reference field="2" count="1" selected="0">
            <x v="26"/>
          </reference>
          <reference field="3" count="1" selected="0">
            <x v="38"/>
          </reference>
          <reference field="4" count="1" selected="0">
            <x v="204"/>
          </reference>
          <reference field="5" count="1">
            <x v="352"/>
          </reference>
        </references>
      </pivotArea>
    </format>
    <format dxfId="4109">
      <pivotArea dataOnly="0" labelOnly="1" fieldPosition="0">
        <references count="5">
          <reference field="1" count="1" selected="0">
            <x v="116"/>
          </reference>
          <reference field="2" count="1" selected="0">
            <x v="0"/>
          </reference>
          <reference field="3" count="1" selected="0">
            <x v="1"/>
          </reference>
          <reference field="4" count="1" selected="0">
            <x v="205"/>
          </reference>
          <reference field="5" count="1">
            <x v="80"/>
          </reference>
        </references>
      </pivotArea>
    </format>
    <format dxfId="4108">
      <pivotArea dataOnly="0" labelOnly="1" fieldPosition="0">
        <references count="5">
          <reference field="1" count="1" selected="0">
            <x v="116"/>
          </reference>
          <reference field="2" count="1" selected="0">
            <x v="0"/>
          </reference>
          <reference field="3" count="1" selected="0">
            <x v="8"/>
          </reference>
          <reference field="4" count="1" selected="0">
            <x v="205"/>
          </reference>
          <reference field="5" count="1">
            <x v="206"/>
          </reference>
        </references>
      </pivotArea>
    </format>
    <format dxfId="4107">
      <pivotArea dataOnly="0" labelOnly="1" fieldPosition="0">
        <references count="5">
          <reference field="1" count="1" selected="0">
            <x v="116"/>
          </reference>
          <reference field="2" count="1" selected="0">
            <x v="0"/>
          </reference>
          <reference field="3" count="1" selected="0">
            <x v="10"/>
          </reference>
          <reference field="4" count="1" selected="0">
            <x v="205"/>
          </reference>
          <reference field="5" count="1">
            <x v="524"/>
          </reference>
        </references>
      </pivotArea>
    </format>
    <format dxfId="4106">
      <pivotArea dataOnly="0" labelOnly="1" fieldPosition="0">
        <references count="5">
          <reference field="1" count="1" selected="0">
            <x v="116"/>
          </reference>
          <reference field="2" count="1" selected="0">
            <x v="0"/>
          </reference>
          <reference field="3" count="1" selected="0">
            <x v="12"/>
          </reference>
          <reference field="4" count="1" selected="0">
            <x v="24"/>
          </reference>
          <reference field="5" count="1">
            <x v="32"/>
          </reference>
        </references>
      </pivotArea>
    </format>
    <format dxfId="4105">
      <pivotArea dataOnly="0" labelOnly="1" fieldPosition="0">
        <references count="5">
          <reference field="1" count="1" selected="0">
            <x v="116"/>
          </reference>
          <reference field="2" count="1" selected="0">
            <x v="0"/>
          </reference>
          <reference field="3" count="1" selected="0">
            <x v="12"/>
          </reference>
          <reference field="4" count="1" selected="0">
            <x v="50"/>
          </reference>
          <reference field="5" count="1">
            <x v="352"/>
          </reference>
        </references>
      </pivotArea>
    </format>
    <format dxfId="4104">
      <pivotArea dataOnly="0" labelOnly="1" fieldPosition="0">
        <references count="5">
          <reference field="1" count="1" selected="0">
            <x v="116"/>
          </reference>
          <reference field="2" count="1" selected="0">
            <x v="5"/>
          </reference>
          <reference field="3" count="1" selected="0">
            <x v="38"/>
          </reference>
          <reference field="4" count="1" selected="0">
            <x v="205"/>
          </reference>
          <reference field="5" count="1">
            <x v="1171"/>
          </reference>
        </references>
      </pivotArea>
    </format>
    <format dxfId="4103">
      <pivotArea dataOnly="0" labelOnly="1" fieldPosition="0">
        <references count="5">
          <reference field="1" count="1" selected="0">
            <x v="116"/>
          </reference>
          <reference field="2" count="1" selected="0">
            <x v="8"/>
          </reference>
          <reference field="3" count="1" selected="0">
            <x v="38"/>
          </reference>
          <reference field="4" count="1" selected="0">
            <x v="205"/>
          </reference>
          <reference field="5" count="1">
            <x v="1407"/>
          </reference>
        </references>
      </pivotArea>
    </format>
    <format dxfId="4102">
      <pivotArea dataOnly="0" labelOnly="1" fieldPosition="0">
        <references count="5">
          <reference field="1" count="1" selected="0">
            <x v="116"/>
          </reference>
          <reference field="2" count="1" selected="0">
            <x v="12"/>
          </reference>
          <reference field="3" count="1" selected="0">
            <x v="1"/>
          </reference>
          <reference field="4" count="1" selected="0">
            <x v="205"/>
          </reference>
          <reference field="5" count="2">
            <x v="80"/>
            <x v="213"/>
          </reference>
        </references>
      </pivotArea>
    </format>
    <format dxfId="4101">
      <pivotArea dataOnly="0" labelOnly="1" fieldPosition="0">
        <references count="5">
          <reference field="1" count="1" selected="0">
            <x v="116"/>
          </reference>
          <reference field="2" count="1" selected="0">
            <x v="14"/>
          </reference>
          <reference field="3" count="1" selected="0">
            <x v="1"/>
          </reference>
          <reference field="4" count="1" selected="0">
            <x v="205"/>
          </reference>
          <reference field="5" count="1">
            <x v="764"/>
          </reference>
        </references>
      </pivotArea>
    </format>
    <format dxfId="4100">
      <pivotArea dataOnly="0" labelOnly="1" fieldPosition="0">
        <references count="5">
          <reference field="1" count="1" selected="0">
            <x v="116"/>
          </reference>
          <reference field="2" count="1" selected="0">
            <x v="14"/>
          </reference>
          <reference field="3" count="1" selected="0">
            <x v="38"/>
          </reference>
          <reference field="4" count="1" selected="0">
            <x v="205"/>
          </reference>
          <reference field="5" count="1">
            <x v="193"/>
          </reference>
        </references>
      </pivotArea>
    </format>
    <format dxfId="4099">
      <pivotArea dataOnly="0" labelOnly="1" fieldPosition="0">
        <references count="5">
          <reference field="1" count="1" selected="0">
            <x v="116"/>
          </reference>
          <reference field="2" count="1" selected="0">
            <x v="15"/>
          </reference>
          <reference field="3" count="1" selected="0">
            <x v="38"/>
          </reference>
          <reference field="4" count="1" selected="0">
            <x v="205"/>
          </reference>
          <reference field="5" count="1">
            <x v="1206"/>
          </reference>
        </references>
      </pivotArea>
    </format>
    <format dxfId="4098">
      <pivotArea dataOnly="0" labelOnly="1" fieldPosition="0">
        <references count="5">
          <reference field="1" count="1" selected="0">
            <x v="116"/>
          </reference>
          <reference field="2" count="1" selected="0">
            <x v="19"/>
          </reference>
          <reference field="3" count="1" selected="0">
            <x v="1"/>
          </reference>
          <reference field="4" count="1" selected="0">
            <x v="205"/>
          </reference>
          <reference field="5" count="1">
            <x v="1162"/>
          </reference>
        </references>
      </pivotArea>
    </format>
    <format dxfId="4097">
      <pivotArea dataOnly="0" labelOnly="1" fieldPosition="0">
        <references count="5">
          <reference field="1" count="1" selected="0">
            <x v="116"/>
          </reference>
          <reference field="2" count="1" selected="0">
            <x v="23"/>
          </reference>
          <reference field="3" count="1" selected="0">
            <x v="7"/>
          </reference>
          <reference field="4" count="1" selected="0">
            <x v="205"/>
          </reference>
          <reference field="5" count="1">
            <x v="1333"/>
          </reference>
        </references>
      </pivotArea>
    </format>
    <format dxfId="4096">
      <pivotArea dataOnly="0" labelOnly="1" fieldPosition="0">
        <references count="5">
          <reference field="1" count="1" selected="0">
            <x v="117"/>
          </reference>
          <reference field="2" count="1" selected="0">
            <x v="0"/>
          </reference>
          <reference field="3" count="1" selected="0">
            <x v="1"/>
          </reference>
          <reference field="4" count="1" selected="0">
            <x v="206"/>
          </reference>
          <reference field="5" count="1">
            <x v="80"/>
          </reference>
        </references>
      </pivotArea>
    </format>
    <format dxfId="4095">
      <pivotArea dataOnly="0" labelOnly="1" fieldPosition="0">
        <references count="5">
          <reference field="1" count="1" selected="0">
            <x v="117"/>
          </reference>
          <reference field="2" count="1" selected="0">
            <x v="0"/>
          </reference>
          <reference field="3" count="1" selected="0">
            <x v="10"/>
          </reference>
          <reference field="4" count="1" selected="0">
            <x v="206"/>
          </reference>
          <reference field="5" count="1">
            <x v="0"/>
          </reference>
        </references>
      </pivotArea>
    </format>
    <format dxfId="4094">
      <pivotArea dataOnly="0" labelOnly="1" fieldPosition="0">
        <references count="5">
          <reference field="1" count="1" selected="0">
            <x v="117"/>
          </reference>
          <reference field="2" count="1" selected="0">
            <x v="0"/>
          </reference>
          <reference field="3" count="1" selected="0">
            <x v="12"/>
          </reference>
          <reference field="4" count="1" selected="0">
            <x v="24"/>
          </reference>
          <reference field="5" count="1">
            <x v="32"/>
          </reference>
        </references>
      </pivotArea>
    </format>
    <format dxfId="4093">
      <pivotArea dataOnly="0" labelOnly="1" fieldPosition="0">
        <references count="5">
          <reference field="1" count="1" selected="0">
            <x v="117"/>
          </reference>
          <reference field="2" count="1" selected="0">
            <x v="0"/>
          </reference>
          <reference field="3" count="1" selected="0">
            <x v="12"/>
          </reference>
          <reference field="4" count="1" selected="0">
            <x v="32"/>
          </reference>
          <reference field="5" count="1">
            <x v="90"/>
          </reference>
        </references>
      </pivotArea>
    </format>
    <format dxfId="4092">
      <pivotArea dataOnly="0" labelOnly="1" fieldPosition="0">
        <references count="5">
          <reference field="1" count="1" selected="0">
            <x v="117"/>
          </reference>
          <reference field="2" count="1" selected="0">
            <x v="0"/>
          </reference>
          <reference field="3" count="1" selected="0">
            <x v="38"/>
          </reference>
          <reference field="4" count="1" selected="0">
            <x v="206"/>
          </reference>
          <reference field="5" count="1">
            <x v="262"/>
          </reference>
        </references>
      </pivotArea>
    </format>
    <format dxfId="4091">
      <pivotArea dataOnly="0" labelOnly="1" fieldPosition="0">
        <references count="5">
          <reference field="1" count="1" selected="0">
            <x v="117"/>
          </reference>
          <reference field="2" count="1" selected="0">
            <x v="3"/>
          </reference>
          <reference field="3" count="1" selected="0">
            <x v="38"/>
          </reference>
          <reference field="4" count="1" selected="0">
            <x v="206"/>
          </reference>
          <reference field="5" count="1">
            <x v="39"/>
          </reference>
        </references>
      </pivotArea>
    </format>
    <format dxfId="4090">
      <pivotArea dataOnly="0" labelOnly="1" fieldPosition="0">
        <references count="5">
          <reference field="1" count="1" selected="0">
            <x v="117"/>
          </reference>
          <reference field="2" count="1" selected="0">
            <x v="7"/>
          </reference>
          <reference field="3" count="1" selected="0">
            <x v="38"/>
          </reference>
          <reference field="4" count="1" selected="0">
            <x v="206"/>
          </reference>
          <reference field="5" count="1">
            <x v="633"/>
          </reference>
        </references>
      </pivotArea>
    </format>
    <format dxfId="4089">
      <pivotArea dataOnly="0" labelOnly="1" fieldPosition="0">
        <references count="5">
          <reference field="1" count="1" selected="0">
            <x v="117"/>
          </reference>
          <reference field="2" count="1" selected="0">
            <x v="10"/>
          </reference>
          <reference field="3" count="1" selected="0">
            <x v="6"/>
          </reference>
          <reference field="4" count="1" selected="0">
            <x v="206"/>
          </reference>
          <reference field="5" count="1">
            <x v="1870"/>
          </reference>
        </references>
      </pivotArea>
    </format>
    <format dxfId="4088">
      <pivotArea dataOnly="0" labelOnly="1" fieldPosition="0">
        <references count="5">
          <reference field="1" count="1" selected="0">
            <x v="117"/>
          </reference>
          <reference field="2" count="1" selected="0">
            <x v="12"/>
          </reference>
          <reference field="3" count="1" selected="0">
            <x v="1"/>
          </reference>
          <reference field="4" count="1" selected="0">
            <x v="206"/>
          </reference>
          <reference field="5" count="2">
            <x v="80"/>
            <x v="213"/>
          </reference>
        </references>
      </pivotArea>
    </format>
    <format dxfId="4087">
      <pivotArea dataOnly="0" labelOnly="1" fieldPosition="0">
        <references count="5">
          <reference field="1" count="1" selected="0">
            <x v="117"/>
          </reference>
          <reference field="2" count="1" selected="0">
            <x v="15"/>
          </reference>
          <reference field="3" count="1" selected="0">
            <x v="36"/>
          </reference>
          <reference field="4" count="1" selected="0">
            <x v="76"/>
          </reference>
          <reference field="5" count="1">
            <x v="0"/>
          </reference>
        </references>
      </pivotArea>
    </format>
    <format dxfId="4086">
      <pivotArea dataOnly="0" labelOnly="1" fieldPosition="0">
        <references count="5">
          <reference field="1" count="1" selected="0">
            <x v="117"/>
          </reference>
          <reference field="2" count="1" selected="0">
            <x v="24"/>
          </reference>
          <reference field="3" count="1" selected="0">
            <x v="1"/>
          </reference>
          <reference field="4" count="1" selected="0">
            <x v="206"/>
          </reference>
          <reference field="5" count="1">
            <x v="91"/>
          </reference>
        </references>
      </pivotArea>
    </format>
    <format dxfId="4085">
      <pivotArea dataOnly="0" labelOnly="1" fieldPosition="0">
        <references count="5">
          <reference field="1" count="1" selected="0">
            <x v="117"/>
          </reference>
          <reference field="2" count="1" selected="0">
            <x v="27"/>
          </reference>
          <reference field="3" count="1" selected="0">
            <x v="10"/>
          </reference>
          <reference field="4" count="1" selected="0">
            <x v="206"/>
          </reference>
          <reference field="5" count="1">
            <x v="433"/>
          </reference>
        </references>
      </pivotArea>
    </format>
    <format dxfId="4084">
      <pivotArea dataOnly="0" labelOnly="1" fieldPosition="0">
        <references count="5">
          <reference field="1" count="1" selected="0">
            <x v="117"/>
          </reference>
          <reference field="2" count="1" selected="0">
            <x v="35"/>
          </reference>
          <reference field="3" count="1" selected="0">
            <x v="1"/>
          </reference>
          <reference field="4" count="1" selected="0">
            <x v="206"/>
          </reference>
          <reference field="5" count="1">
            <x v="80"/>
          </reference>
        </references>
      </pivotArea>
    </format>
    <format dxfId="4083">
      <pivotArea dataOnly="0" labelOnly="1" fieldPosition="0">
        <references count="5">
          <reference field="1" count="1" selected="0">
            <x v="118"/>
          </reference>
          <reference field="2" count="1" selected="0">
            <x v="0"/>
          </reference>
          <reference field="3" count="1" selected="0">
            <x v="12"/>
          </reference>
          <reference field="4" count="1" selected="0">
            <x v="32"/>
          </reference>
          <reference field="5" count="1">
            <x v="90"/>
          </reference>
        </references>
      </pivotArea>
    </format>
    <format dxfId="4082">
      <pivotArea dataOnly="0" labelOnly="1" fieldPosition="0">
        <references count="5">
          <reference field="1" count="1" selected="0">
            <x v="118"/>
          </reference>
          <reference field="2" count="1" selected="0">
            <x v="0"/>
          </reference>
          <reference field="3" count="1" selected="0">
            <x v="38"/>
          </reference>
          <reference field="4" count="1" selected="0">
            <x v="207"/>
          </reference>
          <reference field="5" count="1">
            <x v="262"/>
          </reference>
        </references>
      </pivotArea>
    </format>
    <format dxfId="4081">
      <pivotArea dataOnly="0" labelOnly="1" fieldPosition="0">
        <references count="5">
          <reference field="1" count="1" selected="0">
            <x v="118"/>
          </reference>
          <reference field="2" count="1" selected="0">
            <x v="12"/>
          </reference>
          <reference field="3" count="1" selected="0">
            <x v="1"/>
          </reference>
          <reference field="4" count="1" selected="0">
            <x v="207"/>
          </reference>
          <reference field="5" count="4">
            <x v="80"/>
            <x v="213"/>
            <x v="352"/>
            <x v="500"/>
          </reference>
        </references>
      </pivotArea>
    </format>
    <format dxfId="4080">
      <pivotArea dataOnly="0" labelOnly="1" fieldPosition="0">
        <references count="5">
          <reference field="1" count="1" selected="0">
            <x v="118"/>
          </reference>
          <reference field="2" count="1" selected="0">
            <x v="26"/>
          </reference>
          <reference field="3" count="1" selected="0">
            <x v="37"/>
          </reference>
          <reference field="4" count="1" selected="0">
            <x v="207"/>
          </reference>
          <reference field="5" count="1">
            <x v="278"/>
          </reference>
        </references>
      </pivotArea>
    </format>
    <format dxfId="4079">
      <pivotArea dataOnly="0" labelOnly="1" fieldPosition="0">
        <references count="5">
          <reference field="1" count="1" selected="0">
            <x v="118"/>
          </reference>
          <reference field="2" count="1" selected="0">
            <x v="37"/>
          </reference>
          <reference field="3" count="1" selected="0">
            <x v="38"/>
          </reference>
          <reference field="4" count="1" selected="0">
            <x v="207"/>
          </reference>
          <reference field="5" count="1">
            <x v="1064"/>
          </reference>
        </references>
      </pivotArea>
    </format>
    <format dxfId="4078">
      <pivotArea dataOnly="0" labelOnly="1" fieldPosition="0">
        <references count="5">
          <reference field="1" count="1" selected="0">
            <x v="119"/>
          </reference>
          <reference field="2" count="1" selected="0">
            <x v="0"/>
          </reference>
          <reference field="3" count="1" selected="0">
            <x v="12"/>
          </reference>
          <reference field="4" count="1" selected="0">
            <x v="52"/>
          </reference>
          <reference field="5" count="1">
            <x v="57"/>
          </reference>
        </references>
      </pivotArea>
    </format>
    <format dxfId="4077">
      <pivotArea dataOnly="0" labelOnly="1" fieldPosition="0">
        <references count="5">
          <reference field="1" count="1" selected="0">
            <x v="119"/>
          </reference>
          <reference field="2" count="1" selected="0">
            <x v="0"/>
          </reference>
          <reference field="3" count="1" selected="0">
            <x v="12"/>
          </reference>
          <reference field="4" count="1" selected="0">
            <x v="65"/>
          </reference>
          <reference field="5" count="1">
            <x v="9"/>
          </reference>
        </references>
      </pivotArea>
    </format>
    <format dxfId="4076">
      <pivotArea dataOnly="0" labelOnly="1" fieldPosition="0">
        <references count="5">
          <reference field="1" count="1" selected="0">
            <x v="119"/>
          </reference>
          <reference field="2" count="1" selected="0">
            <x v="0"/>
          </reference>
          <reference field="3" count="1" selected="0">
            <x v="12"/>
          </reference>
          <reference field="4" count="1" selected="0">
            <x v="72"/>
          </reference>
          <reference field="5" count="1">
            <x v="13"/>
          </reference>
        </references>
      </pivotArea>
    </format>
    <format dxfId="4075">
      <pivotArea dataOnly="0" labelOnly="1" fieldPosition="0">
        <references count="5">
          <reference field="1" count="1" selected="0">
            <x v="120"/>
          </reference>
          <reference field="2" count="1" selected="0">
            <x v="0"/>
          </reference>
          <reference field="3" count="1" selected="0">
            <x v="1"/>
          </reference>
          <reference field="4" count="1" selected="0">
            <x v="208"/>
          </reference>
          <reference field="5" count="1">
            <x v="80"/>
          </reference>
        </references>
      </pivotArea>
    </format>
    <format dxfId="4074">
      <pivotArea dataOnly="0" labelOnly="1" fieldPosition="0">
        <references count="5">
          <reference field="1" count="1" selected="0">
            <x v="120"/>
          </reference>
          <reference field="2" count="1" selected="0">
            <x v="0"/>
          </reference>
          <reference field="3" count="1" selected="0">
            <x v="6"/>
          </reference>
          <reference field="4" count="1" selected="0">
            <x v="208"/>
          </reference>
          <reference field="5" count="1">
            <x v="469"/>
          </reference>
        </references>
      </pivotArea>
    </format>
    <format dxfId="4073">
      <pivotArea dataOnly="0" labelOnly="1" fieldPosition="0">
        <references count="5">
          <reference field="1" count="1" selected="0">
            <x v="120"/>
          </reference>
          <reference field="2" count="1" selected="0">
            <x v="0"/>
          </reference>
          <reference field="3" count="1" selected="0">
            <x v="38"/>
          </reference>
          <reference field="4" count="1" selected="0">
            <x v="208"/>
          </reference>
          <reference field="5" count="1">
            <x v="1256"/>
          </reference>
        </references>
      </pivotArea>
    </format>
    <format dxfId="4072">
      <pivotArea dataOnly="0" labelOnly="1" fieldPosition="0">
        <references count="5">
          <reference field="1" count="1" selected="0">
            <x v="120"/>
          </reference>
          <reference field="2" count="1" selected="0">
            <x v="2"/>
          </reference>
          <reference field="3" count="1" selected="0">
            <x v="1"/>
          </reference>
          <reference field="4" count="1" selected="0">
            <x v="208"/>
          </reference>
          <reference field="5" count="1">
            <x v="970"/>
          </reference>
        </references>
      </pivotArea>
    </format>
    <format dxfId="4071">
      <pivotArea dataOnly="0" labelOnly="1" fieldPosition="0">
        <references count="5">
          <reference field="1" count="1" selected="0">
            <x v="120"/>
          </reference>
          <reference field="2" count="1" selected="0">
            <x v="2"/>
          </reference>
          <reference field="3" count="1" selected="0">
            <x v="10"/>
          </reference>
          <reference field="4" count="1" selected="0">
            <x v="208"/>
          </reference>
          <reference field="5" count="1">
            <x v="1819"/>
          </reference>
        </references>
      </pivotArea>
    </format>
    <format dxfId="4070">
      <pivotArea dataOnly="0" labelOnly="1" fieldPosition="0">
        <references count="5">
          <reference field="1" count="1" selected="0">
            <x v="120"/>
          </reference>
          <reference field="2" count="1" selected="0">
            <x v="3"/>
          </reference>
          <reference field="3" count="1" selected="0">
            <x v="38"/>
          </reference>
          <reference field="4" count="1" selected="0">
            <x v="208"/>
          </reference>
          <reference field="5" count="1">
            <x v="109"/>
          </reference>
        </references>
      </pivotArea>
    </format>
    <format dxfId="4069">
      <pivotArea dataOnly="0" labelOnly="1" fieldPosition="0">
        <references count="5">
          <reference field="1" count="1" selected="0">
            <x v="120"/>
          </reference>
          <reference field="2" count="1" selected="0">
            <x v="5"/>
          </reference>
          <reference field="3" count="1" selected="0">
            <x v="38"/>
          </reference>
          <reference field="4" count="1" selected="0">
            <x v="208"/>
          </reference>
          <reference field="5" count="1">
            <x v="278"/>
          </reference>
        </references>
      </pivotArea>
    </format>
    <format dxfId="4068">
      <pivotArea dataOnly="0" labelOnly="1" fieldPosition="0">
        <references count="5">
          <reference field="1" count="1" selected="0">
            <x v="120"/>
          </reference>
          <reference field="2" count="1" selected="0">
            <x v="7"/>
          </reference>
          <reference field="3" count="1" selected="0">
            <x v="38"/>
          </reference>
          <reference field="4" count="1" selected="0">
            <x v="208"/>
          </reference>
          <reference field="5" count="1">
            <x v="539"/>
          </reference>
        </references>
      </pivotArea>
    </format>
    <format dxfId="4067">
      <pivotArea dataOnly="0" labelOnly="1" fieldPosition="0">
        <references count="5">
          <reference field="1" count="1" selected="0">
            <x v="120"/>
          </reference>
          <reference field="2" count="1" selected="0">
            <x v="8"/>
          </reference>
          <reference field="3" count="1" selected="0">
            <x v="38"/>
          </reference>
          <reference field="4" count="1" selected="0">
            <x v="208"/>
          </reference>
          <reference field="5" count="1">
            <x v="1310"/>
          </reference>
        </references>
      </pivotArea>
    </format>
    <format dxfId="4066">
      <pivotArea dataOnly="0" labelOnly="1" fieldPosition="0">
        <references count="5">
          <reference field="1" count="1" selected="0">
            <x v="120"/>
          </reference>
          <reference field="2" count="1" selected="0">
            <x v="12"/>
          </reference>
          <reference field="3" count="1" selected="0">
            <x v="1"/>
          </reference>
          <reference field="4" count="1" selected="0">
            <x v="208"/>
          </reference>
          <reference field="5" count="5">
            <x v="213"/>
            <x v="500"/>
            <x v="771"/>
            <x v="911"/>
            <x v="1028"/>
          </reference>
        </references>
      </pivotArea>
    </format>
    <format dxfId="4065">
      <pivotArea dataOnly="0" labelOnly="1" fieldPosition="0">
        <references count="5">
          <reference field="1" count="1" selected="0">
            <x v="120"/>
          </reference>
          <reference field="2" count="1" selected="0">
            <x v="12"/>
          </reference>
          <reference field="3" count="1" selected="0">
            <x v="38"/>
          </reference>
          <reference field="4" count="1" selected="0">
            <x v="208"/>
          </reference>
          <reference field="5" count="2">
            <x v="1414"/>
            <x v="1528"/>
          </reference>
        </references>
      </pivotArea>
    </format>
    <format dxfId="4064">
      <pivotArea dataOnly="0" labelOnly="1" fieldPosition="0">
        <references count="5">
          <reference field="1" count="1" selected="0">
            <x v="120"/>
          </reference>
          <reference field="2" count="1" selected="0">
            <x v="23"/>
          </reference>
          <reference field="3" count="1" selected="0">
            <x v="6"/>
          </reference>
          <reference field="4" count="1" selected="0">
            <x v="208"/>
          </reference>
          <reference field="5" count="1">
            <x v="277"/>
          </reference>
        </references>
      </pivotArea>
    </format>
    <format dxfId="4063">
      <pivotArea dataOnly="0" labelOnly="1" fieldPosition="0">
        <references count="5">
          <reference field="1" count="1" selected="0">
            <x v="120"/>
          </reference>
          <reference field="2" count="1" selected="0">
            <x v="27"/>
          </reference>
          <reference field="3" count="1" selected="0">
            <x v="38"/>
          </reference>
          <reference field="4" count="1" selected="0">
            <x v="208"/>
          </reference>
          <reference field="5" count="1">
            <x v="109"/>
          </reference>
        </references>
      </pivotArea>
    </format>
    <format dxfId="4062">
      <pivotArea dataOnly="0" labelOnly="1" fieldPosition="0">
        <references count="5">
          <reference field="1" count="1" selected="0">
            <x v="120"/>
          </reference>
          <reference field="2" count="1" selected="0">
            <x v="35"/>
          </reference>
          <reference field="3" count="1" selected="0">
            <x v="1"/>
          </reference>
          <reference field="4" count="1" selected="0">
            <x v="208"/>
          </reference>
          <reference field="5" count="2">
            <x v="80"/>
            <x v="213"/>
          </reference>
        </references>
      </pivotArea>
    </format>
    <format dxfId="4061">
      <pivotArea dataOnly="0" labelOnly="1" fieldPosition="0">
        <references count="5">
          <reference field="1" count="1" selected="0">
            <x v="120"/>
          </reference>
          <reference field="2" count="1" selected="0">
            <x v="35"/>
          </reference>
          <reference field="3" count="1" selected="0">
            <x v="38"/>
          </reference>
          <reference field="4" count="1" selected="0">
            <x v="208"/>
          </reference>
          <reference field="5" count="1">
            <x v="1465"/>
          </reference>
        </references>
      </pivotArea>
    </format>
    <format dxfId="4060">
      <pivotArea dataOnly="0" labelOnly="1" fieldPosition="0">
        <references count="5">
          <reference field="1" count="1" selected="0">
            <x v="121"/>
          </reference>
          <reference field="2" count="1" selected="0">
            <x v="0"/>
          </reference>
          <reference field="3" count="1" selected="0">
            <x v="8"/>
          </reference>
          <reference field="4" count="1" selected="0">
            <x v="209"/>
          </reference>
          <reference field="5" count="5">
            <x v="98"/>
            <x v="162"/>
            <x v="351"/>
            <x v="353"/>
            <x v="1114"/>
          </reference>
        </references>
      </pivotArea>
    </format>
    <format dxfId="4059">
      <pivotArea dataOnly="0" labelOnly="1" fieldPosition="0">
        <references count="5">
          <reference field="1" count="1" selected="0">
            <x v="121"/>
          </reference>
          <reference field="2" count="1" selected="0">
            <x v="0"/>
          </reference>
          <reference field="3" count="1" selected="0">
            <x v="9"/>
          </reference>
          <reference field="4" count="1" selected="0">
            <x v="209"/>
          </reference>
          <reference field="5" count="13">
            <x v="284"/>
            <x v="380"/>
            <x v="420"/>
            <x v="443"/>
            <x v="489"/>
            <x v="592"/>
            <x v="837"/>
            <x v="879"/>
            <x v="921"/>
            <x v="957"/>
            <x v="966"/>
            <x v="1053"/>
            <x v="1322"/>
          </reference>
        </references>
      </pivotArea>
    </format>
    <format dxfId="4058">
      <pivotArea dataOnly="0" labelOnly="1" fieldPosition="0">
        <references count="5">
          <reference field="1" count="1" selected="0">
            <x v="121"/>
          </reference>
          <reference field="2" count="1" selected="0">
            <x v="0"/>
          </reference>
          <reference field="3" count="1" selected="0">
            <x v="12"/>
          </reference>
          <reference field="4" count="1" selected="0">
            <x v="43"/>
          </reference>
          <reference field="5" count="1">
            <x v="9"/>
          </reference>
        </references>
      </pivotArea>
    </format>
    <format dxfId="4057">
      <pivotArea dataOnly="0" labelOnly="1" fieldPosition="0">
        <references count="5">
          <reference field="1" count="1" selected="0">
            <x v="121"/>
          </reference>
          <reference field="2" count="1" selected="0">
            <x v="2"/>
          </reference>
          <reference field="3" count="1" selected="0">
            <x v="8"/>
          </reference>
          <reference field="4" count="1" selected="0">
            <x v="209"/>
          </reference>
          <reference field="5" count="1">
            <x v="583"/>
          </reference>
        </references>
      </pivotArea>
    </format>
    <format dxfId="4056">
      <pivotArea dataOnly="0" labelOnly="1" fieldPosition="0">
        <references count="5">
          <reference field="1" count="1" selected="0">
            <x v="121"/>
          </reference>
          <reference field="2" count="1" selected="0">
            <x v="5"/>
          </reference>
          <reference field="3" count="1" selected="0">
            <x v="38"/>
          </reference>
          <reference field="4" count="1" selected="0">
            <x v="209"/>
          </reference>
          <reference field="5" count="1">
            <x v="784"/>
          </reference>
        </references>
      </pivotArea>
    </format>
    <format dxfId="4055">
      <pivotArea dataOnly="0" labelOnly="1" fieldPosition="0">
        <references count="5">
          <reference field="1" count="1" selected="0">
            <x v="121"/>
          </reference>
          <reference field="2" count="1" selected="0">
            <x v="11"/>
          </reference>
          <reference field="3" count="1" selected="0">
            <x v="8"/>
          </reference>
          <reference field="4" count="1" selected="0">
            <x v="209"/>
          </reference>
          <reference field="5" count="1">
            <x v="857"/>
          </reference>
        </references>
      </pivotArea>
    </format>
    <format dxfId="4054">
      <pivotArea dataOnly="0" labelOnly="1" fieldPosition="0">
        <references count="5">
          <reference field="1" count="1" selected="0">
            <x v="121"/>
          </reference>
          <reference field="2" count="1" selected="0">
            <x v="12"/>
          </reference>
          <reference field="3" count="1" selected="0">
            <x v="1"/>
          </reference>
          <reference field="4" count="1" selected="0">
            <x v="209"/>
          </reference>
          <reference field="5" count="3">
            <x v="80"/>
            <x v="352"/>
            <x v="702"/>
          </reference>
        </references>
      </pivotArea>
    </format>
    <format dxfId="4053">
      <pivotArea dataOnly="0" labelOnly="1" fieldPosition="0">
        <references count="5">
          <reference field="1" count="1" selected="0">
            <x v="121"/>
          </reference>
          <reference field="2" count="1" selected="0">
            <x v="15"/>
          </reference>
          <reference field="3" count="1" selected="0">
            <x v="8"/>
          </reference>
          <reference field="4" count="1" selected="0">
            <x v="209"/>
          </reference>
          <reference field="5" count="1">
            <x v="1059"/>
          </reference>
        </references>
      </pivotArea>
    </format>
    <format dxfId="4052">
      <pivotArea dataOnly="0" labelOnly="1" fieldPosition="0">
        <references count="5">
          <reference field="1" count="1" selected="0">
            <x v="121"/>
          </reference>
          <reference field="2" count="1" selected="0">
            <x v="15"/>
          </reference>
          <reference field="3" count="1" selected="0">
            <x v="9"/>
          </reference>
          <reference field="4" count="1" selected="0">
            <x v="209"/>
          </reference>
          <reference field="5" count="1">
            <x v="248"/>
          </reference>
        </references>
      </pivotArea>
    </format>
    <format dxfId="4051">
      <pivotArea dataOnly="0" labelOnly="1" fieldPosition="0">
        <references count="5">
          <reference field="1" count="1" selected="0">
            <x v="121"/>
          </reference>
          <reference field="2" count="1" selected="0">
            <x v="15"/>
          </reference>
          <reference field="3" count="1" selected="0">
            <x v="38"/>
          </reference>
          <reference field="4" count="1" selected="0">
            <x v="209"/>
          </reference>
          <reference field="5" count="1">
            <x v="1036"/>
          </reference>
        </references>
      </pivotArea>
    </format>
    <format dxfId="4050">
      <pivotArea dataOnly="0" labelOnly="1" fieldPosition="0">
        <references count="5">
          <reference field="1" count="1" selected="0">
            <x v="121"/>
          </reference>
          <reference field="2" count="1" selected="0">
            <x v="17"/>
          </reference>
          <reference field="3" count="1" selected="0">
            <x v="6"/>
          </reference>
          <reference field="4" count="1" selected="0">
            <x v="209"/>
          </reference>
          <reference field="5" count="1">
            <x v="1788"/>
          </reference>
        </references>
      </pivotArea>
    </format>
    <format dxfId="4049">
      <pivotArea dataOnly="0" labelOnly="1" fieldPosition="0">
        <references count="5">
          <reference field="1" count="1" selected="0">
            <x v="121"/>
          </reference>
          <reference field="2" count="1" selected="0">
            <x v="17"/>
          </reference>
          <reference field="3" count="1" selected="0">
            <x v="9"/>
          </reference>
          <reference field="4" count="1" selected="0">
            <x v="209"/>
          </reference>
          <reference field="5" count="1">
            <x v="464"/>
          </reference>
        </references>
      </pivotArea>
    </format>
    <format dxfId="4048">
      <pivotArea dataOnly="0" labelOnly="1" fieldPosition="0">
        <references count="5">
          <reference field="1" count="1" selected="0">
            <x v="121"/>
          </reference>
          <reference field="2" count="1" selected="0">
            <x v="19"/>
          </reference>
          <reference field="3" count="1" selected="0">
            <x v="10"/>
          </reference>
          <reference field="4" count="1" selected="0">
            <x v="209"/>
          </reference>
          <reference field="5" count="1">
            <x v="0"/>
          </reference>
        </references>
      </pivotArea>
    </format>
    <format dxfId="4047">
      <pivotArea dataOnly="0" labelOnly="1" fieldPosition="0">
        <references count="5">
          <reference field="1" count="1" selected="0">
            <x v="121"/>
          </reference>
          <reference field="2" count="1" selected="0">
            <x v="23"/>
          </reference>
          <reference field="3" count="1" selected="0">
            <x v="7"/>
          </reference>
          <reference field="4" count="1" selected="0">
            <x v="209"/>
          </reference>
          <reference field="5" count="1">
            <x v="1093"/>
          </reference>
        </references>
      </pivotArea>
    </format>
    <format dxfId="4046">
      <pivotArea dataOnly="0" labelOnly="1" fieldPosition="0">
        <references count="5">
          <reference field="1" count="1" selected="0">
            <x v="121"/>
          </reference>
          <reference field="2" count="1" selected="0">
            <x v="23"/>
          </reference>
          <reference field="3" count="1" selected="0">
            <x v="9"/>
          </reference>
          <reference field="4" count="1" selected="0">
            <x v="209"/>
          </reference>
          <reference field="5" count="1">
            <x v="1347"/>
          </reference>
        </references>
      </pivotArea>
    </format>
    <format dxfId="4045">
      <pivotArea dataOnly="0" labelOnly="1" fieldPosition="0">
        <references count="5">
          <reference field="1" count="1" selected="0">
            <x v="121"/>
          </reference>
          <reference field="2" count="1" selected="0">
            <x v="25"/>
          </reference>
          <reference field="3" count="1" selected="0">
            <x v="9"/>
          </reference>
          <reference field="4" count="1" selected="0">
            <x v="209"/>
          </reference>
          <reference field="5" count="1">
            <x v="1073"/>
          </reference>
        </references>
      </pivotArea>
    </format>
    <format dxfId="4044">
      <pivotArea dataOnly="0" labelOnly="1" fieldPosition="0">
        <references count="5">
          <reference field="1" count="1" selected="0">
            <x v="121"/>
          </reference>
          <reference field="2" count="1" selected="0">
            <x v="35"/>
          </reference>
          <reference field="3" count="1" selected="0">
            <x v="1"/>
          </reference>
          <reference field="4" count="1" selected="0">
            <x v="209"/>
          </reference>
          <reference field="5" count="1">
            <x v="80"/>
          </reference>
        </references>
      </pivotArea>
    </format>
    <format dxfId="4043">
      <pivotArea dataOnly="0" labelOnly="1" fieldPosition="0">
        <references count="5">
          <reference field="1" count="1" selected="0">
            <x v="121"/>
          </reference>
          <reference field="2" count="1" selected="0">
            <x v="36"/>
          </reference>
          <reference field="3" count="1" selected="0">
            <x v="9"/>
          </reference>
          <reference field="4" count="1" selected="0">
            <x v="209"/>
          </reference>
          <reference field="5" count="1">
            <x v="804"/>
          </reference>
        </references>
      </pivotArea>
    </format>
    <format dxfId="4042">
      <pivotArea dataOnly="0" labelOnly="1" fieldPosition="0">
        <references count="5">
          <reference field="1" count="1" selected="0">
            <x v="122"/>
          </reference>
          <reference field="2" count="1" selected="0">
            <x v="0"/>
          </reference>
          <reference field="3" count="1" selected="0">
            <x v="10"/>
          </reference>
          <reference field="4" count="1" selected="0">
            <x v="210"/>
          </reference>
          <reference field="5" count="1">
            <x v="0"/>
          </reference>
        </references>
      </pivotArea>
    </format>
    <format dxfId="4041">
      <pivotArea dataOnly="0" labelOnly="1" fieldPosition="0">
        <references count="5">
          <reference field="1" count="1" selected="0">
            <x v="122"/>
          </reference>
          <reference field="2" count="1" selected="0">
            <x v="0"/>
          </reference>
          <reference field="3" count="1" selected="0">
            <x v="12"/>
          </reference>
          <reference field="4" count="1" selected="0">
            <x v="30"/>
          </reference>
          <reference field="5" count="1">
            <x v="11"/>
          </reference>
        </references>
      </pivotArea>
    </format>
    <format dxfId="4040">
      <pivotArea dataOnly="0" labelOnly="1" fieldPosition="0">
        <references count="5">
          <reference field="1" count="1" selected="0">
            <x v="122"/>
          </reference>
          <reference field="2" count="1" selected="0">
            <x v="0"/>
          </reference>
          <reference field="3" count="1" selected="0">
            <x v="12"/>
          </reference>
          <reference field="4" count="1" selected="0">
            <x v="42"/>
          </reference>
          <reference field="5" count="1">
            <x v="69"/>
          </reference>
        </references>
      </pivotArea>
    </format>
    <format dxfId="4039">
      <pivotArea dataOnly="0" labelOnly="1" fieldPosition="0">
        <references count="5">
          <reference field="1" count="1" selected="0">
            <x v="122"/>
          </reference>
          <reference field="2" count="1" selected="0">
            <x v="7"/>
          </reference>
          <reference field="3" count="1" selected="0">
            <x v="6"/>
          </reference>
          <reference field="4" count="1" selected="0">
            <x v="210"/>
          </reference>
          <reference field="5" count="1">
            <x v="719"/>
          </reference>
        </references>
      </pivotArea>
    </format>
    <format dxfId="4038">
      <pivotArea dataOnly="0" labelOnly="1" fieldPosition="0">
        <references count="5">
          <reference field="1" count="1" selected="0">
            <x v="122"/>
          </reference>
          <reference field="2" count="1" selected="0">
            <x v="8"/>
          </reference>
          <reference field="3" count="1" selected="0">
            <x v="38"/>
          </reference>
          <reference field="4" count="1" selected="0">
            <x v="210"/>
          </reference>
          <reference field="5" count="1">
            <x v="1144"/>
          </reference>
        </references>
      </pivotArea>
    </format>
    <format dxfId="4037">
      <pivotArea dataOnly="0" labelOnly="1" fieldPosition="0">
        <references count="5">
          <reference field="1" count="1" selected="0">
            <x v="122"/>
          </reference>
          <reference field="2" count="1" selected="0">
            <x v="12"/>
          </reference>
          <reference field="3" count="1" selected="0">
            <x v="1"/>
          </reference>
          <reference field="4" count="1" selected="0">
            <x v="210"/>
          </reference>
          <reference field="5" count="5">
            <x v="80"/>
            <x v="213"/>
            <x v="702"/>
            <x v="911"/>
            <x v="1114"/>
          </reference>
        </references>
      </pivotArea>
    </format>
    <format dxfId="4036">
      <pivotArea dataOnly="0" labelOnly="1" fieldPosition="0">
        <references count="5">
          <reference field="1" count="1" selected="0">
            <x v="122"/>
          </reference>
          <reference field="2" count="1" selected="0">
            <x v="17"/>
          </reference>
          <reference field="3" count="1" selected="0">
            <x v="6"/>
          </reference>
          <reference field="4" count="1" selected="0">
            <x v="210"/>
          </reference>
          <reference field="5" count="1">
            <x v="1627"/>
          </reference>
        </references>
      </pivotArea>
    </format>
    <format dxfId="4035">
      <pivotArea dataOnly="0" labelOnly="1" fieldPosition="0">
        <references count="5">
          <reference field="1" count="1" selected="0">
            <x v="122"/>
          </reference>
          <reference field="2" count="1" selected="0">
            <x v="18"/>
          </reference>
          <reference field="3" count="1" selected="0">
            <x v="38"/>
          </reference>
          <reference field="4" count="1" selected="0">
            <x v="210"/>
          </reference>
          <reference field="5" count="1">
            <x v="1337"/>
          </reference>
        </references>
      </pivotArea>
    </format>
    <format dxfId="4034">
      <pivotArea dataOnly="0" labelOnly="1" fieldPosition="0">
        <references count="5">
          <reference field="1" count="1" selected="0">
            <x v="122"/>
          </reference>
          <reference field="2" count="1" selected="0">
            <x v="19"/>
          </reference>
          <reference field="3" count="1" selected="0">
            <x v="6"/>
          </reference>
          <reference field="4" count="1" selected="0">
            <x v="210"/>
          </reference>
          <reference field="5" count="1">
            <x v="1288"/>
          </reference>
        </references>
      </pivotArea>
    </format>
    <format dxfId="4033">
      <pivotArea dataOnly="0" labelOnly="1" fieldPosition="0">
        <references count="5">
          <reference field="1" count="1" selected="0">
            <x v="122"/>
          </reference>
          <reference field="2" count="1" selected="0">
            <x v="23"/>
          </reference>
          <reference field="3" count="1" selected="0">
            <x v="38"/>
          </reference>
          <reference field="4" count="1" selected="0">
            <x v="210"/>
          </reference>
          <reference field="5" count="1">
            <x v="38"/>
          </reference>
        </references>
      </pivotArea>
    </format>
    <format dxfId="4032">
      <pivotArea dataOnly="0" labelOnly="1" fieldPosition="0">
        <references count="5">
          <reference field="1" count="1" selected="0">
            <x v="122"/>
          </reference>
          <reference field="2" count="1" selected="0">
            <x v="32"/>
          </reference>
          <reference field="3" count="1" selected="0">
            <x v="6"/>
          </reference>
          <reference field="4" count="1" selected="0">
            <x v="210"/>
          </reference>
          <reference field="5" count="1">
            <x v="1875"/>
          </reference>
        </references>
      </pivotArea>
    </format>
    <format dxfId="4031">
      <pivotArea dataOnly="0" labelOnly="1" fieldPosition="0">
        <references count="5">
          <reference field="1" count="1" selected="0">
            <x v="123"/>
          </reference>
          <reference field="2" count="1" selected="0">
            <x v="5"/>
          </reference>
          <reference field="3" count="1" selected="0">
            <x v="37"/>
          </reference>
          <reference field="4" count="1" selected="0">
            <x v="211"/>
          </reference>
          <reference field="5" count="1">
            <x v="1824"/>
          </reference>
        </references>
      </pivotArea>
    </format>
    <format dxfId="4030">
      <pivotArea dataOnly="0" labelOnly="1" fieldPosition="0">
        <references count="5">
          <reference field="1" count="1" selected="0">
            <x v="123"/>
          </reference>
          <reference field="2" count="1" selected="0">
            <x v="6"/>
          </reference>
          <reference field="3" count="1" selected="0">
            <x v="38"/>
          </reference>
          <reference field="4" count="1" selected="0">
            <x v="211"/>
          </reference>
          <reference field="5" count="1">
            <x v="982"/>
          </reference>
        </references>
      </pivotArea>
    </format>
    <format dxfId="4029">
      <pivotArea dataOnly="0" labelOnly="1" fieldPosition="0">
        <references count="5">
          <reference field="1" count="1" selected="0">
            <x v="123"/>
          </reference>
          <reference field="2" count="1" selected="0">
            <x v="12"/>
          </reference>
          <reference field="3" count="1" selected="0">
            <x v="1"/>
          </reference>
          <reference field="4" count="1" selected="0">
            <x v="211"/>
          </reference>
          <reference field="5" count="2">
            <x v="80"/>
            <x v="352"/>
          </reference>
        </references>
      </pivotArea>
    </format>
    <format dxfId="4028">
      <pivotArea dataOnly="0" labelOnly="1" fieldPosition="0">
        <references count="5">
          <reference field="1" count="1" selected="0">
            <x v="123"/>
          </reference>
          <reference field="2" count="1" selected="0">
            <x v="14"/>
          </reference>
          <reference field="3" count="1" selected="0">
            <x v="1"/>
          </reference>
          <reference field="4" count="1" selected="0">
            <x v="211"/>
          </reference>
          <reference field="5" count="1">
            <x v="605"/>
          </reference>
        </references>
      </pivotArea>
    </format>
    <format dxfId="4027">
      <pivotArea dataOnly="0" labelOnly="1" fieldPosition="0">
        <references count="5">
          <reference field="1" count="1" selected="0">
            <x v="123"/>
          </reference>
          <reference field="2" count="1" selected="0">
            <x v="14"/>
          </reference>
          <reference field="3" count="1" selected="0">
            <x v="9"/>
          </reference>
          <reference field="4" count="1" selected="0">
            <x v="211"/>
          </reference>
          <reference field="5" count="1">
            <x v="0"/>
          </reference>
        </references>
      </pivotArea>
    </format>
    <format dxfId="4026">
      <pivotArea dataOnly="0" labelOnly="1" fieldPosition="0">
        <references count="5">
          <reference field="1" count="1" selected="0">
            <x v="123"/>
          </reference>
          <reference field="2" count="1" selected="0">
            <x v="15"/>
          </reference>
          <reference field="3" count="1" selected="0">
            <x v="10"/>
          </reference>
          <reference field="4" count="1" selected="0">
            <x v="211"/>
          </reference>
          <reference field="5" count="1">
            <x v="31"/>
          </reference>
        </references>
      </pivotArea>
    </format>
    <format dxfId="4025">
      <pivotArea dataOnly="0" labelOnly="1" fieldPosition="0">
        <references count="5">
          <reference field="1" count="1" selected="0">
            <x v="123"/>
          </reference>
          <reference field="2" count="1" selected="0">
            <x v="27"/>
          </reference>
          <reference field="3" count="1" selected="0">
            <x v="6"/>
          </reference>
          <reference field="4" count="1" selected="0">
            <x v="211"/>
          </reference>
          <reference field="5" count="1">
            <x v="1532"/>
          </reference>
        </references>
      </pivotArea>
    </format>
    <format dxfId="4024">
      <pivotArea dataOnly="0" labelOnly="1" fieldPosition="0">
        <references count="5">
          <reference field="1" count="1" selected="0">
            <x v="123"/>
          </reference>
          <reference field="2" count="1" selected="0">
            <x v="29"/>
          </reference>
          <reference field="3" count="1" selected="0">
            <x v="10"/>
          </reference>
          <reference field="4" count="1" selected="0">
            <x v="211"/>
          </reference>
          <reference field="5" count="1">
            <x v="1839"/>
          </reference>
        </references>
      </pivotArea>
    </format>
    <format dxfId="4023">
      <pivotArea dataOnly="0" labelOnly="1" fieldPosition="0">
        <references count="5">
          <reference field="1" count="1" selected="0">
            <x v="123"/>
          </reference>
          <reference field="2" count="1" selected="0">
            <x v="35"/>
          </reference>
          <reference field="3" count="1" selected="0">
            <x v="1"/>
          </reference>
          <reference field="4" count="1" selected="0">
            <x v="211"/>
          </reference>
          <reference field="5" count="1">
            <x v="80"/>
          </reference>
        </references>
      </pivotArea>
    </format>
    <format dxfId="4022">
      <pivotArea dataOnly="0" labelOnly="1" fieldPosition="0">
        <references count="5">
          <reference field="1" count="1" selected="0">
            <x v="123"/>
          </reference>
          <reference field="2" count="1" selected="0">
            <x v="37"/>
          </reference>
          <reference field="3" count="1" selected="0">
            <x v="10"/>
          </reference>
          <reference field="4" count="1" selected="0">
            <x v="211"/>
          </reference>
          <reference field="5" count="1">
            <x v="1321"/>
          </reference>
        </references>
      </pivotArea>
    </format>
    <format dxfId="4021">
      <pivotArea dataOnly="0" labelOnly="1" fieldPosition="0">
        <references count="5">
          <reference field="1" count="1" selected="0">
            <x v="124"/>
          </reference>
          <reference field="2" count="1" selected="0">
            <x v="0"/>
          </reference>
          <reference field="3" count="1" selected="0">
            <x v="12"/>
          </reference>
          <reference field="4" count="1" selected="0">
            <x v="38"/>
          </reference>
          <reference field="5" count="1">
            <x v="11"/>
          </reference>
        </references>
      </pivotArea>
    </format>
    <format dxfId="4020">
      <pivotArea dataOnly="0" labelOnly="1" fieldPosition="0">
        <references count="5">
          <reference field="1" count="1" selected="0">
            <x v="124"/>
          </reference>
          <reference field="2" count="1" selected="0">
            <x v="0"/>
          </reference>
          <reference field="3" count="1" selected="0">
            <x v="12"/>
          </reference>
          <reference field="4" count="1" selected="0">
            <x v="64"/>
          </reference>
          <reference field="5" count="1">
            <x v="53"/>
          </reference>
        </references>
      </pivotArea>
    </format>
    <format dxfId="4019">
      <pivotArea dataOnly="0" labelOnly="1" fieldPosition="0">
        <references count="5">
          <reference field="1" count="1" selected="0">
            <x v="124"/>
          </reference>
          <reference field="2" count="1" selected="0">
            <x v="0"/>
          </reference>
          <reference field="3" count="1" selected="0">
            <x v="38"/>
          </reference>
          <reference field="4" count="1" selected="0">
            <x v="212"/>
          </reference>
          <reference field="5" count="1">
            <x v="138"/>
          </reference>
        </references>
      </pivotArea>
    </format>
    <format dxfId="4018">
      <pivotArea dataOnly="0" labelOnly="1" fieldPosition="0">
        <references count="5">
          <reference field="1" count="1" selected="0">
            <x v="124"/>
          </reference>
          <reference field="2" count="1" selected="0">
            <x v="2"/>
          </reference>
          <reference field="3" count="1" selected="0">
            <x v="6"/>
          </reference>
          <reference field="4" count="1" selected="0">
            <x v="212"/>
          </reference>
          <reference field="5" count="1">
            <x v="1339"/>
          </reference>
        </references>
      </pivotArea>
    </format>
    <format dxfId="4017">
      <pivotArea dataOnly="0" labelOnly="1" fieldPosition="0">
        <references count="5">
          <reference field="1" count="1" selected="0">
            <x v="124"/>
          </reference>
          <reference field="2" count="1" selected="0">
            <x v="6"/>
          </reference>
          <reference field="3" count="1" selected="0">
            <x v="38"/>
          </reference>
          <reference field="4" count="1" selected="0">
            <x v="212"/>
          </reference>
          <reference field="5" count="1">
            <x v="561"/>
          </reference>
        </references>
      </pivotArea>
    </format>
    <format dxfId="4016">
      <pivotArea dataOnly="0" labelOnly="1" fieldPosition="0">
        <references count="5">
          <reference field="1" count="1" selected="0">
            <x v="124"/>
          </reference>
          <reference field="2" count="1" selected="0">
            <x v="12"/>
          </reference>
          <reference field="3" count="1" selected="0">
            <x v="1"/>
          </reference>
          <reference field="4" count="1" selected="0">
            <x v="212"/>
          </reference>
          <reference field="5" count="3">
            <x v="80"/>
            <x v="213"/>
            <x v="500"/>
          </reference>
        </references>
      </pivotArea>
    </format>
    <format dxfId="4015">
      <pivotArea dataOnly="0" labelOnly="1" fieldPosition="0">
        <references count="5">
          <reference field="1" count="1" selected="0">
            <x v="124"/>
          </reference>
          <reference field="2" count="1" selected="0">
            <x v="12"/>
          </reference>
          <reference field="3" count="1" selected="0">
            <x v="3"/>
          </reference>
          <reference field="4" count="1" selected="0">
            <x v="0"/>
          </reference>
          <reference field="5" count="1">
            <x v="80"/>
          </reference>
        </references>
      </pivotArea>
    </format>
    <format dxfId="4014">
      <pivotArea dataOnly="0" labelOnly="1" fieldPosition="0">
        <references count="5">
          <reference field="1" count="1" selected="0">
            <x v="124"/>
          </reference>
          <reference field="2" count="1" selected="0">
            <x v="12"/>
          </reference>
          <reference field="3" count="1" selected="0">
            <x v="4"/>
          </reference>
          <reference field="4" count="1" selected="0">
            <x v="0"/>
          </reference>
          <reference field="5" count="3">
            <x v="352"/>
            <x v="500"/>
            <x v="964"/>
          </reference>
        </references>
      </pivotArea>
    </format>
    <format dxfId="4013">
      <pivotArea dataOnly="0" labelOnly="1" fieldPosition="0">
        <references count="5">
          <reference field="1" count="1" selected="0">
            <x v="124"/>
          </reference>
          <reference field="2" count="1" selected="0">
            <x v="21"/>
          </reference>
          <reference field="3" count="1" selected="0">
            <x v="38"/>
          </reference>
          <reference field="4" count="1" selected="0">
            <x v="212"/>
          </reference>
          <reference field="5" count="1">
            <x v="1274"/>
          </reference>
        </references>
      </pivotArea>
    </format>
    <format dxfId="4012">
      <pivotArea dataOnly="0" labelOnly="1" fieldPosition="0">
        <references count="5">
          <reference field="1" count="1" selected="0">
            <x v="124"/>
          </reference>
          <reference field="2" count="1" selected="0">
            <x v="23"/>
          </reference>
          <reference field="3" count="1" selected="0">
            <x v="38"/>
          </reference>
          <reference field="4" count="1" selected="0">
            <x v="212"/>
          </reference>
          <reference field="5" count="1">
            <x v="1854"/>
          </reference>
        </references>
      </pivotArea>
    </format>
    <format dxfId="4011">
      <pivotArea dataOnly="0" labelOnly="1" fieldPosition="0">
        <references count="5">
          <reference field="1" count="1" selected="0">
            <x v="124"/>
          </reference>
          <reference field="2" count="1" selected="0">
            <x v="35"/>
          </reference>
          <reference field="3" count="1" selected="0">
            <x v="1"/>
          </reference>
          <reference field="4" count="1" selected="0">
            <x v="212"/>
          </reference>
          <reference field="5" count="1">
            <x v="80"/>
          </reference>
        </references>
      </pivotArea>
    </format>
    <format dxfId="4010">
      <pivotArea dataOnly="0" labelOnly="1" fieldPosition="0">
        <references count="5">
          <reference field="1" count="1" selected="0">
            <x v="124"/>
          </reference>
          <reference field="2" count="1" selected="0">
            <x v="36"/>
          </reference>
          <reference field="3" count="1" selected="0">
            <x v="38"/>
          </reference>
          <reference field="4" count="1" selected="0">
            <x v="212"/>
          </reference>
          <reference field="5" count="1">
            <x v="153"/>
          </reference>
        </references>
      </pivotArea>
    </format>
    <format dxfId="4009">
      <pivotArea dataOnly="0" labelOnly="1" fieldPosition="0">
        <references count="5">
          <reference field="1" count="1" selected="0">
            <x v="125"/>
          </reference>
          <reference field="2" count="1" selected="0">
            <x v="0"/>
          </reference>
          <reference field="3" count="1" selected="0">
            <x v="12"/>
          </reference>
          <reference field="4" count="1" selected="0">
            <x v="26"/>
          </reference>
          <reference field="5" count="1">
            <x v="25"/>
          </reference>
        </references>
      </pivotArea>
    </format>
    <format dxfId="4008">
      <pivotArea dataOnly="0" labelOnly="1" fieldPosition="0">
        <references count="5">
          <reference field="1" count="1" selected="0">
            <x v="125"/>
          </reference>
          <reference field="2" count="1" selected="0">
            <x v="0"/>
          </reference>
          <reference field="3" count="1" selected="0">
            <x v="12"/>
          </reference>
          <reference field="4" count="1" selected="0">
            <x v="57"/>
          </reference>
          <reference field="5" count="1">
            <x v="6"/>
          </reference>
        </references>
      </pivotArea>
    </format>
    <format dxfId="4007">
      <pivotArea dataOnly="0" labelOnly="1" fieldPosition="0">
        <references count="5">
          <reference field="1" count="1" selected="0">
            <x v="125"/>
          </reference>
          <reference field="2" count="1" selected="0">
            <x v="5"/>
          </reference>
          <reference field="3" count="1" selected="0">
            <x v="10"/>
          </reference>
          <reference field="4" count="1" selected="0">
            <x v="213"/>
          </reference>
          <reference field="5" count="1">
            <x v="1332"/>
          </reference>
        </references>
      </pivotArea>
    </format>
    <format dxfId="4006">
      <pivotArea dataOnly="0" labelOnly="1" fieldPosition="0">
        <references count="5">
          <reference field="1" count="1" selected="0">
            <x v="125"/>
          </reference>
          <reference field="2" count="1" selected="0">
            <x v="12"/>
          </reference>
          <reference field="3" count="1" selected="0">
            <x v="1"/>
          </reference>
          <reference field="4" count="1" selected="0">
            <x v="213"/>
          </reference>
          <reference field="5" count="4">
            <x v="80"/>
            <x v="213"/>
            <x v="500"/>
            <x v="702"/>
          </reference>
        </references>
      </pivotArea>
    </format>
    <format dxfId="4005">
      <pivotArea dataOnly="0" labelOnly="1" fieldPosition="0">
        <references count="5">
          <reference field="1" count="1" selected="0">
            <x v="125"/>
          </reference>
          <reference field="2" count="1" selected="0">
            <x v="14"/>
          </reference>
          <reference field="3" count="1" selected="0">
            <x v="38"/>
          </reference>
          <reference field="4" count="1" selected="0">
            <x v="213"/>
          </reference>
          <reference field="5" count="1">
            <x v="1429"/>
          </reference>
        </references>
      </pivotArea>
    </format>
    <format dxfId="4004">
      <pivotArea dataOnly="0" labelOnly="1" fieldPosition="0">
        <references count="5">
          <reference field="1" count="1" selected="0">
            <x v="125"/>
          </reference>
          <reference field="2" count="1" selected="0">
            <x v="21"/>
          </reference>
          <reference field="3" count="1" selected="0">
            <x v="38"/>
          </reference>
          <reference field="4" count="1" selected="0">
            <x v="213"/>
          </reference>
          <reference field="5" count="1">
            <x v="755"/>
          </reference>
        </references>
      </pivotArea>
    </format>
    <format dxfId="4003">
      <pivotArea dataOnly="0" labelOnly="1" fieldPosition="0">
        <references count="5">
          <reference field="1" count="1" selected="0">
            <x v="125"/>
          </reference>
          <reference field="2" count="1" selected="0">
            <x v="23"/>
          </reference>
          <reference field="3" count="1" selected="0">
            <x v="38"/>
          </reference>
          <reference field="4" count="1" selected="0">
            <x v="213"/>
          </reference>
          <reference field="5" count="1">
            <x v="87"/>
          </reference>
        </references>
      </pivotArea>
    </format>
    <format dxfId="4002">
      <pivotArea dataOnly="0" labelOnly="1" fieldPosition="0">
        <references count="5">
          <reference field="1" count="1" selected="0">
            <x v="125"/>
          </reference>
          <reference field="2" count="1" selected="0">
            <x v="24"/>
          </reference>
          <reference field="3" count="1" selected="0">
            <x v="38"/>
          </reference>
          <reference field="4" count="1" selected="0">
            <x v="213"/>
          </reference>
          <reference field="5" count="1">
            <x v="94"/>
          </reference>
        </references>
      </pivotArea>
    </format>
    <format dxfId="4001">
      <pivotArea dataOnly="0" labelOnly="1" fieldPosition="0">
        <references count="5">
          <reference field="1" count="1" selected="0">
            <x v="125"/>
          </reference>
          <reference field="2" count="1" selected="0">
            <x v="26"/>
          </reference>
          <reference field="3" count="1" selected="0">
            <x v="38"/>
          </reference>
          <reference field="4" count="1" selected="0">
            <x v="213"/>
          </reference>
          <reference field="5" count="1">
            <x v="352"/>
          </reference>
        </references>
      </pivotArea>
    </format>
    <format dxfId="4000">
      <pivotArea dataOnly="0" labelOnly="1" fieldPosition="0">
        <references count="5">
          <reference field="1" count="1" selected="0">
            <x v="125"/>
          </reference>
          <reference field="2" count="1" selected="0">
            <x v="29"/>
          </reference>
          <reference field="3" count="1" selected="0">
            <x v="10"/>
          </reference>
          <reference field="4" count="1" selected="0">
            <x v="213"/>
          </reference>
          <reference field="5" count="1">
            <x v="1601"/>
          </reference>
        </references>
      </pivotArea>
    </format>
    <format dxfId="3999">
      <pivotArea dataOnly="0" labelOnly="1" fieldPosition="0">
        <references count="5">
          <reference field="1" count="1" selected="0">
            <x v="125"/>
          </reference>
          <reference field="2" count="1" selected="0">
            <x v="35"/>
          </reference>
          <reference field="3" count="1" selected="0">
            <x v="1"/>
          </reference>
          <reference field="4" count="1" selected="0">
            <x v="213"/>
          </reference>
          <reference field="5" count="1">
            <x v="80"/>
          </reference>
        </references>
      </pivotArea>
    </format>
    <format dxfId="3998">
      <pivotArea dataOnly="0" labelOnly="1" fieldPosition="0">
        <references count="5">
          <reference field="1" count="1" selected="0">
            <x v="126"/>
          </reference>
          <reference field="2" count="1" selected="0">
            <x v="0"/>
          </reference>
          <reference field="3" count="1" selected="0">
            <x v="12"/>
          </reference>
          <reference field="4" count="1" selected="0">
            <x v="38"/>
          </reference>
          <reference field="5" count="1">
            <x v="18"/>
          </reference>
        </references>
      </pivotArea>
    </format>
    <format dxfId="3997">
      <pivotArea dataOnly="0" labelOnly="1" fieldPosition="0">
        <references count="5">
          <reference field="1" count="1" selected="0">
            <x v="126"/>
          </reference>
          <reference field="2" count="1" selected="0">
            <x v="12"/>
          </reference>
          <reference field="3" count="1" selected="0">
            <x v="1"/>
          </reference>
          <reference field="4" count="1" selected="0">
            <x v="214"/>
          </reference>
          <reference field="5" count="3">
            <x v="80"/>
            <x v="213"/>
            <x v="607"/>
          </reference>
        </references>
      </pivotArea>
    </format>
    <format dxfId="3996">
      <pivotArea dataOnly="0" labelOnly="1" fieldPosition="0">
        <references count="5">
          <reference field="1" count="1" selected="0">
            <x v="126"/>
          </reference>
          <reference field="2" count="1" selected="0">
            <x v="12"/>
          </reference>
          <reference field="3" count="1" selected="0">
            <x v="8"/>
          </reference>
          <reference field="4" count="1" selected="0">
            <x v="214"/>
          </reference>
          <reference field="5" count="4">
            <x v="80"/>
            <x v="352"/>
            <x v="500"/>
            <x v="964"/>
          </reference>
        </references>
      </pivotArea>
    </format>
    <format dxfId="3995">
      <pivotArea dataOnly="0" labelOnly="1" fieldPosition="0">
        <references count="5">
          <reference field="1" count="1" selected="0">
            <x v="126"/>
          </reference>
          <reference field="2" count="1" selected="0">
            <x v="15"/>
          </reference>
          <reference field="3" count="1" selected="0">
            <x v="38"/>
          </reference>
          <reference field="4" count="1" selected="0">
            <x v="214"/>
          </reference>
          <reference field="5" count="1">
            <x v="809"/>
          </reference>
        </references>
      </pivotArea>
    </format>
    <format dxfId="3994">
      <pivotArea dataOnly="0" labelOnly="1" fieldPosition="0">
        <references count="5">
          <reference field="1" count="1" selected="0">
            <x v="126"/>
          </reference>
          <reference field="2" count="1" selected="0">
            <x v="26"/>
          </reference>
          <reference field="3" count="1" selected="0">
            <x v="38"/>
          </reference>
          <reference field="4" count="1" selected="0">
            <x v="214"/>
          </reference>
          <reference field="5" count="1">
            <x v="278"/>
          </reference>
        </references>
      </pivotArea>
    </format>
    <format dxfId="3993">
      <pivotArea dataOnly="0" labelOnly="1" fieldPosition="0">
        <references count="5">
          <reference field="1" count="1" selected="0">
            <x v="126"/>
          </reference>
          <reference field="2" count="1" selected="0">
            <x v="29"/>
          </reference>
          <reference field="3" count="1" selected="0">
            <x v="38"/>
          </reference>
          <reference field="4" count="1" selected="0">
            <x v="214"/>
          </reference>
          <reference field="5" count="1">
            <x v="1170"/>
          </reference>
        </references>
      </pivotArea>
    </format>
    <format dxfId="3992">
      <pivotArea dataOnly="0" labelOnly="1" fieldPosition="0">
        <references count="5">
          <reference field="1" count="1" selected="0">
            <x v="126"/>
          </reference>
          <reference field="2" count="1" selected="0">
            <x v="35"/>
          </reference>
          <reference field="3" count="1" selected="0">
            <x v="1"/>
          </reference>
          <reference field="4" count="1" selected="0">
            <x v="214"/>
          </reference>
          <reference field="5" count="1">
            <x v="80"/>
          </reference>
        </references>
      </pivotArea>
    </format>
    <format dxfId="3991">
      <pivotArea dataOnly="0" labelOnly="1" fieldPosition="0">
        <references count="5">
          <reference field="1" count="1" selected="0">
            <x v="127"/>
          </reference>
          <reference field="2" count="1" selected="0">
            <x v="0"/>
          </reference>
          <reference field="3" count="1" selected="0">
            <x v="8"/>
          </reference>
          <reference field="4" count="1" selected="0">
            <x v="216"/>
          </reference>
          <reference field="5" count="3">
            <x v="473"/>
            <x v="881"/>
            <x v="992"/>
          </reference>
        </references>
      </pivotArea>
    </format>
    <format dxfId="3990">
      <pivotArea dataOnly="0" labelOnly="1" fieldPosition="0">
        <references count="5">
          <reference field="1" count="1" selected="0">
            <x v="127"/>
          </reference>
          <reference field="2" count="1" selected="0">
            <x v="0"/>
          </reference>
          <reference field="3" count="1" selected="0">
            <x v="9"/>
          </reference>
          <reference field="4" count="1" selected="0">
            <x v="216"/>
          </reference>
          <reference field="5" count="9">
            <x v="1"/>
            <x v="233"/>
            <x v="263"/>
            <x v="462"/>
            <x v="538"/>
            <x v="635"/>
            <x v="732"/>
            <x v="1087"/>
            <x v="1425"/>
          </reference>
        </references>
      </pivotArea>
    </format>
    <format dxfId="3989">
      <pivotArea dataOnly="0" labelOnly="1" fieldPosition="0">
        <references count="5">
          <reference field="1" count="1" selected="0">
            <x v="127"/>
          </reference>
          <reference field="2" count="1" selected="0">
            <x v="0"/>
          </reference>
          <reference field="3" count="1" selected="0">
            <x v="12"/>
          </reference>
          <reference field="4" count="1" selected="0">
            <x v="21"/>
          </reference>
          <reference field="5" count="1">
            <x v="11"/>
          </reference>
        </references>
      </pivotArea>
    </format>
    <format dxfId="3988">
      <pivotArea dataOnly="0" labelOnly="1" fieldPosition="0">
        <references count="5">
          <reference field="1" count="1" selected="0">
            <x v="127"/>
          </reference>
          <reference field="2" count="1" selected="0">
            <x v="0"/>
          </reference>
          <reference field="3" count="1" selected="0">
            <x v="12"/>
          </reference>
          <reference field="4" count="1" selected="0">
            <x v="22"/>
          </reference>
          <reference field="5" count="1">
            <x v="18"/>
          </reference>
        </references>
      </pivotArea>
    </format>
    <format dxfId="3987">
      <pivotArea dataOnly="0" labelOnly="1" fieldPosition="0">
        <references count="5">
          <reference field="1" count="1" selected="0">
            <x v="127"/>
          </reference>
          <reference field="2" count="1" selected="0">
            <x v="0"/>
          </reference>
          <reference field="3" count="1" selected="0">
            <x v="17"/>
          </reference>
          <reference field="4" count="1" selected="0">
            <x v="215"/>
          </reference>
          <reference field="5" count="7">
            <x v="379"/>
            <x v="414"/>
            <x v="425"/>
            <x v="639"/>
            <x v="847"/>
            <x v="1065"/>
            <x v="1720"/>
          </reference>
        </references>
      </pivotArea>
    </format>
    <format dxfId="3986">
      <pivotArea dataOnly="0" labelOnly="1" fieldPosition="0">
        <references count="5">
          <reference field="1" count="1" selected="0">
            <x v="127"/>
          </reference>
          <reference field="2" count="1" selected="0">
            <x v="2"/>
          </reference>
          <reference field="3" count="1" selected="0">
            <x v="17"/>
          </reference>
          <reference field="4" count="1" selected="0">
            <x v="215"/>
          </reference>
          <reference field="5" count="1">
            <x v="1869"/>
          </reference>
        </references>
      </pivotArea>
    </format>
    <format dxfId="3985">
      <pivotArea dataOnly="0" labelOnly="1" fieldPosition="0">
        <references count="5">
          <reference field="1" count="1" selected="0">
            <x v="127"/>
          </reference>
          <reference field="2" count="1" selected="0">
            <x v="5"/>
          </reference>
          <reference field="3" count="1" selected="0">
            <x v="8"/>
          </reference>
          <reference field="4" count="1" selected="0">
            <x v="216"/>
          </reference>
          <reference field="5" count="1">
            <x v="1108"/>
          </reference>
        </references>
      </pivotArea>
    </format>
    <format dxfId="3984">
      <pivotArea dataOnly="0" labelOnly="1" fieldPosition="0">
        <references count="5">
          <reference field="1" count="1" selected="0">
            <x v="127"/>
          </reference>
          <reference field="2" count="1" selected="0">
            <x v="7"/>
          </reference>
          <reference field="3" count="1" selected="0">
            <x v="10"/>
          </reference>
          <reference field="4" count="1" selected="0">
            <x v="216"/>
          </reference>
          <reference field="5" count="1">
            <x v="1468"/>
          </reference>
        </references>
      </pivotArea>
    </format>
    <format dxfId="3983">
      <pivotArea dataOnly="0" labelOnly="1" fieldPosition="0">
        <references count="5">
          <reference field="1" count="1" selected="0">
            <x v="127"/>
          </reference>
          <reference field="2" count="1" selected="0">
            <x v="7"/>
          </reference>
          <reference field="3" count="1" selected="0">
            <x v="38"/>
          </reference>
          <reference field="4" count="1" selected="0">
            <x v="216"/>
          </reference>
          <reference field="5" count="1">
            <x v="144"/>
          </reference>
        </references>
      </pivotArea>
    </format>
    <format dxfId="3982">
      <pivotArea dataOnly="0" labelOnly="1" fieldPosition="0">
        <references count="5">
          <reference field="1" count="1" selected="0">
            <x v="127"/>
          </reference>
          <reference field="2" count="1" selected="0">
            <x v="8"/>
          </reference>
          <reference field="3" count="1" selected="0">
            <x v="10"/>
          </reference>
          <reference field="4" count="1" selected="0">
            <x v="216"/>
          </reference>
          <reference field="5" count="1">
            <x v="1488"/>
          </reference>
        </references>
      </pivotArea>
    </format>
    <format dxfId="3981">
      <pivotArea dataOnly="0" labelOnly="1" fieldPosition="0">
        <references count="5">
          <reference field="1" count="1" selected="0">
            <x v="127"/>
          </reference>
          <reference field="2" count="1" selected="0">
            <x v="10"/>
          </reference>
          <reference field="3" count="1" selected="0">
            <x v="10"/>
          </reference>
          <reference field="4" count="1" selected="0">
            <x v="216"/>
          </reference>
          <reference field="5" count="1">
            <x v="1864"/>
          </reference>
        </references>
      </pivotArea>
    </format>
    <format dxfId="3980">
      <pivotArea dataOnly="0" labelOnly="1" fieldPosition="0">
        <references count="5">
          <reference field="1" count="1" selected="0">
            <x v="127"/>
          </reference>
          <reference field="2" count="1" selected="0">
            <x v="12"/>
          </reference>
          <reference field="3" count="1" selected="0">
            <x v="1"/>
          </reference>
          <reference field="4" count="1" selected="0">
            <x v="216"/>
          </reference>
          <reference field="5" count="2">
            <x v="80"/>
            <x v="213"/>
          </reference>
        </references>
      </pivotArea>
    </format>
    <format dxfId="3979">
      <pivotArea dataOnly="0" labelOnly="1" fieldPosition="0">
        <references count="5">
          <reference field="1" count="1" selected="0">
            <x v="127"/>
          </reference>
          <reference field="2" count="1" selected="0">
            <x v="12"/>
          </reference>
          <reference field="3" count="1" selected="0">
            <x v="2"/>
          </reference>
          <reference field="4" count="1" selected="0">
            <x v="75"/>
          </reference>
          <reference field="5" count="1">
            <x v="0"/>
          </reference>
        </references>
      </pivotArea>
    </format>
    <format dxfId="3978">
      <pivotArea dataOnly="0" labelOnly="1" fieldPosition="0">
        <references count="5">
          <reference field="1" count="1" selected="0">
            <x v="127"/>
          </reference>
          <reference field="2" count="1" selected="0">
            <x v="12"/>
          </reference>
          <reference field="3" count="1" selected="0">
            <x v="17"/>
          </reference>
          <reference field="4" count="1" selected="0">
            <x v="215"/>
          </reference>
          <reference field="5" count="26">
            <x v="96"/>
            <x v="103"/>
            <x v="142"/>
            <x v="497"/>
            <x v="938"/>
            <x v="1123"/>
            <x v="1245"/>
            <x v="1376"/>
            <x v="1382"/>
            <x v="1395"/>
            <x v="1482"/>
            <x v="1504"/>
            <x v="1505"/>
            <x v="1522"/>
            <x v="1527"/>
            <x v="1572"/>
            <x v="1584"/>
            <x v="1653"/>
            <x v="1661"/>
            <x v="1732"/>
            <x v="1738"/>
            <x v="1772"/>
            <x v="1791"/>
            <x v="1804"/>
            <x v="1815"/>
            <x v="1849"/>
          </reference>
        </references>
      </pivotArea>
    </format>
    <format dxfId="3977">
      <pivotArea dataOnly="0" labelOnly="1" fieldPosition="0">
        <references count="5">
          <reference field="1" count="1" selected="0">
            <x v="127"/>
          </reference>
          <reference field="2" count="1" selected="0">
            <x v="14"/>
          </reference>
          <reference field="3" count="1" selected="0">
            <x v="17"/>
          </reference>
          <reference field="4" count="1" selected="0">
            <x v="215"/>
          </reference>
          <reference field="5" count="1">
            <x v="1218"/>
          </reference>
        </references>
      </pivotArea>
    </format>
    <format dxfId="3976">
      <pivotArea dataOnly="0" labelOnly="1" fieldPosition="0">
        <references count="5">
          <reference field="1" count="1" selected="0">
            <x v="127"/>
          </reference>
          <reference field="2" count="1" selected="0">
            <x v="15"/>
          </reference>
          <reference field="3" count="1" selected="0">
            <x v="38"/>
          </reference>
          <reference field="4" count="1" selected="0">
            <x v="216"/>
          </reference>
          <reference field="5" count="1">
            <x v="1460"/>
          </reference>
        </references>
      </pivotArea>
    </format>
    <format dxfId="3975">
      <pivotArea dataOnly="0" labelOnly="1" fieldPosition="0">
        <references count="5">
          <reference field="1" count="1" selected="0">
            <x v="127"/>
          </reference>
          <reference field="2" count="1" selected="0">
            <x v="17"/>
          </reference>
          <reference field="3" count="1" selected="0">
            <x v="17"/>
          </reference>
          <reference field="4" count="1" selected="0">
            <x v="215"/>
          </reference>
          <reference field="5" count="1">
            <x v="360"/>
          </reference>
        </references>
      </pivotArea>
    </format>
    <format dxfId="3974">
      <pivotArea dataOnly="0" labelOnly="1" fieldPosition="0">
        <references count="5">
          <reference field="1" count="1" selected="0">
            <x v="127"/>
          </reference>
          <reference field="2" count="1" selected="0">
            <x v="19"/>
          </reference>
          <reference field="3" count="1" selected="0">
            <x v="9"/>
          </reference>
          <reference field="4" count="1" selected="0">
            <x v="216"/>
          </reference>
          <reference field="5" count="1">
            <x v="607"/>
          </reference>
        </references>
      </pivotArea>
    </format>
    <format dxfId="3973">
      <pivotArea dataOnly="0" labelOnly="1" fieldPosition="0">
        <references count="5">
          <reference field="1" count="1" selected="0">
            <x v="127"/>
          </reference>
          <reference field="2" count="1" selected="0">
            <x v="21"/>
          </reference>
          <reference field="3" count="1" selected="0">
            <x v="17"/>
          </reference>
          <reference field="4" count="1" selected="0">
            <x v="215"/>
          </reference>
          <reference field="5" count="1">
            <x v="1521"/>
          </reference>
        </references>
      </pivotArea>
    </format>
    <format dxfId="3972">
      <pivotArea dataOnly="0" labelOnly="1" fieldPosition="0">
        <references count="5">
          <reference field="1" count="1" selected="0">
            <x v="127"/>
          </reference>
          <reference field="2" count="1" selected="0">
            <x v="23"/>
          </reference>
          <reference field="3" count="1" selected="0">
            <x v="17"/>
          </reference>
          <reference field="4" count="1" selected="0">
            <x v="215"/>
          </reference>
          <reference field="5" count="1">
            <x v="1676"/>
          </reference>
        </references>
      </pivotArea>
    </format>
    <format dxfId="3971">
      <pivotArea dataOnly="0" labelOnly="1" fieldPosition="0">
        <references count="5">
          <reference field="1" count="1" selected="0">
            <x v="127"/>
          </reference>
          <reference field="2" count="1" selected="0">
            <x v="24"/>
          </reference>
          <reference field="3" count="1" selected="0">
            <x v="17"/>
          </reference>
          <reference field="4" count="1" selected="0">
            <x v="215"/>
          </reference>
          <reference field="5" count="1">
            <x v="1509"/>
          </reference>
        </references>
      </pivotArea>
    </format>
    <format dxfId="3970">
      <pivotArea dataOnly="0" labelOnly="1" fieldPosition="0">
        <references count="5">
          <reference field="1" count="1" selected="0">
            <x v="127"/>
          </reference>
          <reference field="2" count="1" selected="0">
            <x v="27"/>
          </reference>
          <reference field="3" count="1" selected="0">
            <x v="17"/>
          </reference>
          <reference field="4" count="1" selected="0">
            <x v="215"/>
          </reference>
          <reference field="5" count="1">
            <x v="449"/>
          </reference>
        </references>
      </pivotArea>
    </format>
    <format dxfId="3969">
      <pivotArea dataOnly="0" labelOnly="1" fieldPosition="0">
        <references count="5">
          <reference field="1" count="1" selected="0">
            <x v="127"/>
          </reference>
          <reference field="2" count="1" selected="0">
            <x v="33"/>
          </reference>
          <reference field="3" count="1" selected="0">
            <x v="38"/>
          </reference>
          <reference field="4" count="1" selected="0">
            <x v="216"/>
          </reference>
          <reference field="5" count="1">
            <x v="403"/>
          </reference>
        </references>
      </pivotArea>
    </format>
    <format dxfId="3968">
      <pivotArea dataOnly="0" labelOnly="1" fieldPosition="0">
        <references count="5">
          <reference field="1" count="1" selected="0">
            <x v="127"/>
          </reference>
          <reference field="2" count="1" selected="0">
            <x v="35"/>
          </reference>
          <reference field="3" count="1" selected="0">
            <x v="1"/>
          </reference>
          <reference field="4" count="1" selected="0">
            <x v="216"/>
          </reference>
          <reference field="5" count="1">
            <x v="80"/>
          </reference>
        </references>
      </pivotArea>
    </format>
    <format dxfId="3967">
      <pivotArea dataOnly="0" labelOnly="1" fieldPosition="0">
        <references count="5">
          <reference field="1" count="1" selected="0">
            <x v="127"/>
          </reference>
          <reference field="2" count="1" selected="0">
            <x v="35"/>
          </reference>
          <reference field="3" count="1" selected="0">
            <x v="17"/>
          </reference>
          <reference field="4" count="1" selected="0">
            <x v="215"/>
          </reference>
          <reference field="5" count="9">
            <x v="157"/>
            <x v="328"/>
            <x v="438"/>
            <x v="495"/>
            <x v="708"/>
            <x v="709"/>
            <x v="770"/>
            <x v="918"/>
            <x v="1231"/>
          </reference>
        </references>
      </pivotArea>
    </format>
    <format dxfId="3966">
      <pivotArea dataOnly="0" labelOnly="1" fieldPosition="0">
        <references count="5">
          <reference field="1" count="1" selected="0">
            <x v="128"/>
          </reference>
          <reference field="2" count="1" selected="0">
            <x v="0"/>
          </reference>
          <reference field="3" count="1" selected="0">
            <x v="38"/>
          </reference>
          <reference field="4" count="1" selected="0">
            <x v="217"/>
          </reference>
          <reference field="5" count="1">
            <x v="391"/>
          </reference>
        </references>
      </pivotArea>
    </format>
    <format dxfId="3965">
      <pivotArea dataOnly="0" labelOnly="1" fieldPosition="0">
        <references count="5">
          <reference field="1" count="1" selected="0">
            <x v="128"/>
          </reference>
          <reference field="2" count="1" selected="0">
            <x v="8"/>
          </reference>
          <reference field="3" count="1" selected="0">
            <x v="38"/>
          </reference>
          <reference field="4" count="1" selected="0">
            <x v="217"/>
          </reference>
          <reference field="5" count="1">
            <x v="803"/>
          </reference>
        </references>
      </pivotArea>
    </format>
    <format dxfId="3964">
      <pivotArea dataOnly="0" labelOnly="1" fieldPosition="0">
        <references count="5">
          <reference field="1" count="1" selected="0">
            <x v="128"/>
          </reference>
          <reference field="2" count="1" selected="0">
            <x v="10"/>
          </reference>
          <reference field="3" count="1" selected="0">
            <x v="38"/>
          </reference>
          <reference field="4" count="1" selected="0">
            <x v="217"/>
          </reference>
          <reference field="5" count="1">
            <x v="1563"/>
          </reference>
        </references>
      </pivotArea>
    </format>
    <format dxfId="3963">
      <pivotArea dataOnly="0" labelOnly="1" fieldPosition="0">
        <references count="5">
          <reference field="1" count="1" selected="0">
            <x v="128"/>
          </reference>
          <reference field="2" count="1" selected="0">
            <x v="12"/>
          </reference>
          <reference field="3" count="1" selected="0">
            <x v="1"/>
          </reference>
          <reference field="4" count="1" selected="0">
            <x v="217"/>
          </reference>
          <reference field="5" count="1">
            <x v="213"/>
          </reference>
        </references>
      </pivotArea>
    </format>
    <format dxfId="3962">
      <pivotArea dataOnly="0" labelOnly="1" fieldPosition="0">
        <references count="5">
          <reference field="1" count="1" selected="0">
            <x v="128"/>
          </reference>
          <reference field="2" count="1" selected="0">
            <x v="35"/>
          </reference>
          <reference field="3" count="1" selected="0">
            <x v="1"/>
          </reference>
          <reference field="4" count="1" selected="0">
            <x v="217"/>
          </reference>
          <reference field="5" count="1">
            <x v="80"/>
          </reference>
        </references>
      </pivotArea>
    </format>
    <format dxfId="3961">
      <pivotArea dataOnly="0" labelOnly="1" fieldPosition="0">
        <references count="5">
          <reference field="1" count="1" selected="0">
            <x v="129"/>
          </reference>
          <reference field="2" count="1" selected="0">
            <x v="0"/>
          </reference>
          <reference field="3" count="1" selected="0">
            <x v="12"/>
          </reference>
          <reference field="4" count="1" selected="0">
            <x v="15"/>
          </reference>
          <reference field="5" count="1">
            <x v="18"/>
          </reference>
        </references>
      </pivotArea>
    </format>
    <format dxfId="3960">
      <pivotArea dataOnly="0" labelOnly="1" fieldPosition="0">
        <references count="5">
          <reference field="1" count="1" selected="0">
            <x v="129"/>
          </reference>
          <reference field="2" count="1" selected="0">
            <x v="0"/>
          </reference>
          <reference field="3" count="1" selected="0">
            <x v="12"/>
          </reference>
          <reference field="4" count="1" selected="0">
            <x v="39"/>
          </reference>
          <reference field="5" count="1">
            <x v="180"/>
          </reference>
        </references>
      </pivotArea>
    </format>
    <format dxfId="3959">
      <pivotArea dataOnly="0" labelOnly="1" fieldPosition="0">
        <references count="5">
          <reference field="1" count="1" selected="0">
            <x v="129"/>
          </reference>
          <reference field="2" count="1" selected="0">
            <x v="8"/>
          </reference>
          <reference field="3" count="1" selected="0">
            <x v="38"/>
          </reference>
          <reference field="4" count="1" selected="0">
            <x v="218"/>
          </reference>
          <reference field="5" count="1">
            <x v="168"/>
          </reference>
        </references>
      </pivotArea>
    </format>
    <format dxfId="3958">
      <pivotArea dataOnly="0" labelOnly="1" fieldPosition="0">
        <references count="5">
          <reference field="1" count="1" selected="0">
            <x v="129"/>
          </reference>
          <reference field="2" count="1" selected="0">
            <x v="12"/>
          </reference>
          <reference field="3" count="1" selected="0">
            <x v="1"/>
          </reference>
          <reference field="4" count="1" selected="0">
            <x v="218"/>
          </reference>
          <reference field="5" count="2">
            <x v="80"/>
            <x v="213"/>
          </reference>
        </references>
      </pivotArea>
    </format>
    <format dxfId="3957">
      <pivotArea dataOnly="0" labelOnly="1" fieldPosition="0">
        <references count="5">
          <reference field="1" count="1" selected="0">
            <x v="129"/>
          </reference>
          <reference field="2" count="1" selected="0">
            <x v="14"/>
          </reference>
          <reference field="3" count="1" selected="0">
            <x v="1"/>
          </reference>
          <reference field="4" count="1" selected="0">
            <x v="218"/>
          </reference>
          <reference field="5" count="1">
            <x v="1260"/>
          </reference>
        </references>
      </pivotArea>
    </format>
    <format dxfId="3956">
      <pivotArea dataOnly="0" labelOnly="1" fieldPosition="0">
        <references count="5">
          <reference field="1" count="1" selected="0">
            <x v="129"/>
          </reference>
          <reference field="2" count="1" selected="0">
            <x v="15"/>
          </reference>
          <reference field="3" count="1" selected="0">
            <x v="6"/>
          </reference>
          <reference field="4" count="1" selected="0">
            <x v="218"/>
          </reference>
          <reference field="5" count="1">
            <x v="592"/>
          </reference>
        </references>
      </pivotArea>
    </format>
    <format dxfId="3955">
      <pivotArea dataOnly="0" labelOnly="1" fieldPosition="0">
        <references count="5">
          <reference field="1" count="1" selected="0">
            <x v="129"/>
          </reference>
          <reference field="2" count="1" selected="0">
            <x v="19"/>
          </reference>
          <reference field="3" count="1" selected="0">
            <x v="6"/>
          </reference>
          <reference field="4" count="1" selected="0">
            <x v="218"/>
          </reference>
          <reference field="5" count="1">
            <x v="1099"/>
          </reference>
        </references>
      </pivotArea>
    </format>
    <format dxfId="3954">
      <pivotArea dataOnly="0" labelOnly="1" fieldPosition="0">
        <references count="5">
          <reference field="1" count="1" selected="0">
            <x v="129"/>
          </reference>
          <reference field="2" count="1" selected="0">
            <x v="27"/>
          </reference>
          <reference field="3" count="1" selected="0">
            <x v="38"/>
          </reference>
          <reference field="4" count="1" selected="0">
            <x v="218"/>
          </reference>
          <reference field="5" count="1">
            <x v="633"/>
          </reference>
        </references>
      </pivotArea>
    </format>
    <format dxfId="3953">
      <pivotArea dataOnly="0" labelOnly="1" fieldPosition="0">
        <references count="5">
          <reference field="1" count="1" selected="0">
            <x v="129"/>
          </reference>
          <reference field="2" count="1" selected="0">
            <x v="34"/>
          </reference>
          <reference field="3" count="1" selected="0">
            <x v="38"/>
          </reference>
          <reference field="4" count="1" selected="0">
            <x v="218"/>
          </reference>
          <reference field="5" count="1">
            <x v="228"/>
          </reference>
        </references>
      </pivotArea>
    </format>
    <format dxfId="3952">
      <pivotArea dataOnly="0" labelOnly="1" fieldPosition="0">
        <references count="5">
          <reference field="1" count="1" selected="0">
            <x v="129"/>
          </reference>
          <reference field="2" count="1" selected="0">
            <x v="36"/>
          </reference>
          <reference field="3" count="1" selected="0">
            <x v="6"/>
          </reference>
          <reference field="4" count="1" selected="0">
            <x v="218"/>
          </reference>
          <reference field="5" count="1">
            <x v="387"/>
          </reference>
        </references>
      </pivotArea>
    </format>
    <format dxfId="3951">
      <pivotArea dataOnly="0" labelOnly="1" fieldPosition="0">
        <references count="5">
          <reference field="1" count="1" selected="0">
            <x v="130"/>
          </reference>
          <reference field="2" count="1" selected="0">
            <x v="0"/>
          </reference>
          <reference field="3" count="1" selected="0">
            <x v="12"/>
          </reference>
          <reference field="4" count="1" selected="0">
            <x v="23"/>
          </reference>
          <reference field="5" count="1">
            <x v="114"/>
          </reference>
        </references>
      </pivotArea>
    </format>
    <format dxfId="3950">
      <pivotArea dataOnly="0" labelOnly="1" fieldPosition="0">
        <references count="5">
          <reference field="1" count="1" selected="0">
            <x v="130"/>
          </reference>
          <reference field="2" count="1" selected="0">
            <x v="0"/>
          </reference>
          <reference field="3" count="1" selected="0">
            <x v="12"/>
          </reference>
          <reference field="4" count="1" selected="0">
            <x v="26"/>
          </reference>
          <reference field="5" count="1">
            <x v="20"/>
          </reference>
        </references>
      </pivotArea>
    </format>
    <format dxfId="3949">
      <pivotArea dataOnly="0" labelOnly="1" fieldPosition="0">
        <references count="5">
          <reference field="1" count="1" selected="0">
            <x v="130"/>
          </reference>
          <reference field="2" count="1" selected="0">
            <x v="0"/>
          </reference>
          <reference field="3" count="1" selected="0">
            <x v="12"/>
          </reference>
          <reference field="4" count="1" selected="0">
            <x v="35"/>
          </reference>
          <reference field="5" count="1">
            <x v="15"/>
          </reference>
        </references>
      </pivotArea>
    </format>
    <format dxfId="3948">
      <pivotArea dataOnly="0" labelOnly="1" fieldPosition="0">
        <references count="5">
          <reference field="1" count="1" selected="0">
            <x v="130"/>
          </reference>
          <reference field="2" count="1" selected="0">
            <x v="0"/>
          </reference>
          <reference field="3" count="1" selected="0">
            <x v="12"/>
          </reference>
          <reference field="4" count="1" selected="0">
            <x v="64"/>
          </reference>
          <reference field="5" count="1">
            <x v="49"/>
          </reference>
        </references>
      </pivotArea>
    </format>
    <format dxfId="3947">
      <pivotArea dataOnly="0" labelOnly="1" fieldPosition="0">
        <references count="5">
          <reference field="1" count="1" selected="0">
            <x v="130"/>
          </reference>
          <reference field="2" count="1" selected="0">
            <x v="0"/>
          </reference>
          <reference field="3" count="1" selected="0">
            <x v="38"/>
          </reference>
          <reference field="4" count="1" selected="0">
            <x v="219"/>
          </reference>
          <reference field="5" count="1">
            <x v="138"/>
          </reference>
        </references>
      </pivotArea>
    </format>
    <format dxfId="3946">
      <pivotArea dataOnly="0" labelOnly="1" fieldPosition="0">
        <references count="5">
          <reference field="1" count="1" selected="0">
            <x v="130"/>
          </reference>
          <reference field="2" count="1" selected="0">
            <x v="5"/>
          </reference>
          <reference field="3" count="1" selected="0">
            <x v="10"/>
          </reference>
          <reference field="4" count="1" selected="0">
            <x v="219"/>
          </reference>
          <reference field="5" count="1">
            <x v="1537"/>
          </reference>
        </references>
      </pivotArea>
    </format>
    <format dxfId="3945">
      <pivotArea dataOnly="0" labelOnly="1" fieldPosition="0">
        <references count="5">
          <reference field="1" count="1" selected="0">
            <x v="130"/>
          </reference>
          <reference field="2" count="1" selected="0">
            <x v="12"/>
          </reference>
          <reference field="3" count="1" selected="0">
            <x v="1"/>
          </reference>
          <reference field="4" count="1" selected="0">
            <x v="219"/>
          </reference>
          <reference field="5" count="2">
            <x v="80"/>
            <x v="213"/>
          </reference>
        </references>
      </pivotArea>
    </format>
    <format dxfId="3944">
      <pivotArea dataOnly="0" labelOnly="1" fieldPosition="0">
        <references count="5">
          <reference field="1" count="1" selected="0">
            <x v="130"/>
          </reference>
          <reference field="2" count="1" selected="0">
            <x v="15"/>
          </reference>
          <reference field="3" count="1" selected="0">
            <x v="38"/>
          </reference>
          <reference field="4" count="1" selected="0">
            <x v="219"/>
          </reference>
          <reference field="5" count="1">
            <x v="579"/>
          </reference>
        </references>
      </pivotArea>
    </format>
    <format dxfId="3943">
      <pivotArea dataOnly="0" labelOnly="1" fieldPosition="0">
        <references count="5">
          <reference field="1" count="1" selected="0">
            <x v="130"/>
          </reference>
          <reference field="2" count="1" selected="0">
            <x v="23"/>
          </reference>
          <reference field="3" count="1" selected="0">
            <x v="38"/>
          </reference>
          <reference field="4" count="1" selected="0">
            <x v="219"/>
          </reference>
          <reference field="5" count="1">
            <x v="906"/>
          </reference>
        </references>
      </pivotArea>
    </format>
    <format dxfId="3942">
      <pivotArea dataOnly="0" labelOnly="1" fieldPosition="0">
        <references count="5">
          <reference field="1" count="1" selected="0">
            <x v="130"/>
          </reference>
          <reference field="2" count="1" selected="0">
            <x v="26"/>
          </reference>
          <reference field="3" count="1" selected="0">
            <x v="38"/>
          </reference>
          <reference field="4" count="1" selected="0">
            <x v="219"/>
          </reference>
          <reference field="5" count="1">
            <x v="318"/>
          </reference>
        </references>
      </pivotArea>
    </format>
    <format dxfId="3941">
      <pivotArea dataOnly="0" labelOnly="1" fieldPosition="0">
        <references count="5">
          <reference field="1" count="1" selected="0">
            <x v="130"/>
          </reference>
          <reference field="2" count="1" selected="0">
            <x v="29"/>
          </reference>
          <reference field="3" count="1" selected="0">
            <x v="10"/>
          </reference>
          <reference field="4" count="1" selected="0">
            <x v="219"/>
          </reference>
          <reference field="5" count="1">
            <x v="914"/>
          </reference>
        </references>
      </pivotArea>
    </format>
    <format dxfId="3940">
      <pivotArea dataOnly="0" labelOnly="1" fieldPosition="0">
        <references count="5">
          <reference field="1" count="1" selected="0">
            <x v="130"/>
          </reference>
          <reference field="2" count="1" selected="0">
            <x v="33"/>
          </reference>
          <reference field="3" count="1" selected="0">
            <x v="38"/>
          </reference>
          <reference field="4" count="1" selected="0">
            <x v="219"/>
          </reference>
          <reference field="5" count="1">
            <x v="88"/>
          </reference>
        </references>
      </pivotArea>
    </format>
    <format dxfId="3939">
      <pivotArea dataOnly="0" labelOnly="1" fieldPosition="0">
        <references count="5">
          <reference field="1" count="1" selected="0">
            <x v="130"/>
          </reference>
          <reference field="2" count="1" selected="0">
            <x v="35"/>
          </reference>
          <reference field="3" count="1" selected="0">
            <x v="1"/>
          </reference>
          <reference field="4" count="1" selected="0">
            <x v="219"/>
          </reference>
          <reference field="5" count="1">
            <x v="352"/>
          </reference>
        </references>
      </pivotArea>
    </format>
    <format dxfId="3938">
      <pivotArea dataOnly="0" labelOnly="1" fieldPosition="0">
        <references count="5">
          <reference field="1" count="1" selected="0">
            <x v="131"/>
          </reference>
          <reference field="2" count="1" selected="0">
            <x v="0"/>
          </reference>
          <reference field="3" count="1" selected="0">
            <x v="12"/>
          </reference>
          <reference field="4" count="1" selected="0">
            <x v="23"/>
          </reference>
          <reference field="5" count="1">
            <x v="11"/>
          </reference>
        </references>
      </pivotArea>
    </format>
    <format dxfId="3937">
      <pivotArea dataOnly="0" labelOnly="1" fieldPosition="0">
        <references count="5">
          <reference field="1" count="1" selected="0">
            <x v="131"/>
          </reference>
          <reference field="2" count="1" selected="0">
            <x v="0"/>
          </reference>
          <reference field="3" count="1" selected="0">
            <x v="12"/>
          </reference>
          <reference field="4" count="1" selected="0">
            <x v="30"/>
          </reference>
          <reference field="5" count="1">
            <x v="81"/>
          </reference>
        </references>
      </pivotArea>
    </format>
    <format dxfId="3936">
      <pivotArea dataOnly="0" labelOnly="1" fieldPosition="0">
        <references count="5">
          <reference field="1" count="1" selected="0">
            <x v="131"/>
          </reference>
          <reference field="2" count="1" selected="0">
            <x v="0"/>
          </reference>
          <reference field="3" count="1" selected="0">
            <x v="38"/>
          </reference>
          <reference field="4" count="1" selected="0">
            <x v="220"/>
          </reference>
          <reference field="5" count="3">
            <x v="138"/>
            <x v="433"/>
            <x v="1212"/>
          </reference>
        </references>
      </pivotArea>
    </format>
    <format dxfId="3935">
      <pivotArea dataOnly="0" labelOnly="1" fieldPosition="0">
        <references count="5">
          <reference field="1" count="1" selected="0">
            <x v="131"/>
          </reference>
          <reference field="2" count="1" selected="0">
            <x v="5"/>
          </reference>
          <reference field="3" count="1" selected="0">
            <x v="38"/>
          </reference>
          <reference field="4" count="1" selected="0">
            <x v="220"/>
          </reference>
          <reference field="5" count="1">
            <x v="1077"/>
          </reference>
        </references>
      </pivotArea>
    </format>
    <format dxfId="3934">
      <pivotArea dataOnly="0" labelOnly="1" fieldPosition="0">
        <references count="5">
          <reference field="1" count="1" selected="0">
            <x v="131"/>
          </reference>
          <reference field="2" count="1" selected="0">
            <x v="6"/>
          </reference>
          <reference field="3" count="1" selected="0">
            <x v="1"/>
          </reference>
          <reference field="4" count="1" selected="0">
            <x v="220"/>
          </reference>
          <reference field="5" count="1">
            <x v="322"/>
          </reference>
        </references>
      </pivotArea>
    </format>
    <format dxfId="3933">
      <pivotArea dataOnly="0" labelOnly="1" fieldPosition="0">
        <references count="5">
          <reference field="1" count="1" selected="0">
            <x v="131"/>
          </reference>
          <reference field="2" count="1" selected="0">
            <x v="12"/>
          </reference>
          <reference field="3" count="1" selected="0">
            <x v="1"/>
          </reference>
          <reference field="4" count="1" selected="0">
            <x v="220"/>
          </reference>
          <reference field="5" count="4">
            <x v="80"/>
            <x v="213"/>
            <x v="352"/>
            <x v="702"/>
          </reference>
        </references>
      </pivotArea>
    </format>
    <format dxfId="3932">
      <pivotArea dataOnly="0" labelOnly="1" fieldPosition="0">
        <references count="5">
          <reference field="1" count="1" selected="0">
            <x v="131"/>
          </reference>
          <reference field="2" count="1" selected="0">
            <x v="23"/>
          </reference>
          <reference field="3" count="1" selected="0">
            <x v="38"/>
          </reference>
          <reference field="4" count="1" selected="0">
            <x v="220"/>
          </reference>
          <reference field="5" count="1">
            <x v="371"/>
          </reference>
        </references>
      </pivotArea>
    </format>
    <format dxfId="3931">
      <pivotArea dataOnly="0" labelOnly="1" fieldPosition="0">
        <references count="5">
          <reference field="1" count="1" selected="0">
            <x v="131"/>
          </reference>
          <reference field="2" count="1" selected="0">
            <x v="35"/>
          </reference>
          <reference field="3" count="1" selected="0">
            <x v="1"/>
          </reference>
          <reference field="4" count="1" selected="0">
            <x v="220"/>
          </reference>
          <reference field="5" count="2">
            <x v="80"/>
            <x v="500"/>
          </reference>
        </references>
      </pivotArea>
    </format>
    <format dxfId="3930">
      <pivotArea dataOnly="0" labelOnly="1" fieldPosition="0">
        <references count="5">
          <reference field="1" count="1" selected="0">
            <x v="131"/>
          </reference>
          <reference field="2" count="1" selected="0">
            <x v="36"/>
          </reference>
          <reference field="3" count="1" selected="0">
            <x v="38"/>
          </reference>
          <reference field="4" count="1" selected="0">
            <x v="220"/>
          </reference>
          <reference field="5" count="1">
            <x v="214"/>
          </reference>
        </references>
      </pivotArea>
    </format>
    <format dxfId="3929">
      <pivotArea dataOnly="0" labelOnly="1" fieldPosition="0">
        <references count="5">
          <reference field="1" count="1" selected="0">
            <x v="132"/>
          </reference>
          <reference field="2" count="1" selected="0">
            <x v="0"/>
          </reference>
          <reference field="3" count="1" selected="0">
            <x v="38"/>
          </reference>
          <reference field="4" count="1" selected="0">
            <x v="221"/>
          </reference>
          <reference field="5" count="3">
            <x v="138"/>
            <x v="1508"/>
            <x v="1546"/>
          </reference>
        </references>
      </pivotArea>
    </format>
    <format dxfId="3928">
      <pivotArea dataOnly="0" labelOnly="1" fieldPosition="0">
        <references count="5">
          <reference field="1" count="1" selected="0">
            <x v="132"/>
          </reference>
          <reference field="2" count="1" selected="0">
            <x v="3"/>
          </reference>
          <reference field="3" count="1" selected="0">
            <x v="38"/>
          </reference>
          <reference field="4" count="1" selected="0">
            <x v="221"/>
          </reference>
          <reference field="5" count="1">
            <x v="926"/>
          </reference>
        </references>
      </pivotArea>
    </format>
    <format dxfId="3927">
      <pivotArea dataOnly="0" labelOnly="1" fieldPosition="0">
        <references count="5">
          <reference field="1" count="1" selected="0">
            <x v="132"/>
          </reference>
          <reference field="2" count="1" selected="0">
            <x v="6"/>
          </reference>
          <reference field="3" count="1" selected="0">
            <x v="38"/>
          </reference>
          <reference field="4" count="1" selected="0">
            <x v="221"/>
          </reference>
          <reference field="5" count="1">
            <x v="1385"/>
          </reference>
        </references>
      </pivotArea>
    </format>
    <format dxfId="3926">
      <pivotArea dataOnly="0" labelOnly="1" fieldPosition="0">
        <references count="5">
          <reference field="1" count="1" selected="0">
            <x v="132"/>
          </reference>
          <reference field="2" count="1" selected="0">
            <x v="12"/>
          </reference>
          <reference field="3" count="1" selected="0">
            <x v="1"/>
          </reference>
          <reference field="4" count="1" selected="0">
            <x v="221"/>
          </reference>
          <reference field="5" count="3">
            <x v="80"/>
            <x v="607"/>
            <x v="702"/>
          </reference>
        </references>
      </pivotArea>
    </format>
    <format dxfId="3925">
      <pivotArea dataOnly="0" labelOnly="1" fieldPosition="0">
        <references count="5">
          <reference field="1" count="1" selected="0">
            <x v="132"/>
          </reference>
          <reference field="2" count="1" selected="0">
            <x v="12"/>
          </reference>
          <reference field="3" count="1" selected="0">
            <x v="38"/>
          </reference>
          <reference field="4" count="1" selected="0">
            <x v="221"/>
          </reference>
          <reference field="5" count="2">
            <x v="1394"/>
            <x v="1607"/>
          </reference>
        </references>
      </pivotArea>
    </format>
    <format dxfId="3924">
      <pivotArea dataOnly="0" labelOnly="1" fieldPosition="0">
        <references count="5">
          <reference field="1" count="1" selected="0">
            <x v="132"/>
          </reference>
          <reference field="2" count="1" selected="0">
            <x v="17"/>
          </reference>
          <reference field="3" count="1" selected="0">
            <x v="6"/>
          </reference>
          <reference field="4" count="1" selected="0">
            <x v="221"/>
          </reference>
          <reference field="5" count="1">
            <x v="268"/>
          </reference>
        </references>
      </pivotArea>
    </format>
    <format dxfId="3923">
      <pivotArea dataOnly="0" labelOnly="1" fieldPosition="0">
        <references count="5">
          <reference field="1" count="1" selected="0">
            <x v="132"/>
          </reference>
          <reference field="2" count="1" selected="0">
            <x v="33"/>
          </reference>
          <reference field="3" count="1" selected="0">
            <x v="38"/>
          </reference>
          <reference field="4" count="1" selected="0">
            <x v="221"/>
          </reference>
          <reference field="5" count="1">
            <x v="679"/>
          </reference>
        </references>
      </pivotArea>
    </format>
    <format dxfId="3922">
      <pivotArea dataOnly="0" labelOnly="1" fieldPosition="0">
        <references count="5">
          <reference field="1" count="1" selected="0">
            <x v="132"/>
          </reference>
          <reference field="2" count="1" selected="0">
            <x v="35"/>
          </reference>
          <reference field="3" count="1" selected="0">
            <x v="1"/>
          </reference>
          <reference field="4" count="1" selected="0">
            <x v="221"/>
          </reference>
          <reference field="5" count="1">
            <x v="80"/>
          </reference>
        </references>
      </pivotArea>
    </format>
    <format dxfId="3921">
      <pivotArea dataOnly="0" labelOnly="1" fieldPosition="0">
        <references count="5">
          <reference field="1" count="1" selected="0">
            <x v="133"/>
          </reference>
          <reference field="2" count="1" selected="0">
            <x v="0"/>
          </reference>
          <reference field="3" count="1" selected="0">
            <x v="8"/>
          </reference>
          <reference field="4" count="1" selected="0">
            <x v="222"/>
          </reference>
          <reference field="5" count="5">
            <x v="127"/>
            <x v="316"/>
            <x v="700"/>
            <x v="1097"/>
            <x v="1240"/>
          </reference>
        </references>
      </pivotArea>
    </format>
    <format dxfId="3920">
      <pivotArea dataOnly="0" labelOnly="1" fieldPosition="0">
        <references count="5">
          <reference field="1" count="1" selected="0">
            <x v="133"/>
          </reference>
          <reference field="2" count="1" selected="0">
            <x v="0"/>
          </reference>
          <reference field="3" count="1" selected="0">
            <x v="9"/>
          </reference>
          <reference field="4" count="1" selected="0">
            <x v="222"/>
          </reference>
          <reference field="5" count="12">
            <x v="62"/>
            <x v="292"/>
            <x v="520"/>
            <x v="540"/>
            <x v="629"/>
            <x v="687"/>
            <x v="925"/>
            <x v="958"/>
            <x v="962"/>
            <x v="985"/>
            <x v="1141"/>
            <x v="1246"/>
          </reference>
        </references>
      </pivotArea>
    </format>
    <format dxfId="3919">
      <pivotArea dataOnly="0" labelOnly="1" fieldPosition="0">
        <references count="5">
          <reference field="1" count="1" selected="0">
            <x v="133"/>
          </reference>
          <reference field="2" count="1" selected="0">
            <x v="0"/>
          </reference>
          <reference field="3" count="1" selected="0">
            <x v="12"/>
          </reference>
          <reference field="4" count="1" selected="0">
            <x v="50"/>
          </reference>
          <reference field="5" count="1">
            <x v="248"/>
          </reference>
        </references>
      </pivotArea>
    </format>
    <format dxfId="3918">
      <pivotArea dataOnly="0" labelOnly="1" fieldPosition="0">
        <references count="5">
          <reference field="1" count="1" selected="0">
            <x v="133"/>
          </reference>
          <reference field="2" count="1" selected="0">
            <x v="0"/>
          </reference>
          <reference field="3" count="1" selected="0">
            <x v="12"/>
          </reference>
          <reference field="4" count="1" selected="0">
            <x v="56"/>
          </reference>
          <reference field="5" count="1">
            <x v="29"/>
          </reference>
        </references>
      </pivotArea>
    </format>
    <format dxfId="3917">
      <pivotArea dataOnly="0" labelOnly="1" fieldPosition="0">
        <references count="5">
          <reference field="1" count="1" selected="0">
            <x v="133"/>
          </reference>
          <reference field="2" count="1" selected="0">
            <x v="5"/>
          </reference>
          <reference field="3" count="1" selected="0">
            <x v="8"/>
          </reference>
          <reference field="4" count="1" selected="0">
            <x v="222"/>
          </reference>
          <reference field="5" count="1">
            <x v="1283"/>
          </reference>
        </references>
      </pivotArea>
    </format>
    <format dxfId="3916">
      <pivotArea dataOnly="0" labelOnly="1" fieldPosition="0">
        <references count="5">
          <reference field="1" count="1" selected="0">
            <x v="133"/>
          </reference>
          <reference field="2" count="1" selected="0">
            <x v="8"/>
          </reference>
          <reference field="3" count="1" selected="0">
            <x v="10"/>
          </reference>
          <reference field="4" count="1" selected="0">
            <x v="222"/>
          </reference>
          <reference field="5" count="1">
            <x v="772"/>
          </reference>
        </references>
      </pivotArea>
    </format>
    <format dxfId="3915">
      <pivotArea dataOnly="0" labelOnly="1" fieldPosition="0">
        <references count="5">
          <reference field="1" count="1" selected="0">
            <x v="133"/>
          </reference>
          <reference field="2" count="1" selected="0">
            <x v="11"/>
          </reference>
          <reference field="3" count="1" selected="0">
            <x v="9"/>
          </reference>
          <reference field="4" count="1" selected="0">
            <x v="222"/>
          </reference>
          <reference field="5" count="1">
            <x v="410"/>
          </reference>
        </references>
      </pivotArea>
    </format>
    <format dxfId="3914">
      <pivotArea dataOnly="0" labelOnly="1" fieldPosition="0">
        <references count="5">
          <reference field="1" count="1" selected="0">
            <x v="133"/>
          </reference>
          <reference field="2" count="1" selected="0">
            <x v="12"/>
          </reference>
          <reference field="3" count="1" selected="0">
            <x v="1"/>
          </reference>
          <reference field="4" count="1" selected="0">
            <x v="222"/>
          </reference>
          <reference field="5" count="2">
            <x v="352"/>
            <x v="846"/>
          </reference>
        </references>
      </pivotArea>
    </format>
    <format dxfId="3913">
      <pivotArea dataOnly="0" labelOnly="1" fieldPosition="0">
        <references count="5">
          <reference field="1" count="1" selected="0">
            <x v="133"/>
          </reference>
          <reference field="2" count="1" selected="0">
            <x v="15"/>
          </reference>
          <reference field="3" count="1" selected="0">
            <x v="8"/>
          </reference>
          <reference field="4" count="1" selected="0">
            <x v="222"/>
          </reference>
          <reference field="5" count="1">
            <x v="789"/>
          </reference>
        </references>
      </pivotArea>
    </format>
    <format dxfId="3912">
      <pivotArea dataOnly="0" labelOnly="1" fieldPosition="0">
        <references count="5">
          <reference field="1" count="1" selected="0">
            <x v="133"/>
          </reference>
          <reference field="2" count="1" selected="0">
            <x v="29"/>
          </reference>
          <reference field="3" count="1" selected="0">
            <x v="10"/>
          </reference>
          <reference field="4" count="1" selected="0">
            <x v="222"/>
          </reference>
          <reference field="5" count="1">
            <x v="1456"/>
          </reference>
        </references>
      </pivotArea>
    </format>
    <format dxfId="3911">
      <pivotArea dataOnly="0" labelOnly="1" fieldPosition="0">
        <references count="5">
          <reference field="1" count="1" selected="0">
            <x v="133"/>
          </reference>
          <reference field="2" count="1" selected="0">
            <x v="37"/>
          </reference>
          <reference field="3" count="1" selected="0">
            <x v="8"/>
          </reference>
          <reference field="4" count="1" selected="0">
            <x v="222"/>
          </reference>
          <reference field="5" count="1">
            <x v="1328"/>
          </reference>
        </references>
      </pivotArea>
    </format>
    <format dxfId="3910">
      <pivotArea dataOnly="0" labelOnly="1" fieldPosition="0">
        <references count="5">
          <reference field="1" count="1" selected="0">
            <x v="133"/>
          </reference>
          <reference field="2" count="1" selected="0">
            <x v="37"/>
          </reference>
          <reference field="3" count="1" selected="0">
            <x v="9"/>
          </reference>
          <reference field="4" count="1" selected="0">
            <x v="222"/>
          </reference>
          <reference field="5" count="1">
            <x v="1291"/>
          </reference>
        </references>
      </pivotArea>
    </format>
    <format dxfId="3909">
      <pivotArea dataOnly="0" labelOnly="1" fieldPosition="0">
        <references count="5">
          <reference field="1" count="1" selected="0">
            <x v="134"/>
          </reference>
          <reference field="2" count="1" selected="0">
            <x v="0"/>
          </reference>
          <reference field="3" count="1" selected="0">
            <x v="1"/>
          </reference>
          <reference field="4" count="1" selected="0">
            <x v="223"/>
          </reference>
          <reference field="5" count="1">
            <x v="80"/>
          </reference>
        </references>
      </pivotArea>
    </format>
    <format dxfId="3908">
      <pivotArea dataOnly="0" labelOnly="1" fieldPosition="0">
        <references count="5">
          <reference field="1" count="1" selected="0">
            <x v="134"/>
          </reference>
          <reference field="2" count="1" selected="0">
            <x v="0"/>
          </reference>
          <reference field="3" count="1" selected="0">
            <x v="6"/>
          </reference>
          <reference field="4" count="1" selected="0">
            <x v="223"/>
          </reference>
          <reference field="5" count="1">
            <x v="371"/>
          </reference>
        </references>
      </pivotArea>
    </format>
    <format dxfId="3907">
      <pivotArea dataOnly="0" labelOnly="1" fieldPosition="0">
        <references count="5">
          <reference field="1" count="1" selected="0">
            <x v="134"/>
          </reference>
          <reference field="2" count="1" selected="0">
            <x v="0"/>
          </reference>
          <reference field="3" count="1" selected="0">
            <x v="12"/>
          </reference>
          <reference field="4" count="1" selected="0">
            <x v="10"/>
          </reference>
          <reference field="5" count="1">
            <x v="138"/>
          </reference>
        </references>
      </pivotArea>
    </format>
    <format dxfId="3906">
      <pivotArea dataOnly="0" labelOnly="1" fieldPosition="0">
        <references count="5">
          <reference field="1" count="1" selected="0">
            <x v="134"/>
          </reference>
          <reference field="2" count="1" selected="0">
            <x v="0"/>
          </reference>
          <reference field="3" count="1" selected="0">
            <x v="12"/>
          </reference>
          <reference field="4" count="1" selected="0">
            <x v="16"/>
          </reference>
          <reference field="5" count="1">
            <x v="332"/>
          </reference>
        </references>
      </pivotArea>
    </format>
    <format dxfId="3905">
      <pivotArea dataOnly="0" labelOnly="1" fieldPosition="0">
        <references count="5">
          <reference field="1" count="1" selected="0">
            <x v="134"/>
          </reference>
          <reference field="2" count="1" selected="0">
            <x v="0"/>
          </reference>
          <reference field="3" count="1" selected="0">
            <x v="12"/>
          </reference>
          <reference field="4" count="1" selected="0">
            <x v="17"/>
          </reference>
          <reference field="5" count="1">
            <x v="96"/>
          </reference>
        </references>
      </pivotArea>
    </format>
    <format dxfId="3904">
      <pivotArea dataOnly="0" labelOnly="1" fieldPosition="0">
        <references count="5">
          <reference field="1" count="1" selected="0">
            <x v="134"/>
          </reference>
          <reference field="2" count="1" selected="0">
            <x v="0"/>
          </reference>
          <reference field="3" count="1" selected="0">
            <x v="12"/>
          </reference>
          <reference field="4" count="1" selected="0">
            <x v="26"/>
          </reference>
          <reference field="5" count="1">
            <x v="20"/>
          </reference>
        </references>
      </pivotArea>
    </format>
    <format dxfId="3903">
      <pivotArea dataOnly="0" labelOnly="1" fieldPosition="0">
        <references count="5">
          <reference field="1" count="1" selected="0">
            <x v="134"/>
          </reference>
          <reference field="2" count="1" selected="0">
            <x v="0"/>
          </reference>
          <reference field="3" count="1" selected="0">
            <x v="38"/>
          </reference>
          <reference field="4" count="1" selected="0">
            <x v="223"/>
          </reference>
          <reference field="5" count="1">
            <x v="138"/>
          </reference>
        </references>
      </pivotArea>
    </format>
    <format dxfId="3902">
      <pivotArea dataOnly="0" labelOnly="1" fieldPosition="0">
        <references count="5">
          <reference field="1" count="1" selected="0">
            <x v="134"/>
          </reference>
          <reference field="2" count="1" selected="0">
            <x v="6"/>
          </reference>
          <reference field="3" count="1" selected="0">
            <x v="38"/>
          </reference>
          <reference field="4" count="1" selected="0">
            <x v="223"/>
          </reference>
          <reference field="5" count="1">
            <x v="592"/>
          </reference>
        </references>
      </pivotArea>
    </format>
    <format dxfId="3901">
      <pivotArea dataOnly="0" labelOnly="1" fieldPosition="0">
        <references count="5">
          <reference field="1" count="1" selected="0">
            <x v="134"/>
          </reference>
          <reference field="2" count="1" selected="0">
            <x v="12"/>
          </reference>
          <reference field="3" count="1" selected="0">
            <x v="1"/>
          </reference>
          <reference field="4" count="1" selected="0">
            <x v="223"/>
          </reference>
          <reference field="5" count="5">
            <x v="80"/>
            <x v="213"/>
            <x v="352"/>
            <x v="500"/>
            <x v="607"/>
          </reference>
        </references>
      </pivotArea>
    </format>
    <format dxfId="3900">
      <pivotArea dataOnly="0" labelOnly="1" fieldPosition="0">
        <references count="5">
          <reference field="1" count="1" selected="0">
            <x v="134"/>
          </reference>
          <reference field="2" count="1" selected="0">
            <x v="14"/>
          </reference>
          <reference field="3" count="1" selected="0">
            <x v="6"/>
          </reference>
          <reference field="4" count="1" selected="0">
            <x v="223"/>
          </reference>
          <reference field="5" count="1">
            <x v="1139"/>
          </reference>
        </references>
      </pivotArea>
    </format>
    <format dxfId="3899">
      <pivotArea dataOnly="0" labelOnly="1" fieldPosition="0">
        <references count="5">
          <reference field="1" count="1" selected="0">
            <x v="134"/>
          </reference>
          <reference field="2" count="1" selected="0">
            <x v="20"/>
          </reference>
          <reference field="3" count="1" selected="0">
            <x v="10"/>
          </reference>
          <reference field="4" count="1" selected="0">
            <x v="223"/>
          </reference>
          <reference field="5" count="1">
            <x v="1866"/>
          </reference>
        </references>
      </pivotArea>
    </format>
    <format dxfId="3898">
      <pivotArea dataOnly="0" labelOnly="1" fieldPosition="0">
        <references count="5">
          <reference field="1" count="1" selected="0">
            <x v="134"/>
          </reference>
          <reference field="2" count="1" selected="0">
            <x v="23"/>
          </reference>
          <reference field="3" count="1" selected="0">
            <x v="38"/>
          </reference>
          <reference field="4" count="1" selected="0">
            <x v="223"/>
          </reference>
          <reference field="5" count="1">
            <x v="19"/>
          </reference>
        </references>
      </pivotArea>
    </format>
    <format dxfId="3897">
      <pivotArea dataOnly="0" labelOnly="1" fieldPosition="0">
        <references count="5">
          <reference field="1" count="1" selected="0">
            <x v="134"/>
          </reference>
          <reference field="2" count="1" selected="0">
            <x v="29"/>
          </reference>
          <reference field="3" count="1" selected="0">
            <x v="10"/>
          </reference>
          <reference field="4" count="1" selected="0">
            <x v="223"/>
          </reference>
          <reference field="5" count="1">
            <x v="1598"/>
          </reference>
        </references>
      </pivotArea>
    </format>
    <format dxfId="3896">
      <pivotArea dataOnly="0" labelOnly="1" fieldPosition="0">
        <references count="5">
          <reference field="1" count="1" selected="0">
            <x v="134"/>
          </reference>
          <reference field="2" count="1" selected="0">
            <x v="36"/>
          </reference>
          <reference field="3" count="1" selected="0">
            <x v="6"/>
          </reference>
          <reference field="4" count="1" selected="0">
            <x v="223"/>
          </reference>
          <reference field="5" count="1">
            <x v="576"/>
          </reference>
        </references>
      </pivotArea>
    </format>
    <format dxfId="3895">
      <pivotArea dataOnly="0" labelOnly="1" fieldPosition="0">
        <references count="5">
          <reference field="1" count="1" selected="0">
            <x v="135"/>
          </reference>
          <reference field="2" count="1" selected="0">
            <x v="0"/>
          </reference>
          <reference field="3" count="1" selected="0">
            <x v="12"/>
          </reference>
          <reference field="4" count="1" selected="0">
            <x v="18"/>
          </reference>
          <reference field="5" count="1">
            <x v="18"/>
          </reference>
        </references>
      </pivotArea>
    </format>
    <format dxfId="3894">
      <pivotArea dataOnly="0" labelOnly="1" fieldPosition="0">
        <references count="5">
          <reference field="1" count="1" selected="0">
            <x v="135"/>
          </reference>
          <reference field="2" count="1" selected="0">
            <x v="0"/>
          </reference>
          <reference field="3" count="1" selected="0">
            <x v="12"/>
          </reference>
          <reference field="4" count="1" selected="0">
            <x v="34"/>
          </reference>
          <reference field="5" count="1">
            <x v="325"/>
          </reference>
        </references>
      </pivotArea>
    </format>
    <format dxfId="3893">
      <pivotArea dataOnly="0" labelOnly="1" fieldPosition="0">
        <references count="5">
          <reference field="1" count="1" selected="0">
            <x v="135"/>
          </reference>
          <reference field="2" count="1" selected="0">
            <x v="0"/>
          </reference>
          <reference field="3" count="1" selected="0">
            <x v="12"/>
          </reference>
          <reference field="4" count="1" selected="0">
            <x v="38"/>
          </reference>
          <reference field="5" count="1">
            <x v="11"/>
          </reference>
        </references>
      </pivotArea>
    </format>
    <format dxfId="3892">
      <pivotArea dataOnly="0" labelOnly="1" fieldPosition="0">
        <references count="5">
          <reference field="1" count="1" selected="0">
            <x v="135"/>
          </reference>
          <reference field="2" count="1" selected="0">
            <x v="0"/>
          </reference>
          <reference field="3" count="1" selected="0">
            <x v="12"/>
          </reference>
          <reference field="4" count="1" selected="0">
            <x v="50"/>
          </reference>
          <reference field="5" count="1">
            <x v="352"/>
          </reference>
        </references>
      </pivotArea>
    </format>
    <format dxfId="3891">
      <pivotArea dataOnly="0" labelOnly="1" fieldPosition="0">
        <references count="5">
          <reference field="1" count="1" selected="0">
            <x v="135"/>
          </reference>
          <reference field="2" count="1" selected="0">
            <x v="0"/>
          </reference>
          <reference field="3" count="1" selected="0">
            <x v="12"/>
          </reference>
          <reference field="4" count="1" selected="0">
            <x v="52"/>
          </reference>
          <reference field="5" count="1">
            <x v="75"/>
          </reference>
        </references>
      </pivotArea>
    </format>
    <format dxfId="3890">
      <pivotArea dataOnly="0" labelOnly="1" fieldPosition="0">
        <references count="5">
          <reference field="1" count="1" selected="0">
            <x v="135"/>
          </reference>
          <reference field="2" count="1" selected="0">
            <x v="5"/>
          </reference>
          <reference field="3" count="1" selected="0">
            <x v="37"/>
          </reference>
          <reference field="4" count="1" selected="0">
            <x v="224"/>
          </reference>
          <reference field="5" count="1">
            <x v="1207"/>
          </reference>
        </references>
      </pivotArea>
    </format>
    <format dxfId="3889">
      <pivotArea dataOnly="0" labelOnly="1" fieldPosition="0">
        <references count="5">
          <reference field="1" count="1" selected="0">
            <x v="135"/>
          </reference>
          <reference field="2" count="1" selected="0">
            <x v="6"/>
          </reference>
          <reference field="3" count="1" selected="0">
            <x v="38"/>
          </reference>
          <reference field="4" count="1" selected="0">
            <x v="224"/>
          </reference>
          <reference field="5" count="1">
            <x v="619"/>
          </reference>
        </references>
      </pivotArea>
    </format>
    <format dxfId="3888">
      <pivotArea dataOnly="0" labelOnly="1" fieldPosition="0">
        <references count="5">
          <reference field="1" count="1" selected="0">
            <x v="135"/>
          </reference>
          <reference field="2" count="1" selected="0">
            <x v="12"/>
          </reference>
          <reference field="3" count="1" selected="0">
            <x v="1"/>
          </reference>
          <reference field="4" count="1" selected="0">
            <x v="224"/>
          </reference>
          <reference field="5" count="5">
            <x v="80"/>
            <x v="213"/>
            <x v="352"/>
            <x v="771"/>
            <x v="964"/>
          </reference>
        </references>
      </pivotArea>
    </format>
    <format dxfId="3887">
      <pivotArea dataOnly="0" labelOnly="1" fieldPosition="0">
        <references count="5">
          <reference field="1" count="1" selected="0">
            <x v="135"/>
          </reference>
          <reference field="2" count="1" selected="0">
            <x v="17"/>
          </reference>
          <reference field="3" count="1" selected="0">
            <x v="6"/>
          </reference>
          <reference field="4" count="1" selected="0">
            <x v="224"/>
          </reference>
          <reference field="5" count="1">
            <x v="1649"/>
          </reference>
        </references>
      </pivotArea>
    </format>
    <format dxfId="3886">
      <pivotArea dataOnly="0" labelOnly="1" fieldPosition="0">
        <references count="5">
          <reference field="1" count="1" selected="0">
            <x v="135"/>
          </reference>
          <reference field="2" count="1" selected="0">
            <x v="33"/>
          </reference>
          <reference field="3" count="1" selected="0">
            <x v="38"/>
          </reference>
          <reference field="4" count="1" selected="0">
            <x v="224"/>
          </reference>
          <reference field="5" count="1">
            <x v="249"/>
          </reference>
        </references>
      </pivotArea>
    </format>
    <format dxfId="3885">
      <pivotArea dataOnly="0" labelOnly="1" fieldPosition="0">
        <references count="5">
          <reference field="1" count="1" selected="0">
            <x v="136"/>
          </reference>
          <reference field="2" count="1" selected="0">
            <x v="0"/>
          </reference>
          <reference field="3" count="1" selected="0">
            <x v="7"/>
          </reference>
          <reference field="4" count="1" selected="0">
            <x v="225"/>
          </reference>
          <reference field="5" count="1">
            <x v="329"/>
          </reference>
        </references>
      </pivotArea>
    </format>
    <format dxfId="3884">
      <pivotArea dataOnly="0" labelOnly="1" fieldPosition="0">
        <references count="5">
          <reference field="1" count="1" selected="0">
            <x v="136"/>
          </reference>
          <reference field="2" count="1" selected="0">
            <x v="0"/>
          </reference>
          <reference field="3" count="1" selected="0">
            <x v="8"/>
          </reference>
          <reference field="4" count="1" selected="0">
            <x v="225"/>
          </reference>
          <reference field="5" count="1">
            <x v="247"/>
          </reference>
        </references>
      </pivotArea>
    </format>
    <format dxfId="3883">
      <pivotArea dataOnly="0" labelOnly="1" fieldPosition="0">
        <references count="5">
          <reference field="1" count="1" selected="0">
            <x v="136"/>
          </reference>
          <reference field="2" count="1" selected="0">
            <x v="0"/>
          </reference>
          <reference field="3" count="1" selected="0">
            <x v="9"/>
          </reference>
          <reference field="4" count="1" selected="0">
            <x v="225"/>
          </reference>
          <reference field="5" count="6">
            <x v="309"/>
            <x v="450"/>
            <x v="470"/>
            <x v="545"/>
            <x v="609"/>
            <x v="1004"/>
          </reference>
        </references>
      </pivotArea>
    </format>
    <format dxfId="3882">
      <pivotArea dataOnly="0" labelOnly="1" fieldPosition="0">
        <references count="5">
          <reference field="1" count="1" selected="0">
            <x v="136"/>
          </reference>
          <reference field="2" count="1" selected="0">
            <x v="0"/>
          </reference>
          <reference field="3" count="1" selected="0">
            <x v="12"/>
          </reference>
          <reference field="4" count="1" selected="0">
            <x v="63"/>
          </reference>
          <reference field="5" count="1">
            <x v="6"/>
          </reference>
        </references>
      </pivotArea>
    </format>
    <format dxfId="3881">
      <pivotArea dataOnly="0" labelOnly="1" fieldPosition="0">
        <references count="5">
          <reference field="1" count="1" selected="0">
            <x v="136"/>
          </reference>
          <reference field="2" count="1" selected="0">
            <x v="0"/>
          </reference>
          <reference field="3" count="1" selected="0">
            <x v="38"/>
          </reference>
          <reference field="4" count="1" selected="0">
            <x v="225"/>
          </reference>
          <reference field="5" count="1">
            <x v="138"/>
          </reference>
        </references>
      </pivotArea>
    </format>
    <format dxfId="3880">
      <pivotArea dataOnly="0" labelOnly="1" fieldPosition="0">
        <references count="5">
          <reference field="1" count="1" selected="0">
            <x v="136"/>
          </reference>
          <reference field="2" count="1" selected="0">
            <x v="2"/>
          </reference>
          <reference field="3" count="1" selected="0">
            <x v="10"/>
          </reference>
          <reference field="4" count="1" selected="0">
            <x v="225"/>
          </reference>
          <reference field="5" count="1">
            <x v="1750"/>
          </reference>
        </references>
      </pivotArea>
    </format>
    <format dxfId="3879">
      <pivotArea dataOnly="0" labelOnly="1" fieldPosition="0">
        <references count="5">
          <reference field="1" count="1" selected="0">
            <x v="136"/>
          </reference>
          <reference field="2" count="1" selected="0">
            <x v="3"/>
          </reference>
          <reference field="3" count="1" selected="0">
            <x v="10"/>
          </reference>
          <reference field="4" count="1" selected="0">
            <x v="225"/>
          </reference>
          <reference field="5" count="1">
            <x v="1355"/>
          </reference>
        </references>
      </pivotArea>
    </format>
    <format dxfId="3878">
      <pivotArea dataOnly="0" labelOnly="1" fieldPosition="0">
        <references count="5">
          <reference field="1" count="1" selected="0">
            <x v="136"/>
          </reference>
          <reference field="2" count="1" selected="0">
            <x v="8"/>
          </reference>
          <reference field="3" count="1" selected="0">
            <x v="10"/>
          </reference>
          <reference field="4" count="1" selected="0">
            <x v="225"/>
          </reference>
          <reference field="5" count="1">
            <x v="1555"/>
          </reference>
        </references>
      </pivotArea>
    </format>
    <format dxfId="3877">
      <pivotArea dataOnly="0" labelOnly="1" fieldPosition="0">
        <references count="5">
          <reference field="1" count="1" selected="0">
            <x v="136"/>
          </reference>
          <reference field="2" count="1" selected="0">
            <x v="9"/>
          </reference>
          <reference field="3" count="1" selected="0">
            <x v="10"/>
          </reference>
          <reference field="4" count="1" selected="0">
            <x v="225"/>
          </reference>
          <reference field="5" count="1">
            <x v="33"/>
          </reference>
        </references>
      </pivotArea>
    </format>
    <format dxfId="3876">
      <pivotArea dataOnly="0" labelOnly="1" fieldPosition="0">
        <references count="5">
          <reference field="1" count="1" selected="0">
            <x v="136"/>
          </reference>
          <reference field="2" count="1" selected="0">
            <x v="12"/>
          </reference>
          <reference field="3" count="1" selected="0">
            <x v="1"/>
          </reference>
          <reference field="4" count="1" selected="0">
            <x v="225"/>
          </reference>
          <reference field="5" count="2">
            <x v="80"/>
            <x v="213"/>
          </reference>
        </references>
      </pivotArea>
    </format>
    <format dxfId="3875">
      <pivotArea dataOnly="0" labelOnly="1" fieldPosition="0">
        <references count="5">
          <reference field="1" count="1" selected="0">
            <x v="136"/>
          </reference>
          <reference field="2" count="1" selected="0">
            <x v="15"/>
          </reference>
          <reference field="3" count="1" selected="0">
            <x v="8"/>
          </reference>
          <reference field="4" count="1" selected="0">
            <x v="225"/>
          </reference>
          <reference field="5" count="1">
            <x v="1119"/>
          </reference>
        </references>
      </pivotArea>
    </format>
    <format dxfId="3874">
      <pivotArea dataOnly="0" labelOnly="1" fieldPosition="0">
        <references count="5">
          <reference field="1" count="1" selected="0">
            <x v="136"/>
          </reference>
          <reference field="2" count="1" selected="0">
            <x v="18"/>
          </reference>
          <reference field="3" count="1" selected="0">
            <x v="10"/>
          </reference>
          <reference field="4" count="1" selected="0">
            <x v="225"/>
          </reference>
          <reference field="5" count="1">
            <x v="1874"/>
          </reference>
        </references>
      </pivotArea>
    </format>
    <format dxfId="3873">
      <pivotArea dataOnly="0" labelOnly="1" fieldPosition="0">
        <references count="5">
          <reference field="1" count="1" selected="0">
            <x v="136"/>
          </reference>
          <reference field="2" count="1" selected="0">
            <x v="19"/>
          </reference>
          <reference field="3" count="1" selected="0">
            <x v="6"/>
          </reference>
          <reference field="4" count="1" selected="0">
            <x v="225"/>
          </reference>
          <reference field="5" count="1">
            <x v="433"/>
          </reference>
        </references>
      </pivotArea>
    </format>
    <format dxfId="3872">
      <pivotArea dataOnly="0" labelOnly="1" fieldPosition="0">
        <references count="5">
          <reference field="1" count="1" selected="0">
            <x v="136"/>
          </reference>
          <reference field="2" count="1" selected="0">
            <x v="22"/>
          </reference>
          <reference field="3" count="1" selected="0">
            <x v="38"/>
          </reference>
          <reference field="4" count="1" selected="0">
            <x v="225"/>
          </reference>
          <reference field="5" count="1">
            <x v="1453"/>
          </reference>
        </references>
      </pivotArea>
    </format>
    <format dxfId="3871">
      <pivotArea dataOnly="0" labelOnly="1" fieldPosition="0">
        <references count="5">
          <reference field="1" count="1" selected="0">
            <x v="136"/>
          </reference>
          <reference field="2" count="1" selected="0">
            <x v="23"/>
          </reference>
          <reference field="3" count="1" selected="0">
            <x v="38"/>
          </reference>
          <reference field="4" count="1" selected="0">
            <x v="225"/>
          </reference>
          <reference field="5" count="1">
            <x v="30"/>
          </reference>
        </references>
      </pivotArea>
    </format>
    <format dxfId="3870">
      <pivotArea dataOnly="0" labelOnly="1" fieldPosition="0">
        <references count="5">
          <reference field="1" count="1" selected="0">
            <x v="136"/>
          </reference>
          <reference field="2" count="1" selected="0">
            <x v="35"/>
          </reference>
          <reference field="3" count="1" selected="0">
            <x v="1"/>
          </reference>
          <reference field="4" count="1" selected="0">
            <x v="225"/>
          </reference>
          <reference field="5" count="1">
            <x v="80"/>
          </reference>
        </references>
      </pivotArea>
    </format>
    <format dxfId="3869">
      <pivotArea dataOnly="0" labelOnly="1" fieldPosition="0">
        <references count="5">
          <reference field="1" count="1" selected="0">
            <x v="136"/>
          </reference>
          <reference field="2" count="1" selected="0">
            <x v="36"/>
          </reference>
          <reference field="3" count="1" selected="0">
            <x v="10"/>
          </reference>
          <reference field="4" count="1" selected="0">
            <x v="225"/>
          </reference>
          <reference field="5" count="1">
            <x v="1576"/>
          </reference>
        </references>
      </pivotArea>
    </format>
    <format dxfId="3868">
      <pivotArea dataOnly="0" labelOnly="1" fieldPosition="0">
        <references count="5">
          <reference field="1" count="1" selected="0">
            <x v="136"/>
          </reference>
          <reference field="2" count="1" selected="0">
            <x v="38"/>
          </reference>
          <reference field="3" count="1" selected="0">
            <x v="10"/>
          </reference>
          <reference field="4" count="1" selected="0">
            <x v="225"/>
          </reference>
          <reference field="5" count="1">
            <x v="1276"/>
          </reference>
        </references>
      </pivotArea>
    </format>
    <format dxfId="3867">
      <pivotArea dataOnly="0" labelOnly="1" fieldPosition="0">
        <references count="5">
          <reference field="1" count="1" selected="0">
            <x v="137"/>
          </reference>
          <reference field="2" count="1" selected="0">
            <x v="0"/>
          </reference>
          <reference field="3" count="1" selected="0">
            <x v="12"/>
          </reference>
          <reference field="4" count="1" selected="0">
            <x v="21"/>
          </reference>
          <reference field="5" count="1">
            <x v="194"/>
          </reference>
        </references>
      </pivotArea>
    </format>
    <format dxfId="3866">
      <pivotArea dataOnly="0" labelOnly="1" fieldPosition="0">
        <references count="5">
          <reference field="1" count="1" selected="0">
            <x v="137"/>
          </reference>
          <reference field="2" count="1" selected="0">
            <x v="0"/>
          </reference>
          <reference field="3" count="1" selected="0">
            <x v="12"/>
          </reference>
          <reference field="4" count="1" selected="0">
            <x v="24"/>
          </reference>
          <reference field="5" count="1">
            <x v="23"/>
          </reference>
        </references>
      </pivotArea>
    </format>
    <format dxfId="3865">
      <pivotArea dataOnly="0" labelOnly="1" fieldPosition="0">
        <references count="5">
          <reference field="1" count="1" selected="0">
            <x v="137"/>
          </reference>
          <reference field="2" count="1" selected="0">
            <x v="0"/>
          </reference>
          <reference field="3" count="1" selected="0">
            <x v="12"/>
          </reference>
          <reference field="4" count="1" selected="0">
            <x v="32"/>
          </reference>
          <reference field="5" count="1">
            <x v="744"/>
          </reference>
        </references>
      </pivotArea>
    </format>
    <format dxfId="3864">
      <pivotArea dataOnly="0" labelOnly="1" fieldPosition="0">
        <references count="5">
          <reference field="1" count="1" selected="0">
            <x v="137"/>
          </reference>
          <reference field="2" count="1" selected="0">
            <x v="0"/>
          </reference>
          <reference field="3" count="1" selected="0">
            <x v="12"/>
          </reference>
          <reference field="4" count="1" selected="0">
            <x v="71"/>
          </reference>
          <reference field="5" count="1">
            <x v="139"/>
          </reference>
        </references>
      </pivotArea>
    </format>
    <format dxfId="3863">
      <pivotArea dataOnly="0" labelOnly="1" fieldPosition="0">
        <references count="5">
          <reference field="1" count="1" selected="0">
            <x v="137"/>
          </reference>
          <reference field="2" count="1" selected="0">
            <x v="3"/>
          </reference>
          <reference field="3" count="1" selected="0">
            <x v="38"/>
          </reference>
          <reference field="4" count="1" selected="0">
            <x v="226"/>
          </reference>
          <reference field="5" count="1">
            <x v="561"/>
          </reference>
        </references>
      </pivotArea>
    </format>
    <format dxfId="3862">
      <pivotArea dataOnly="0" labelOnly="1" fieldPosition="0">
        <references count="5">
          <reference field="1" count="1" selected="0">
            <x v="137"/>
          </reference>
          <reference field="2" count="1" selected="0">
            <x v="5"/>
          </reference>
          <reference field="3" count="1" selected="0">
            <x v="37"/>
          </reference>
          <reference field="4" count="1" selected="0">
            <x v="226"/>
          </reference>
          <reference field="5" count="1">
            <x v="1832"/>
          </reference>
        </references>
      </pivotArea>
    </format>
    <format dxfId="3861">
      <pivotArea dataOnly="0" labelOnly="1" fieldPosition="0">
        <references count="5">
          <reference field="1" count="1" selected="0">
            <x v="137"/>
          </reference>
          <reference field="2" count="1" selected="0">
            <x v="5"/>
          </reference>
          <reference field="3" count="1" selected="0">
            <x v="38"/>
          </reference>
          <reference field="4" count="1" selected="0">
            <x v="226"/>
          </reference>
          <reference field="5" count="1">
            <x v="1707"/>
          </reference>
        </references>
      </pivotArea>
    </format>
    <format dxfId="3860">
      <pivotArea dataOnly="0" labelOnly="1" fieldPosition="0">
        <references count="5">
          <reference field="1" count="1" selected="0">
            <x v="137"/>
          </reference>
          <reference field="2" count="1" selected="0">
            <x v="6"/>
          </reference>
          <reference field="3" count="1" selected="0">
            <x v="38"/>
          </reference>
          <reference field="4" count="1" selected="0">
            <x v="226"/>
          </reference>
          <reference field="5" count="1">
            <x v="947"/>
          </reference>
        </references>
      </pivotArea>
    </format>
    <format dxfId="3859">
      <pivotArea dataOnly="0" labelOnly="1" fieldPosition="0">
        <references count="5">
          <reference field="1" count="1" selected="0">
            <x v="137"/>
          </reference>
          <reference field="2" count="1" selected="0">
            <x v="8"/>
          </reference>
          <reference field="3" count="1" selected="0">
            <x v="38"/>
          </reference>
          <reference field="4" count="1" selected="0">
            <x v="226"/>
          </reference>
          <reference field="5" count="1">
            <x v="532"/>
          </reference>
        </references>
      </pivotArea>
    </format>
    <format dxfId="3858">
      <pivotArea dataOnly="0" labelOnly="1" fieldPosition="0">
        <references count="5">
          <reference field="1" count="1" selected="0">
            <x v="137"/>
          </reference>
          <reference field="2" count="1" selected="0">
            <x v="12"/>
          </reference>
          <reference field="3" count="1" selected="0">
            <x v="1"/>
          </reference>
          <reference field="4" count="1" selected="0">
            <x v="226"/>
          </reference>
          <reference field="5" count="4">
            <x v="80"/>
            <x v="213"/>
            <x v="500"/>
            <x v="846"/>
          </reference>
        </references>
      </pivotArea>
    </format>
    <format dxfId="3857">
      <pivotArea dataOnly="0" labelOnly="1" fieldPosition="0">
        <references count="5">
          <reference field="1" count="1" selected="0">
            <x v="137"/>
          </reference>
          <reference field="2" count="1" selected="0">
            <x v="14"/>
          </reference>
          <reference field="3" count="1" selected="0">
            <x v="1"/>
          </reference>
          <reference field="4" count="1" selected="0">
            <x v="226"/>
          </reference>
          <reference field="5" count="1">
            <x v="1169"/>
          </reference>
        </references>
      </pivotArea>
    </format>
    <format dxfId="3856">
      <pivotArea dataOnly="0" labelOnly="1" fieldPosition="0">
        <references count="5">
          <reference field="1" count="1" selected="0">
            <x v="137"/>
          </reference>
          <reference field="2" count="1" selected="0">
            <x v="15"/>
          </reference>
          <reference field="3" count="1" selected="0">
            <x v="37"/>
          </reference>
          <reference field="4" count="1" selected="0">
            <x v="226"/>
          </reference>
          <reference field="5" count="1">
            <x v="897"/>
          </reference>
        </references>
      </pivotArea>
    </format>
    <format dxfId="3855">
      <pivotArea dataOnly="0" labelOnly="1" fieldPosition="0">
        <references count="5">
          <reference field="1" count="1" selected="0">
            <x v="137"/>
          </reference>
          <reference field="2" count="1" selected="0">
            <x v="15"/>
          </reference>
          <reference field="3" count="1" selected="0">
            <x v="38"/>
          </reference>
          <reference field="4" count="1" selected="0">
            <x v="226"/>
          </reference>
          <reference field="5" count="1">
            <x v="607"/>
          </reference>
        </references>
      </pivotArea>
    </format>
    <format dxfId="3854">
      <pivotArea dataOnly="0" labelOnly="1" fieldPosition="0">
        <references count="5">
          <reference field="1" count="1" selected="0">
            <x v="137"/>
          </reference>
          <reference field="2" count="1" selected="0">
            <x v="17"/>
          </reference>
          <reference field="3" count="1" selected="0">
            <x v="38"/>
          </reference>
          <reference field="4" count="1" selected="0">
            <x v="226"/>
          </reference>
          <reference field="5" count="1">
            <x v="1453"/>
          </reference>
        </references>
      </pivotArea>
    </format>
    <format dxfId="3853">
      <pivotArea dataOnly="0" labelOnly="1" fieldPosition="0">
        <references count="5">
          <reference field="1" count="1" selected="0">
            <x v="137"/>
          </reference>
          <reference field="2" count="1" selected="0">
            <x v="24"/>
          </reference>
          <reference field="3" count="1" selected="0">
            <x v="38"/>
          </reference>
          <reference field="4" count="1" selected="0">
            <x v="226"/>
          </reference>
          <reference field="5" count="1">
            <x v="1592"/>
          </reference>
        </references>
      </pivotArea>
    </format>
    <format dxfId="3852">
      <pivotArea dataOnly="0" labelOnly="1" fieldPosition="0">
        <references count="5">
          <reference field="1" count="1" selected="0">
            <x v="137"/>
          </reference>
          <reference field="2" count="1" selected="0">
            <x v="26"/>
          </reference>
          <reference field="3" count="1" selected="0">
            <x v="38"/>
          </reference>
          <reference field="4" count="1" selected="0">
            <x v="226"/>
          </reference>
          <reference field="5" count="1">
            <x v="371"/>
          </reference>
        </references>
      </pivotArea>
    </format>
    <format dxfId="3851">
      <pivotArea dataOnly="0" labelOnly="1" fieldPosition="0">
        <references count="5">
          <reference field="1" count="1" selected="0">
            <x v="137"/>
          </reference>
          <reference field="2" count="1" selected="0">
            <x v="33"/>
          </reference>
          <reference field="3" count="1" selected="0">
            <x v="38"/>
          </reference>
          <reference field="4" count="1" selected="0">
            <x v="226"/>
          </reference>
          <reference field="5" count="1">
            <x v="1280"/>
          </reference>
        </references>
      </pivotArea>
    </format>
    <format dxfId="3850">
      <pivotArea dataOnly="0" labelOnly="1" fieldPosition="0">
        <references count="5">
          <reference field="1" count="1" selected="0">
            <x v="137"/>
          </reference>
          <reference field="2" count="1" selected="0">
            <x v="35"/>
          </reference>
          <reference field="3" count="1" selected="0">
            <x v="1"/>
          </reference>
          <reference field="4" count="1" selected="0">
            <x v="226"/>
          </reference>
          <reference field="5" count="1">
            <x v="213"/>
          </reference>
        </references>
      </pivotArea>
    </format>
    <format dxfId="3849">
      <pivotArea dataOnly="0" labelOnly="1" fieldPosition="0">
        <references count="5">
          <reference field="1" count="1" selected="0">
            <x v="138"/>
          </reference>
          <reference field="2" count="1" selected="0">
            <x v="12"/>
          </reference>
          <reference field="3" count="1" selected="0">
            <x v="1"/>
          </reference>
          <reference field="4" count="1" selected="0">
            <x v="227"/>
          </reference>
          <reference field="5" count="2">
            <x v="80"/>
            <x v="213"/>
          </reference>
        </references>
      </pivotArea>
    </format>
    <format dxfId="3848">
      <pivotArea dataOnly="0" labelOnly="1" fieldPosition="0">
        <references count="5">
          <reference field="1" count="1" selected="0">
            <x v="138"/>
          </reference>
          <reference field="2" count="1" selected="0">
            <x v="12"/>
          </reference>
          <reference field="3" count="1" selected="0">
            <x v="38"/>
          </reference>
          <reference field="4" count="1" selected="0">
            <x v="227"/>
          </reference>
          <reference field="5" count="1">
            <x v="1066"/>
          </reference>
        </references>
      </pivotArea>
    </format>
    <format dxfId="3847">
      <pivotArea dataOnly="0" labelOnly="1" fieldPosition="0">
        <references count="5">
          <reference field="1" count="1" selected="0">
            <x v="138"/>
          </reference>
          <reference field="2" count="1" selected="0">
            <x v="15"/>
          </reference>
          <reference field="3" count="1" selected="0">
            <x v="38"/>
          </reference>
          <reference field="4" count="1" selected="0">
            <x v="227"/>
          </reference>
          <reference field="5" count="1">
            <x v="469"/>
          </reference>
        </references>
      </pivotArea>
    </format>
    <format dxfId="3846">
      <pivotArea dataOnly="0" labelOnly="1" fieldPosition="0">
        <references count="5">
          <reference field="1" count="1" selected="0">
            <x v="138"/>
          </reference>
          <reference field="2" count="1" selected="0">
            <x v="23"/>
          </reference>
          <reference field="3" count="1" selected="0">
            <x v="38"/>
          </reference>
          <reference field="4" count="1" selected="0">
            <x v="227"/>
          </reference>
          <reference field="5" count="1">
            <x v="1188"/>
          </reference>
        </references>
      </pivotArea>
    </format>
    <format dxfId="3845">
      <pivotArea dataOnly="0" labelOnly="1" fieldPosition="0">
        <references count="5">
          <reference field="1" count="1" selected="0">
            <x v="138"/>
          </reference>
          <reference field="2" count="1" selected="0">
            <x v="33"/>
          </reference>
          <reference field="3" count="1" selected="0">
            <x v="6"/>
          </reference>
          <reference field="4" count="1" selected="0">
            <x v="227"/>
          </reference>
          <reference field="5" count="1">
            <x v="469"/>
          </reference>
        </references>
      </pivotArea>
    </format>
    <format dxfId="3844">
      <pivotArea dataOnly="0" labelOnly="1" fieldPosition="0">
        <references count="5">
          <reference field="1" count="1" selected="0">
            <x v="138"/>
          </reference>
          <reference field="2" count="1" selected="0">
            <x v="35"/>
          </reference>
          <reference field="3" count="1" selected="0">
            <x v="1"/>
          </reference>
          <reference field="4" count="1" selected="0">
            <x v="227"/>
          </reference>
          <reference field="5" count="1">
            <x v="80"/>
          </reference>
        </references>
      </pivotArea>
    </format>
    <format dxfId="3843">
      <pivotArea dataOnly="0" labelOnly="1" fieldPosition="0">
        <references count="5">
          <reference field="1" count="1" selected="0">
            <x v="138"/>
          </reference>
          <reference field="2" count="1" selected="0">
            <x v="36"/>
          </reference>
          <reference field="3" count="1" selected="0">
            <x v="6"/>
          </reference>
          <reference field="4" count="1" selected="0">
            <x v="227"/>
          </reference>
          <reference field="5" count="1">
            <x v="404"/>
          </reference>
        </references>
      </pivotArea>
    </format>
    <format dxfId="3842">
      <pivotArea dataOnly="0" labelOnly="1" fieldPosition="0">
        <references count="5">
          <reference field="1" count="1" selected="0">
            <x v="138"/>
          </reference>
          <reference field="2" count="1" selected="0">
            <x v="36"/>
          </reference>
          <reference field="3" count="1" selected="0">
            <x v="38"/>
          </reference>
          <reference field="4" count="1" selected="0">
            <x v="227"/>
          </reference>
          <reference field="5" count="1">
            <x v="567"/>
          </reference>
        </references>
      </pivotArea>
    </format>
    <format dxfId="3841">
      <pivotArea dataOnly="0" labelOnly="1" fieldPosition="0">
        <references count="5">
          <reference field="1" count="1" selected="0">
            <x v="139"/>
          </reference>
          <reference field="2" count="1" selected="0">
            <x v="0"/>
          </reference>
          <reference field="3" count="1" selected="0">
            <x v="12"/>
          </reference>
          <reference field="4" count="1" selected="0">
            <x v="38"/>
          </reference>
          <reference field="5" count="1">
            <x v="9"/>
          </reference>
        </references>
      </pivotArea>
    </format>
    <format dxfId="3840">
      <pivotArea dataOnly="0" labelOnly="1" fieldPosition="0">
        <references count="5">
          <reference field="1" count="1" selected="0">
            <x v="139"/>
          </reference>
          <reference field="2" count="1" selected="0">
            <x v="0"/>
          </reference>
          <reference field="3" count="1" selected="0">
            <x v="12"/>
          </reference>
          <reference field="4" count="1" selected="0">
            <x v="56"/>
          </reference>
          <reference field="5" count="1">
            <x v="6"/>
          </reference>
        </references>
      </pivotArea>
    </format>
    <format dxfId="3839">
      <pivotArea dataOnly="0" labelOnly="1" fieldPosition="0">
        <references count="5">
          <reference field="1" count="1" selected="0">
            <x v="139"/>
          </reference>
          <reference field="2" count="1" selected="0">
            <x v="12"/>
          </reference>
          <reference field="3" count="1" selected="0">
            <x v="1"/>
          </reference>
          <reference field="4" count="1" selected="0">
            <x v="228"/>
          </reference>
          <reference field="5" count="1">
            <x v="352"/>
          </reference>
        </references>
      </pivotArea>
    </format>
    <format dxfId="3838">
      <pivotArea dataOnly="0" labelOnly="1" fieldPosition="0">
        <references count="5">
          <reference field="1" count="1" selected="0">
            <x v="139"/>
          </reference>
          <reference field="2" count="1" selected="0">
            <x v="35"/>
          </reference>
          <reference field="3" count="1" selected="0">
            <x v="1"/>
          </reference>
          <reference field="4" count="1" selected="0">
            <x v="228"/>
          </reference>
          <reference field="5" count="2">
            <x v="213"/>
            <x v="352"/>
          </reference>
        </references>
      </pivotArea>
    </format>
    <format dxfId="3837">
      <pivotArea dataOnly="0" labelOnly="1" fieldPosition="0">
        <references count="5">
          <reference field="1" count="1" selected="0">
            <x v="139"/>
          </reference>
          <reference field="2" count="1" selected="0">
            <x v="36"/>
          </reference>
          <reference field="3" count="1" selected="0">
            <x v="38"/>
          </reference>
          <reference field="4" count="1" selected="0">
            <x v="228"/>
          </reference>
          <reference field="5" count="1">
            <x v="125"/>
          </reference>
        </references>
      </pivotArea>
    </format>
    <format dxfId="3836">
      <pivotArea dataOnly="0" labelOnly="1" fieldPosition="0">
        <references count="5">
          <reference field="1" count="1" selected="0">
            <x v="140"/>
          </reference>
          <reference field="2" count="1" selected="0">
            <x v="0"/>
          </reference>
          <reference field="3" count="1" selected="0">
            <x v="6"/>
          </reference>
          <reference field="4" count="1" selected="0">
            <x v="230"/>
          </reference>
          <reference field="5" count="2">
            <x v="913"/>
            <x v="934"/>
          </reference>
        </references>
      </pivotArea>
    </format>
    <format dxfId="3835">
      <pivotArea dataOnly="0" labelOnly="1" fieldPosition="0">
        <references count="5">
          <reference field="1" count="1" selected="0">
            <x v="140"/>
          </reference>
          <reference field="2" count="1" selected="0">
            <x v="0"/>
          </reference>
          <reference field="3" count="1" selected="0">
            <x v="8"/>
          </reference>
          <reference field="4" count="1" selected="0">
            <x v="230"/>
          </reference>
          <reference field="5" count="2">
            <x v="248"/>
            <x v="550"/>
          </reference>
        </references>
      </pivotArea>
    </format>
    <format dxfId="3834">
      <pivotArea dataOnly="0" labelOnly="1" fieldPosition="0">
        <references count="5">
          <reference field="1" count="1" selected="0">
            <x v="140"/>
          </reference>
          <reference field="2" count="1" selected="0">
            <x v="0"/>
          </reference>
          <reference field="3" count="1" selected="0">
            <x v="9"/>
          </reference>
          <reference field="4" count="1" selected="0">
            <x v="230"/>
          </reference>
          <reference field="5" count="8">
            <x v="136"/>
            <x v="248"/>
            <x v="321"/>
            <x v="611"/>
            <x v="688"/>
            <x v="747"/>
            <x v="1067"/>
            <x v="1075"/>
          </reference>
        </references>
      </pivotArea>
    </format>
    <format dxfId="3833">
      <pivotArea dataOnly="0" labelOnly="1" fieldPosition="0">
        <references count="5">
          <reference field="1" count="1" selected="0">
            <x v="140"/>
          </reference>
          <reference field="2" count="1" selected="0">
            <x v="0"/>
          </reference>
          <reference field="3" count="1" selected="0">
            <x v="24"/>
          </reference>
          <reference field="4" count="1" selected="0">
            <x v="229"/>
          </reference>
          <reference field="5" count="5">
            <x v="293"/>
            <x v="833"/>
            <x v="860"/>
            <x v="1121"/>
            <x v="1201"/>
          </reference>
        </references>
      </pivotArea>
    </format>
    <format dxfId="3832">
      <pivotArea dataOnly="0" labelOnly="1" fieldPosition="0">
        <references count="5">
          <reference field="1" count="1" selected="0">
            <x v="140"/>
          </reference>
          <reference field="2" count="1" selected="0">
            <x v="2"/>
          </reference>
          <reference field="3" count="1" selected="0">
            <x v="9"/>
          </reference>
          <reference field="4" count="1" selected="0">
            <x v="230"/>
          </reference>
          <reference field="5" count="1">
            <x v="663"/>
          </reference>
        </references>
      </pivotArea>
    </format>
    <format dxfId="3831">
      <pivotArea dataOnly="0" labelOnly="1" fieldPosition="0">
        <references count="5">
          <reference field="1" count="1" selected="0">
            <x v="140"/>
          </reference>
          <reference field="2" count="1" selected="0">
            <x v="2"/>
          </reference>
          <reference field="3" count="1" selected="0">
            <x v="24"/>
          </reference>
          <reference field="4" count="1" selected="0">
            <x v="229"/>
          </reference>
          <reference field="5" count="1">
            <x v="1783"/>
          </reference>
        </references>
      </pivotArea>
    </format>
    <format dxfId="3830">
      <pivotArea dataOnly="0" labelOnly="1" fieldPosition="0">
        <references count="5">
          <reference field="1" count="1" selected="0">
            <x v="140"/>
          </reference>
          <reference field="2" count="1" selected="0">
            <x v="3"/>
          </reference>
          <reference field="3" count="1" selected="0">
            <x v="24"/>
          </reference>
          <reference field="4" count="1" selected="0">
            <x v="229"/>
          </reference>
          <reference field="5" count="1">
            <x v="330"/>
          </reference>
        </references>
      </pivotArea>
    </format>
    <format dxfId="3829">
      <pivotArea dataOnly="0" labelOnly="1" fieldPosition="0">
        <references count="5">
          <reference field="1" count="1" selected="0">
            <x v="140"/>
          </reference>
          <reference field="2" count="1" selected="0">
            <x v="5"/>
          </reference>
          <reference field="3" count="1" selected="0">
            <x v="38"/>
          </reference>
          <reference field="4" count="1" selected="0">
            <x v="230"/>
          </reference>
          <reference field="5" count="1">
            <x v="1682"/>
          </reference>
        </references>
      </pivotArea>
    </format>
    <format dxfId="3828">
      <pivotArea dataOnly="0" labelOnly="1" fieldPosition="0">
        <references count="5">
          <reference field="1" count="1" selected="0">
            <x v="140"/>
          </reference>
          <reference field="2" count="1" selected="0">
            <x v="12"/>
          </reference>
          <reference field="3" count="1" selected="0">
            <x v="1"/>
          </reference>
          <reference field="4" count="1" selected="0">
            <x v="230"/>
          </reference>
          <reference field="5" count="5">
            <x v="80"/>
            <x v="213"/>
            <x v="500"/>
            <x v="702"/>
            <x v="964"/>
          </reference>
        </references>
      </pivotArea>
    </format>
    <format dxfId="3827">
      <pivotArea dataOnly="0" labelOnly="1" fieldPosition="0">
        <references count="5">
          <reference field="1" count="1" selected="0">
            <x v="140"/>
          </reference>
          <reference field="2" count="1" selected="0">
            <x v="12"/>
          </reference>
          <reference field="3" count="1" selected="0">
            <x v="24"/>
          </reference>
          <reference field="4" count="1" selected="0">
            <x v="229"/>
          </reference>
          <reference field="5" count="24">
            <x v="58"/>
            <x v="444"/>
            <x v="508"/>
            <x v="1186"/>
            <x v="1273"/>
            <x v="1346"/>
            <x v="1420"/>
            <x v="1511"/>
            <x v="1513"/>
            <x v="1524"/>
            <x v="1541"/>
            <x v="1585"/>
            <x v="1596"/>
            <x v="1636"/>
            <x v="1651"/>
            <x v="1700"/>
            <x v="1702"/>
            <x v="1710"/>
            <x v="1717"/>
            <x v="1734"/>
            <x v="1775"/>
            <x v="1818"/>
            <x v="1831"/>
            <x v="1838"/>
          </reference>
        </references>
      </pivotArea>
    </format>
    <format dxfId="3826">
      <pivotArea dataOnly="0" labelOnly="1" fieldPosition="0">
        <references count="5">
          <reference field="1" count="1" selected="0">
            <x v="140"/>
          </reference>
          <reference field="2" count="1" selected="0">
            <x v="12"/>
          </reference>
          <reference field="3" count="1" selected="0">
            <x v="38"/>
          </reference>
          <reference field="4" count="1" selected="0">
            <x v="230"/>
          </reference>
          <reference field="5" count="1">
            <x v="892"/>
          </reference>
        </references>
      </pivotArea>
    </format>
    <format dxfId="3825">
      <pivotArea dataOnly="0" labelOnly="1" fieldPosition="0">
        <references count="5">
          <reference field="1" count="1" selected="0">
            <x v="140"/>
          </reference>
          <reference field="2" count="1" selected="0">
            <x v="14"/>
          </reference>
          <reference field="3" count="1" selected="0">
            <x v="38"/>
          </reference>
          <reference field="4" count="1" selected="0">
            <x v="230"/>
          </reference>
          <reference field="5" count="1">
            <x v="418"/>
          </reference>
        </references>
      </pivotArea>
    </format>
    <format dxfId="3824">
      <pivotArea dataOnly="0" labelOnly="1" fieldPosition="0">
        <references count="5">
          <reference field="1" count="1" selected="0">
            <x v="140"/>
          </reference>
          <reference field="2" count="1" selected="0">
            <x v="15"/>
          </reference>
          <reference field="3" count="1" selected="0">
            <x v="8"/>
          </reference>
          <reference field="4" count="1" selected="0">
            <x v="230"/>
          </reference>
          <reference field="5" count="1">
            <x v="173"/>
          </reference>
        </references>
      </pivotArea>
    </format>
    <format dxfId="3823">
      <pivotArea dataOnly="0" labelOnly="1" fieldPosition="0">
        <references count="5">
          <reference field="1" count="1" selected="0">
            <x v="140"/>
          </reference>
          <reference field="2" count="1" selected="0">
            <x v="15"/>
          </reference>
          <reference field="3" count="1" selected="0">
            <x v="24"/>
          </reference>
          <reference field="4" count="1" selected="0">
            <x v="229"/>
          </reference>
          <reference field="5" count="1">
            <x v="1663"/>
          </reference>
        </references>
      </pivotArea>
    </format>
    <format dxfId="3822">
      <pivotArea dataOnly="0" labelOnly="1" fieldPosition="0">
        <references count="5">
          <reference field="1" count="1" selected="0">
            <x v="140"/>
          </reference>
          <reference field="2" count="1" selected="0">
            <x v="15"/>
          </reference>
          <reference field="3" count="1" selected="0">
            <x v="38"/>
          </reference>
          <reference field="4" count="1" selected="0">
            <x v="230"/>
          </reference>
          <reference field="5" count="1">
            <x v="1800"/>
          </reference>
        </references>
      </pivotArea>
    </format>
    <format dxfId="3821">
      <pivotArea dataOnly="0" labelOnly="1" fieldPosition="0">
        <references count="5">
          <reference field="1" count="1" selected="0">
            <x v="140"/>
          </reference>
          <reference field="2" count="1" selected="0">
            <x v="17"/>
          </reference>
          <reference field="3" count="1" selected="0">
            <x v="6"/>
          </reference>
          <reference field="4" count="1" selected="0">
            <x v="230"/>
          </reference>
          <reference field="5" count="1">
            <x v="1834"/>
          </reference>
        </references>
      </pivotArea>
    </format>
    <format dxfId="3820">
      <pivotArea dataOnly="0" labelOnly="1" fieldPosition="0">
        <references count="5">
          <reference field="1" count="1" selected="0">
            <x v="140"/>
          </reference>
          <reference field="2" count="1" selected="0">
            <x v="21"/>
          </reference>
          <reference field="3" count="1" selected="0">
            <x v="24"/>
          </reference>
          <reference field="4" count="1" selected="0">
            <x v="229"/>
          </reference>
          <reference field="5" count="1">
            <x v="1846"/>
          </reference>
        </references>
      </pivotArea>
    </format>
    <format dxfId="3819">
      <pivotArea dataOnly="0" labelOnly="1" fieldPosition="0">
        <references count="5">
          <reference field="1" count="1" selected="0">
            <x v="140"/>
          </reference>
          <reference field="2" count="1" selected="0">
            <x v="23"/>
          </reference>
          <reference field="3" count="1" selected="0">
            <x v="24"/>
          </reference>
          <reference field="4" count="1" selected="0">
            <x v="229"/>
          </reference>
          <reference field="5" count="1">
            <x v="1779"/>
          </reference>
        </references>
      </pivotArea>
    </format>
    <format dxfId="3818">
      <pivotArea dataOnly="0" labelOnly="1" fieldPosition="0">
        <references count="5">
          <reference field="1" count="1" selected="0">
            <x v="140"/>
          </reference>
          <reference field="2" count="1" selected="0">
            <x v="24"/>
          </reference>
          <reference field="3" count="1" selected="0">
            <x v="24"/>
          </reference>
          <reference field="4" count="1" selected="0">
            <x v="229"/>
          </reference>
          <reference field="5" count="1">
            <x v="1733"/>
          </reference>
        </references>
      </pivotArea>
    </format>
    <format dxfId="3817">
      <pivotArea dataOnly="0" labelOnly="1" fieldPosition="0">
        <references count="5">
          <reference field="1" count="1" selected="0">
            <x v="140"/>
          </reference>
          <reference field="2" count="1" selected="0">
            <x v="26"/>
          </reference>
          <reference field="3" count="1" selected="0">
            <x v="38"/>
          </reference>
          <reference field="4" count="1" selected="0">
            <x v="230"/>
          </reference>
          <reference field="5" count="1">
            <x v="1380"/>
          </reference>
        </references>
      </pivotArea>
    </format>
    <format dxfId="3816">
      <pivotArea dataOnly="0" labelOnly="1" fieldPosition="0">
        <references count="5">
          <reference field="1" count="1" selected="0">
            <x v="140"/>
          </reference>
          <reference field="2" count="1" selected="0">
            <x v="29"/>
          </reference>
          <reference field="3" count="1" selected="0">
            <x v="38"/>
          </reference>
          <reference field="4" count="1" selected="0">
            <x v="230"/>
          </reference>
          <reference field="5" count="1">
            <x v="1766"/>
          </reference>
        </references>
      </pivotArea>
    </format>
    <format dxfId="3815">
      <pivotArea dataOnly="0" labelOnly="1" fieldPosition="0">
        <references count="5">
          <reference field="1" count="1" selected="0">
            <x v="140"/>
          </reference>
          <reference field="2" count="1" selected="0">
            <x v="35"/>
          </reference>
          <reference field="3" count="1" selected="0">
            <x v="1"/>
          </reference>
          <reference field="4" count="1" selected="0">
            <x v="230"/>
          </reference>
          <reference field="5" count="1">
            <x v="80"/>
          </reference>
        </references>
      </pivotArea>
    </format>
    <format dxfId="3814">
      <pivotArea dataOnly="0" labelOnly="1" fieldPosition="0">
        <references count="5">
          <reference field="1" count="1" selected="0">
            <x v="140"/>
          </reference>
          <reference field="2" count="1" selected="0">
            <x v="35"/>
          </reference>
          <reference field="3" count="1" selected="0">
            <x v="24"/>
          </reference>
          <reference field="4" count="1" selected="0">
            <x v="229"/>
          </reference>
          <reference field="5" count="13">
            <x v="141"/>
            <x v="204"/>
            <x v="319"/>
            <x v="357"/>
            <x v="447"/>
            <x v="448"/>
            <x v="479"/>
            <x v="536"/>
            <x v="722"/>
            <x v="792"/>
            <x v="976"/>
            <x v="1168"/>
            <x v="1472"/>
          </reference>
        </references>
      </pivotArea>
    </format>
    <format dxfId="3813">
      <pivotArea dataOnly="0" labelOnly="1" fieldPosition="0">
        <references count="5">
          <reference field="1" count="1" selected="0">
            <x v="140"/>
          </reference>
          <reference field="2" count="1" selected="0">
            <x v="36"/>
          </reference>
          <reference field="3" count="1" selected="0">
            <x v="9"/>
          </reference>
          <reference field="4" count="1" selected="0">
            <x v="230"/>
          </reference>
          <reference field="5" count="1">
            <x v="1204"/>
          </reference>
        </references>
      </pivotArea>
    </format>
    <format dxfId="3812">
      <pivotArea dataOnly="0" labelOnly="1" fieldPosition="0">
        <references count="5">
          <reference field="1" count="1" selected="0">
            <x v="140"/>
          </reference>
          <reference field="2" count="1" selected="0">
            <x v="37"/>
          </reference>
          <reference field="3" count="1" selected="0">
            <x v="24"/>
          </reference>
          <reference field="4" count="1" selected="0">
            <x v="229"/>
          </reference>
          <reference field="5" count="1">
            <x v="993"/>
          </reference>
        </references>
      </pivotArea>
    </format>
    <format dxfId="3811">
      <pivotArea dataOnly="0" labelOnly="1" fieldPosition="0">
        <references count="5">
          <reference field="1" count="1" selected="0">
            <x v="141"/>
          </reference>
          <reference field="2" count="1" selected="0">
            <x v="0"/>
          </reference>
          <reference field="3" count="1" selected="0">
            <x v="9"/>
          </reference>
          <reference field="4" count="1" selected="0">
            <x v="231"/>
          </reference>
          <reference field="5" count="3">
            <x v="351"/>
            <x v="807"/>
            <x v="812"/>
          </reference>
        </references>
      </pivotArea>
    </format>
    <format dxfId="3810">
      <pivotArea dataOnly="0" labelOnly="1" fieldPosition="0">
        <references count="5">
          <reference field="1" count="1" selected="0">
            <x v="141"/>
          </reference>
          <reference field="2" count="1" selected="0">
            <x v="0"/>
          </reference>
          <reference field="3" count="1" selected="0">
            <x v="12"/>
          </reference>
          <reference field="4" count="1" selected="0">
            <x v="25"/>
          </reference>
          <reference field="5" count="1">
            <x v="180"/>
          </reference>
        </references>
      </pivotArea>
    </format>
    <format dxfId="3809">
      <pivotArea dataOnly="0" labelOnly="1" fieldPosition="0">
        <references count="5">
          <reference field="1" count="1" selected="0">
            <x v="141"/>
          </reference>
          <reference field="2" count="1" selected="0">
            <x v="0"/>
          </reference>
          <reference field="3" count="1" selected="0">
            <x v="12"/>
          </reference>
          <reference field="4" count="1" selected="0">
            <x v="52"/>
          </reference>
          <reference field="5" count="1">
            <x v="35"/>
          </reference>
        </references>
      </pivotArea>
    </format>
    <format dxfId="3808">
      <pivotArea dataOnly="0" labelOnly="1" fieldPosition="0">
        <references count="5">
          <reference field="1" count="1" selected="0">
            <x v="141"/>
          </reference>
          <reference field="2" count="1" selected="0">
            <x v="10"/>
          </reference>
          <reference field="3" count="1" selected="0">
            <x v="38"/>
          </reference>
          <reference field="4" count="1" selected="0">
            <x v="231"/>
          </reference>
          <reference field="5" count="1">
            <x v="1861"/>
          </reference>
        </references>
      </pivotArea>
    </format>
    <format dxfId="3807">
      <pivotArea dataOnly="0" labelOnly="1" fieldPosition="0">
        <references count="5">
          <reference field="1" count="1" selected="0">
            <x v="141"/>
          </reference>
          <reference field="2" count="1" selected="0">
            <x v="11"/>
          </reference>
          <reference field="3" count="1" selected="0">
            <x v="8"/>
          </reference>
          <reference field="4" count="1" selected="0">
            <x v="231"/>
          </reference>
          <reference field="5" count="1">
            <x v="1233"/>
          </reference>
        </references>
      </pivotArea>
    </format>
    <format dxfId="3806">
      <pivotArea dataOnly="0" labelOnly="1" fieldPosition="0">
        <references count="5">
          <reference field="1" count="1" selected="0">
            <x v="141"/>
          </reference>
          <reference field="2" count="1" selected="0">
            <x v="12"/>
          </reference>
          <reference field="3" count="1" selected="0">
            <x v="1"/>
          </reference>
          <reference field="4" count="1" selected="0">
            <x v="231"/>
          </reference>
          <reference field="5" count="2">
            <x v="80"/>
            <x v="352"/>
          </reference>
        </references>
      </pivotArea>
    </format>
    <format dxfId="3805">
      <pivotArea dataOnly="0" labelOnly="1" fieldPosition="0">
        <references count="5">
          <reference field="1" count="1" selected="0">
            <x v="141"/>
          </reference>
          <reference field="2" count="1" selected="0">
            <x v="27"/>
          </reference>
          <reference field="3" count="1" selected="0">
            <x v="38"/>
          </reference>
          <reference field="4" count="1" selected="0">
            <x v="231"/>
          </reference>
          <reference field="5" count="1">
            <x v="1634"/>
          </reference>
        </references>
      </pivotArea>
    </format>
    <format dxfId="3804">
      <pivotArea dataOnly="0" labelOnly="1" fieldPosition="0">
        <references count="5">
          <reference field="1" count="1" selected="0">
            <x v="142"/>
          </reference>
          <reference field="2" count="1" selected="0">
            <x v="0"/>
          </reference>
          <reference field="3" count="1" selected="0">
            <x v="6"/>
          </reference>
          <reference field="4" count="1" selected="0">
            <x v="232"/>
          </reference>
          <reference field="5" count="1">
            <x v="933"/>
          </reference>
        </references>
      </pivotArea>
    </format>
    <format dxfId="3803">
      <pivotArea dataOnly="0" labelOnly="1" fieldPosition="0">
        <references count="5">
          <reference field="1" count="1" selected="0">
            <x v="142"/>
          </reference>
          <reference field="2" count="1" selected="0">
            <x v="0"/>
          </reference>
          <reference field="3" count="1" selected="0">
            <x v="12"/>
          </reference>
          <reference field="4" count="1" selected="0">
            <x v="11"/>
          </reference>
          <reference field="5" count="1">
            <x v="138"/>
          </reference>
        </references>
      </pivotArea>
    </format>
    <format dxfId="3802">
      <pivotArea dataOnly="0" labelOnly="1" fieldPosition="0">
        <references count="5">
          <reference field="1" count="1" selected="0">
            <x v="142"/>
          </reference>
          <reference field="2" count="1" selected="0">
            <x v="0"/>
          </reference>
          <reference field="3" count="1" selected="0">
            <x v="12"/>
          </reference>
          <reference field="4" count="1" selected="0">
            <x v="23"/>
          </reference>
          <reference field="5" count="1">
            <x v="114"/>
          </reference>
        </references>
      </pivotArea>
    </format>
    <format dxfId="3801">
      <pivotArea dataOnly="0" labelOnly="1" fieldPosition="0">
        <references count="5">
          <reference field="1" count="1" selected="0">
            <x v="142"/>
          </reference>
          <reference field="2" count="1" selected="0">
            <x v="0"/>
          </reference>
          <reference field="3" count="1" selected="0">
            <x v="12"/>
          </reference>
          <reference field="4" count="1" selected="0">
            <x v="47"/>
          </reference>
          <reference field="5" count="1">
            <x v="314"/>
          </reference>
        </references>
      </pivotArea>
    </format>
    <format dxfId="3800">
      <pivotArea dataOnly="0" labelOnly="1" fieldPosition="0">
        <references count="5">
          <reference field="1" count="1" selected="0">
            <x v="142"/>
          </reference>
          <reference field="2" count="1" selected="0">
            <x v="0"/>
          </reference>
          <reference field="3" count="1" selected="0">
            <x v="12"/>
          </reference>
          <reference field="4" count="1" selected="0">
            <x v="49"/>
          </reference>
          <reference field="5" count="1">
            <x v="52"/>
          </reference>
        </references>
      </pivotArea>
    </format>
    <format dxfId="3799">
      <pivotArea dataOnly="0" labelOnly="1" fieldPosition="0">
        <references count="5">
          <reference field="1" count="1" selected="0">
            <x v="142"/>
          </reference>
          <reference field="2" count="1" selected="0">
            <x v="0"/>
          </reference>
          <reference field="3" count="1" selected="0">
            <x v="12"/>
          </reference>
          <reference field="4" count="1" selected="0">
            <x v="63"/>
          </reference>
          <reference field="5" count="1">
            <x v="6"/>
          </reference>
        </references>
      </pivotArea>
    </format>
    <format dxfId="3798">
      <pivotArea dataOnly="0" labelOnly="1" fieldPosition="0">
        <references count="5">
          <reference field="1" count="1" selected="0">
            <x v="142"/>
          </reference>
          <reference field="2" count="1" selected="0">
            <x v="0"/>
          </reference>
          <reference field="3" count="1" selected="0">
            <x v="38"/>
          </reference>
          <reference field="4" count="1" selected="0">
            <x v="232"/>
          </reference>
          <reference field="5" count="5">
            <x v="109"/>
            <x v="500"/>
            <x v="943"/>
            <x v="1093"/>
            <x v="1150"/>
          </reference>
        </references>
      </pivotArea>
    </format>
    <format dxfId="3797">
      <pivotArea dataOnly="0" labelOnly="1" fieldPosition="0">
        <references count="5">
          <reference field="1" count="1" selected="0">
            <x v="142"/>
          </reference>
          <reference field="2" count="1" selected="0">
            <x v="2"/>
          </reference>
          <reference field="3" count="1" selected="0">
            <x v="1"/>
          </reference>
          <reference field="4" count="1" selected="0">
            <x v="232"/>
          </reference>
          <reference field="5" count="1">
            <x v="257"/>
          </reference>
        </references>
      </pivotArea>
    </format>
    <format dxfId="3796">
      <pivotArea dataOnly="0" labelOnly="1" fieldPosition="0">
        <references count="5">
          <reference field="1" count="1" selected="0">
            <x v="142"/>
          </reference>
          <reference field="2" count="1" selected="0">
            <x v="2"/>
          </reference>
          <reference field="3" count="1" selected="0">
            <x v="6"/>
          </reference>
          <reference field="4" count="1" selected="0">
            <x v="232"/>
          </reference>
          <reference field="5" count="1">
            <x v="325"/>
          </reference>
        </references>
      </pivotArea>
    </format>
    <format dxfId="3795">
      <pivotArea dataOnly="0" labelOnly="1" fieldPosition="0">
        <references count="5">
          <reference field="1" count="1" selected="0">
            <x v="142"/>
          </reference>
          <reference field="2" count="1" selected="0">
            <x v="7"/>
          </reference>
          <reference field="3" count="1" selected="0">
            <x v="38"/>
          </reference>
          <reference field="4" count="1" selected="0">
            <x v="232"/>
          </reference>
          <reference field="5" count="1">
            <x v="776"/>
          </reference>
        </references>
      </pivotArea>
    </format>
    <format dxfId="3794">
      <pivotArea dataOnly="0" labelOnly="1" fieldPosition="0">
        <references count="5">
          <reference field="1" count="1" selected="0">
            <x v="142"/>
          </reference>
          <reference field="2" count="1" selected="0">
            <x v="8"/>
          </reference>
          <reference field="3" count="1" selected="0">
            <x v="10"/>
          </reference>
          <reference field="4" count="1" selected="0">
            <x v="232"/>
          </reference>
          <reference field="5" count="1">
            <x v="0"/>
          </reference>
        </references>
      </pivotArea>
    </format>
    <format dxfId="3793">
      <pivotArea dataOnly="0" labelOnly="1" fieldPosition="0">
        <references count="5">
          <reference field="1" count="1" selected="0">
            <x v="142"/>
          </reference>
          <reference field="2" count="1" selected="0">
            <x v="10"/>
          </reference>
          <reference field="3" count="1" selected="0">
            <x v="38"/>
          </reference>
          <reference field="4" count="1" selected="0">
            <x v="232"/>
          </reference>
          <reference field="5" count="1">
            <x v="1744"/>
          </reference>
        </references>
      </pivotArea>
    </format>
    <format dxfId="3792">
      <pivotArea dataOnly="0" labelOnly="1" fieldPosition="0">
        <references count="5">
          <reference field="1" count="1" selected="0">
            <x v="142"/>
          </reference>
          <reference field="2" count="1" selected="0">
            <x v="12"/>
          </reference>
          <reference field="3" count="1" selected="0">
            <x v="1"/>
          </reference>
          <reference field="4" count="1" selected="0">
            <x v="232"/>
          </reference>
          <reference field="5" count="3">
            <x v="80"/>
            <x v="213"/>
            <x v="352"/>
          </reference>
        </references>
      </pivotArea>
    </format>
    <format dxfId="3791">
      <pivotArea dataOnly="0" labelOnly="1" fieldPosition="0">
        <references count="5">
          <reference field="1" count="1" selected="0">
            <x v="142"/>
          </reference>
          <reference field="2" count="1" selected="0">
            <x v="12"/>
          </reference>
          <reference field="3" count="1" selected="0">
            <x v="38"/>
          </reference>
          <reference field="4" count="1" selected="0">
            <x v="232"/>
          </reference>
          <reference field="5" count="2">
            <x v="278"/>
            <x v="500"/>
          </reference>
        </references>
      </pivotArea>
    </format>
    <format dxfId="3790">
      <pivotArea dataOnly="0" labelOnly="1" fieldPosition="0">
        <references count="5">
          <reference field="1" count="1" selected="0">
            <x v="142"/>
          </reference>
          <reference field="2" count="1" selected="0">
            <x v="15"/>
          </reference>
          <reference field="3" count="1" selected="0">
            <x v="38"/>
          </reference>
          <reference field="4" count="1" selected="0">
            <x v="232"/>
          </reference>
          <reference field="5" count="1">
            <x v="1319"/>
          </reference>
        </references>
      </pivotArea>
    </format>
    <format dxfId="3789">
      <pivotArea dataOnly="0" labelOnly="1" fieldPosition="0">
        <references count="5">
          <reference field="1" count="1" selected="0">
            <x v="142"/>
          </reference>
          <reference field="2" count="1" selected="0">
            <x v="23"/>
          </reference>
          <reference field="3" count="1" selected="0">
            <x v="38"/>
          </reference>
          <reference field="4" count="1" selected="0">
            <x v="232"/>
          </reference>
          <reference field="5" count="1">
            <x v="93"/>
          </reference>
        </references>
      </pivotArea>
    </format>
    <format dxfId="3788">
      <pivotArea dataOnly="0" labelOnly="1" fieldPosition="0">
        <references count="5">
          <reference field="1" count="1" selected="0">
            <x v="142"/>
          </reference>
          <reference field="2" count="1" selected="0">
            <x v="26"/>
          </reference>
          <reference field="3" count="1" selected="0">
            <x v="38"/>
          </reference>
          <reference field="4" count="1" selected="0">
            <x v="232"/>
          </reference>
          <reference field="5" count="1">
            <x v="371"/>
          </reference>
        </references>
      </pivotArea>
    </format>
    <format dxfId="3787">
      <pivotArea dataOnly="0" labelOnly="1" fieldPosition="0">
        <references count="5">
          <reference field="1" count="1" selected="0">
            <x v="142"/>
          </reference>
          <reference field="2" count="1" selected="0">
            <x v="34"/>
          </reference>
          <reference field="3" count="1" selected="0">
            <x v="38"/>
          </reference>
          <reference field="4" count="1" selected="0">
            <x v="232"/>
          </reference>
          <reference field="5" count="1">
            <x v="39"/>
          </reference>
        </references>
      </pivotArea>
    </format>
    <format dxfId="3786">
      <pivotArea dataOnly="0" labelOnly="1" fieldPosition="0">
        <references count="5">
          <reference field="1" count="1" selected="0">
            <x v="142"/>
          </reference>
          <reference field="2" count="1" selected="0">
            <x v="35"/>
          </reference>
          <reference field="3" count="1" selected="0">
            <x v="1"/>
          </reference>
          <reference field="4" count="1" selected="0">
            <x v="232"/>
          </reference>
          <reference field="5" count="2">
            <x v="80"/>
            <x v="213"/>
          </reference>
        </references>
      </pivotArea>
    </format>
    <format dxfId="3785">
      <pivotArea dataOnly="0" labelOnly="1" fieldPosition="0">
        <references count="5">
          <reference field="1" count="1" selected="0">
            <x v="142"/>
          </reference>
          <reference field="2" count="1" selected="0">
            <x v="35"/>
          </reference>
          <reference field="3" count="1" selected="0">
            <x v="38"/>
          </reference>
          <reference field="4" count="1" selected="0">
            <x v="232"/>
          </reference>
          <reference field="5" count="1">
            <x v="846"/>
          </reference>
        </references>
      </pivotArea>
    </format>
    <format dxfId="3784">
      <pivotArea dataOnly="0" labelOnly="1" fieldPosition="0">
        <references count="5">
          <reference field="1" count="1" selected="0">
            <x v="142"/>
          </reference>
          <reference field="2" count="1" selected="0">
            <x v="38"/>
          </reference>
          <reference field="3" count="1" selected="0">
            <x v="38"/>
          </reference>
          <reference field="4" count="1" selected="0">
            <x v="232"/>
          </reference>
          <reference field="5" count="1">
            <x v="500"/>
          </reference>
        </references>
      </pivotArea>
    </format>
    <format dxfId="3783">
      <pivotArea dataOnly="0" labelOnly="1" fieldPosition="0">
        <references count="5">
          <reference field="1" count="1" selected="0">
            <x v="143"/>
          </reference>
          <reference field="2" count="1" selected="0">
            <x v="0"/>
          </reference>
          <reference field="3" count="1" selected="0">
            <x v="12"/>
          </reference>
          <reference field="4" count="1" selected="0">
            <x v="41"/>
          </reference>
          <reference field="5" count="1">
            <x v="213"/>
          </reference>
        </references>
      </pivotArea>
    </format>
    <format dxfId="3782">
      <pivotArea dataOnly="0" labelOnly="1" fieldPosition="0">
        <references count="5">
          <reference field="1" count="1" selected="0">
            <x v="143"/>
          </reference>
          <reference field="2" count="1" selected="0">
            <x v="0"/>
          </reference>
          <reference field="3" count="1" selected="0">
            <x v="12"/>
          </reference>
          <reference field="4" count="1" selected="0">
            <x v="50"/>
          </reference>
          <reference field="5" count="1">
            <x v="248"/>
          </reference>
        </references>
      </pivotArea>
    </format>
    <format dxfId="3781">
      <pivotArea dataOnly="0" labelOnly="1" fieldPosition="0">
        <references count="5">
          <reference field="1" count="1" selected="0">
            <x v="143"/>
          </reference>
          <reference field="2" count="1" selected="0">
            <x v="10"/>
          </reference>
          <reference field="3" count="1" selected="0">
            <x v="10"/>
          </reference>
          <reference field="4" count="1" selected="0">
            <x v="233"/>
          </reference>
          <reference field="5" count="1">
            <x v="0"/>
          </reference>
        </references>
      </pivotArea>
    </format>
    <format dxfId="3780">
      <pivotArea dataOnly="0" labelOnly="1" fieldPosition="0">
        <references count="5">
          <reference field="1" count="1" selected="0">
            <x v="143"/>
          </reference>
          <reference field="2" count="1" selected="0">
            <x v="14"/>
          </reference>
          <reference field="3" count="1" selected="0">
            <x v="37"/>
          </reference>
          <reference field="4" count="1" selected="0">
            <x v="233"/>
          </reference>
          <reference field="5" count="1">
            <x v="1181"/>
          </reference>
        </references>
      </pivotArea>
    </format>
    <format dxfId="3779">
      <pivotArea dataOnly="0" labelOnly="1" fieldPosition="0">
        <references count="5">
          <reference field="1" count="1" selected="0">
            <x v="143"/>
          </reference>
          <reference field="2" count="1" selected="0">
            <x v="32"/>
          </reference>
          <reference field="3" count="1" selected="0">
            <x v="9"/>
          </reference>
          <reference field="4" count="1" selected="0">
            <x v="233"/>
          </reference>
          <reference field="5" count="1">
            <x v="1793"/>
          </reference>
        </references>
      </pivotArea>
    </format>
    <format dxfId="3778">
      <pivotArea dataOnly="0" labelOnly="1" fieldPosition="0">
        <references count="5">
          <reference field="1" count="1" selected="0">
            <x v="144"/>
          </reference>
          <reference field="2" count="1" selected="0">
            <x v="0"/>
          </reference>
          <reference field="3" count="1" selected="0">
            <x v="12"/>
          </reference>
          <reference field="4" count="1" selected="0">
            <x v="7"/>
          </reference>
          <reference field="5" count="1">
            <x v="90"/>
          </reference>
        </references>
      </pivotArea>
    </format>
    <format dxfId="3777">
      <pivotArea dataOnly="0" labelOnly="1" fieldPosition="0">
        <references count="5">
          <reference field="1" count="1" selected="0">
            <x v="144"/>
          </reference>
          <reference field="2" count="1" selected="0">
            <x v="0"/>
          </reference>
          <reference field="3" count="1" selected="0">
            <x v="12"/>
          </reference>
          <reference field="4" count="1" selected="0">
            <x v="62"/>
          </reference>
          <reference field="5" count="1">
            <x v="85"/>
          </reference>
        </references>
      </pivotArea>
    </format>
    <format dxfId="3776">
      <pivotArea dataOnly="0" labelOnly="1" fieldPosition="0">
        <references count="5">
          <reference field="1" count="1" selected="0">
            <x v="145"/>
          </reference>
          <reference field="2" count="1" selected="0">
            <x v="0"/>
          </reference>
          <reference field="3" count="1" selected="0">
            <x v="1"/>
          </reference>
          <reference field="4" count="1" selected="0">
            <x v="234"/>
          </reference>
          <reference field="5" count="1">
            <x v="80"/>
          </reference>
        </references>
      </pivotArea>
    </format>
    <format dxfId="3775">
      <pivotArea dataOnly="0" labelOnly="1" fieldPosition="0">
        <references count="5">
          <reference field="1" count="1" selected="0">
            <x v="145"/>
          </reference>
          <reference field="2" count="1" selected="0">
            <x v="0"/>
          </reference>
          <reference field="3" count="1" selected="0">
            <x v="6"/>
          </reference>
          <reference field="4" count="1" selected="0">
            <x v="234"/>
          </reference>
          <reference field="5" count="1">
            <x v="469"/>
          </reference>
        </references>
      </pivotArea>
    </format>
    <format dxfId="3774">
      <pivotArea dataOnly="0" labelOnly="1" fieldPosition="0">
        <references count="5">
          <reference field="1" count="1" selected="0">
            <x v="145"/>
          </reference>
          <reference field="2" count="1" selected="0">
            <x v="0"/>
          </reference>
          <reference field="3" count="1" selected="0">
            <x v="11"/>
          </reference>
          <reference field="4" count="1" selected="0">
            <x v="14"/>
          </reference>
          <reference field="5" count="1">
            <x v="213"/>
          </reference>
        </references>
      </pivotArea>
    </format>
    <format dxfId="3773">
      <pivotArea dataOnly="0" labelOnly="1" fieldPosition="0">
        <references count="5">
          <reference field="1" count="1" selected="0">
            <x v="145"/>
          </reference>
          <reference field="2" count="1" selected="0">
            <x v="0"/>
          </reference>
          <reference field="3" count="1" selected="0">
            <x v="12"/>
          </reference>
          <reference field="4" count="1" selected="0">
            <x v="19"/>
          </reference>
          <reference field="5" count="1">
            <x v="35"/>
          </reference>
        </references>
      </pivotArea>
    </format>
    <format dxfId="3772">
      <pivotArea dataOnly="0" labelOnly="1" fieldPosition="0">
        <references count="5">
          <reference field="1" count="1" selected="0">
            <x v="145"/>
          </reference>
          <reference field="2" count="1" selected="0">
            <x v="0"/>
          </reference>
          <reference field="3" count="1" selected="0">
            <x v="12"/>
          </reference>
          <reference field="4" count="1" selected="0">
            <x v="34"/>
          </reference>
          <reference field="5" count="1">
            <x v="719"/>
          </reference>
        </references>
      </pivotArea>
    </format>
    <format dxfId="3771">
      <pivotArea dataOnly="0" labelOnly="1" fieldPosition="0">
        <references count="5">
          <reference field="1" count="1" selected="0">
            <x v="145"/>
          </reference>
          <reference field="2" count="1" selected="0">
            <x v="0"/>
          </reference>
          <reference field="3" count="1" selected="0">
            <x v="38"/>
          </reference>
          <reference field="4" count="1" selected="0">
            <x v="234"/>
          </reference>
          <reference field="5" count="1">
            <x v="1170"/>
          </reference>
        </references>
      </pivotArea>
    </format>
    <format dxfId="3770">
      <pivotArea dataOnly="0" labelOnly="1" fieldPosition="0">
        <references count="5">
          <reference field="1" count="1" selected="0">
            <x v="145"/>
          </reference>
          <reference field="2" count="1" selected="0">
            <x v="3"/>
          </reference>
          <reference field="3" count="1" selected="0">
            <x v="38"/>
          </reference>
          <reference field="4" count="1" selected="0">
            <x v="234"/>
          </reference>
          <reference field="5" count="1">
            <x v="106"/>
          </reference>
        </references>
      </pivotArea>
    </format>
    <format dxfId="3769">
      <pivotArea dataOnly="0" labelOnly="1" fieldPosition="0">
        <references count="5">
          <reference field="1" count="1" selected="0">
            <x v="145"/>
          </reference>
          <reference field="2" count="1" selected="0">
            <x v="7"/>
          </reference>
          <reference field="3" count="1" selected="0">
            <x v="6"/>
          </reference>
          <reference field="4" count="1" selected="0">
            <x v="234"/>
          </reference>
          <reference field="5" count="1">
            <x v="539"/>
          </reference>
        </references>
      </pivotArea>
    </format>
    <format dxfId="3768">
      <pivotArea dataOnly="0" labelOnly="1" fieldPosition="0">
        <references count="5">
          <reference field="1" count="1" selected="0">
            <x v="145"/>
          </reference>
          <reference field="2" count="1" selected="0">
            <x v="8"/>
          </reference>
          <reference field="3" count="1" selected="0">
            <x v="38"/>
          </reference>
          <reference field="4" count="1" selected="0">
            <x v="234"/>
          </reference>
          <reference field="5" count="1">
            <x v="642"/>
          </reference>
        </references>
      </pivotArea>
    </format>
    <format dxfId="3767">
      <pivotArea dataOnly="0" labelOnly="1" fieldPosition="0">
        <references count="5">
          <reference field="1" count="1" selected="0">
            <x v="145"/>
          </reference>
          <reference field="2" count="1" selected="0">
            <x v="12"/>
          </reference>
          <reference field="3" count="1" selected="0">
            <x v="1"/>
          </reference>
          <reference field="4" count="1" selected="0">
            <x v="234"/>
          </reference>
          <reference field="5" count="4">
            <x v="213"/>
            <x v="500"/>
            <x v="607"/>
            <x v="771"/>
          </reference>
        </references>
      </pivotArea>
    </format>
    <format dxfId="3766">
      <pivotArea dataOnly="0" labelOnly="1" fieldPosition="0">
        <references count="5">
          <reference field="1" count="1" selected="0">
            <x v="145"/>
          </reference>
          <reference field="2" count="1" selected="0">
            <x v="12"/>
          </reference>
          <reference field="3" count="1" selected="0">
            <x v="38"/>
          </reference>
          <reference field="4" count="1" selected="0">
            <x v="234"/>
          </reference>
          <reference field="5" count="2">
            <x v="1343"/>
            <x v="1528"/>
          </reference>
        </references>
      </pivotArea>
    </format>
    <format dxfId="3765">
      <pivotArea dataOnly="0" labelOnly="1" fieldPosition="0">
        <references count="5">
          <reference field="1" count="1" selected="0">
            <x v="145"/>
          </reference>
          <reference field="2" count="1" selected="0">
            <x v="15"/>
          </reference>
          <reference field="3" count="1" selected="0">
            <x v="38"/>
          </reference>
          <reference field="4" count="1" selected="0">
            <x v="234"/>
          </reference>
          <reference field="5" count="1">
            <x v="744"/>
          </reference>
        </references>
      </pivotArea>
    </format>
    <format dxfId="3764">
      <pivotArea dataOnly="0" labelOnly="1" fieldPosition="0">
        <references count="5">
          <reference field="1" count="1" selected="0">
            <x v="145"/>
          </reference>
          <reference field="2" count="1" selected="0">
            <x v="27"/>
          </reference>
          <reference field="3" count="1" selected="0">
            <x v="38"/>
          </reference>
          <reference field="4" count="1" selected="0">
            <x v="234"/>
          </reference>
          <reference field="5" count="1">
            <x v="39"/>
          </reference>
        </references>
      </pivotArea>
    </format>
    <format dxfId="3763">
      <pivotArea dataOnly="0" labelOnly="1" fieldPosition="0">
        <references count="5">
          <reference field="1" count="1" selected="0">
            <x v="145"/>
          </reference>
          <reference field="2" count="1" selected="0">
            <x v="35"/>
          </reference>
          <reference field="3" count="1" selected="0">
            <x v="1"/>
          </reference>
          <reference field="4" count="1" selected="0">
            <x v="234"/>
          </reference>
          <reference field="5" count="2">
            <x v="80"/>
            <x v="846"/>
          </reference>
        </references>
      </pivotArea>
    </format>
    <format dxfId="3762">
      <pivotArea dataOnly="0" labelOnly="1" fieldPosition="0">
        <references count="5">
          <reference field="1" count="1" selected="0">
            <x v="146"/>
          </reference>
          <reference field="2" count="1" selected="0">
            <x v="0"/>
          </reference>
          <reference field="3" count="1" selected="0">
            <x v="8"/>
          </reference>
          <reference field="4" count="1" selected="0">
            <x v="235"/>
          </reference>
          <reference field="5" count="1">
            <x v="1028"/>
          </reference>
        </references>
      </pivotArea>
    </format>
    <format dxfId="3761">
      <pivotArea dataOnly="0" labelOnly="1" fieldPosition="0">
        <references count="5">
          <reference field="1" count="1" selected="0">
            <x v="146"/>
          </reference>
          <reference field="2" count="1" selected="0">
            <x v="0"/>
          </reference>
          <reference field="3" count="1" selected="0">
            <x v="9"/>
          </reference>
          <reference field="4" count="1" selected="0">
            <x v="235"/>
          </reference>
          <reference field="5" count="9">
            <x v="128"/>
            <x v="257"/>
            <x v="267"/>
            <x v="824"/>
            <x v="1033"/>
            <x v="1057"/>
            <x v="1089"/>
            <x v="1105"/>
            <x v="1203"/>
          </reference>
        </references>
      </pivotArea>
    </format>
    <format dxfId="3760">
      <pivotArea dataOnly="0" labelOnly="1" fieldPosition="0">
        <references count="5">
          <reference field="1" count="1" selected="0">
            <x v="146"/>
          </reference>
          <reference field="2" count="1" selected="0">
            <x v="0"/>
          </reference>
          <reference field="3" count="1" selected="0">
            <x v="12"/>
          </reference>
          <reference field="4" count="1" selected="0">
            <x v="25"/>
          </reference>
          <reference field="5" count="1">
            <x v="55"/>
          </reference>
        </references>
      </pivotArea>
    </format>
    <format dxfId="3759">
      <pivotArea dataOnly="0" labelOnly="1" fieldPosition="0">
        <references count="5">
          <reference field="1" count="1" selected="0">
            <x v="146"/>
          </reference>
          <reference field="2" count="1" selected="0">
            <x v="6"/>
          </reference>
          <reference field="3" count="1" selected="0">
            <x v="38"/>
          </reference>
          <reference field="4" count="1" selected="0">
            <x v="235"/>
          </reference>
          <reference field="5" count="1">
            <x v="1229"/>
          </reference>
        </references>
      </pivotArea>
    </format>
    <format dxfId="3758">
      <pivotArea dataOnly="0" labelOnly="1" fieldPosition="0">
        <references count="5">
          <reference field="1" count="1" selected="0">
            <x v="146"/>
          </reference>
          <reference field="2" count="1" selected="0">
            <x v="8"/>
          </reference>
          <reference field="3" count="1" selected="0">
            <x v="38"/>
          </reference>
          <reference field="4" count="1" selected="0">
            <x v="235"/>
          </reference>
          <reference field="5" count="1">
            <x v="1390"/>
          </reference>
        </references>
      </pivotArea>
    </format>
    <format dxfId="3757">
      <pivotArea dataOnly="0" labelOnly="1" fieldPosition="0">
        <references count="5">
          <reference field="1" count="1" selected="0">
            <x v="146"/>
          </reference>
          <reference field="2" count="1" selected="0">
            <x v="10"/>
          </reference>
          <reference field="3" count="1" selected="0">
            <x v="10"/>
          </reference>
          <reference field="4" count="1" selected="0">
            <x v="235"/>
          </reference>
          <reference field="5" count="1">
            <x v="1847"/>
          </reference>
        </references>
      </pivotArea>
    </format>
    <format dxfId="3756">
      <pivotArea dataOnly="0" labelOnly="1" fieldPosition="0">
        <references count="5">
          <reference field="1" count="1" selected="0">
            <x v="146"/>
          </reference>
          <reference field="2" count="1" selected="0">
            <x v="12"/>
          </reference>
          <reference field="3" count="1" selected="0">
            <x v="1"/>
          </reference>
          <reference field="4" count="1" selected="0">
            <x v="235"/>
          </reference>
          <reference field="5" count="6">
            <x v="80"/>
            <x v="352"/>
            <x v="500"/>
            <x v="607"/>
            <x v="702"/>
            <x v="771"/>
          </reference>
        </references>
      </pivotArea>
    </format>
    <format dxfId="3755">
      <pivotArea dataOnly="0" labelOnly="1" fieldPosition="0">
        <references count="5">
          <reference field="1" count="1" selected="0">
            <x v="146"/>
          </reference>
          <reference field="2" count="1" selected="0">
            <x v="17"/>
          </reference>
          <reference field="3" count="1" selected="0">
            <x v="6"/>
          </reference>
          <reference field="4" count="1" selected="0">
            <x v="235"/>
          </reference>
          <reference field="5" count="1">
            <x v="1696"/>
          </reference>
        </references>
      </pivotArea>
    </format>
    <format dxfId="3754">
      <pivotArea dataOnly="0" labelOnly="1" fieldPosition="0">
        <references count="5">
          <reference field="1" count="1" selected="0">
            <x v="146"/>
          </reference>
          <reference field="2" count="1" selected="0">
            <x v="17"/>
          </reference>
          <reference field="3" count="1" selected="0">
            <x v="9"/>
          </reference>
          <reference field="4" count="1" selected="0">
            <x v="235"/>
          </reference>
          <reference field="5" count="1">
            <x v="1433"/>
          </reference>
        </references>
      </pivotArea>
    </format>
    <format dxfId="3753">
      <pivotArea dataOnly="0" labelOnly="1" fieldPosition="0">
        <references count="5">
          <reference field="1" count="1" selected="0">
            <x v="146"/>
          </reference>
          <reference field="2" count="1" selected="0">
            <x v="19"/>
          </reference>
          <reference field="3" count="1" selected="0">
            <x v="6"/>
          </reference>
          <reference field="4" count="1" selected="0">
            <x v="235"/>
          </reference>
          <reference field="5" count="1">
            <x v="539"/>
          </reference>
        </references>
      </pivotArea>
    </format>
    <format dxfId="3752">
      <pivotArea dataOnly="0" labelOnly="1" fieldPosition="0">
        <references count="5">
          <reference field="1" count="1" selected="0">
            <x v="146"/>
          </reference>
          <reference field="2" count="1" selected="0">
            <x v="23"/>
          </reference>
          <reference field="3" count="1" selected="0">
            <x v="6"/>
          </reference>
          <reference field="4" count="1" selected="0">
            <x v="235"/>
          </reference>
          <reference field="5" count="1">
            <x v="325"/>
          </reference>
        </references>
      </pivotArea>
    </format>
    <format dxfId="3751">
      <pivotArea dataOnly="0" labelOnly="1" fieldPosition="0">
        <references count="5">
          <reference field="1" count="1" selected="0">
            <x v="146"/>
          </reference>
          <reference field="2" count="1" selected="0">
            <x v="33"/>
          </reference>
          <reference field="3" count="1" selected="0">
            <x v="38"/>
          </reference>
          <reference field="4" count="1" selected="0">
            <x v="235"/>
          </reference>
          <reference field="5" count="1">
            <x v="710"/>
          </reference>
        </references>
      </pivotArea>
    </format>
    <format dxfId="3750">
      <pivotArea dataOnly="0" labelOnly="1" fieldPosition="0">
        <references count="5">
          <reference field="1" count="1" selected="0">
            <x v="146"/>
          </reference>
          <reference field="2" count="1" selected="0">
            <x v="34"/>
          </reference>
          <reference field="3" count="1" selected="0">
            <x v="38"/>
          </reference>
          <reference field="4" count="1" selected="0">
            <x v="235"/>
          </reference>
          <reference field="5" count="1">
            <x v="1167"/>
          </reference>
        </references>
      </pivotArea>
    </format>
    <format dxfId="3749">
      <pivotArea dataOnly="0" labelOnly="1" fieldPosition="0">
        <references count="5">
          <reference field="1" count="1" selected="0">
            <x v="146"/>
          </reference>
          <reference field="2" count="1" selected="0">
            <x v="35"/>
          </reference>
          <reference field="3" count="1" selected="0">
            <x v="1"/>
          </reference>
          <reference field="4" count="1" selected="0">
            <x v="235"/>
          </reference>
          <reference field="5" count="2">
            <x v="80"/>
            <x v="500"/>
          </reference>
        </references>
      </pivotArea>
    </format>
    <format dxfId="3748">
      <pivotArea dataOnly="0" labelOnly="1" fieldPosition="0">
        <references count="5">
          <reference field="1" count="1" selected="0">
            <x v="146"/>
          </reference>
          <reference field="2" count="1" selected="0">
            <x v="36"/>
          </reference>
          <reference field="3" count="1" selected="0">
            <x v="8"/>
          </reference>
          <reference field="4" count="1" selected="0">
            <x v="235"/>
          </reference>
          <reference field="5" count="1">
            <x v="1463"/>
          </reference>
        </references>
      </pivotArea>
    </format>
    <format dxfId="3747">
      <pivotArea dataOnly="0" labelOnly="1" fieldPosition="0">
        <references count="5">
          <reference field="1" count="1" selected="0">
            <x v="146"/>
          </reference>
          <reference field="2" count="1" selected="0">
            <x v="36"/>
          </reference>
          <reference field="3" count="1" selected="0">
            <x v="9"/>
          </reference>
          <reference field="4" count="1" selected="0">
            <x v="235"/>
          </reference>
          <reference field="5" count="1">
            <x v="1368"/>
          </reference>
        </references>
      </pivotArea>
    </format>
    <format dxfId="3746">
      <pivotArea dataOnly="0" labelOnly="1" fieldPosition="0">
        <references count="5">
          <reference field="1" count="1" selected="0">
            <x v="146"/>
          </reference>
          <reference field="2" count="1" selected="0">
            <x v="36"/>
          </reference>
          <reference field="3" count="1" selected="0">
            <x v="38"/>
          </reference>
          <reference field="4" count="1" selected="0">
            <x v="235"/>
          </reference>
          <reference field="5" count="1">
            <x v="214"/>
          </reference>
        </references>
      </pivotArea>
    </format>
    <format dxfId="3745">
      <pivotArea dataOnly="0" labelOnly="1" fieldPosition="0">
        <references count="5">
          <reference field="1" count="1" selected="0">
            <x v="147"/>
          </reference>
          <reference field="2" count="1" selected="0">
            <x v="0"/>
          </reference>
          <reference field="3" count="1" selected="0">
            <x v="12"/>
          </reference>
          <reference field="4" count="1" selected="0">
            <x v="4"/>
          </reference>
          <reference field="5" count="1">
            <x v="73"/>
          </reference>
        </references>
      </pivotArea>
    </format>
    <format dxfId="3744">
      <pivotArea dataOnly="0" labelOnly="1" fieldPosition="0">
        <references count="5">
          <reference field="1" count="1" selected="0">
            <x v="147"/>
          </reference>
          <reference field="2" count="1" selected="0">
            <x v="0"/>
          </reference>
          <reference field="3" count="1" selected="0">
            <x v="12"/>
          </reference>
          <reference field="4" count="1" selected="0">
            <x v="26"/>
          </reference>
          <reference field="5" count="1">
            <x v="25"/>
          </reference>
        </references>
      </pivotArea>
    </format>
    <format dxfId="3743">
      <pivotArea dataOnly="0" labelOnly="1" fieldPosition="0">
        <references count="5">
          <reference field="1" count="1" selected="0">
            <x v="147"/>
          </reference>
          <reference field="2" count="1" selected="0">
            <x v="1"/>
          </reference>
          <reference field="3" count="1" selected="0">
            <x v="37"/>
          </reference>
          <reference field="4" count="1" selected="0">
            <x v="236"/>
          </reference>
          <reference field="5" count="1">
            <x v="1851"/>
          </reference>
        </references>
      </pivotArea>
    </format>
    <format dxfId="3742">
      <pivotArea dataOnly="0" labelOnly="1" fieldPosition="0">
        <references count="5">
          <reference field="1" count="1" selected="0">
            <x v="147"/>
          </reference>
          <reference field="2" count="1" selected="0">
            <x v="5"/>
          </reference>
          <reference field="3" count="1" selected="0">
            <x v="37"/>
          </reference>
          <reference field="4" count="1" selected="0">
            <x v="236"/>
          </reference>
          <reference field="5" count="1">
            <x v="960"/>
          </reference>
        </references>
      </pivotArea>
    </format>
    <format dxfId="3741">
      <pivotArea dataOnly="0" labelOnly="1" fieldPosition="0">
        <references count="5">
          <reference field="1" count="1" selected="0">
            <x v="147"/>
          </reference>
          <reference field="2" count="1" selected="0">
            <x v="12"/>
          </reference>
          <reference field="3" count="1" selected="0">
            <x v="1"/>
          </reference>
          <reference field="4" count="1" selected="0">
            <x v="236"/>
          </reference>
          <reference field="5" count="3">
            <x v="80"/>
            <x v="213"/>
            <x v="352"/>
          </reference>
        </references>
      </pivotArea>
    </format>
    <format dxfId="3740">
      <pivotArea dataOnly="0" labelOnly="1" fieldPosition="0">
        <references count="5">
          <reference field="1" count="1" selected="0">
            <x v="147"/>
          </reference>
          <reference field="2" count="1" selected="0">
            <x v="20"/>
          </reference>
          <reference field="3" count="1" selected="0">
            <x v="10"/>
          </reference>
          <reference field="4" count="1" selected="0">
            <x v="236"/>
          </reference>
          <reference field="5" count="1">
            <x v="0"/>
          </reference>
        </references>
      </pivotArea>
    </format>
    <format dxfId="3739">
      <pivotArea dataOnly="0" labelOnly="1" fieldPosition="0">
        <references count="5">
          <reference field="1" count="1" selected="0">
            <x v="147"/>
          </reference>
          <reference field="2" count="1" selected="0">
            <x v="29"/>
          </reference>
          <reference field="3" count="1" selected="0">
            <x v="6"/>
          </reference>
          <reference field="4" count="1" selected="0">
            <x v="236"/>
          </reference>
          <reference field="5" count="1">
            <x v="955"/>
          </reference>
        </references>
      </pivotArea>
    </format>
    <format dxfId="3738">
      <pivotArea dataOnly="0" labelOnly="1" fieldPosition="0">
        <references count="5">
          <reference field="1" count="1" selected="0">
            <x v="147"/>
          </reference>
          <reference field="2" count="1" selected="0">
            <x v="35"/>
          </reference>
          <reference field="3" count="1" selected="0">
            <x v="1"/>
          </reference>
          <reference field="4" count="1" selected="0">
            <x v="236"/>
          </reference>
          <reference field="5" count="1">
            <x v="80"/>
          </reference>
        </references>
      </pivotArea>
    </format>
    <format dxfId="3737">
      <pivotArea dataOnly="0" labelOnly="1" fieldPosition="0">
        <references count="5">
          <reference field="1" count="1" selected="0">
            <x v="147"/>
          </reference>
          <reference field="2" count="1" selected="0">
            <x v="36"/>
          </reference>
          <reference field="3" count="1" selected="0">
            <x v="6"/>
          </reference>
          <reference field="4" count="1" selected="0">
            <x v="236"/>
          </reference>
          <reference field="5" count="1">
            <x v="838"/>
          </reference>
        </references>
      </pivotArea>
    </format>
    <format dxfId="3736">
      <pivotArea dataOnly="0" labelOnly="1" fieldPosition="0">
        <references count="5">
          <reference field="1" count="1" selected="0">
            <x v="148"/>
          </reference>
          <reference field="2" count="1" selected="0">
            <x v="0"/>
          </reference>
          <reference field="3" count="1" selected="0">
            <x v="1"/>
          </reference>
          <reference field="4" count="1" selected="0">
            <x v="237"/>
          </reference>
          <reference field="5" count="1">
            <x v="80"/>
          </reference>
        </references>
      </pivotArea>
    </format>
    <format dxfId="3735">
      <pivotArea dataOnly="0" labelOnly="1" fieldPosition="0">
        <references count="5">
          <reference field="1" count="1" selected="0">
            <x v="148"/>
          </reference>
          <reference field="2" count="1" selected="0">
            <x v="0"/>
          </reference>
          <reference field="3" count="1" selected="0">
            <x v="6"/>
          </reference>
          <reference field="4" count="1" selected="0">
            <x v="237"/>
          </reference>
          <reference field="5" count="1">
            <x v="469"/>
          </reference>
        </references>
      </pivotArea>
    </format>
    <format dxfId="3734">
      <pivotArea dataOnly="0" labelOnly="1" fieldPosition="0">
        <references count="5">
          <reference field="1" count="1" selected="0">
            <x v="148"/>
          </reference>
          <reference field="2" count="1" selected="0">
            <x v="0"/>
          </reference>
          <reference field="3" count="1" selected="0">
            <x v="8"/>
          </reference>
          <reference field="4" count="1" selected="0">
            <x v="237"/>
          </reference>
          <reference field="5" count="2">
            <x v="682"/>
            <x v="1187"/>
          </reference>
        </references>
      </pivotArea>
    </format>
    <format dxfId="3733">
      <pivotArea dataOnly="0" labelOnly="1" fieldPosition="0">
        <references count="5">
          <reference field="1" count="1" selected="0">
            <x v="148"/>
          </reference>
          <reference field="2" count="1" selected="0">
            <x v="0"/>
          </reference>
          <reference field="3" count="1" selected="0">
            <x v="9"/>
          </reference>
          <reference field="4" count="1" selected="0">
            <x v="237"/>
          </reference>
          <reference field="5" count="7">
            <x v="341"/>
            <x v="429"/>
            <x v="493"/>
            <x v="915"/>
            <x v="921"/>
            <x v="959"/>
            <x v="1210"/>
          </reference>
        </references>
      </pivotArea>
    </format>
    <format dxfId="3732">
      <pivotArea dataOnly="0" labelOnly="1" fieldPosition="0">
        <references count="5">
          <reference field="1" count="1" selected="0">
            <x v="148"/>
          </reference>
          <reference field="2" count="1" selected="0">
            <x v="0"/>
          </reference>
          <reference field="3" count="1" selected="0">
            <x v="12"/>
          </reference>
          <reference field="4" count="1" selected="0">
            <x v="6"/>
          </reference>
          <reference field="5" count="1">
            <x v="186"/>
          </reference>
        </references>
      </pivotArea>
    </format>
    <format dxfId="3731">
      <pivotArea dataOnly="0" labelOnly="1" fieldPosition="0">
        <references count="5">
          <reference field="1" count="1" selected="0">
            <x v="148"/>
          </reference>
          <reference field="2" count="1" selected="0">
            <x v="0"/>
          </reference>
          <reference field="3" count="1" selected="0">
            <x v="12"/>
          </reference>
          <reference field="4" count="1" selected="0">
            <x v="28"/>
          </reference>
          <reference field="5" count="1">
            <x v="131"/>
          </reference>
        </references>
      </pivotArea>
    </format>
    <format dxfId="3730">
      <pivotArea dataOnly="0" labelOnly="1" fieldPosition="0">
        <references count="5">
          <reference field="1" count="1" selected="0">
            <x v="148"/>
          </reference>
          <reference field="2" count="1" selected="0">
            <x v="0"/>
          </reference>
          <reference field="3" count="1" selected="0">
            <x v="12"/>
          </reference>
          <reference field="4" count="1" selected="0">
            <x v="30"/>
          </reference>
          <reference field="5" count="1">
            <x v="92"/>
          </reference>
        </references>
      </pivotArea>
    </format>
    <format dxfId="3729">
      <pivotArea dataOnly="0" labelOnly="1" fieldPosition="0">
        <references count="5">
          <reference field="1" count="1" selected="0">
            <x v="148"/>
          </reference>
          <reference field="2" count="1" selected="0">
            <x v="0"/>
          </reference>
          <reference field="3" count="1" selected="0">
            <x v="12"/>
          </reference>
          <reference field="4" count="1" selected="0">
            <x v="35"/>
          </reference>
          <reference field="5" count="1">
            <x v="27"/>
          </reference>
        </references>
      </pivotArea>
    </format>
    <format dxfId="3728">
      <pivotArea dataOnly="0" labelOnly="1" fieldPosition="0">
        <references count="5">
          <reference field="1" count="1" selected="0">
            <x v="148"/>
          </reference>
          <reference field="2" count="1" selected="0">
            <x v="0"/>
          </reference>
          <reference field="3" count="1" selected="0">
            <x v="38"/>
          </reference>
          <reference field="4" count="1" selected="0">
            <x v="237"/>
          </reference>
          <reference field="5" count="1">
            <x v="1503"/>
          </reference>
        </references>
      </pivotArea>
    </format>
    <format dxfId="3727">
      <pivotArea dataOnly="0" labelOnly="1" fieldPosition="0">
        <references count="5">
          <reference field="1" count="1" selected="0">
            <x v="148"/>
          </reference>
          <reference field="2" count="1" selected="0">
            <x v="5"/>
          </reference>
          <reference field="3" count="1" selected="0">
            <x v="38"/>
          </reference>
          <reference field="4" count="1" selected="0">
            <x v="237"/>
          </reference>
          <reference field="5" count="1">
            <x v="1665"/>
          </reference>
        </references>
      </pivotArea>
    </format>
    <format dxfId="3726">
      <pivotArea dataOnly="0" labelOnly="1" fieldPosition="0">
        <references count="5">
          <reference field="1" count="1" selected="0">
            <x v="148"/>
          </reference>
          <reference field="2" count="1" selected="0">
            <x v="8"/>
          </reference>
          <reference field="3" count="1" selected="0">
            <x v="38"/>
          </reference>
          <reference field="4" count="1" selected="0">
            <x v="237"/>
          </reference>
          <reference field="5" count="1">
            <x v="900"/>
          </reference>
        </references>
      </pivotArea>
    </format>
    <format dxfId="3725">
      <pivotArea dataOnly="0" labelOnly="1" fieldPosition="0">
        <references count="5">
          <reference field="1" count="1" selected="0">
            <x v="148"/>
          </reference>
          <reference field="2" count="1" selected="0">
            <x v="9"/>
          </reference>
          <reference field="3" count="1" selected="0">
            <x v="8"/>
          </reference>
          <reference field="4" count="1" selected="0">
            <x v="237"/>
          </reference>
          <reference field="5" count="1">
            <x v="683"/>
          </reference>
        </references>
      </pivotArea>
    </format>
    <format dxfId="3724">
      <pivotArea dataOnly="0" labelOnly="1" fieldPosition="0">
        <references count="5">
          <reference field="1" count="1" selected="0">
            <x v="148"/>
          </reference>
          <reference field="2" count="1" selected="0">
            <x v="12"/>
          </reference>
          <reference field="3" count="1" selected="0">
            <x v="1"/>
          </reference>
          <reference field="4" count="1" selected="0">
            <x v="237"/>
          </reference>
          <reference field="5" count="5">
            <x v="80"/>
            <x v="213"/>
            <x v="352"/>
            <x v="500"/>
            <x v="607"/>
          </reference>
        </references>
      </pivotArea>
    </format>
    <format dxfId="3723">
      <pivotArea dataOnly="0" labelOnly="1" fieldPosition="0">
        <references count="5">
          <reference field="1" count="1" selected="0">
            <x v="148"/>
          </reference>
          <reference field="2" count="1" selected="0">
            <x v="15"/>
          </reference>
          <reference field="3" count="1" selected="0">
            <x v="8"/>
          </reference>
          <reference field="4" count="1" selected="0">
            <x v="237"/>
          </reference>
          <reference field="5" count="1">
            <x v="224"/>
          </reference>
        </references>
      </pivotArea>
    </format>
    <format dxfId="3722">
      <pivotArea dataOnly="0" labelOnly="1" fieldPosition="0">
        <references count="5">
          <reference field="1" count="1" selected="0">
            <x v="148"/>
          </reference>
          <reference field="2" count="1" selected="0">
            <x v="15"/>
          </reference>
          <reference field="3" count="1" selected="0">
            <x v="9"/>
          </reference>
          <reference field="4" count="1" selected="0">
            <x v="237"/>
          </reference>
          <reference field="5" count="1">
            <x v="133"/>
          </reference>
        </references>
      </pivotArea>
    </format>
    <format dxfId="3721">
      <pivotArea dataOnly="0" labelOnly="1" fieldPosition="0">
        <references count="5">
          <reference field="1" count="1" selected="0">
            <x v="148"/>
          </reference>
          <reference field="2" count="1" selected="0">
            <x v="17"/>
          </reference>
          <reference field="3" count="1" selected="0">
            <x v="7"/>
          </reference>
          <reference field="4" count="1" selected="0">
            <x v="237"/>
          </reference>
          <reference field="5" count="1">
            <x v="1219"/>
          </reference>
        </references>
      </pivotArea>
    </format>
    <format dxfId="3720">
      <pivotArea dataOnly="0" labelOnly="1" fieldPosition="0">
        <references count="5">
          <reference field="1" count="1" selected="0">
            <x v="148"/>
          </reference>
          <reference field="2" count="1" selected="0">
            <x v="17"/>
          </reference>
          <reference field="3" count="1" selected="0">
            <x v="10"/>
          </reference>
          <reference field="4" count="1" selected="0">
            <x v="237"/>
          </reference>
          <reference field="5" count="1">
            <x v="1852"/>
          </reference>
        </references>
      </pivotArea>
    </format>
    <format dxfId="3719">
      <pivotArea dataOnly="0" labelOnly="1" fieldPosition="0">
        <references count="5">
          <reference field="1" count="1" selected="0">
            <x v="148"/>
          </reference>
          <reference field="2" count="1" selected="0">
            <x v="23"/>
          </reference>
          <reference field="3" count="1" selected="0">
            <x v="38"/>
          </reference>
          <reference field="4" count="1" selected="0">
            <x v="237"/>
          </reference>
          <reference field="5" count="1">
            <x v="84"/>
          </reference>
        </references>
      </pivotArea>
    </format>
    <format dxfId="3718">
      <pivotArea dataOnly="0" labelOnly="1" fieldPosition="0">
        <references count="5">
          <reference field="1" count="1" selected="0">
            <x v="148"/>
          </reference>
          <reference field="2" count="1" selected="0">
            <x v="26"/>
          </reference>
          <reference field="3" count="1" selected="0">
            <x v="38"/>
          </reference>
          <reference field="4" count="1" selected="0">
            <x v="237"/>
          </reference>
          <reference field="5" count="1">
            <x v="109"/>
          </reference>
        </references>
      </pivotArea>
    </format>
    <format dxfId="3717">
      <pivotArea dataOnly="0" labelOnly="1" fieldPosition="0">
        <references count="5">
          <reference field="1" count="1" selected="0">
            <x v="148"/>
          </reference>
          <reference field="2" count="1" selected="0">
            <x v="27"/>
          </reference>
          <reference field="3" count="1" selected="0">
            <x v="6"/>
          </reference>
          <reference field="4" count="1" selected="0">
            <x v="237"/>
          </reference>
          <reference field="5" count="1">
            <x v="1622"/>
          </reference>
        </references>
      </pivotArea>
    </format>
    <format dxfId="3716">
      <pivotArea dataOnly="0" labelOnly="1" fieldPosition="0">
        <references count="5">
          <reference field="1" count="1" selected="0">
            <x v="148"/>
          </reference>
          <reference field="2" count="1" selected="0">
            <x v="31"/>
          </reference>
          <reference field="3" count="1" selected="0">
            <x v="9"/>
          </reference>
          <reference field="4" count="1" selected="0">
            <x v="237"/>
          </reference>
          <reference field="5" count="1">
            <x v="1865"/>
          </reference>
        </references>
      </pivotArea>
    </format>
    <format dxfId="3715">
      <pivotArea dataOnly="0" labelOnly="1" fieldPosition="0">
        <references count="5">
          <reference field="1" count="1" selected="0">
            <x v="148"/>
          </reference>
          <reference field="2" count="1" selected="0">
            <x v="32"/>
          </reference>
          <reference field="3" count="1" selected="0">
            <x v="9"/>
          </reference>
          <reference field="4" count="1" selected="0">
            <x v="237"/>
          </reference>
          <reference field="5" count="1">
            <x v="0"/>
          </reference>
        </references>
      </pivotArea>
    </format>
    <format dxfId="3714">
      <pivotArea dataOnly="0" labelOnly="1" fieldPosition="0">
        <references count="5">
          <reference field="1" count="1" selected="0">
            <x v="148"/>
          </reference>
          <reference field="2" count="1" selected="0">
            <x v="35"/>
          </reference>
          <reference field="3" count="1" selected="0">
            <x v="38"/>
          </reference>
          <reference field="4" count="1" selected="0">
            <x v="237"/>
          </reference>
          <reference field="5" count="1">
            <x v="1271"/>
          </reference>
        </references>
      </pivotArea>
    </format>
    <format dxfId="3713">
      <pivotArea dataOnly="0" labelOnly="1" fieldPosition="0">
        <references count="5">
          <reference field="1" count="1" selected="0">
            <x v="148"/>
          </reference>
          <reference field="2" count="1" selected="0">
            <x v="36"/>
          </reference>
          <reference field="3" count="1" selected="0">
            <x v="8"/>
          </reference>
          <reference field="4" count="1" selected="0">
            <x v="237"/>
          </reference>
          <reference field="5" count="1">
            <x v="1115"/>
          </reference>
        </references>
      </pivotArea>
    </format>
    <format dxfId="3712">
      <pivotArea dataOnly="0" labelOnly="1" fieldPosition="0">
        <references count="5">
          <reference field="1" count="1" selected="0">
            <x v="148"/>
          </reference>
          <reference field="2" count="1" selected="0">
            <x v="37"/>
          </reference>
          <reference field="3" count="1" selected="0">
            <x v="8"/>
          </reference>
          <reference field="4" count="1" selected="0">
            <x v="237"/>
          </reference>
          <reference field="5" count="1">
            <x v="327"/>
          </reference>
        </references>
      </pivotArea>
    </format>
    <format dxfId="3711">
      <pivotArea dataOnly="0" labelOnly="1" fieldPosition="0">
        <references count="5">
          <reference field="1" count="1" selected="0">
            <x v="148"/>
          </reference>
          <reference field="2" count="1" selected="0">
            <x v="37"/>
          </reference>
          <reference field="3" count="1" selected="0">
            <x v="9"/>
          </reference>
          <reference field="4" count="1" selected="0">
            <x v="237"/>
          </reference>
          <reference field="5" count="1">
            <x v="1443"/>
          </reference>
        </references>
      </pivotArea>
    </format>
    <format dxfId="3710">
      <pivotArea dataOnly="0" labelOnly="1" fieldPosition="0">
        <references count="5">
          <reference field="1" count="1" selected="0">
            <x v="149"/>
          </reference>
          <reference field="2" count="1" selected="0">
            <x v="0"/>
          </reference>
          <reference field="3" count="1" selected="0">
            <x v="1"/>
          </reference>
          <reference field="4" count="1" selected="0">
            <x v="238"/>
          </reference>
          <reference field="5" count="1">
            <x v="80"/>
          </reference>
        </references>
      </pivotArea>
    </format>
    <format dxfId="3709">
      <pivotArea dataOnly="0" labelOnly="1" fieldPosition="0">
        <references count="5">
          <reference field="1" count="1" selected="0">
            <x v="149"/>
          </reference>
          <reference field="2" count="1" selected="0">
            <x v="0"/>
          </reference>
          <reference field="3" count="1" selected="0">
            <x v="9"/>
          </reference>
          <reference field="4" count="1" selected="0">
            <x v="238"/>
          </reference>
          <reference field="5" count="3">
            <x v="539"/>
            <x v="547"/>
            <x v="984"/>
          </reference>
        </references>
      </pivotArea>
    </format>
    <format dxfId="3708">
      <pivotArea dataOnly="0" labelOnly="1" fieldPosition="0">
        <references count="5">
          <reference field="1" count="1" selected="0">
            <x v="149"/>
          </reference>
          <reference field="2" count="1" selected="0">
            <x v="0"/>
          </reference>
          <reference field="3" count="1" selected="0">
            <x v="12"/>
          </reference>
          <reference field="4" count="1" selected="0">
            <x v="16"/>
          </reference>
          <reference field="5" count="1">
            <x v="90"/>
          </reference>
        </references>
      </pivotArea>
    </format>
    <format dxfId="3707">
      <pivotArea dataOnly="0" labelOnly="1" fieldPosition="0">
        <references count="5">
          <reference field="1" count="1" selected="0">
            <x v="149"/>
          </reference>
          <reference field="2" count="1" selected="0">
            <x v="0"/>
          </reference>
          <reference field="3" count="1" selected="0">
            <x v="12"/>
          </reference>
          <reference field="4" count="1" selected="0">
            <x v="19"/>
          </reference>
          <reference field="5" count="1">
            <x v="25"/>
          </reference>
        </references>
      </pivotArea>
    </format>
    <format dxfId="3706">
      <pivotArea dataOnly="0" labelOnly="1" fieldPosition="0">
        <references count="5">
          <reference field="1" count="1" selected="0">
            <x v="149"/>
          </reference>
          <reference field="2" count="1" selected="0">
            <x v="3"/>
          </reference>
          <reference field="3" count="1" selected="0">
            <x v="38"/>
          </reference>
          <reference field="4" count="1" selected="0">
            <x v="238"/>
          </reference>
          <reference field="5" count="1">
            <x v="109"/>
          </reference>
        </references>
      </pivotArea>
    </format>
    <format dxfId="3705">
      <pivotArea dataOnly="0" labelOnly="1" fieldPosition="0">
        <references count="5">
          <reference field="1" count="1" selected="0">
            <x v="149"/>
          </reference>
          <reference field="2" count="1" selected="0">
            <x v="5"/>
          </reference>
          <reference field="3" count="1" selected="0">
            <x v="10"/>
          </reference>
          <reference field="4" count="1" selected="0">
            <x v="238"/>
          </reference>
          <reference field="5" count="1">
            <x v="1362"/>
          </reference>
        </references>
      </pivotArea>
    </format>
    <format dxfId="3704">
      <pivotArea dataOnly="0" labelOnly="1" fieldPosition="0">
        <references count="5">
          <reference field="1" count="1" selected="0">
            <x v="149"/>
          </reference>
          <reference field="2" count="1" selected="0">
            <x v="5"/>
          </reference>
          <reference field="3" count="1" selected="0">
            <x v="38"/>
          </reference>
          <reference field="4" count="1" selected="0">
            <x v="238"/>
          </reference>
          <reference field="5" count="1">
            <x v="371"/>
          </reference>
        </references>
      </pivotArea>
    </format>
    <format dxfId="3703">
      <pivotArea dataOnly="0" labelOnly="1" fieldPosition="0">
        <references count="5">
          <reference field="1" count="1" selected="0">
            <x v="149"/>
          </reference>
          <reference field="2" count="1" selected="0">
            <x v="6"/>
          </reference>
          <reference field="3" count="1" selected="0">
            <x v="38"/>
          </reference>
          <reference field="4" count="1" selected="0">
            <x v="238"/>
          </reference>
          <reference field="5" count="1">
            <x v="919"/>
          </reference>
        </references>
      </pivotArea>
    </format>
    <format dxfId="3702">
      <pivotArea dataOnly="0" labelOnly="1" fieldPosition="0">
        <references count="5">
          <reference field="1" count="1" selected="0">
            <x v="149"/>
          </reference>
          <reference field="2" count="1" selected="0">
            <x v="12"/>
          </reference>
          <reference field="3" count="1" selected="0">
            <x v="1"/>
          </reference>
          <reference field="4" count="1" selected="0">
            <x v="238"/>
          </reference>
          <reference field="5" count="4">
            <x v="80"/>
            <x v="352"/>
            <x v="500"/>
            <x v="607"/>
          </reference>
        </references>
      </pivotArea>
    </format>
    <format dxfId="3701">
      <pivotArea dataOnly="0" labelOnly="1" fieldPosition="0">
        <references count="5">
          <reference field="1" count="1" selected="0">
            <x v="149"/>
          </reference>
          <reference field="2" count="1" selected="0">
            <x v="15"/>
          </reference>
          <reference field="3" count="1" selected="0">
            <x v="38"/>
          </reference>
          <reference field="4" count="1" selected="0">
            <x v="238"/>
          </reference>
          <reference field="5" count="1">
            <x v="1337"/>
          </reference>
        </references>
      </pivotArea>
    </format>
    <format dxfId="3700">
      <pivotArea dataOnly="0" labelOnly="1" fieldPosition="0">
        <references count="5">
          <reference field="1" count="1" selected="0">
            <x v="149"/>
          </reference>
          <reference field="2" count="1" selected="0">
            <x v="21"/>
          </reference>
          <reference field="3" count="1" selected="0">
            <x v="38"/>
          </reference>
          <reference field="4" count="1" selected="0">
            <x v="238"/>
          </reference>
          <reference field="5" count="1">
            <x v="1274"/>
          </reference>
        </references>
      </pivotArea>
    </format>
    <format dxfId="3699">
      <pivotArea dataOnly="0" labelOnly="1" fieldPosition="0">
        <references count="5">
          <reference field="1" count="1" selected="0">
            <x v="149"/>
          </reference>
          <reference field="2" count="1" selected="0">
            <x v="23"/>
          </reference>
          <reference field="3" count="1" selected="0">
            <x v="7"/>
          </reference>
          <reference field="4" count="1" selected="0">
            <x v="238"/>
          </reference>
          <reference field="5" count="1">
            <x v="371"/>
          </reference>
        </references>
      </pivotArea>
    </format>
    <format dxfId="3698">
      <pivotArea dataOnly="0" labelOnly="1" fieldPosition="0">
        <references count="5">
          <reference field="1" count="1" selected="0">
            <x v="149"/>
          </reference>
          <reference field="2" count="1" selected="0">
            <x v="23"/>
          </reference>
          <reference field="3" count="1" selected="0">
            <x v="9"/>
          </reference>
          <reference field="4" count="1" selected="0">
            <x v="238"/>
          </reference>
          <reference field="5" count="1">
            <x v="1512"/>
          </reference>
        </references>
      </pivotArea>
    </format>
    <format dxfId="3697">
      <pivotArea dataOnly="0" labelOnly="1" fieldPosition="0">
        <references count="5">
          <reference field="1" count="1" selected="0">
            <x v="149"/>
          </reference>
          <reference field="2" count="1" selected="0">
            <x v="23"/>
          </reference>
          <reference field="3" count="1" selected="0">
            <x v="38"/>
          </reference>
          <reference field="4" count="1" selected="0">
            <x v="238"/>
          </reference>
          <reference field="5" count="1">
            <x v="1855"/>
          </reference>
        </references>
      </pivotArea>
    </format>
    <format dxfId="3696">
      <pivotArea dataOnly="0" labelOnly="1" fieldPosition="0">
        <references count="5">
          <reference field="1" count="1" selected="0">
            <x v="149"/>
          </reference>
          <reference field="2" count="1" selected="0">
            <x v="26"/>
          </reference>
          <reference field="3" count="1" selected="0">
            <x v="38"/>
          </reference>
          <reference field="4" count="1" selected="0">
            <x v="238"/>
          </reference>
          <reference field="5" count="1">
            <x v="278"/>
          </reference>
        </references>
      </pivotArea>
    </format>
    <format dxfId="3695">
      <pivotArea dataOnly="0" labelOnly="1" fieldPosition="0">
        <references count="5">
          <reference field="1" count="1" selected="0">
            <x v="149"/>
          </reference>
          <reference field="2" count="1" selected="0">
            <x v="33"/>
          </reference>
          <reference field="3" count="1" selected="0">
            <x v="9"/>
          </reference>
          <reference field="4" count="1" selected="0">
            <x v="238"/>
          </reference>
          <reference field="5" count="1">
            <x v="1069"/>
          </reference>
        </references>
      </pivotArea>
    </format>
    <format dxfId="3694">
      <pivotArea dataOnly="0" labelOnly="1" fieldPosition="0">
        <references count="5">
          <reference field="1" count="1" selected="0">
            <x v="149"/>
          </reference>
          <reference field="2" count="1" selected="0">
            <x v="33"/>
          </reference>
          <reference field="3" count="1" selected="0">
            <x v="38"/>
          </reference>
          <reference field="4" count="1" selected="0">
            <x v="238"/>
          </reference>
          <reference field="5" count="1">
            <x v="849"/>
          </reference>
        </references>
      </pivotArea>
    </format>
    <format dxfId="3693">
      <pivotArea dataOnly="0" labelOnly="1" fieldPosition="0">
        <references count="5">
          <reference field="1" count="1" selected="0">
            <x v="149"/>
          </reference>
          <reference field="2" count="1" selected="0">
            <x v="35"/>
          </reference>
          <reference field="3" count="1" selected="0">
            <x v="1"/>
          </reference>
          <reference field="4" count="1" selected="0">
            <x v="238"/>
          </reference>
          <reference field="5" count="3">
            <x v="80"/>
            <x v="352"/>
            <x v="500"/>
          </reference>
        </references>
      </pivotArea>
    </format>
    <format dxfId="3692">
      <pivotArea dataOnly="0" labelOnly="1" fieldPosition="0">
        <references count="5">
          <reference field="1" count="1" selected="0">
            <x v="150"/>
          </reference>
          <reference field="2" count="1" selected="0">
            <x v="0"/>
          </reference>
          <reference field="3" count="1" selected="0">
            <x v="8"/>
          </reference>
          <reference field="4" count="1" selected="0">
            <x v="239"/>
          </reference>
          <reference field="5" count="1">
            <x v="0"/>
          </reference>
        </references>
      </pivotArea>
    </format>
    <format dxfId="3691">
      <pivotArea dataOnly="0" labelOnly="1" fieldPosition="0">
        <references count="5">
          <reference field="1" count="1" selected="0">
            <x v="150"/>
          </reference>
          <reference field="2" count="1" selected="0">
            <x v="0"/>
          </reference>
          <reference field="3" count="1" selected="0">
            <x v="9"/>
          </reference>
          <reference field="4" count="1" selected="0">
            <x v="239"/>
          </reference>
          <reference field="5" count="2">
            <x v="825"/>
            <x v="1494"/>
          </reference>
        </references>
      </pivotArea>
    </format>
    <format dxfId="3690">
      <pivotArea dataOnly="0" labelOnly="1" fieldPosition="0">
        <references count="5">
          <reference field="1" count="1" selected="0">
            <x v="150"/>
          </reference>
          <reference field="2" count="1" selected="0">
            <x v="0"/>
          </reference>
          <reference field="3" count="1" selected="0">
            <x v="10"/>
          </reference>
          <reference field="4" count="1" selected="0">
            <x v="239"/>
          </reference>
          <reference field="5" count="1">
            <x v="0"/>
          </reference>
        </references>
      </pivotArea>
    </format>
    <format dxfId="3689">
      <pivotArea dataOnly="0" labelOnly="1" fieldPosition="0">
        <references count="5">
          <reference field="1" count="1" selected="0">
            <x v="150"/>
          </reference>
          <reference field="2" count="1" selected="0">
            <x v="0"/>
          </reference>
          <reference field="3" count="1" selected="0">
            <x v="12"/>
          </reference>
          <reference field="4" count="1" selected="0">
            <x v="57"/>
          </reference>
          <reference field="5" count="1">
            <x v="11"/>
          </reference>
        </references>
      </pivotArea>
    </format>
    <format dxfId="3688">
      <pivotArea dataOnly="0" labelOnly="1" fieldPosition="0">
        <references count="5">
          <reference field="1" count="1" selected="0">
            <x v="150"/>
          </reference>
          <reference field="2" count="1" selected="0">
            <x v="8"/>
          </reference>
          <reference field="3" count="1" selected="0">
            <x v="38"/>
          </reference>
          <reference field="4" count="1" selected="0">
            <x v="239"/>
          </reference>
          <reference field="5" count="1">
            <x v="868"/>
          </reference>
        </references>
      </pivotArea>
    </format>
    <format dxfId="3687">
      <pivotArea dataOnly="0" labelOnly="1" fieldPosition="0">
        <references count="5">
          <reference field="1" count="1" selected="0">
            <x v="150"/>
          </reference>
          <reference field="2" count="1" selected="0">
            <x v="9"/>
          </reference>
          <reference field="3" count="1" selected="0">
            <x v="1"/>
          </reference>
          <reference field="4" count="1" selected="0">
            <x v="239"/>
          </reference>
          <reference field="5" count="1">
            <x v="72"/>
          </reference>
        </references>
      </pivotArea>
    </format>
    <format dxfId="3686">
      <pivotArea dataOnly="0" labelOnly="1" fieldPosition="0">
        <references count="5">
          <reference field="1" count="1" selected="0">
            <x v="150"/>
          </reference>
          <reference field="2" count="1" selected="0">
            <x v="11"/>
          </reference>
          <reference field="3" count="1" selected="0">
            <x v="7"/>
          </reference>
          <reference field="4" count="1" selected="0">
            <x v="239"/>
          </reference>
          <reference field="5" count="1">
            <x v="313"/>
          </reference>
        </references>
      </pivotArea>
    </format>
    <format dxfId="3685">
      <pivotArea dataOnly="0" labelOnly="1" fieldPosition="0">
        <references count="5">
          <reference field="1" count="1" selected="0">
            <x v="150"/>
          </reference>
          <reference field="2" count="1" selected="0">
            <x v="11"/>
          </reference>
          <reference field="3" count="1" selected="0">
            <x v="8"/>
          </reference>
          <reference field="4" count="1" selected="0">
            <x v="239"/>
          </reference>
          <reference field="5" count="1">
            <x v="0"/>
          </reference>
        </references>
      </pivotArea>
    </format>
    <format dxfId="3684">
      <pivotArea dataOnly="0" labelOnly="1" fieldPosition="0">
        <references count="5">
          <reference field="1" count="1" selected="0">
            <x v="150"/>
          </reference>
          <reference field="2" count="1" selected="0">
            <x v="12"/>
          </reference>
          <reference field="3" count="1" selected="0">
            <x v="1"/>
          </reference>
          <reference field="4" count="1" selected="0">
            <x v="239"/>
          </reference>
          <reference field="5" count="2">
            <x v="80"/>
            <x v="213"/>
          </reference>
        </references>
      </pivotArea>
    </format>
    <format dxfId="3683">
      <pivotArea dataOnly="0" labelOnly="1" fieldPosition="0">
        <references count="5">
          <reference field="1" count="1" selected="0">
            <x v="150"/>
          </reference>
          <reference field="2" count="1" selected="0">
            <x v="12"/>
          </reference>
          <reference field="3" count="1" selected="0">
            <x v="38"/>
          </reference>
          <reference field="4" count="1" selected="0">
            <x v="239"/>
          </reference>
          <reference field="5" count="1">
            <x v="1244"/>
          </reference>
        </references>
      </pivotArea>
    </format>
    <format dxfId="3682">
      <pivotArea dataOnly="0" labelOnly="1" fieldPosition="0">
        <references count="5">
          <reference field="1" count="1" selected="0">
            <x v="150"/>
          </reference>
          <reference field="2" count="1" selected="0">
            <x v="14"/>
          </reference>
          <reference field="3" count="1" selected="0">
            <x v="8"/>
          </reference>
          <reference field="4" count="1" selected="0">
            <x v="239"/>
          </reference>
          <reference field="5" count="1">
            <x v="0"/>
          </reference>
        </references>
      </pivotArea>
    </format>
    <format dxfId="3681">
      <pivotArea dataOnly="0" labelOnly="1" fieldPosition="0">
        <references count="5">
          <reference field="1" count="1" selected="0">
            <x v="150"/>
          </reference>
          <reference field="2" count="1" selected="0">
            <x v="14"/>
          </reference>
          <reference field="3" count="1" selected="0">
            <x v="9"/>
          </reference>
          <reference field="4" count="1" selected="0">
            <x v="239"/>
          </reference>
          <reference field="5" count="1">
            <x v="1169"/>
          </reference>
        </references>
      </pivotArea>
    </format>
    <format dxfId="3680">
      <pivotArea dataOnly="0" labelOnly="1" fieldPosition="0">
        <references count="5">
          <reference field="1" count="1" selected="0">
            <x v="150"/>
          </reference>
          <reference field="2" count="1" selected="0">
            <x v="15"/>
          </reference>
          <reference field="3" count="1" selected="0">
            <x v="6"/>
          </reference>
          <reference field="4" count="1" selected="0">
            <x v="239"/>
          </reference>
          <reference field="5" count="1">
            <x v="465"/>
          </reference>
        </references>
      </pivotArea>
    </format>
    <format dxfId="3679">
      <pivotArea dataOnly="0" labelOnly="1" fieldPosition="0">
        <references count="5">
          <reference field="1" count="1" selected="0">
            <x v="150"/>
          </reference>
          <reference field="2" count="1" selected="0">
            <x v="15"/>
          </reference>
          <reference field="3" count="1" selected="0">
            <x v="37"/>
          </reference>
          <reference field="4" count="1" selected="0">
            <x v="239"/>
          </reference>
          <reference field="5" count="1">
            <x v="1813"/>
          </reference>
        </references>
      </pivotArea>
    </format>
    <format dxfId="3678">
      <pivotArea dataOnly="0" labelOnly="1" fieldPosition="0">
        <references count="5">
          <reference field="1" count="1" selected="0">
            <x v="150"/>
          </reference>
          <reference field="2" count="1" selected="0">
            <x v="15"/>
          </reference>
          <reference field="3" count="1" selected="0">
            <x v="38"/>
          </reference>
          <reference field="4" count="1" selected="0">
            <x v="239"/>
          </reference>
          <reference field="5" count="1">
            <x v="1114"/>
          </reference>
        </references>
      </pivotArea>
    </format>
    <format dxfId="3677">
      <pivotArea dataOnly="0" labelOnly="1" fieldPosition="0">
        <references count="5">
          <reference field="1" count="1" selected="0">
            <x v="151"/>
          </reference>
          <reference field="2" count="1" selected="0">
            <x v="0"/>
          </reference>
          <reference field="3" count="1" selected="0">
            <x v="12"/>
          </reference>
          <reference field="4" count="1" selected="0">
            <x v="29"/>
          </reference>
          <reference field="5" count="1">
            <x v="11"/>
          </reference>
        </references>
      </pivotArea>
    </format>
    <format dxfId="3676">
      <pivotArea dataOnly="0" labelOnly="1" fieldPosition="0">
        <references count="5">
          <reference field="1" count="1" selected="0">
            <x v="151"/>
          </reference>
          <reference field="2" count="1" selected="0">
            <x v="0"/>
          </reference>
          <reference field="3" count="1" selected="0">
            <x v="16"/>
          </reference>
          <reference field="4" count="1" selected="0">
            <x v="240"/>
          </reference>
          <reference field="5" count="4">
            <x v="636"/>
            <x v="783"/>
            <x v="811"/>
            <x v="1237"/>
          </reference>
        </references>
      </pivotArea>
    </format>
    <format dxfId="3675">
      <pivotArea dataOnly="0" labelOnly="1" fieldPosition="0">
        <references count="5">
          <reference field="1" count="1" selected="0">
            <x v="151"/>
          </reference>
          <reference field="2" count="1" selected="0">
            <x v="2"/>
          </reference>
          <reference field="3" count="1" selected="0">
            <x v="16"/>
          </reference>
          <reference field="4" count="1" selected="0">
            <x v="240"/>
          </reference>
          <reference field="5" count="1">
            <x v="1760"/>
          </reference>
        </references>
      </pivotArea>
    </format>
    <format dxfId="3674">
      <pivotArea dataOnly="0" labelOnly="1" fieldPosition="0">
        <references count="5">
          <reference field="1" count="1" selected="0">
            <x v="151"/>
          </reference>
          <reference field="2" count="1" selected="0">
            <x v="3"/>
          </reference>
          <reference field="3" count="1" selected="0">
            <x v="16"/>
          </reference>
          <reference field="4" count="1" selected="0">
            <x v="240"/>
          </reference>
          <reference field="5" count="1">
            <x v="477"/>
          </reference>
        </references>
      </pivotArea>
    </format>
    <format dxfId="3673">
      <pivotArea dataOnly="0" labelOnly="1" fieldPosition="0">
        <references count="5">
          <reference field="1" count="1" selected="0">
            <x v="151"/>
          </reference>
          <reference field="2" count="1" selected="0">
            <x v="3"/>
          </reference>
          <reference field="3" count="1" selected="0">
            <x v="38"/>
          </reference>
          <reference field="4" count="1" selected="0">
            <x v="241"/>
          </reference>
          <reference field="5" count="1">
            <x v="138"/>
          </reference>
        </references>
      </pivotArea>
    </format>
    <format dxfId="3672">
      <pivotArea dataOnly="0" labelOnly="1" fieldPosition="0">
        <references count="5">
          <reference field="1" count="1" selected="0">
            <x v="151"/>
          </reference>
          <reference field="2" count="1" selected="0">
            <x v="5"/>
          </reference>
          <reference field="3" count="1" selected="0">
            <x v="38"/>
          </reference>
          <reference field="4" count="1" selected="0">
            <x v="241"/>
          </reference>
          <reference field="5" count="1">
            <x v="1773"/>
          </reference>
        </references>
      </pivotArea>
    </format>
    <format dxfId="3671">
      <pivotArea dataOnly="0" labelOnly="1" fieldPosition="0">
        <references count="5">
          <reference field="1" count="1" selected="0">
            <x v="151"/>
          </reference>
          <reference field="2" count="1" selected="0">
            <x v="12"/>
          </reference>
          <reference field="3" count="1" selected="0">
            <x v="1"/>
          </reference>
          <reference field="4" count="1" selected="0">
            <x v="241"/>
          </reference>
          <reference field="5" count="3">
            <x v="80"/>
            <x v="213"/>
            <x v="352"/>
          </reference>
        </references>
      </pivotArea>
    </format>
    <format dxfId="3670">
      <pivotArea dataOnly="0" labelOnly="1" fieldPosition="0">
        <references count="5">
          <reference field="1" count="1" selected="0">
            <x v="151"/>
          </reference>
          <reference field="2" count="1" selected="0">
            <x v="12"/>
          </reference>
          <reference field="3" count="1" selected="0">
            <x v="16"/>
          </reference>
          <reference field="4" count="1" selected="0">
            <x v="240"/>
          </reference>
          <reference field="5" count="23">
            <x v="434"/>
            <x v="460"/>
            <x v="1174"/>
            <x v="1220"/>
            <x v="1323"/>
            <x v="1330"/>
            <x v="1331"/>
            <x v="1352"/>
            <x v="1396"/>
            <x v="1474"/>
            <x v="1529"/>
            <x v="1573"/>
            <x v="1620"/>
            <x v="1633"/>
            <x v="1672"/>
            <x v="1684"/>
            <x v="1690"/>
            <x v="1699"/>
            <x v="1740"/>
            <x v="1753"/>
            <x v="1765"/>
            <x v="1769"/>
            <x v="1848"/>
          </reference>
        </references>
      </pivotArea>
    </format>
    <format dxfId="3669">
      <pivotArea dataOnly="0" labelOnly="1" fieldPosition="0">
        <references count="5">
          <reference field="1" count="1" selected="0">
            <x v="151"/>
          </reference>
          <reference field="2" count="1" selected="0">
            <x v="14"/>
          </reference>
          <reference field="3" count="1" selected="0">
            <x v="16"/>
          </reference>
          <reference field="4" count="1" selected="0">
            <x v="240"/>
          </reference>
          <reference field="5" count="1">
            <x v="107"/>
          </reference>
        </references>
      </pivotArea>
    </format>
    <format dxfId="3668">
      <pivotArea dataOnly="0" labelOnly="1" fieldPosition="0">
        <references count="5">
          <reference field="1" count="1" selected="0">
            <x v="151"/>
          </reference>
          <reference field="2" count="1" selected="0">
            <x v="14"/>
          </reference>
          <reference field="3" count="1" selected="0">
            <x v="38"/>
          </reference>
          <reference field="4" count="1" selected="0">
            <x v="241"/>
          </reference>
          <reference field="5" count="1">
            <x v="1208"/>
          </reference>
        </references>
      </pivotArea>
    </format>
    <format dxfId="3667">
      <pivotArea dataOnly="0" labelOnly="1" fieldPosition="0">
        <references count="5">
          <reference field="1" count="1" selected="0">
            <x v="151"/>
          </reference>
          <reference field="2" count="1" selected="0">
            <x v="15"/>
          </reference>
          <reference field="3" count="1" selected="0">
            <x v="16"/>
          </reference>
          <reference field="4" count="1" selected="0">
            <x v="240"/>
          </reference>
          <reference field="5" count="1">
            <x v="374"/>
          </reference>
        </references>
      </pivotArea>
    </format>
    <format dxfId="3666">
      <pivotArea dataOnly="0" labelOnly="1" fieldPosition="0">
        <references count="5">
          <reference field="1" count="1" selected="0">
            <x v="151"/>
          </reference>
          <reference field="2" count="1" selected="0">
            <x v="19"/>
          </reference>
          <reference field="3" count="1" selected="0">
            <x v="38"/>
          </reference>
          <reference field="4" count="1" selected="0">
            <x v="241"/>
          </reference>
          <reference field="5" count="1">
            <x v="292"/>
          </reference>
        </references>
      </pivotArea>
    </format>
    <format dxfId="3665">
      <pivotArea dataOnly="0" labelOnly="1" fieldPosition="0">
        <references count="5">
          <reference field="1" count="1" selected="0">
            <x v="151"/>
          </reference>
          <reference field="2" count="1" selected="0">
            <x v="21"/>
          </reference>
          <reference field="3" count="1" selected="0">
            <x v="16"/>
          </reference>
          <reference field="4" count="1" selected="0">
            <x v="240"/>
          </reference>
          <reference field="5" count="1">
            <x v="1311"/>
          </reference>
        </references>
      </pivotArea>
    </format>
    <format dxfId="3664">
      <pivotArea dataOnly="0" labelOnly="1" fieldPosition="0">
        <references count="5">
          <reference field="1" count="1" selected="0">
            <x v="151"/>
          </reference>
          <reference field="2" count="1" selected="0">
            <x v="23"/>
          </reference>
          <reference field="3" count="1" selected="0">
            <x v="16"/>
          </reference>
          <reference field="4" count="1" selected="0">
            <x v="240"/>
          </reference>
          <reference field="5" count="1">
            <x v="1781"/>
          </reference>
        </references>
      </pivotArea>
    </format>
    <format dxfId="3663">
      <pivotArea dataOnly="0" labelOnly="1" fieldPosition="0">
        <references count="5">
          <reference field="1" count="1" selected="0">
            <x v="151"/>
          </reference>
          <reference field="2" count="1" selected="0">
            <x v="23"/>
          </reference>
          <reference field="3" count="1" selected="0">
            <x v="38"/>
          </reference>
          <reference field="4" count="1" selected="0">
            <x v="241"/>
          </reference>
          <reference field="5" count="1">
            <x v="1379"/>
          </reference>
        </references>
      </pivotArea>
    </format>
    <format dxfId="3662">
      <pivotArea dataOnly="0" labelOnly="1" fieldPosition="0">
        <references count="5">
          <reference field="1" count="1" selected="0">
            <x v="151"/>
          </reference>
          <reference field="2" count="1" selected="0">
            <x v="24"/>
          </reference>
          <reference field="3" count="1" selected="0">
            <x v="16"/>
          </reference>
          <reference field="4" count="1" selected="0">
            <x v="240"/>
          </reference>
          <reference field="5" count="1">
            <x v="1441"/>
          </reference>
        </references>
      </pivotArea>
    </format>
    <format dxfId="3661">
      <pivotArea dataOnly="0" labelOnly="1" fieldPosition="0">
        <references count="5">
          <reference field="1" count="1" selected="0">
            <x v="151"/>
          </reference>
          <reference field="2" count="1" selected="0">
            <x v="29"/>
          </reference>
          <reference field="3" count="1" selected="0">
            <x v="6"/>
          </reference>
          <reference field="4" count="1" selected="0">
            <x v="241"/>
          </reference>
          <reference field="5" count="1">
            <x v="147"/>
          </reference>
        </references>
      </pivotArea>
    </format>
    <format dxfId="3660">
      <pivotArea dataOnly="0" labelOnly="1" fieldPosition="0">
        <references count="5">
          <reference field="1" count="1" selected="0">
            <x v="151"/>
          </reference>
          <reference field="2" count="1" selected="0">
            <x v="35"/>
          </reference>
          <reference field="3" count="1" selected="0">
            <x v="1"/>
          </reference>
          <reference field="4" count="1" selected="0">
            <x v="241"/>
          </reference>
          <reference field="5" count="2">
            <x v="80"/>
            <x v="352"/>
          </reference>
        </references>
      </pivotArea>
    </format>
    <format dxfId="3659">
      <pivotArea dataOnly="0" labelOnly="1" fieldPosition="0">
        <references count="5">
          <reference field="1" count="1" selected="0">
            <x v="151"/>
          </reference>
          <reference field="2" count="1" selected="0">
            <x v="35"/>
          </reference>
          <reference field="3" count="1" selected="0">
            <x v="16"/>
          </reference>
          <reference field="4" count="1" selected="0">
            <x v="240"/>
          </reference>
          <reference field="5" count="17">
            <x v="65"/>
            <x v="169"/>
            <x v="241"/>
            <x v="276"/>
            <x v="280"/>
            <x v="342"/>
            <x v="393"/>
            <x v="432"/>
            <x v="451"/>
            <x v="463"/>
            <x v="496"/>
            <x v="518"/>
            <x v="762"/>
            <x v="787"/>
            <x v="1161"/>
            <x v="1180"/>
            <x v="1226"/>
          </reference>
        </references>
      </pivotArea>
    </format>
    <format dxfId="3658">
      <pivotArea dataOnly="0" labelOnly="1" fieldPosition="0">
        <references count="5">
          <reference field="1" count="1" selected="0">
            <x v="151"/>
          </reference>
          <reference field="2" count="1" selected="0">
            <x v="37"/>
          </reference>
          <reference field="3" count="1" selected="0">
            <x v="38"/>
          </reference>
          <reference field="4" count="1" selected="0">
            <x v="241"/>
          </reference>
          <reference field="5" count="1">
            <x v="1189"/>
          </reference>
        </references>
      </pivotArea>
    </format>
    <format dxfId="3657">
      <pivotArea dataOnly="0" labelOnly="1" fieldPosition="0">
        <references count="5">
          <reference field="1" count="1" selected="0">
            <x v="152"/>
          </reference>
          <reference field="2" count="1" selected="0">
            <x v="0"/>
          </reference>
          <reference field="3" count="1" selected="0">
            <x v="12"/>
          </reference>
          <reference field="4" count="1" selected="0">
            <x v="42"/>
          </reference>
          <reference field="5" count="1">
            <x v="6"/>
          </reference>
        </references>
      </pivotArea>
    </format>
    <format dxfId="3656">
      <pivotArea dataOnly="0" labelOnly="1" fieldPosition="0">
        <references count="5">
          <reference field="1" count="1" selected="0">
            <x v="152"/>
          </reference>
          <reference field="2" count="1" selected="0">
            <x v="0"/>
          </reference>
          <reference field="3" count="1" selected="0">
            <x v="12"/>
          </reference>
          <reference field="4" count="1" selected="0">
            <x v="50"/>
          </reference>
          <reference field="5" count="1">
            <x v="39"/>
          </reference>
        </references>
      </pivotArea>
    </format>
    <format dxfId="3655">
      <pivotArea dataOnly="0" labelOnly="1" fieldPosition="0">
        <references count="5">
          <reference field="1" count="1" selected="0">
            <x v="152"/>
          </reference>
          <reference field="2" count="1" selected="0">
            <x v="0"/>
          </reference>
          <reference field="3" count="1" selected="0">
            <x v="12"/>
          </reference>
          <reference field="4" count="1" selected="0">
            <x v="57"/>
          </reference>
          <reference field="5" count="1">
            <x v="11"/>
          </reference>
        </references>
      </pivotArea>
    </format>
    <format dxfId="3654">
      <pivotArea dataOnly="0" labelOnly="1" fieldPosition="0">
        <references count="5">
          <reference field="1" count="1" selected="0">
            <x v="152"/>
          </reference>
          <reference field="2" count="1" selected="0">
            <x v="3"/>
          </reference>
          <reference field="3" count="1" selected="0">
            <x v="8"/>
          </reference>
          <reference field="4" count="1" selected="0">
            <x v="242"/>
          </reference>
          <reference field="5" count="1">
            <x v="0"/>
          </reference>
        </references>
      </pivotArea>
    </format>
    <format dxfId="3653">
      <pivotArea dataOnly="0" labelOnly="1" fieldPosition="0">
        <references count="5">
          <reference field="1" count="1" selected="0">
            <x v="152"/>
          </reference>
          <reference field="2" count="1" selected="0">
            <x v="3"/>
          </reference>
          <reference field="3" count="1" selected="0">
            <x v="10"/>
          </reference>
          <reference field="4" count="1" selected="0">
            <x v="242"/>
          </reference>
          <reference field="5" count="1">
            <x v="469"/>
          </reference>
        </references>
      </pivotArea>
    </format>
    <format dxfId="3652">
      <pivotArea dataOnly="0" labelOnly="1" fieldPosition="0">
        <references count="5">
          <reference field="1" count="1" selected="0">
            <x v="152"/>
          </reference>
          <reference field="2" count="1" selected="0">
            <x v="7"/>
          </reference>
          <reference field="3" count="1" selected="0">
            <x v="8"/>
          </reference>
          <reference field="4" count="1" selected="0">
            <x v="242"/>
          </reference>
          <reference field="5" count="1">
            <x v="0"/>
          </reference>
        </references>
      </pivotArea>
    </format>
    <format dxfId="3651">
      <pivotArea dataOnly="0" labelOnly="1" fieldPosition="0">
        <references count="5">
          <reference field="1" count="1" selected="0">
            <x v="152"/>
          </reference>
          <reference field="2" count="1" selected="0">
            <x v="7"/>
          </reference>
          <reference field="3" count="1" selected="0">
            <x v="10"/>
          </reference>
          <reference field="4" count="1" selected="0">
            <x v="242"/>
          </reference>
          <reference field="5" count="1">
            <x v="888"/>
          </reference>
        </references>
      </pivotArea>
    </format>
    <format dxfId="3650">
      <pivotArea dataOnly="0" labelOnly="1" fieldPosition="0">
        <references count="5">
          <reference field="1" count="1" selected="0">
            <x v="152"/>
          </reference>
          <reference field="2" count="1" selected="0">
            <x v="7"/>
          </reference>
          <reference field="3" count="1" selected="0">
            <x v="38"/>
          </reference>
          <reference field="4" count="1" selected="0">
            <x v="242"/>
          </reference>
          <reference field="5" count="1">
            <x v="791"/>
          </reference>
        </references>
      </pivotArea>
    </format>
    <format dxfId="3649">
      <pivotArea dataOnly="0" labelOnly="1" fieldPosition="0">
        <references count="5">
          <reference field="1" count="1" selected="0">
            <x v="152"/>
          </reference>
          <reference field="2" count="1" selected="0">
            <x v="10"/>
          </reference>
          <reference field="3" count="1" selected="0">
            <x v="6"/>
          </reference>
          <reference field="4" count="1" selected="0">
            <x v="242"/>
          </reference>
          <reference field="5" count="1">
            <x v="1263"/>
          </reference>
        </references>
      </pivotArea>
    </format>
    <format dxfId="3648">
      <pivotArea dataOnly="0" labelOnly="1" fieldPosition="0">
        <references count="5">
          <reference field="1" count="1" selected="0">
            <x v="152"/>
          </reference>
          <reference field="2" count="1" selected="0">
            <x v="12"/>
          </reference>
          <reference field="3" count="1" selected="0">
            <x v="1"/>
          </reference>
          <reference field="4" count="1" selected="0">
            <x v="242"/>
          </reference>
          <reference field="5" count="2">
            <x v="80"/>
            <x v="213"/>
          </reference>
        </references>
      </pivotArea>
    </format>
    <format dxfId="3647">
      <pivotArea dataOnly="0" labelOnly="1" fieldPosition="0">
        <references count="5">
          <reference field="1" count="1" selected="0">
            <x v="152"/>
          </reference>
          <reference field="2" count="1" selected="0">
            <x v="13"/>
          </reference>
          <reference field="3" count="1" selected="0">
            <x v="33"/>
          </reference>
          <reference field="4" count="1" selected="0">
            <x v="242"/>
          </reference>
          <reference field="5" count="1">
            <x v="155"/>
          </reference>
        </references>
      </pivotArea>
    </format>
    <format dxfId="3646">
      <pivotArea dataOnly="0" labelOnly="1" fieldPosition="0">
        <references count="5">
          <reference field="1" count="1" selected="0">
            <x v="152"/>
          </reference>
          <reference field="2" count="1" selected="0">
            <x v="14"/>
          </reference>
          <reference field="3" count="1" selected="0">
            <x v="8"/>
          </reference>
          <reference field="4" count="1" selected="0">
            <x v="242"/>
          </reference>
          <reference field="5" count="1">
            <x v="0"/>
          </reference>
        </references>
      </pivotArea>
    </format>
    <format dxfId="3645">
      <pivotArea dataOnly="0" labelOnly="1" fieldPosition="0">
        <references count="5">
          <reference field="1" count="1" selected="0">
            <x v="152"/>
          </reference>
          <reference field="2" count="1" selected="0">
            <x v="14"/>
          </reference>
          <reference field="3" count="1" selected="0">
            <x v="10"/>
          </reference>
          <reference field="4" count="1" selected="0">
            <x v="242"/>
          </reference>
          <reference field="5" count="1">
            <x v="109"/>
          </reference>
        </references>
      </pivotArea>
    </format>
    <format dxfId="3644">
      <pivotArea dataOnly="0" labelOnly="1" fieldPosition="0">
        <references count="5">
          <reference field="1" count="1" selected="0">
            <x v="152"/>
          </reference>
          <reference field="2" count="1" selected="0">
            <x v="17"/>
          </reference>
          <reference field="3" count="1" selected="0">
            <x v="38"/>
          </reference>
          <reference field="4" count="1" selected="0">
            <x v="242"/>
          </reference>
          <reference field="5" count="1">
            <x v="469"/>
          </reference>
        </references>
      </pivotArea>
    </format>
    <format dxfId="3643">
      <pivotArea dataOnly="0" labelOnly="1" fieldPosition="0">
        <references count="5">
          <reference field="1" count="1" selected="0">
            <x v="152"/>
          </reference>
          <reference field="2" count="1" selected="0">
            <x v="19"/>
          </reference>
          <reference field="3" count="1" selected="0">
            <x v="38"/>
          </reference>
          <reference field="4" count="1" selected="0">
            <x v="242"/>
          </reference>
          <reference field="5" count="1">
            <x v="156"/>
          </reference>
        </references>
      </pivotArea>
    </format>
    <format dxfId="3642">
      <pivotArea dataOnly="0" labelOnly="1" fieldPosition="0">
        <references count="5">
          <reference field="1" count="1" selected="0">
            <x v="152"/>
          </reference>
          <reference field="2" count="1" selected="0">
            <x v="23"/>
          </reference>
          <reference field="3" count="1" selected="0">
            <x v="38"/>
          </reference>
          <reference field="4" count="1" selected="0">
            <x v="242"/>
          </reference>
          <reference field="5" count="1">
            <x v="278"/>
          </reference>
        </references>
      </pivotArea>
    </format>
    <format dxfId="3641">
      <pivotArea dataOnly="0" labelOnly="1" fieldPosition="0">
        <references count="5">
          <reference field="1" count="1" selected="0">
            <x v="152"/>
          </reference>
          <reference field="2" count="1" selected="0">
            <x v="24"/>
          </reference>
          <reference field="3" count="1" selected="0">
            <x v="6"/>
          </reference>
          <reference field="4" count="1" selected="0">
            <x v="242"/>
          </reference>
          <reference field="5" count="1">
            <x v="816"/>
          </reference>
        </references>
      </pivotArea>
    </format>
    <format dxfId="3640">
      <pivotArea dataOnly="0" labelOnly="1" fieldPosition="0">
        <references count="5">
          <reference field="1" count="1" selected="0">
            <x v="152"/>
          </reference>
          <reference field="2" count="1" selected="0">
            <x v="24"/>
          </reference>
          <reference field="3" count="1" selected="0">
            <x v="8"/>
          </reference>
          <reference field="4" count="1" selected="0">
            <x v="242"/>
          </reference>
          <reference field="5" count="1">
            <x v="0"/>
          </reference>
        </references>
      </pivotArea>
    </format>
    <format dxfId="3639">
      <pivotArea dataOnly="0" labelOnly="1" fieldPosition="0">
        <references count="5">
          <reference field="1" count="1" selected="0">
            <x v="152"/>
          </reference>
          <reference field="2" count="1" selected="0">
            <x v="24"/>
          </reference>
          <reference field="3" count="1" selected="0">
            <x v="10"/>
          </reference>
          <reference field="4" count="1" selected="0">
            <x v="242"/>
          </reference>
          <reference field="5" count="1">
            <x v="109"/>
          </reference>
        </references>
      </pivotArea>
    </format>
    <format dxfId="3638">
      <pivotArea dataOnly="0" labelOnly="1" fieldPosition="0">
        <references count="5">
          <reference field="1" count="1" selected="0">
            <x v="152"/>
          </reference>
          <reference field="2" count="1" selected="0">
            <x v="28"/>
          </reference>
          <reference field="3" count="1" selected="0">
            <x v="8"/>
          </reference>
          <reference field="4" count="1" selected="0">
            <x v="242"/>
          </reference>
          <reference field="5" count="1">
            <x v="0"/>
          </reference>
        </references>
      </pivotArea>
    </format>
    <format dxfId="3637">
      <pivotArea dataOnly="0" labelOnly="1" fieldPosition="0">
        <references count="5">
          <reference field="1" count="1" selected="0">
            <x v="152"/>
          </reference>
          <reference field="2" count="1" selected="0">
            <x v="28"/>
          </reference>
          <reference field="3" count="1" selected="0">
            <x v="10"/>
          </reference>
          <reference field="4" count="1" selected="0">
            <x v="242"/>
          </reference>
          <reference field="5" count="1">
            <x v="1052"/>
          </reference>
        </references>
      </pivotArea>
    </format>
    <format dxfId="3636">
      <pivotArea dataOnly="0" labelOnly="1" fieldPosition="0">
        <references count="5">
          <reference field="1" count="1" selected="0">
            <x v="152"/>
          </reference>
          <reference field="2" count="1" selected="0">
            <x v="35"/>
          </reference>
          <reference field="3" count="1" selected="0">
            <x v="1"/>
          </reference>
          <reference field="4" count="1" selected="0">
            <x v="242"/>
          </reference>
          <reference field="5" count="2">
            <x v="80"/>
            <x v="500"/>
          </reference>
        </references>
      </pivotArea>
    </format>
    <format dxfId="3635">
      <pivotArea dataOnly="0" labelOnly="1" fieldPosition="0">
        <references count="5">
          <reference field="1" count="1" selected="0">
            <x v="152"/>
          </reference>
          <reference field="2" count="1" selected="0">
            <x v="37"/>
          </reference>
          <reference field="3" count="1" selected="0">
            <x v="8"/>
          </reference>
          <reference field="4" count="1" selected="0">
            <x v="242"/>
          </reference>
          <reference field="5" count="1">
            <x v="0"/>
          </reference>
        </references>
      </pivotArea>
    </format>
    <format dxfId="3634">
      <pivotArea dataOnly="0" labelOnly="1" fieldPosition="0">
        <references count="5">
          <reference field="1" count="1" selected="0">
            <x v="152"/>
          </reference>
          <reference field="2" count="1" selected="0">
            <x v="37"/>
          </reference>
          <reference field="3" count="1" selected="0">
            <x v="10"/>
          </reference>
          <reference field="4" count="1" selected="0">
            <x v="242"/>
          </reference>
          <reference field="5" count="1">
            <x v="283"/>
          </reference>
        </references>
      </pivotArea>
    </format>
    <format dxfId="3633">
      <pivotArea dataOnly="0" labelOnly="1" fieldPosition="0">
        <references count="5">
          <reference field="1" count="1" selected="0">
            <x v="153"/>
          </reference>
          <reference field="2" count="1" selected="0">
            <x v="0"/>
          </reference>
          <reference field="3" count="1" selected="0">
            <x v="8"/>
          </reference>
          <reference field="4" count="1" selected="0">
            <x v="243"/>
          </reference>
          <reference field="5" count="1">
            <x v="1157"/>
          </reference>
        </references>
      </pivotArea>
    </format>
    <format dxfId="3632">
      <pivotArea dataOnly="0" labelOnly="1" fieldPosition="0">
        <references count="5">
          <reference field="1" count="1" selected="0">
            <x v="153"/>
          </reference>
          <reference field="2" count="1" selected="0">
            <x v="0"/>
          </reference>
          <reference field="3" count="1" selected="0">
            <x v="9"/>
          </reference>
          <reference field="4" count="1" selected="0">
            <x v="243"/>
          </reference>
          <reference field="5" count="5">
            <x v="371"/>
            <x v="433"/>
            <x v="605"/>
            <x v="788"/>
            <x v="939"/>
          </reference>
        </references>
      </pivotArea>
    </format>
    <format dxfId="3631">
      <pivotArea dataOnly="0" labelOnly="1" fieldPosition="0">
        <references count="5">
          <reference field="1" count="1" selected="0">
            <x v="153"/>
          </reference>
          <reference field="2" count="1" selected="0">
            <x v="0"/>
          </reference>
          <reference field="3" count="1" selected="0">
            <x v="12"/>
          </reference>
          <reference field="4" count="1" selected="0">
            <x v="17"/>
          </reference>
          <reference field="5" count="1">
            <x v="96"/>
          </reference>
        </references>
      </pivotArea>
    </format>
    <format dxfId="3630">
      <pivotArea dataOnly="0" labelOnly="1" fieldPosition="0">
        <references count="5">
          <reference field="1" count="1" selected="0">
            <x v="153"/>
          </reference>
          <reference field="2" count="1" selected="0">
            <x v="0"/>
          </reference>
          <reference field="3" count="1" selected="0">
            <x v="12"/>
          </reference>
          <reference field="4" count="1" selected="0">
            <x v="19"/>
          </reference>
          <reference field="5" count="1">
            <x v="46"/>
          </reference>
        </references>
      </pivotArea>
    </format>
    <format dxfId="3629">
      <pivotArea dataOnly="0" labelOnly="1" fieldPosition="0">
        <references count="5">
          <reference field="1" count="1" selected="0">
            <x v="153"/>
          </reference>
          <reference field="2" count="1" selected="0">
            <x v="0"/>
          </reference>
          <reference field="3" count="1" selected="0">
            <x v="12"/>
          </reference>
          <reference field="4" count="1" selected="0">
            <x v="71"/>
          </reference>
          <reference field="5" count="1">
            <x v="37"/>
          </reference>
        </references>
      </pivotArea>
    </format>
    <format dxfId="3628">
      <pivotArea dataOnly="0" labelOnly="1" fieldPosition="0">
        <references count="5">
          <reference field="1" count="1" selected="0">
            <x v="153"/>
          </reference>
          <reference field="2" count="1" selected="0">
            <x v="2"/>
          </reference>
          <reference field="3" count="1" selected="0">
            <x v="10"/>
          </reference>
          <reference field="4" count="1" selected="0">
            <x v="243"/>
          </reference>
          <reference field="5" count="1">
            <x v="1756"/>
          </reference>
        </references>
      </pivotArea>
    </format>
    <format dxfId="3627">
      <pivotArea dataOnly="0" labelOnly="1" fieldPosition="0">
        <references count="5">
          <reference field="1" count="1" selected="0">
            <x v="153"/>
          </reference>
          <reference field="2" count="1" selected="0">
            <x v="3"/>
          </reference>
          <reference field="3" count="1" selected="0">
            <x v="10"/>
          </reference>
          <reference field="4" count="1" selected="0">
            <x v="243"/>
          </reference>
          <reference field="5" count="1">
            <x v="1401"/>
          </reference>
        </references>
      </pivotArea>
    </format>
    <format dxfId="3626">
      <pivotArea dataOnly="0" labelOnly="1" fieldPosition="0">
        <references count="5">
          <reference field="1" count="1" selected="0">
            <x v="153"/>
          </reference>
          <reference field="2" count="1" selected="0">
            <x v="7"/>
          </reference>
          <reference field="3" count="1" selected="0">
            <x v="8"/>
          </reference>
          <reference field="4" count="1" selected="0">
            <x v="243"/>
          </reference>
          <reference field="5" count="1">
            <x v="714"/>
          </reference>
        </references>
      </pivotArea>
    </format>
    <format dxfId="3625">
      <pivotArea dataOnly="0" labelOnly="1" fieldPosition="0">
        <references count="5">
          <reference field="1" count="1" selected="0">
            <x v="153"/>
          </reference>
          <reference field="2" count="1" selected="0">
            <x v="7"/>
          </reference>
          <reference field="3" count="1" selected="0">
            <x v="9"/>
          </reference>
          <reference field="4" count="1" selected="0">
            <x v="243"/>
          </reference>
          <reference field="5" count="1">
            <x v="40"/>
          </reference>
        </references>
      </pivotArea>
    </format>
    <format dxfId="3624">
      <pivotArea dataOnly="0" labelOnly="1" fieldPosition="0">
        <references count="5">
          <reference field="1" count="1" selected="0">
            <x v="153"/>
          </reference>
          <reference field="2" count="1" selected="0">
            <x v="9"/>
          </reference>
          <reference field="3" count="1" selected="0">
            <x v="8"/>
          </reference>
          <reference field="4" count="1" selected="0">
            <x v="243"/>
          </reference>
          <reference field="5" count="1">
            <x v="423"/>
          </reference>
        </references>
      </pivotArea>
    </format>
    <format dxfId="3623">
      <pivotArea dataOnly="0" labelOnly="1" fieldPosition="0">
        <references count="5">
          <reference field="1" count="1" selected="0">
            <x v="153"/>
          </reference>
          <reference field="2" count="1" selected="0">
            <x v="9"/>
          </reference>
          <reference field="3" count="1" selected="0">
            <x v="10"/>
          </reference>
          <reference field="4" count="1" selected="0">
            <x v="243"/>
          </reference>
          <reference field="5" count="1">
            <x v="60"/>
          </reference>
        </references>
      </pivotArea>
    </format>
    <format dxfId="3622">
      <pivotArea dataOnly="0" labelOnly="1" fieldPosition="0">
        <references count="5">
          <reference field="1" count="1" selected="0">
            <x v="153"/>
          </reference>
          <reference field="2" count="1" selected="0">
            <x v="15"/>
          </reference>
          <reference field="3" count="1" selected="0">
            <x v="8"/>
          </reference>
          <reference field="4" count="1" selected="0">
            <x v="243"/>
          </reference>
          <reference field="5" count="1">
            <x v="883"/>
          </reference>
        </references>
      </pivotArea>
    </format>
    <format dxfId="3621">
      <pivotArea dataOnly="0" labelOnly="1" fieldPosition="0">
        <references count="5">
          <reference field="1" count="1" selected="0">
            <x v="153"/>
          </reference>
          <reference field="2" count="1" selected="0">
            <x v="17"/>
          </reference>
          <reference field="3" count="1" selected="0">
            <x v="10"/>
          </reference>
          <reference field="4" count="1" selected="0">
            <x v="243"/>
          </reference>
          <reference field="5" count="1">
            <x v="1776"/>
          </reference>
        </references>
      </pivotArea>
    </format>
    <format dxfId="3620">
      <pivotArea dataOnly="0" labelOnly="1" fieldPosition="0">
        <references count="5">
          <reference field="1" count="1" selected="0">
            <x v="153"/>
          </reference>
          <reference field="2" count="1" selected="0">
            <x v="18"/>
          </reference>
          <reference field="3" count="1" selected="0">
            <x v="8"/>
          </reference>
          <reference field="4" count="1" selected="0">
            <x v="243"/>
          </reference>
          <reference field="5" count="1">
            <x v="831"/>
          </reference>
        </references>
      </pivotArea>
    </format>
    <format dxfId="3619">
      <pivotArea dataOnly="0" labelOnly="1" fieldPosition="0">
        <references count="5">
          <reference field="1" count="1" selected="0">
            <x v="153"/>
          </reference>
          <reference field="2" count="1" selected="0">
            <x v="24"/>
          </reference>
          <reference field="3" count="1" selected="0">
            <x v="9"/>
          </reference>
          <reference field="4" count="1" selected="0">
            <x v="243"/>
          </reference>
          <reference field="5" count="1">
            <x v="1353"/>
          </reference>
        </references>
      </pivotArea>
    </format>
    <format dxfId="3618">
      <pivotArea dataOnly="0" labelOnly="1" fieldPosition="0">
        <references count="5">
          <reference field="1" count="1" selected="0">
            <x v="153"/>
          </reference>
          <reference field="2" count="1" selected="0">
            <x v="24"/>
          </reference>
          <reference field="3" count="1" selected="0">
            <x v="10"/>
          </reference>
          <reference field="4" count="1" selected="0">
            <x v="243"/>
          </reference>
          <reference field="5" count="1">
            <x v="287"/>
          </reference>
        </references>
      </pivotArea>
    </format>
    <format dxfId="3617">
      <pivotArea dataOnly="0" labelOnly="1" fieldPosition="0">
        <references count="5">
          <reference field="1" count="1" selected="0">
            <x v="153"/>
          </reference>
          <reference field="2" count="1" selected="0">
            <x v="26"/>
          </reference>
          <reference field="3" count="1" selected="0">
            <x v="38"/>
          </reference>
          <reference field="4" count="1" selected="0">
            <x v="243"/>
          </reference>
          <reference field="5" count="1">
            <x v="371"/>
          </reference>
        </references>
      </pivotArea>
    </format>
    <format dxfId="3616">
      <pivotArea dataOnly="0" labelOnly="1" fieldPosition="0">
        <references count="5">
          <reference field="1" count="1" selected="0">
            <x v="153"/>
          </reference>
          <reference field="2" count="1" selected="0">
            <x v="35"/>
          </reference>
          <reference field="3" count="1" selected="0">
            <x v="1"/>
          </reference>
          <reference field="4" count="1" selected="0">
            <x v="243"/>
          </reference>
          <reference field="5" count="1">
            <x v="213"/>
          </reference>
        </references>
      </pivotArea>
    </format>
    <format dxfId="3615">
      <pivotArea dataOnly="0" labelOnly="1" fieldPosition="0">
        <references count="5">
          <reference field="1" count="1" selected="0">
            <x v="153"/>
          </reference>
          <reference field="2" count="1" selected="0">
            <x v="36"/>
          </reference>
          <reference field="3" count="1" selected="0">
            <x v="10"/>
          </reference>
          <reference field="4" count="1" selected="0">
            <x v="243"/>
          </reference>
          <reference field="5" count="1">
            <x v="1534"/>
          </reference>
        </references>
      </pivotArea>
    </format>
    <format dxfId="3614">
      <pivotArea dataOnly="0" labelOnly="1" fieldPosition="0">
        <references count="5">
          <reference field="1" count="1" selected="0">
            <x v="153"/>
          </reference>
          <reference field="2" count="1" selected="0">
            <x v="38"/>
          </reference>
          <reference field="3" count="1" selected="0">
            <x v="10"/>
          </reference>
          <reference field="4" count="1" selected="0">
            <x v="243"/>
          </reference>
          <reference field="5" count="1">
            <x v="1017"/>
          </reference>
        </references>
      </pivotArea>
    </format>
    <format dxfId="3613">
      <pivotArea dataOnly="0" labelOnly="1" fieldPosition="0">
        <references count="5">
          <reference field="1" count="1" selected="0">
            <x v="154"/>
          </reference>
          <reference field="2" count="1" selected="0">
            <x v="0"/>
          </reference>
          <reference field="3" count="1" selected="0">
            <x v="12"/>
          </reference>
          <reference field="4" count="1" selected="0">
            <x v="71"/>
          </reference>
          <reference field="5" count="1">
            <x v="11"/>
          </reference>
        </references>
      </pivotArea>
    </format>
    <format dxfId="3612">
      <pivotArea dataOnly="0" labelOnly="1" fieldPosition="0">
        <references count="5">
          <reference field="1" count="1" selected="0">
            <x v="154"/>
          </reference>
          <reference field="2" count="1" selected="0">
            <x v="0"/>
          </reference>
          <reference field="3" count="1" selected="0">
            <x v="38"/>
          </reference>
          <reference field="4" count="1" selected="0">
            <x v="244"/>
          </reference>
          <reference field="5" count="3">
            <x v="89"/>
            <x v="138"/>
            <x v="391"/>
          </reference>
        </references>
      </pivotArea>
    </format>
    <format dxfId="3611">
      <pivotArea dataOnly="0" labelOnly="1" fieldPosition="0">
        <references count="5">
          <reference field="1" count="1" selected="0">
            <x v="154"/>
          </reference>
          <reference field="2" count="1" selected="0">
            <x v="12"/>
          </reference>
          <reference field="3" count="1" selected="0">
            <x v="1"/>
          </reference>
          <reference field="4" count="1" selected="0">
            <x v="244"/>
          </reference>
          <reference field="5" count="3">
            <x v="80"/>
            <x v="213"/>
            <x v="352"/>
          </reference>
        </references>
      </pivotArea>
    </format>
    <format dxfId="3610">
      <pivotArea dataOnly="0" labelOnly="1" fieldPosition="0">
        <references count="5">
          <reference field="1" count="1" selected="0">
            <x v="154"/>
          </reference>
          <reference field="2" count="1" selected="0">
            <x v="17"/>
          </reference>
          <reference field="3" count="1" selected="0">
            <x v="38"/>
          </reference>
          <reference field="4" count="1" selected="0">
            <x v="244"/>
          </reference>
          <reference field="5" count="1">
            <x v="365"/>
          </reference>
        </references>
      </pivotArea>
    </format>
    <format dxfId="3609">
      <pivotArea dataOnly="0" labelOnly="1" fieldPosition="0">
        <references count="5">
          <reference field="1" count="1" selected="0">
            <x v="154"/>
          </reference>
          <reference field="2" count="1" selected="0">
            <x v="23"/>
          </reference>
          <reference field="3" count="1" selected="0">
            <x v="38"/>
          </reference>
          <reference field="4" count="1" selected="0">
            <x v="244"/>
          </reference>
          <reference field="5" count="1">
            <x v="1603"/>
          </reference>
        </references>
      </pivotArea>
    </format>
    <format dxfId="3608">
      <pivotArea dataOnly="0" labelOnly="1" fieldPosition="0">
        <references count="5">
          <reference field="1" count="1" selected="0">
            <x v="154"/>
          </reference>
          <reference field="2" count="1" selected="0">
            <x v="33"/>
          </reference>
          <reference field="3" count="1" selected="0">
            <x v="37"/>
          </reference>
          <reference field="4" count="1" selected="0">
            <x v="244"/>
          </reference>
          <reference field="5" count="1">
            <x v="897"/>
          </reference>
        </references>
      </pivotArea>
    </format>
    <format dxfId="3607">
      <pivotArea dataOnly="0" labelOnly="1" fieldPosition="0">
        <references count="5">
          <reference field="1" count="1" selected="0">
            <x v="154"/>
          </reference>
          <reference field="2" count="1" selected="0">
            <x v="33"/>
          </reference>
          <reference field="3" count="1" selected="0">
            <x v="38"/>
          </reference>
          <reference field="4" count="1" selected="0">
            <x v="244"/>
          </reference>
          <reference field="5" count="1">
            <x v="401"/>
          </reference>
        </references>
      </pivotArea>
    </format>
    <format dxfId="3606">
      <pivotArea dataOnly="0" labelOnly="1" fieldPosition="0">
        <references count="5">
          <reference field="1" count="1" selected="0">
            <x v="154"/>
          </reference>
          <reference field="2" count="1" selected="0">
            <x v="35"/>
          </reference>
          <reference field="3" count="1" selected="0">
            <x v="1"/>
          </reference>
          <reference field="4" count="1" selected="0">
            <x v="244"/>
          </reference>
          <reference field="5" count="3">
            <x v="80"/>
            <x v="213"/>
            <x v="352"/>
          </reference>
        </references>
      </pivotArea>
    </format>
    <format dxfId="3605">
      <pivotArea dataOnly="0" labelOnly="1" fieldPosition="0">
        <references count="5">
          <reference field="1" count="1" selected="0">
            <x v="154"/>
          </reference>
          <reference field="2" count="1" selected="0">
            <x v="36"/>
          </reference>
          <reference field="3" count="1" selected="0">
            <x v="38"/>
          </reference>
          <reference field="4" count="1" selected="0">
            <x v="244"/>
          </reference>
          <reference field="5" count="1">
            <x v="214"/>
          </reference>
        </references>
      </pivotArea>
    </format>
    <format dxfId="3604">
      <pivotArea dataOnly="0" labelOnly="1" fieldPosition="0">
        <references count="5">
          <reference field="1" count="1" selected="0">
            <x v="155"/>
          </reference>
          <reference field="2" count="1" selected="0">
            <x v="0"/>
          </reference>
          <reference field="3" count="1" selected="0">
            <x v="12"/>
          </reference>
          <reference field="4" count="1" selected="0">
            <x v="2"/>
          </reference>
          <reference field="5" count="1">
            <x v="12"/>
          </reference>
        </references>
      </pivotArea>
    </format>
    <format dxfId="3603">
      <pivotArea dataOnly="0" labelOnly="1" fieldPosition="0">
        <references count="5">
          <reference field="1" count="1" selected="0">
            <x v="155"/>
          </reference>
          <reference field="2" count="1" selected="0">
            <x v="0"/>
          </reference>
          <reference field="3" count="1" selected="0">
            <x v="12"/>
          </reference>
          <reference field="4" count="1" selected="0">
            <x v="10"/>
          </reference>
          <reference field="5" count="1">
            <x v="119"/>
          </reference>
        </references>
      </pivotArea>
    </format>
    <format dxfId="3602">
      <pivotArea dataOnly="0" labelOnly="1" fieldPosition="0">
        <references count="5">
          <reference field="1" count="1" selected="0">
            <x v="155"/>
          </reference>
          <reference field="2" count="1" selected="0">
            <x v="0"/>
          </reference>
          <reference field="3" count="1" selected="0">
            <x v="12"/>
          </reference>
          <reference field="4" count="1" selected="0">
            <x v="19"/>
          </reference>
          <reference field="5" count="1">
            <x v="35"/>
          </reference>
        </references>
      </pivotArea>
    </format>
    <format dxfId="3601">
      <pivotArea dataOnly="0" labelOnly="1" fieldPosition="0">
        <references count="5">
          <reference field="1" count="1" selected="0">
            <x v="155"/>
          </reference>
          <reference field="2" count="1" selected="0">
            <x v="0"/>
          </reference>
          <reference field="3" count="1" selected="0">
            <x v="12"/>
          </reference>
          <reference field="4" count="1" selected="0">
            <x v="39"/>
          </reference>
          <reference field="5" count="1">
            <x v="180"/>
          </reference>
        </references>
      </pivotArea>
    </format>
    <format dxfId="3600">
      <pivotArea dataOnly="0" labelOnly="1" fieldPosition="0">
        <references count="5">
          <reference field="1" count="1" selected="0">
            <x v="155"/>
          </reference>
          <reference field="2" count="1" selected="0">
            <x v="0"/>
          </reference>
          <reference field="3" count="1" selected="0">
            <x v="38"/>
          </reference>
          <reference field="4" count="1" selected="0">
            <x v="245"/>
          </reference>
          <reference field="5" count="1">
            <x v="1177"/>
          </reference>
        </references>
      </pivotArea>
    </format>
    <format dxfId="3599">
      <pivotArea dataOnly="0" labelOnly="1" fieldPosition="0">
        <references count="5">
          <reference field="1" count="1" selected="0">
            <x v="155"/>
          </reference>
          <reference field="2" count="1" selected="0">
            <x v="6"/>
          </reference>
          <reference field="3" count="1" selected="0">
            <x v="38"/>
          </reference>
          <reference field="4" count="1" selected="0">
            <x v="245"/>
          </reference>
          <reference field="5" count="1">
            <x v="1357"/>
          </reference>
        </references>
      </pivotArea>
    </format>
    <format dxfId="3598">
      <pivotArea dataOnly="0" labelOnly="1" fieldPosition="0">
        <references count="5">
          <reference field="1" count="1" selected="0">
            <x v="155"/>
          </reference>
          <reference field="2" count="1" selected="0">
            <x v="12"/>
          </reference>
          <reference field="3" count="1" selected="0">
            <x v="1"/>
          </reference>
          <reference field="4" count="1" selected="0">
            <x v="245"/>
          </reference>
          <reference field="5" count="3">
            <x v="80"/>
            <x v="213"/>
            <x v="352"/>
          </reference>
        </references>
      </pivotArea>
    </format>
    <format dxfId="3597">
      <pivotArea dataOnly="0" labelOnly="1" fieldPosition="0">
        <references count="5">
          <reference field="1" count="1" selected="0">
            <x v="155"/>
          </reference>
          <reference field="2" count="1" selected="0">
            <x v="33"/>
          </reference>
          <reference field="3" count="1" selected="0">
            <x v="38"/>
          </reference>
          <reference field="4" count="1" selected="0">
            <x v="245"/>
          </reference>
          <reference field="5" count="1">
            <x v="235"/>
          </reference>
        </references>
      </pivotArea>
    </format>
    <format dxfId="3596">
      <pivotArea dataOnly="0" labelOnly="1" fieldPosition="0">
        <references count="5">
          <reference field="1" count="1" selected="0">
            <x v="155"/>
          </reference>
          <reference field="2" count="1" selected="0">
            <x v="35"/>
          </reference>
          <reference field="3" count="1" selected="0">
            <x v="1"/>
          </reference>
          <reference field="4" count="1" selected="0">
            <x v="245"/>
          </reference>
          <reference field="5" count="1">
            <x v="80"/>
          </reference>
        </references>
      </pivotArea>
    </format>
    <format dxfId="3595">
      <pivotArea dataOnly="0" labelOnly="1" fieldPosition="0">
        <references count="5">
          <reference field="1" count="1" selected="0">
            <x v="156"/>
          </reference>
          <reference field="2" count="1" selected="0">
            <x v="0"/>
          </reference>
          <reference field="3" count="1" selected="0">
            <x v="12"/>
          </reference>
          <reference field="4" count="1" selected="0">
            <x v="2"/>
          </reference>
          <reference field="5" count="1">
            <x v="39"/>
          </reference>
        </references>
      </pivotArea>
    </format>
    <format dxfId="3594">
      <pivotArea dataOnly="0" labelOnly="1" fieldPosition="0">
        <references count="5">
          <reference field="1" count="1" selected="0">
            <x v="156"/>
          </reference>
          <reference field="2" count="1" selected="0">
            <x v="0"/>
          </reference>
          <reference field="3" count="1" selected="0">
            <x v="12"/>
          </reference>
          <reference field="4" count="1" selected="0">
            <x v="32"/>
          </reference>
          <reference field="5" count="1">
            <x v="391"/>
          </reference>
        </references>
      </pivotArea>
    </format>
    <format dxfId="3593">
      <pivotArea dataOnly="0" labelOnly="1" fieldPosition="0">
        <references count="5">
          <reference field="1" count="1" selected="0">
            <x v="156"/>
          </reference>
          <reference field="2" count="1" selected="0">
            <x v="0"/>
          </reference>
          <reference field="3" count="1" selected="0">
            <x v="12"/>
          </reference>
          <reference field="4" count="1" selected="0">
            <x v="38"/>
          </reference>
          <reference field="5" count="1">
            <x v="6"/>
          </reference>
        </references>
      </pivotArea>
    </format>
    <format dxfId="3592">
      <pivotArea dataOnly="0" labelOnly="1" fieldPosition="0">
        <references count="5">
          <reference field="1" count="1" selected="0">
            <x v="156"/>
          </reference>
          <reference field="2" count="1" selected="0">
            <x v="0"/>
          </reference>
          <reference field="3" count="1" selected="0">
            <x v="38"/>
          </reference>
          <reference field="4" count="1" selected="0">
            <x v="246"/>
          </reference>
          <reference field="5" count="1">
            <x v="138"/>
          </reference>
        </references>
      </pivotArea>
    </format>
    <format dxfId="3591">
      <pivotArea dataOnly="0" labelOnly="1" fieldPosition="0">
        <references count="5">
          <reference field="1" count="1" selected="0">
            <x v="156"/>
          </reference>
          <reference field="2" count="1" selected="0">
            <x v="6"/>
          </reference>
          <reference field="3" count="1" selected="0">
            <x v="38"/>
          </reference>
          <reference field="4" count="1" selected="0">
            <x v="246"/>
          </reference>
          <reference field="5" count="1">
            <x v="579"/>
          </reference>
        </references>
      </pivotArea>
    </format>
    <format dxfId="3590">
      <pivotArea dataOnly="0" labelOnly="1" fieldPosition="0">
        <references count="5">
          <reference field="1" count="1" selected="0">
            <x v="156"/>
          </reference>
          <reference field="2" count="1" selected="0">
            <x v="12"/>
          </reference>
          <reference field="3" count="1" selected="0">
            <x v="1"/>
          </reference>
          <reference field="4" count="1" selected="0">
            <x v="246"/>
          </reference>
          <reference field="5" count="4">
            <x v="80"/>
            <x v="213"/>
            <x v="500"/>
            <x v="607"/>
          </reference>
        </references>
      </pivotArea>
    </format>
    <format dxfId="3589">
      <pivotArea dataOnly="0" labelOnly="1" fieldPosition="0">
        <references count="5">
          <reference field="1" count="1" selected="0">
            <x v="156"/>
          </reference>
          <reference field="2" count="1" selected="0">
            <x v="12"/>
          </reference>
          <reference field="3" count="1" selected="0">
            <x v="38"/>
          </reference>
          <reference field="4" count="1" selected="0">
            <x v="246"/>
          </reference>
          <reference field="5" count="3">
            <x v="1271"/>
            <x v="1343"/>
            <x v="1528"/>
          </reference>
        </references>
      </pivotArea>
    </format>
    <format dxfId="3588">
      <pivotArea dataOnly="0" labelOnly="1" fieldPosition="0">
        <references count="5">
          <reference field="1" count="1" selected="0">
            <x v="156"/>
          </reference>
          <reference field="2" count="1" selected="0">
            <x v="31"/>
          </reference>
          <reference field="3" count="1" selected="0">
            <x v="6"/>
          </reference>
          <reference field="4" count="1" selected="0">
            <x v="246"/>
          </reference>
          <reference field="5" count="1">
            <x v="1793"/>
          </reference>
        </references>
      </pivotArea>
    </format>
    <format dxfId="3587">
      <pivotArea dataOnly="0" labelOnly="1" fieldPosition="0">
        <references count="5">
          <reference field="1" count="1" selected="0">
            <x v="156"/>
          </reference>
          <reference field="2" count="1" selected="0">
            <x v="35"/>
          </reference>
          <reference field="3" count="1" selected="0">
            <x v="1"/>
          </reference>
          <reference field="4" count="1" selected="0">
            <x v="246"/>
          </reference>
          <reference field="5" count="1">
            <x v="80"/>
          </reference>
        </references>
      </pivotArea>
    </format>
    <format dxfId="3586">
      <pivotArea dataOnly="0" labelOnly="1" fieldPosition="0">
        <references count="5">
          <reference field="1" count="1" selected="0">
            <x v="156"/>
          </reference>
          <reference field="2" count="1" selected="0">
            <x v="36"/>
          </reference>
          <reference field="3" count="1" selected="0">
            <x v="38"/>
          </reference>
          <reference field="4" count="1" selected="0">
            <x v="246"/>
          </reference>
          <reference field="5" count="1">
            <x v="214"/>
          </reference>
        </references>
      </pivotArea>
    </format>
    <format dxfId="3585">
      <pivotArea dataOnly="0" labelOnly="1" fieldPosition="0">
        <references count="5">
          <reference field="1" count="1" selected="0">
            <x v="157"/>
          </reference>
          <reference field="2" count="1" selected="0">
            <x v="0"/>
          </reference>
          <reference field="3" count="1" selected="0">
            <x v="38"/>
          </reference>
          <reference field="4" count="1" selected="0">
            <x v="247"/>
          </reference>
          <reference field="5" count="2">
            <x v="138"/>
            <x v="524"/>
          </reference>
        </references>
      </pivotArea>
    </format>
    <format dxfId="3584">
      <pivotArea dataOnly="0" labelOnly="1" fieldPosition="0">
        <references count="5">
          <reference field="1" count="1" selected="0">
            <x v="157"/>
          </reference>
          <reference field="2" count="1" selected="0">
            <x v="2"/>
          </reference>
          <reference field="3" count="1" selected="0">
            <x v="1"/>
          </reference>
          <reference field="4" count="1" selected="0">
            <x v="247"/>
          </reference>
          <reference field="5" count="1">
            <x v="1284"/>
          </reference>
        </references>
      </pivotArea>
    </format>
    <format dxfId="3583">
      <pivotArea dataOnly="0" labelOnly="1" fieldPosition="0">
        <references count="5">
          <reference field="1" count="1" selected="0">
            <x v="157"/>
          </reference>
          <reference field="2" count="1" selected="0">
            <x v="2"/>
          </reference>
          <reference field="3" count="1" selected="0">
            <x v="6"/>
          </reference>
          <reference field="4" count="1" selected="0">
            <x v="247"/>
          </reference>
          <reference field="5" count="1">
            <x v="909"/>
          </reference>
        </references>
      </pivotArea>
    </format>
    <format dxfId="3582">
      <pivotArea dataOnly="0" labelOnly="1" fieldPosition="0">
        <references count="5">
          <reference field="1" count="1" selected="0">
            <x v="157"/>
          </reference>
          <reference field="2" count="1" selected="0">
            <x v="3"/>
          </reference>
          <reference field="3" count="1" selected="0">
            <x v="38"/>
          </reference>
          <reference field="4" count="1" selected="0">
            <x v="247"/>
          </reference>
          <reference field="5" count="1">
            <x v="1070"/>
          </reference>
        </references>
      </pivotArea>
    </format>
    <format dxfId="3581">
      <pivotArea dataOnly="0" labelOnly="1" fieldPosition="0">
        <references count="5">
          <reference field="1" count="1" selected="0">
            <x v="157"/>
          </reference>
          <reference field="2" count="1" selected="0">
            <x v="7"/>
          </reference>
          <reference field="3" count="1" selected="0">
            <x v="38"/>
          </reference>
          <reference field="4" count="1" selected="0">
            <x v="247"/>
          </reference>
          <reference field="5" count="1">
            <x v="1770"/>
          </reference>
        </references>
      </pivotArea>
    </format>
    <format dxfId="3580">
      <pivotArea dataOnly="0" labelOnly="1" fieldPosition="0">
        <references count="5">
          <reference field="1" count="1" selected="0">
            <x v="157"/>
          </reference>
          <reference field="2" count="1" selected="0">
            <x v="12"/>
          </reference>
          <reference field="3" count="1" selected="0">
            <x v="1"/>
          </reference>
          <reference field="4" count="1" selected="0">
            <x v="247"/>
          </reference>
          <reference field="5" count="5">
            <x v="80"/>
            <x v="213"/>
            <x v="352"/>
            <x v="771"/>
            <x v="964"/>
          </reference>
        </references>
      </pivotArea>
    </format>
    <format dxfId="3579">
      <pivotArea dataOnly="0" labelOnly="1" fieldPosition="0">
        <references count="5">
          <reference field="1" count="1" selected="0">
            <x v="157"/>
          </reference>
          <reference field="2" count="1" selected="0">
            <x v="17"/>
          </reference>
          <reference field="3" count="1" selected="0">
            <x v="38"/>
          </reference>
          <reference field="4" count="1" selected="0">
            <x v="247"/>
          </reference>
          <reference field="5" count="1">
            <x v="1708"/>
          </reference>
        </references>
      </pivotArea>
    </format>
    <format dxfId="3578">
      <pivotArea dataOnly="0" labelOnly="1" fieldPosition="0">
        <references count="5">
          <reference field="1" count="1" selected="0">
            <x v="157"/>
          </reference>
          <reference field="2" count="1" selected="0">
            <x v="35"/>
          </reference>
          <reference field="3" count="1" selected="0">
            <x v="1"/>
          </reference>
          <reference field="4" count="1" selected="0">
            <x v="247"/>
          </reference>
          <reference field="5" count="1">
            <x v="80"/>
          </reference>
        </references>
      </pivotArea>
    </format>
    <format dxfId="3577">
      <pivotArea dataOnly="0" labelOnly="1" fieldPosition="0">
        <references count="5">
          <reference field="1" count="1" selected="0">
            <x v="158"/>
          </reference>
          <reference field="2" count="1" selected="0">
            <x v="0"/>
          </reference>
          <reference field="3" count="1" selected="0">
            <x v="12"/>
          </reference>
          <reference field="4" count="1" selected="0">
            <x v="52"/>
          </reference>
          <reference field="5" count="1">
            <x v="9"/>
          </reference>
        </references>
      </pivotArea>
    </format>
    <format dxfId="3576">
      <pivotArea dataOnly="0" labelOnly="1" fieldPosition="0">
        <references count="5">
          <reference field="1" count="1" selected="0">
            <x v="158"/>
          </reference>
          <reference field="2" count="1" selected="0">
            <x v="0"/>
          </reference>
          <reference field="3" count="1" selected="0">
            <x v="12"/>
          </reference>
          <reference field="4" count="1" selected="0">
            <x v="57"/>
          </reference>
          <reference field="5" count="1">
            <x v="6"/>
          </reference>
        </references>
      </pivotArea>
    </format>
    <format dxfId="3575">
      <pivotArea dataOnly="0" labelOnly="1" fieldPosition="0">
        <references count="5">
          <reference field="1" count="1" selected="0">
            <x v="158"/>
          </reference>
          <reference field="2" count="1" selected="0">
            <x v="5"/>
          </reference>
          <reference field="3" count="1" selected="0">
            <x v="10"/>
          </reference>
          <reference field="4" count="1" selected="0">
            <x v="248"/>
          </reference>
          <reference field="5" count="1">
            <x v="1336"/>
          </reference>
        </references>
      </pivotArea>
    </format>
    <format dxfId="3574">
      <pivotArea dataOnly="0" labelOnly="1" fieldPosition="0">
        <references count="5">
          <reference field="1" count="1" selected="0">
            <x v="158"/>
          </reference>
          <reference field="2" count="1" selected="0">
            <x v="9"/>
          </reference>
          <reference field="3" count="1" selected="0">
            <x v="10"/>
          </reference>
          <reference field="4" count="1" selected="0">
            <x v="248"/>
          </reference>
          <reference field="5" count="1">
            <x v="176"/>
          </reference>
        </references>
      </pivotArea>
    </format>
    <format dxfId="3573">
      <pivotArea dataOnly="0" labelOnly="1" fieldPosition="0">
        <references count="5">
          <reference field="1" count="1" selected="0">
            <x v="158"/>
          </reference>
          <reference field="2" count="1" selected="0">
            <x v="12"/>
          </reference>
          <reference field="3" count="1" selected="0">
            <x v="1"/>
          </reference>
          <reference field="4" count="1" selected="0">
            <x v="248"/>
          </reference>
          <reference field="5" count="6">
            <x v="213"/>
            <x v="352"/>
            <x v="500"/>
            <x v="607"/>
            <x v="702"/>
            <x v="771"/>
          </reference>
        </references>
      </pivotArea>
    </format>
    <format dxfId="3572">
      <pivotArea dataOnly="0" labelOnly="1" fieldPosition="0">
        <references count="5">
          <reference field="1" count="1" selected="0">
            <x v="158"/>
          </reference>
          <reference field="2" count="1" selected="0">
            <x v="15"/>
          </reference>
          <reference field="3" count="1" selected="0">
            <x v="10"/>
          </reference>
          <reference field="4" count="1" selected="0">
            <x v="248"/>
          </reference>
          <reference field="5" count="1">
            <x v="1807"/>
          </reference>
        </references>
      </pivotArea>
    </format>
    <format dxfId="3571">
      <pivotArea dataOnly="0" labelOnly="1" fieldPosition="0">
        <references count="5">
          <reference field="1" count="1" selected="0">
            <x v="158"/>
          </reference>
          <reference field="2" count="1" selected="0">
            <x v="15"/>
          </reference>
          <reference field="3" count="1" selected="0">
            <x v="38"/>
          </reference>
          <reference field="4" count="1" selected="0">
            <x v="248"/>
          </reference>
          <reference field="5" count="1">
            <x v="607"/>
          </reference>
        </references>
      </pivotArea>
    </format>
    <format dxfId="3570">
      <pivotArea dataOnly="0" labelOnly="1" fieldPosition="0">
        <references count="5">
          <reference field="1" count="1" selected="0">
            <x v="158"/>
          </reference>
          <reference field="2" count="1" selected="0">
            <x v="19"/>
          </reference>
          <reference field="3" count="1" selected="0">
            <x v="6"/>
          </reference>
          <reference field="4" count="1" selected="0">
            <x v="248"/>
          </reference>
          <reference field="5" count="1">
            <x v="902"/>
          </reference>
        </references>
      </pivotArea>
    </format>
    <format dxfId="3569">
      <pivotArea dataOnly="0" labelOnly="1" fieldPosition="0">
        <references count="5">
          <reference field="1" count="1" selected="0">
            <x v="158"/>
          </reference>
          <reference field="2" count="1" selected="0">
            <x v="23"/>
          </reference>
          <reference field="3" count="1" selected="0">
            <x v="1"/>
          </reference>
          <reference field="4" count="1" selected="0">
            <x v="248"/>
          </reference>
          <reference field="5" count="1">
            <x v="718"/>
          </reference>
        </references>
      </pivotArea>
    </format>
    <format dxfId="3568">
      <pivotArea dataOnly="0" labelOnly="1" fieldPosition="0">
        <references count="5">
          <reference field="1" count="1" selected="0">
            <x v="158"/>
          </reference>
          <reference field="2" count="1" selected="0">
            <x v="24"/>
          </reference>
          <reference field="3" count="1" selected="0">
            <x v="6"/>
          </reference>
          <reference field="4" count="1" selected="0">
            <x v="248"/>
          </reference>
          <reference field="5" count="1">
            <x v="1268"/>
          </reference>
        </references>
      </pivotArea>
    </format>
    <format dxfId="3567">
      <pivotArea dataOnly="0" labelOnly="1" fieldPosition="0">
        <references count="5">
          <reference field="1" count="1" selected="0">
            <x v="158"/>
          </reference>
          <reference field="2" count="1" selected="0">
            <x v="35"/>
          </reference>
          <reference field="3" count="1" selected="0">
            <x v="1"/>
          </reference>
          <reference field="4" count="1" selected="0">
            <x v="248"/>
          </reference>
          <reference field="5" count="1">
            <x v="80"/>
          </reference>
        </references>
      </pivotArea>
    </format>
    <format dxfId="3566">
      <pivotArea dataOnly="0" labelOnly="1" fieldPosition="0">
        <references count="5">
          <reference field="1" count="1" selected="0">
            <x v="159"/>
          </reference>
          <reference field="2" count="1" selected="0">
            <x v="0"/>
          </reference>
          <reference field="3" count="1" selected="0">
            <x v="6"/>
          </reference>
          <reference field="4" count="1" selected="0">
            <x v="250"/>
          </reference>
          <reference field="5" count="2">
            <x v="469"/>
            <x v="1345"/>
          </reference>
        </references>
      </pivotArea>
    </format>
    <format dxfId="3565">
      <pivotArea dataOnly="0" labelOnly="1" fieldPosition="0">
        <references count="5">
          <reference field="1" count="1" selected="0">
            <x v="159"/>
          </reference>
          <reference field="2" count="1" selected="0">
            <x v="0"/>
          </reference>
          <reference field="3" count="1" selected="0">
            <x v="9"/>
          </reference>
          <reference field="4" count="1" selected="0">
            <x v="250"/>
          </reference>
          <reference field="5" count="2">
            <x v="605"/>
            <x v="909"/>
          </reference>
        </references>
      </pivotArea>
    </format>
    <format dxfId="3564">
      <pivotArea dataOnly="0" labelOnly="1" fieldPosition="0">
        <references count="5">
          <reference field="1" count="1" selected="0">
            <x v="159"/>
          </reference>
          <reference field="2" count="1" selected="0">
            <x v="0"/>
          </reference>
          <reference field="3" count="1" selected="0">
            <x v="12"/>
          </reference>
          <reference field="4" count="1" selected="0">
            <x v="64"/>
          </reference>
          <reference field="5" count="1">
            <x v="69"/>
          </reference>
        </references>
      </pivotArea>
    </format>
    <format dxfId="3563">
      <pivotArea dataOnly="0" labelOnly="1" fieldPosition="0">
        <references count="5">
          <reference field="1" count="1" selected="0">
            <x v="159"/>
          </reference>
          <reference field="2" count="1" selected="0">
            <x v="12"/>
          </reference>
          <reference field="3" count="1" selected="0">
            <x v="1"/>
          </reference>
          <reference field="4" count="1" selected="0">
            <x v="250"/>
          </reference>
          <reference field="5" count="4">
            <x v="80"/>
            <x v="213"/>
            <x v="500"/>
            <x v="771"/>
          </reference>
        </references>
      </pivotArea>
    </format>
    <format dxfId="3562">
      <pivotArea dataOnly="0" labelOnly="1" fieldPosition="0">
        <references count="5">
          <reference field="1" count="1" selected="0">
            <x v="159"/>
          </reference>
          <reference field="2" count="1" selected="0">
            <x v="12"/>
          </reference>
          <reference field="3" count="1" selected="0">
            <x v="8"/>
          </reference>
          <reference field="4" count="1" selected="0">
            <x v="250"/>
          </reference>
          <reference field="5" count="1">
            <x v="0"/>
          </reference>
        </references>
      </pivotArea>
    </format>
    <format dxfId="3561">
      <pivotArea dataOnly="0" labelOnly="1" fieldPosition="0">
        <references count="5">
          <reference field="1" count="1" selected="0">
            <x v="159"/>
          </reference>
          <reference field="2" count="1" selected="0">
            <x v="12"/>
          </reference>
          <reference field="3" count="1" selected="0">
            <x v="29"/>
          </reference>
          <reference field="4" count="1" selected="0">
            <x v="249"/>
          </reference>
          <reference field="5" count="1">
            <x v="221"/>
          </reference>
        </references>
      </pivotArea>
    </format>
    <format dxfId="3560">
      <pivotArea dataOnly="0" labelOnly="1" fieldPosition="0">
        <references count="5">
          <reference field="1" count="1" selected="0">
            <x v="159"/>
          </reference>
          <reference field="2" count="1" selected="0">
            <x v="15"/>
          </reference>
          <reference field="3" count="1" selected="0">
            <x v="10"/>
          </reference>
          <reference field="4" count="1" selected="0">
            <x v="250"/>
          </reference>
          <reference field="5" count="1">
            <x v="1402"/>
          </reference>
        </references>
      </pivotArea>
    </format>
    <format dxfId="3559">
      <pivotArea dataOnly="0" labelOnly="1" fieldPosition="0">
        <references count="5">
          <reference field="1" count="1" selected="0">
            <x v="159"/>
          </reference>
          <reference field="2" count="1" selected="0">
            <x v="19"/>
          </reference>
          <reference field="3" count="1" selected="0">
            <x v="6"/>
          </reference>
          <reference field="4" count="1" selected="0">
            <x v="250"/>
          </reference>
          <reference field="5" count="1">
            <x v="840"/>
          </reference>
        </references>
      </pivotArea>
    </format>
    <format dxfId="3558">
      <pivotArea dataOnly="0" labelOnly="1" fieldPosition="0">
        <references count="5">
          <reference field="1" count="1" selected="0">
            <x v="159"/>
          </reference>
          <reference field="2" count="1" selected="0">
            <x v="33"/>
          </reference>
          <reference field="3" count="1" selected="0">
            <x v="6"/>
          </reference>
          <reference field="4" count="1" selected="0">
            <x v="250"/>
          </reference>
          <reference field="5" count="1">
            <x v="469"/>
          </reference>
        </references>
      </pivotArea>
    </format>
    <format dxfId="3557">
      <pivotArea dataOnly="0" labelOnly="1" fieldPosition="0">
        <references count="5">
          <reference field="1" count="1" selected="0">
            <x v="159"/>
          </reference>
          <reference field="2" count="1" selected="0">
            <x v="33"/>
          </reference>
          <reference field="3" count="1" selected="0">
            <x v="38"/>
          </reference>
          <reference field="4" count="1" selected="0">
            <x v="250"/>
          </reference>
          <reference field="5" count="1">
            <x v="82"/>
          </reference>
        </references>
      </pivotArea>
    </format>
    <format dxfId="3556">
      <pivotArea dataOnly="0" labelOnly="1" fieldPosition="0">
        <references count="5">
          <reference field="1" count="1" selected="0">
            <x v="159"/>
          </reference>
          <reference field="2" count="1" selected="0">
            <x v="35"/>
          </reference>
          <reference field="3" count="1" selected="0">
            <x v="1"/>
          </reference>
          <reference field="4" count="1" selected="0">
            <x v="250"/>
          </reference>
          <reference field="5" count="2">
            <x v="80"/>
            <x v="213"/>
          </reference>
        </references>
      </pivotArea>
    </format>
    <format dxfId="3555">
      <pivotArea dataOnly="0" labelOnly="1" fieldPosition="0">
        <references count="5">
          <reference field="1" count="1" selected="0">
            <x v="159"/>
          </reference>
          <reference field="2" count="1" selected="0">
            <x v="37"/>
          </reference>
          <reference field="3" count="1" selected="0">
            <x v="38"/>
          </reference>
          <reference field="4" count="1" selected="0">
            <x v="250"/>
          </reference>
          <reference field="5" count="1">
            <x v="256"/>
          </reference>
        </references>
      </pivotArea>
    </format>
    <format dxfId="3554">
      <pivotArea dataOnly="0" labelOnly="1" fieldPosition="0">
        <references count="5">
          <reference field="1" count="1" selected="0">
            <x v="160"/>
          </reference>
          <reference field="2" count="1" selected="0">
            <x v="0"/>
          </reference>
          <reference field="3" count="1" selected="0">
            <x v="38"/>
          </reference>
          <reference field="4" count="1" selected="0">
            <x v="251"/>
          </reference>
          <reference field="5" count="1">
            <x v="607"/>
          </reference>
        </references>
      </pivotArea>
    </format>
    <format dxfId="3553">
      <pivotArea dataOnly="0" labelOnly="1" fieldPosition="0">
        <references count="5">
          <reference field="1" count="1" selected="0">
            <x v="160"/>
          </reference>
          <reference field="2" count="1" selected="0">
            <x v="12"/>
          </reference>
          <reference field="3" count="1" selected="0">
            <x v="1"/>
          </reference>
          <reference field="4" count="1" selected="0">
            <x v="251"/>
          </reference>
          <reference field="5" count="4">
            <x v="80"/>
            <x v="213"/>
            <x v="352"/>
            <x v="500"/>
          </reference>
        </references>
      </pivotArea>
    </format>
    <format dxfId="3552">
      <pivotArea dataOnly="0" labelOnly="1" fieldPosition="0">
        <references count="5">
          <reference field="1" count="1" selected="0">
            <x v="160"/>
          </reference>
          <reference field="2" count="1" selected="0">
            <x v="15"/>
          </reference>
          <reference field="3" count="1" selected="0">
            <x v="38"/>
          </reference>
          <reference field="4" count="1" selected="0">
            <x v="251"/>
          </reference>
          <reference field="5" count="1">
            <x v="213"/>
          </reference>
        </references>
      </pivotArea>
    </format>
    <format dxfId="3551">
      <pivotArea dataOnly="0" labelOnly="1" fieldPosition="0">
        <references count="5">
          <reference field="1" count="1" selected="0">
            <x v="160"/>
          </reference>
          <reference field="2" count="1" selected="0">
            <x v="23"/>
          </reference>
          <reference field="3" count="1" selected="0">
            <x v="38"/>
          </reference>
          <reference field="4" count="1" selected="0">
            <x v="251"/>
          </reference>
          <reference field="5" count="1">
            <x v="972"/>
          </reference>
        </references>
      </pivotArea>
    </format>
    <format dxfId="3550">
      <pivotArea dataOnly="0" labelOnly="1" fieldPosition="0">
        <references count="5">
          <reference field="1" count="1" selected="0">
            <x v="160"/>
          </reference>
          <reference field="2" count="1" selected="0">
            <x v="35"/>
          </reference>
          <reference field="3" count="1" selected="0">
            <x v="1"/>
          </reference>
          <reference field="4" count="1" selected="0">
            <x v="251"/>
          </reference>
          <reference field="5" count="1">
            <x v="80"/>
          </reference>
        </references>
      </pivotArea>
    </format>
    <format dxfId="3549">
      <pivotArea dataOnly="0" labelOnly="1" fieldPosition="0">
        <references count="5">
          <reference field="1" count="1" selected="0">
            <x v="161"/>
          </reference>
          <reference field="2" count="1" selected="0">
            <x v="0"/>
          </reference>
          <reference field="3" count="1" selected="0">
            <x v="12"/>
          </reference>
          <reference field="4" count="1" selected="0">
            <x v="12"/>
          </reference>
          <reference field="5" count="1">
            <x v="199"/>
          </reference>
        </references>
      </pivotArea>
    </format>
    <format dxfId="3548">
      <pivotArea dataOnly="0" labelOnly="1" fieldPosition="0">
        <references count="5">
          <reference field="1" count="1" selected="0">
            <x v="161"/>
          </reference>
          <reference field="2" count="1" selected="0">
            <x v="0"/>
          </reference>
          <reference field="3" count="1" selected="0">
            <x v="12"/>
          </reference>
          <reference field="4" count="1" selected="0">
            <x v="20"/>
          </reference>
          <reference field="5" count="1">
            <x v="733"/>
          </reference>
        </references>
      </pivotArea>
    </format>
    <format dxfId="3547">
      <pivotArea dataOnly="0" labelOnly="1" fieldPosition="0">
        <references count="5">
          <reference field="1" count="1" selected="0">
            <x v="161"/>
          </reference>
          <reference field="2" count="1" selected="0">
            <x v="0"/>
          </reference>
          <reference field="3" count="1" selected="0">
            <x v="12"/>
          </reference>
          <reference field="4" count="1" selected="0">
            <x v="30"/>
          </reference>
          <reference field="5" count="1">
            <x v="6"/>
          </reference>
        </references>
      </pivotArea>
    </format>
    <format dxfId="3546">
      <pivotArea dataOnly="0" labelOnly="1" fieldPosition="0">
        <references count="5">
          <reference field="1" count="1" selected="0">
            <x v="161"/>
          </reference>
          <reference field="2" count="1" selected="0">
            <x v="12"/>
          </reference>
          <reference field="3" count="1" selected="0">
            <x v="1"/>
          </reference>
          <reference field="4" count="1" selected="0">
            <x v="252"/>
          </reference>
          <reference field="5" count="2">
            <x v="80"/>
            <x v="213"/>
          </reference>
        </references>
      </pivotArea>
    </format>
    <format dxfId="3545">
      <pivotArea dataOnly="0" labelOnly="1" fieldPosition="0">
        <references count="5">
          <reference field="1" count="1" selected="0">
            <x v="161"/>
          </reference>
          <reference field="2" count="1" selected="0">
            <x v="14"/>
          </reference>
          <reference field="3" count="1" selected="0">
            <x v="6"/>
          </reference>
          <reference field="4" count="1" selected="0">
            <x v="252"/>
          </reference>
          <reference field="5" count="1">
            <x v="1871"/>
          </reference>
        </references>
      </pivotArea>
    </format>
    <format dxfId="3544">
      <pivotArea dataOnly="0" labelOnly="1" fieldPosition="0">
        <references count="5">
          <reference field="1" count="1" selected="0">
            <x v="161"/>
          </reference>
          <reference field="2" count="1" selected="0">
            <x v="35"/>
          </reference>
          <reference field="3" count="1" selected="0">
            <x v="1"/>
          </reference>
          <reference field="4" count="1" selected="0">
            <x v="252"/>
          </reference>
          <reference field="5" count="1">
            <x v="213"/>
          </reference>
        </references>
      </pivotArea>
    </format>
    <format dxfId="3543">
      <pivotArea dataOnly="0" labelOnly="1" fieldPosition="0">
        <references count="5">
          <reference field="1" count="1" selected="0">
            <x v="162"/>
          </reference>
          <reference field="2" count="1" selected="0">
            <x v="0"/>
          </reference>
          <reference field="3" count="1" selected="0">
            <x v="6"/>
          </reference>
          <reference field="4" count="1" selected="0">
            <x v="253"/>
          </reference>
          <reference field="5" count="1">
            <x v="334"/>
          </reference>
        </references>
      </pivotArea>
    </format>
    <format dxfId="3542">
      <pivotArea dataOnly="0" labelOnly="1" fieldPosition="0">
        <references count="5">
          <reference field="1" count="1" selected="0">
            <x v="162"/>
          </reference>
          <reference field="2" count="1" selected="0">
            <x v="0"/>
          </reference>
          <reference field="3" count="1" selected="0">
            <x v="8"/>
          </reference>
          <reference field="4" count="1" selected="0">
            <x v="253"/>
          </reference>
          <reference field="5" count="3">
            <x v="74"/>
            <x v="846"/>
            <x v="910"/>
          </reference>
        </references>
      </pivotArea>
    </format>
    <format dxfId="3541">
      <pivotArea dataOnly="0" labelOnly="1" fieldPosition="0">
        <references count="5">
          <reference field="1" count="1" selected="0">
            <x v="162"/>
          </reference>
          <reference field="2" count="1" selected="0">
            <x v="0"/>
          </reference>
          <reference field="3" count="1" selected="0">
            <x v="9"/>
          </reference>
          <reference field="4" count="1" selected="0">
            <x v="253"/>
          </reference>
          <reference field="5" count="10">
            <x v="125"/>
            <x v="191"/>
            <x v="203"/>
            <x v="303"/>
            <x v="504"/>
            <x v="524"/>
            <x v="543"/>
            <x v="551"/>
            <x v="1007"/>
            <x v="1027"/>
          </reference>
        </references>
      </pivotArea>
    </format>
    <format dxfId="3540">
      <pivotArea dataOnly="0" labelOnly="1" fieldPosition="0">
        <references count="5">
          <reference field="1" count="1" selected="0">
            <x v="162"/>
          </reference>
          <reference field="2" count="1" selected="0">
            <x v="3"/>
          </reference>
          <reference field="3" count="1" selected="0">
            <x v="8"/>
          </reference>
          <reference field="4" count="1" selected="0">
            <x v="253"/>
          </reference>
          <reference field="5" count="1">
            <x v="865"/>
          </reference>
        </references>
      </pivotArea>
    </format>
    <format dxfId="3539">
      <pivotArea dataOnly="0" labelOnly="1" fieldPosition="0">
        <references count="5">
          <reference field="1" count="1" selected="0">
            <x v="162"/>
          </reference>
          <reference field="2" count="1" selected="0">
            <x v="3"/>
          </reference>
          <reference field="3" count="1" selected="0">
            <x v="37"/>
          </reference>
          <reference field="4" count="1" selected="0">
            <x v="253"/>
          </reference>
          <reference field="5" count="1">
            <x v="1069"/>
          </reference>
        </references>
      </pivotArea>
    </format>
    <format dxfId="3538">
      <pivotArea dataOnly="0" labelOnly="1" fieldPosition="0">
        <references count="5">
          <reference field="1" count="1" selected="0">
            <x v="162"/>
          </reference>
          <reference field="2" count="1" selected="0">
            <x v="3"/>
          </reference>
          <reference field="3" count="1" selected="0">
            <x v="38"/>
          </reference>
          <reference field="4" count="1" selected="0">
            <x v="253"/>
          </reference>
          <reference field="5" count="1">
            <x v="109"/>
          </reference>
        </references>
      </pivotArea>
    </format>
    <format dxfId="3537">
      <pivotArea dataOnly="0" labelOnly="1" fieldPosition="0">
        <references count="5">
          <reference field="1" count="1" selected="0">
            <x v="162"/>
          </reference>
          <reference field="2" count="1" selected="0">
            <x v="5"/>
          </reference>
          <reference field="3" count="1" selected="0">
            <x v="37"/>
          </reference>
          <reference field="4" count="1" selected="0">
            <x v="253"/>
          </reference>
          <reference field="5" count="1">
            <x v="1069"/>
          </reference>
        </references>
      </pivotArea>
    </format>
    <format dxfId="3536">
      <pivotArea dataOnly="0" labelOnly="1" fieldPosition="0">
        <references count="5">
          <reference field="1" count="1" selected="0">
            <x v="162"/>
          </reference>
          <reference field="2" count="1" selected="0">
            <x v="7"/>
          </reference>
          <reference field="3" count="1" selected="0">
            <x v="38"/>
          </reference>
          <reference field="4" count="1" selected="0">
            <x v="253"/>
          </reference>
          <reference field="5" count="1">
            <x v="304"/>
          </reference>
        </references>
      </pivotArea>
    </format>
    <format dxfId="3535">
      <pivotArea dataOnly="0" labelOnly="1" fieldPosition="0">
        <references count="5">
          <reference field="1" count="1" selected="0">
            <x v="162"/>
          </reference>
          <reference field="2" count="1" selected="0">
            <x v="9"/>
          </reference>
          <reference field="3" count="1" selected="0">
            <x v="8"/>
          </reference>
          <reference field="4" count="1" selected="0">
            <x v="253"/>
          </reference>
          <reference field="5" count="1">
            <x v="208"/>
          </reference>
        </references>
      </pivotArea>
    </format>
    <format dxfId="3534">
      <pivotArea dataOnly="0" labelOnly="1" fieldPosition="0">
        <references count="5">
          <reference field="1" count="1" selected="0">
            <x v="162"/>
          </reference>
          <reference field="2" count="1" selected="0">
            <x v="11"/>
          </reference>
          <reference field="3" count="1" selected="0">
            <x v="9"/>
          </reference>
          <reference field="4" count="1" selected="0">
            <x v="253"/>
          </reference>
          <reference field="5" count="1">
            <x v="410"/>
          </reference>
        </references>
      </pivotArea>
    </format>
    <format dxfId="3533">
      <pivotArea dataOnly="0" labelOnly="1" fieldPosition="0">
        <references count="5">
          <reference field="1" count="1" selected="0">
            <x v="162"/>
          </reference>
          <reference field="2" count="1" selected="0">
            <x v="12"/>
          </reference>
          <reference field="3" count="1" selected="0">
            <x v="1"/>
          </reference>
          <reference field="4" count="1" selected="0">
            <x v="253"/>
          </reference>
          <reference field="5" count="3">
            <x v="80"/>
            <x v="213"/>
            <x v="352"/>
          </reference>
        </references>
      </pivotArea>
    </format>
    <format dxfId="3532">
      <pivotArea dataOnly="0" labelOnly="1" fieldPosition="0">
        <references count="5">
          <reference field="1" count="1" selected="0">
            <x v="162"/>
          </reference>
          <reference field="2" count="1" selected="0">
            <x v="14"/>
          </reference>
          <reference field="3" count="1" selected="0">
            <x v="38"/>
          </reference>
          <reference field="4" count="1" selected="0">
            <x v="253"/>
          </reference>
          <reference field="5" count="1">
            <x v="177"/>
          </reference>
        </references>
      </pivotArea>
    </format>
    <format dxfId="3531">
      <pivotArea dataOnly="0" labelOnly="1" fieldPosition="0">
        <references count="5">
          <reference field="1" count="1" selected="0">
            <x v="162"/>
          </reference>
          <reference field="2" count="1" selected="0">
            <x v="15"/>
          </reference>
          <reference field="3" count="1" selected="0">
            <x v="7"/>
          </reference>
          <reference field="4" count="1" selected="0">
            <x v="253"/>
          </reference>
          <reference field="5" count="1">
            <x v="205"/>
          </reference>
        </references>
      </pivotArea>
    </format>
    <format dxfId="3530">
      <pivotArea dataOnly="0" labelOnly="1" fieldPosition="0">
        <references count="5">
          <reference field="1" count="1" selected="0">
            <x v="162"/>
          </reference>
          <reference field="2" count="1" selected="0">
            <x v="15"/>
          </reference>
          <reference field="3" count="1" selected="0">
            <x v="8"/>
          </reference>
          <reference field="4" count="1" selected="0">
            <x v="253"/>
          </reference>
          <reference field="5" count="1">
            <x v="356"/>
          </reference>
        </references>
      </pivotArea>
    </format>
    <format dxfId="3529">
      <pivotArea dataOnly="0" labelOnly="1" fieldPosition="0">
        <references count="5">
          <reference field="1" count="1" selected="0">
            <x v="162"/>
          </reference>
          <reference field="2" count="1" selected="0">
            <x v="15"/>
          </reference>
          <reference field="3" count="1" selected="0">
            <x v="38"/>
          </reference>
          <reference field="4" count="1" selected="0">
            <x v="253"/>
          </reference>
          <reference field="5" count="1">
            <x v="846"/>
          </reference>
        </references>
      </pivotArea>
    </format>
    <format dxfId="3528">
      <pivotArea dataOnly="0" labelOnly="1" fieldPosition="0">
        <references count="5">
          <reference field="1" count="1" selected="0">
            <x v="162"/>
          </reference>
          <reference field="2" count="1" selected="0">
            <x v="17"/>
          </reference>
          <reference field="3" count="1" selected="0">
            <x v="7"/>
          </reference>
          <reference field="4" count="1" selected="0">
            <x v="253"/>
          </reference>
          <reference field="5" count="1">
            <x v="275"/>
          </reference>
        </references>
      </pivotArea>
    </format>
    <format dxfId="3527">
      <pivotArea dataOnly="0" labelOnly="1" fieldPosition="0">
        <references count="5">
          <reference field="1" count="1" selected="0">
            <x v="162"/>
          </reference>
          <reference field="2" count="1" selected="0">
            <x v="17"/>
          </reference>
          <reference field="3" count="1" selected="0">
            <x v="8"/>
          </reference>
          <reference field="4" count="1" selected="0">
            <x v="253"/>
          </reference>
          <reference field="5" count="1">
            <x v="1071"/>
          </reference>
        </references>
      </pivotArea>
    </format>
    <format dxfId="3526">
      <pivotArea dataOnly="0" labelOnly="1" fieldPosition="0">
        <references count="5">
          <reference field="1" count="1" selected="0">
            <x v="162"/>
          </reference>
          <reference field="2" count="1" selected="0">
            <x v="23"/>
          </reference>
          <reference field="3" count="1" selected="0">
            <x v="6"/>
          </reference>
          <reference field="4" count="1" selected="0">
            <x v="253"/>
          </reference>
          <reference field="5" count="1">
            <x v="278"/>
          </reference>
        </references>
      </pivotArea>
    </format>
    <format dxfId="3525">
      <pivotArea dataOnly="0" labelOnly="1" fieldPosition="0">
        <references count="5">
          <reference field="1" count="1" selected="0">
            <x v="162"/>
          </reference>
          <reference field="2" count="1" selected="0">
            <x v="29"/>
          </reference>
          <reference field="3" count="1" selected="0">
            <x v="37"/>
          </reference>
          <reference field="4" count="1" selected="0">
            <x v="253"/>
          </reference>
          <reference field="5" count="1">
            <x v="721"/>
          </reference>
        </references>
      </pivotArea>
    </format>
    <format dxfId="3524">
      <pivotArea dataOnly="0" labelOnly="1" fieldPosition="0">
        <references count="5">
          <reference field="1" count="1" selected="0">
            <x v="162"/>
          </reference>
          <reference field="2" count="1" selected="0">
            <x v="33"/>
          </reference>
          <reference field="3" count="1" selected="0">
            <x v="8"/>
          </reference>
          <reference field="4" count="1" selected="0">
            <x v="253"/>
          </reference>
          <reference field="5" count="1">
            <x v="1080"/>
          </reference>
        </references>
      </pivotArea>
    </format>
    <format dxfId="3523">
      <pivotArea dataOnly="0" labelOnly="1" fieldPosition="0">
        <references count="5">
          <reference field="1" count="1" selected="0">
            <x v="162"/>
          </reference>
          <reference field="2" count="1" selected="0">
            <x v="33"/>
          </reference>
          <reference field="3" count="1" selected="0">
            <x v="9"/>
          </reference>
          <reference field="4" count="1" selected="0">
            <x v="253"/>
          </reference>
          <reference field="5" count="1">
            <x v="500"/>
          </reference>
        </references>
      </pivotArea>
    </format>
    <format dxfId="3522">
      <pivotArea dataOnly="0" labelOnly="1" fieldPosition="0">
        <references count="5">
          <reference field="1" count="1" selected="0">
            <x v="162"/>
          </reference>
          <reference field="2" count="1" selected="0">
            <x v="35"/>
          </reference>
          <reference field="3" count="1" selected="0">
            <x v="1"/>
          </reference>
          <reference field="4" count="1" selected="0">
            <x v="253"/>
          </reference>
          <reference field="5" count="1">
            <x v="80"/>
          </reference>
        </references>
      </pivotArea>
    </format>
    <format dxfId="3521">
      <pivotArea dataOnly="0" labelOnly="1" fieldPosition="0">
        <references count="5">
          <reference field="1" count="1" selected="0">
            <x v="162"/>
          </reference>
          <reference field="2" count="1" selected="0">
            <x v="36"/>
          </reference>
          <reference field="3" count="1" selected="0">
            <x v="8"/>
          </reference>
          <reference field="4" count="1" selected="0">
            <x v="253"/>
          </reference>
          <reference field="5" count="1">
            <x v="459"/>
          </reference>
        </references>
      </pivotArea>
    </format>
    <format dxfId="3520">
      <pivotArea dataOnly="0" labelOnly="1" fieldPosition="0">
        <references count="5">
          <reference field="1" count="1" selected="0">
            <x v="163"/>
          </reference>
          <reference field="2" count="1" selected="0">
            <x v="0"/>
          </reference>
          <reference field="3" count="1" selected="0">
            <x v="8"/>
          </reference>
          <reference field="4" count="1" selected="0">
            <x v="254"/>
          </reference>
          <reference field="5" count="1">
            <x v="0"/>
          </reference>
        </references>
      </pivotArea>
    </format>
    <format dxfId="3519">
      <pivotArea dataOnly="0" labelOnly="1" fieldPosition="0">
        <references count="5">
          <reference field="1" count="1" selected="0">
            <x v="163"/>
          </reference>
          <reference field="2" count="1" selected="0">
            <x v="0"/>
          </reference>
          <reference field="3" count="1" selected="0">
            <x v="12"/>
          </reference>
          <reference field="4" count="1" selected="0">
            <x v="23"/>
          </reference>
          <reference field="5" count="1">
            <x v="24"/>
          </reference>
        </references>
      </pivotArea>
    </format>
    <format dxfId="3518">
      <pivotArea dataOnly="0" labelOnly="1" fieldPosition="0">
        <references count="5">
          <reference field="1" count="1" selected="0">
            <x v="163"/>
          </reference>
          <reference field="2" count="1" selected="0">
            <x v="0"/>
          </reference>
          <reference field="3" count="1" selected="0">
            <x v="12"/>
          </reference>
          <reference field="4" count="1" selected="0">
            <x v="47"/>
          </reference>
          <reference field="5" count="1">
            <x v="654"/>
          </reference>
        </references>
      </pivotArea>
    </format>
    <format dxfId="3517">
      <pivotArea dataOnly="0" labelOnly="1" fieldPosition="0">
        <references count="5">
          <reference field="1" count="1" selected="0">
            <x v="163"/>
          </reference>
          <reference field="2" count="1" selected="0">
            <x v="0"/>
          </reference>
          <reference field="3" count="1" selected="0">
            <x v="12"/>
          </reference>
          <reference field="4" count="1" selected="0">
            <x v="58"/>
          </reference>
          <reference field="5" count="1">
            <x v="6"/>
          </reference>
        </references>
      </pivotArea>
    </format>
    <format dxfId="3516">
      <pivotArea dataOnly="0" labelOnly="1" fieldPosition="0">
        <references count="5">
          <reference field="1" count="1" selected="0">
            <x v="163"/>
          </reference>
          <reference field="2" count="1" selected="0">
            <x v="0"/>
          </reference>
          <reference field="3" count="1" selected="0">
            <x v="12"/>
          </reference>
          <reference field="4" count="1" selected="0">
            <x v="59"/>
          </reference>
          <reference field="5" count="1">
            <x v="77"/>
          </reference>
        </references>
      </pivotArea>
    </format>
    <format dxfId="3515">
      <pivotArea dataOnly="0" labelOnly="1" fieldPosition="0">
        <references count="5">
          <reference field="1" count="1" selected="0">
            <x v="163"/>
          </reference>
          <reference field="2" count="1" selected="0">
            <x v="6"/>
          </reference>
          <reference field="3" count="1" selected="0">
            <x v="38"/>
          </reference>
          <reference field="4" count="1" selected="0">
            <x v="254"/>
          </reference>
          <reference field="5" count="1">
            <x v="971"/>
          </reference>
        </references>
      </pivotArea>
    </format>
    <format dxfId="3514">
      <pivotArea dataOnly="0" labelOnly="1" fieldPosition="0">
        <references count="5">
          <reference field="1" count="1" selected="0">
            <x v="163"/>
          </reference>
          <reference field="2" count="1" selected="0">
            <x v="12"/>
          </reference>
          <reference field="3" count="1" selected="0">
            <x v="1"/>
          </reference>
          <reference field="4" count="1" selected="0">
            <x v="254"/>
          </reference>
          <reference field="5" count="2">
            <x v="80"/>
            <x v="352"/>
          </reference>
        </references>
      </pivotArea>
    </format>
    <format dxfId="3513">
      <pivotArea dataOnly="0" labelOnly="1" fieldPosition="0">
        <references count="5">
          <reference field="1" count="1" selected="0">
            <x v="163"/>
          </reference>
          <reference field="2" count="1" selected="0">
            <x v="19"/>
          </reference>
          <reference field="3" count="1" selected="0">
            <x v="37"/>
          </reference>
          <reference field="4" count="1" selected="0">
            <x v="254"/>
          </reference>
          <reference field="5" count="1">
            <x v="1464"/>
          </reference>
        </references>
      </pivotArea>
    </format>
    <format dxfId="3512">
      <pivotArea dataOnly="0" labelOnly="1" fieldPosition="0">
        <references count="5">
          <reference field="1" count="1" selected="0">
            <x v="163"/>
          </reference>
          <reference field="2" count="1" selected="0">
            <x v="33"/>
          </reference>
          <reference field="3" count="1" selected="0">
            <x v="38"/>
          </reference>
          <reference field="4" count="1" selected="0">
            <x v="254"/>
          </reference>
          <reference field="5" count="1">
            <x v="114"/>
          </reference>
        </references>
      </pivotArea>
    </format>
    <format dxfId="3511">
      <pivotArea dataOnly="0" labelOnly="1" fieldPosition="0">
        <references count="5">
          <reference field="1" count="1" selected="0">
            <x v="164"/>
          </reference>
          <reference field="2" count="1" selected="0">
            <x v="0"/>
          </reference>
          <reference field="3" count="1" selected="0">
            <x v="12"/>
          </reference>
          <reference field="4" count="1" selected="0">
            <x v="13"/>
          </reference>
          <reference field="5" count="1">
            <x v="140"/>
          </reference>
        </references>
      </pivotArea>
    </format>
    <format dxfId="3510">
      <pivotArea dataOnly="0" labelOnly="1" fieldPosition="0">
        <references count="5">
          <reference field="1" count="1" selected="0">
            <x v="164"/>
          </reference>
          <reference field="2" count="1" selected="0">
            <x v="0"/>
          </reference>
          <reference field="3" count="1" selected="0">
            <x v="12"/>
          </reference>
          <reference field="4" count="1" selected="0">
            <x v="18"/>
          </reference>
          <reference field="5" count="1">
            <x v="92"/>
          </reference>
        </references>
      </pivotArea>
    </format>
    <format dxfId="3509">
      <pivotArea dataOnly="0" labelOnly="1" fieldPosition="0">
        <references count="5">
          <reference field="1" count="1" selected="0">
            <x v="164"/>
          </reference>
          <reference field="2" count="1" selected="0">
            <x v="0"/>
          </reference>
          <reference field="3" count="1" selected="0">
            <x v="12"/>
          </reference>
          <reference field="4" count="1" selected="0">
            <x v="21"/>
          </reference>
          <reference field="5" count="1">
            <x v="310"/>
          </reference>
        </references>
      </pivotArea>
    </format>
    <format dxfId="3508">
      <pivotArea dataOnly="0" labelOnly="1" fieldPosition="0">
        <references count="5">
          <reference field="1" count="1" selected="0">
            <x v="164"/>
          </reference>
          <reference field="2" count="1" selected="0">
            <x v="0"/>
          </reference>
          <reference field="3" count="1" selected="0">
            <x v="12"/>
          </reference>
          <reference field="4" count="1" selected="0">
            <x v="40"/>
          </reference>
          <reference field="5" count="1">
            <x v="219"/>
          </reference>
        </references>
      </pivotArea>
    </format>
    <format dxfId="3507">
      <pivotArea dataOnly="0" labelOnly="1" fieldPosition="0">
        <references count="5">
          <reference field="1" count="1" selected="0">
            <x v="164"/>
          </reference>
          <reference field="2" count="1" selected="0">
            <x v="0"/>
          </reference>
          <reference field="3" count="1" selected="0">
            <x v="12"/>
          </reference>
          <reference field="4" count="1" selected="0">
            <x v="52"/>
          </reference>
          <reference field="5" count="1">
            <x v="9"/>
          </reference>
        </references>
      </pivotArea>
    </format>
    <format dxfId="3506">
      <pivotArea dataOnly="0" labelOnly="1" fieldPosition="0">
        <references count="5">
          <reference field="1" count="1" selected="0">
            <x v="164"/>
          </reference>
          <reference field="2" count="1" selected="0">
            <x v="0"/>
          </reference>
          <reference field="3" count="1" selected="0">
            <x v="12"/>
          </reference>
          <reference field="4" count="1" selected="0">
            <x v="55"/>
          </reference>
          <reference field="5" count="1">
            <x v="92"/>
          </reference>
        </references>
      </pivotArea>
    </format>
    <format dxfId="3505">
      <pivotArea dataOnly="0" labelOnly="1" fieldPosition="0">
        <references count="5">
          <reference field="1" count="1" selected="0">
            <x v="164"/>
          </reference>
          <reference field="2" count="1" selected="0">
            <x v="0"/>
          </reference>
          <reference field="3" count="1" selected="0">
            <x v="12"/>
          </reference>
          <reference field="4" count="1" selected="0">
            <x v="68"/>
          </reference>
          <reference field="5" count="1">
            <x v="134"/>
          </reference>
        </references>
      </pivotArea>
    </format>
    <format dxfId="3504">
      <pivotArea dataOnly="0" labelOnly="1" fieldPosition="0">
        <references count="5">
          <reference field="1" count="1" selected="0">
            <x v="164"/>
          </reference>
          <reference field="2" count="1" selected="0">
            <x v="0"/>
          </reference>
          <reference field="3" count="1" selected="0">
            <x v="12"/>
          </reference>
          <reference field="4" count="1" selected="0">
            <x v="71"/>
          </reference>
          <reference field="5" count="1">
            <x v="11"/>
          </reference>
        </references>
      </pivotArea>
    </format>
    <format dxfId="3503">
      <pivotArea dataOnly="0" labelOnly="1" fieldPosition="0">
        <references count="5">
          <reference field="1" count="1" selected="0">
            <x v="164"/>
          </reference>
          <reference field="2" count="1" selected="0">
            <x v="0"/>
          </reference>
          <reference field="3" count="1" selected="0">
            <x v="23"/>
          </reference>
          <reference field="4" count="1" selected="0">
            <x v="255"/>
          </reference>
          <reference field="5" count="6">
            <x v="705"/>
            <x v="735"/>
            <x v="752"/>
            <x v="842"/>
            <x v="884"/>
            <x v="922"/>
          </reference>
        </references>
      </pivotArea>
    </format>
    <format dxfId="3502">
      <pivotArea dataOnly="0" labelOnly="1" fieldPosition="0">
        <references count="5">
          <reference field="1" count="1" selected="0">
            <x v="164"/>
          </reference>
          <reference field="2" count="1" selected="0">
            <x v="0"/>
          </reference>
          <reference field="3" count="1" selected="0">
            <x v="38"/>
          </reference>
          <reference field="4" count="1" selected="0">
            <x v="256"/>
          </reference>
          <reference field="5" count="1">
            <x v="262"/>
          </reference>
        </references>
      </pivotArea>
    </format>
    <format dxfId="3501">
      <pivotArea dataOnly="0" labelOnly="1" fieldPosition="0">
        <references count="5">
          <reference field="1" count="1" selected="0">
            <x v="164"/>
          </reference>
          <reference field="2" count="1" selected="0">
            <x v="2"/>
          </reference>
          <reference field="3" count="1" selected="0">
            <x v="23"/>
          </reference>
          <reference field="4" count="1" selected="0">
            <x v="255"/>
          </reference>
          <reference field="5" count="1">
            <x v="1836"/>
          </reference>
        </references>
      </pivotArea>
    </format>
    <format dxfId="3500">
      <pivotArea dataOnly="0" labelOnly="1" fieldPosition="0">
        <references count="5">
          <reference field="1" count="1" selected="0">
            <x v="164"/>
          </reference>
          <reference field="2" count="1" selected="0">
            <x v="3"/>
          </reference>
          <reference field="3" count="1" selected="0">
            <x v="6"/>
          </reference>
          <reference field="4" count="1" selected="0">
            <x v="256"/>
          </reference>
          <reference field="5" count="1">
            <x v="387"/>
          </reference>
        </references>
      </pivotArea>
    </format>
    <format dxfId="3499">
      <pivotArea dataOnly="0" labelOnly="1" fieldPosition="0">
        <references count="5">
          <reference field="1" count="1" selected="0">
            <x v="164"/>
          </reference>
          <reference field="2" count="1" selected="0">
            <x v="3"/>
          </reference>
          <reference field="3" count="1" selected="0">
            <x v="23"/>
          </reference>
          <reference field="4" count="1" selected="0">
            <x v="255"/>
          </reference>
          <reference field="5" count="1">
            <x v="731"/>
          </reference>
        </references>
      </pivotArea>
    </format>
    <format dxfId="3498">
      <pivotArea dataOnly="0" labelOnly="1" fieldPosition="0">
        <references count="5">
          <reference field="1" count="1" selected="0">
            <x v="164"/>
          </reference>
          <reference field="2" count="1" selected="0">
            <x v="3"/>
          </reference>
          <reference field="3" count="1" selected="0">
            <x v="38"/>
          </reference>
          <reference field="4" count="1" selected="0">
            <x v="256"/>
          </reference>
          <reference field="5" count="1">
            <x v="176"/>
          </reference>
        </references>
      </pivotArea>
    </format>
    <format dxfId="3497">
      <pivotArea dataOnly="0" labelOnly="1" fieldPosition="0">
        <references count="5">
          <reference field="1" count="1" selected="0">
            <x v="164"/>
          </reference>
          <reference field="2" count="1" selected="0">
            <x v="12"/>
          </reference>
          <reference field="3" count="1" selected="0">
            <x v="1"/>
          </reference>
          <reference field="4" count="1" selected="0">
            <x v="256"/>
          </reference>
          <reference field="5" count="1">
            <x v="80"/>
          </reference>
        </references>
      </pivotArea>
    </format>
    <format dxfId="3496">
      <pivotArea dataOnly="0" labelOnly="1" fieldPosition="0">
        <references count="5">
          <reference field="1" count="1" selected="0">
            <x v="164"/>
          </reference>
          <reference field="2" count="1" selected="0">
            <x v="12"/>
          </reference>
          <reference field="3" count="1" selected="0">
            <x v="23"/>
          </reference>
          <reference field="4" count="1" selected="0">
            <x v="255"/>
          </reference>
          <reference field="5" count="30">
            <x v="171"/>
            <x v="188"/>
            <x v="189"/>
            <x v="225"/>
            <x v="339"/>
            <x v="392"/>
            <x v="607"/>
            <x v="638"/>
            <x v="995"/>
            <x v="1015"/>
            <x v="1331"/>
            <x v="1428"/>
            <x v="1437"/>
            <x v="1439"/>
            <x v="1447"/>
            <x v="1458"/>
            <x v="1478"/>
            <x v="1586"/>
            <x v="1602"/>
            <x v="1605"/>
            <x v="1632"/>
            <x v="1638"/>
            <x v="1646"/>
            <x v="1679"/>
            <x v="1692"/>
            <x v="1716"/>
            <x v="1762"/>
            <x v="1767"/>
            <x v="1774"/>
            <x v="1809"/>
          </reference>
        </references>
      </pivotArea>
    </format>
    <format dxfId="3495">
      <pivotArea dataOnly="0" labelOnly="1" fieldPosition="0">
        <references count="5">
          <reference field="1" count="1" selected="0">
            <x v="164"/>
          </reference>
          <reference field="2" count="1" selected="0">
            <x v="12"/>
          </reference>
          <reference field="3" count="1" selected="0">
            <x v="38"/>
          </reference>
          <reference field="4" count="1" selected="0">
            <x v="256"/>
          </reference>
          <reference field="5" count="1">
            <x v="6"/>
          </reference>
        </references>
      </pivotArea>
    </format>
    <format dxfId="3494">
      <pivotArea dataOnly="0" labelOnly="1" fieldPosition="0">
        <references count="5">
          <reference field="1" count="1" selected="0">
            <x v="164"/>
          </reference>
          <reference field="2" count="1" selected="0">
            <x v="14"/>
          </reference>
          <reference field="3" count="1" selected="0">
            <x v="1"/>
          </reference>
          <reference field="4" count="1" selected="0">
            <x v="256"/>
          </reference>
          <reference field="5" count="1">
            <x v="602"/>
          </reference>
        </references>
      </pivotArea>
    </format>
    <format dxfId="3493">
      <pivotArea dataOnly="0" labelOnly="1" fieldPosition="0">
        <references count="5">
          <reference field="1" count="1" selected="0">
            <x v="164"/>
          </reference>
          <reference field="2" count="1" selected="0">
            <x v="14"/>
          </reference>
          <reference field="3" count="1" selected="0">
            <x v="23"/>
          </reference>
          <reference field="4" count="1" selected="0">
            <x v="255"/>
          </reference>
          <reference field="5" count="1">
            <x v="294"/>
          </reference>
        </references>
      </pivotArea>
    </format>
    <format dxfId="3492">
      <pivotArea dataOnly="0" labelOnly="1" fieldPosition="0">
        <references count="5">
          <reference field="1" count="1" selected="0">
            <x v="164"/>
          </reference>
          <reference field="2" count="1" selected="0">
            <x v="15"/>
          </reference>
          <reference field="3" count="1" selected="0">
            <x v="23"/>
          </reference>
          <reference field="4" count="1" selected="0">
            <x v="255"/>
          </reference>
          <reference field="5" count="1">
            <x v="1843"/>
          </reference>
        </references>
      </pivotArea>
    </format>
    <format dxfId="3491">
      <pivotArea dataOnly="0" labelOnly="1" fieldPosition="0">
        <references count="5">
          <reference field="1" count="1" selected="0">
            <x v="164"/>
          </reference>
          <reference field="2" count="1" selected="0">
            <x v="15"/>
          </reference>
          <reference field="3" count="1" selected="0">
            <x v="38"/>
          </reference>
          <reference field="4" count="1" selected="0">
            <x v="256"/>
          </reference>
          <reference field="5" count="1">
            <x v="1619"/>
          </reference>
        </references>
      </pivotArea>
    </format>
    <format dxfId="3490">
      <pivotArea dataOnly="0" labelOnly="1" fieldPosition="0">
        <references count="5">
          <reference field="1" count="1" selected="0">
            <x v="164"/>
          </reference>
          <reference field="2" count="1" selected="0">
            <x v="23"/>
          </reference>
          <reference field="3" count="1" selected="0">
            <x v="23"/>
          </reference>
          <reference field="4" count="1" selected="0">
            <x v="255"/>
          </reference>
          <reference field="5" count="1">
            <x v="1811"/>
          </reference>
        </references>
      </pivotArea>
    </format>
    <format dxfId="3489">
      <pivotArea dataOnly="0" labelOnly="1" fieldPosition="0">
        <references count="5">
          <reference field="1" count="1" selected="0">
            <x v="164"/>
          </reference>
          <reference field="2" count="1" selected="0">
            <x v="23"/>
          </reference>
          <reference field="3" count="1" selected="0">
            <x v="38"/>
          </reference>
          <reference field="4" count="1" selected="0">
            <x v="256"/>
          </reference>
          <reference field="5" count="1">
            <x v="165"/>
          </reference>
        </references>
      </pivotArea>
    </format>
    <format dxfId="3488">
      <pivotArea dataOnly="0" labelOnly="1" fieldPosition="0">
        <references count="5">
          <reference field="1" count="1" selected="0">
            <x v="164"/>
          </reference>
          <reference field="2" count="1" selected="0">
            <x v="24"/>
          </reference>
          <reference field="3" count="1" selected="0">
            <x v="23"/>
          </reference>
          <reference field="4" count="1" selected="0">
            <x v="255"/>
          </reference>
          <reference field="5" count="1">
            <x v="1432"/>
          </reference>
        </references>
      </pivotArea>
    </format>
    <format dxfId="3487">
      <pivotArea dataOnly="0" labelOnly="1" fieldPosition="0">
        <references count="5">
          <reference field="1" count="1" selected="0">
            <x v="164"/>
          </reference>
          <reference field="2" count="1" selected="0">
            <x v="33"/>
          </reference>
          <reference field="3" count="1" selected="0">
            <x v="38"/>
          </reference>
          <reference field="4" count="1" selected="0">
            <x v="256"/>
          </reference>
          <reference field="5" count="1">
            <x v="541"/>
          </reference>
        </references>
      </pivotArea>
    </format>
    <format dxfId="3486">
      <pivotArea dataOnly="0" labelOnly="1" fieldPosition="0">
        <references count="5">
          <reference field="1" count="1" selected="0">
            <x v="164"/>
          </reference>
          <reference field="2" count="1" selected="0">
            <x v="35"/>
          </reference>
          <reference field="3" count="1" selected="0">
            <x v="23"/>
          </reference>
          <reference field="4" count="1" selected="0">
            <x v="255"/>
          </reference>
          <reference field="5" count="21">
            <x v="47"/>
            <x v="183"/>
            <x v="268"/>
            <x v="283"/>
            <x v="336"/>
            <x v="343"/>
            <x v="384"/>
            <x v="419"/>
            <x v="656"/>
            <x v="677"/>
            <x v="709"/>
            <x v="816"/>
            <x v="843"/>
            <x v="859"/>
            <x v="969"/>
            <x v="1016"/>
            <x v="1129"/>
            <x v="1209"/>
            <x v="1217"/>
            <x v="1257"/>
            <x v="1590"/>
          </reference>
        </references>
      </pivotArea>
    </format>
    <format dxfId="3485">
      <pivotArea dataOnly="0" labelOnly="1" fieldPosition="0">
        <references count="5">
          <reference field="1" count="1" selected="0">
            <x v="165"/>
          </reference>
          <reference field="2" count="1" selected="0">
            <x v="0"/>
          </reference>
          <reference field="3" count="1" selected="0">
            <x v="1"/>
          </reference>
          <reference field="4" count="1" selected="0">
            <x v="257"/>
          </reference>
          <reference field="5" count="1">
            <x v="213"/>
          </reference>
        </references>
      </pivotArea>
    </format>
    <format dxfId="3484">
      <pivotArea dataOnly="0" labelOnly="1" fieldPosition="0">
        <references count="5">
          <reference field="1" count="1" selected="0">
            <x v="165"/>
          </reference>
          <reference field="2" count="1" selected="0">
            <x v="0"/>
          </reference>
          <reference field="3" count="1" selected="0">
            <x v="8"/>
          </reference>
          <reference field="4" count="1" selected="0">
            <x v="257"/>
          </reference>
          <reference field="5" count="6">
            <x v="320"/>
            <x v="397"/>
            <x v="408"/>
            <x v="550"/>
            <x v="605"/>
            <x v="1158"/>
          </reference>
        </references>
      </pivotArea>
    </format>
    <format dxfId="3483">
      <pivotArea dataOnly="0" labelOnly="1" fieldPosition="0">
        <references count="5">
          <reference field="1" count="1" selected="0">
            <x v="165"/>
          </reference>
          <reference field="2" count="1" selected="0">
            <x v="0"/>
          </reference>
          <reference field="3" count="1" selected="0">
            <x v="9"/>
          </reference>
          <reference field="4" count="1" selected="0">
            <x v="257"/>
          </reference>
          <reference field="5" count="8">
            <x v="248"/>
            <x v="469"/>
            <x v="866"/>
            <x v="891"/>
            <x v="945"/>
            <x v="1036"/>
            <x v="1126"/>
            <x v="1234"/>
          </reference>
        </references>
      </pivotArea>
    </format>
    <format dxfId="3482">
      <pivotArea dataOnly="0" labelOnly="1" fieldPosition="0">
        <references count="5">
          <reference field="1" count="1" selected="0">
            <x v="165"/>
          </reference>
          <reference field="2" count="1" selected="0">
            <x v="0"/>
          </reference>
          <reference field="3" count="1" selected="0">
            <x v="12"/>
          </reference>
          <reference field="4" count="1" selected="0">
            <x v="9"/>
          </reference>
          <reference field="5" count="1">
            <x v="82"/>
          </reference>
        </references>
      </pivotArea>
    </format>
    <format dxfId="3481">
      <pivotArea dataOnly="0" labelOnly="1" fieldPosition="0">
        <references count="5">
          <reference field="1" count="1" selected="0">
            <x v="165"/>
          </reference>
          <reference field="2" count="1" selected="0">
            <x v="0"/>
          </reference>
          <reference field="3" count="1" selected="0">
            <x v="12"/>
          </reference>
          <reference field="4" count="1" selected="0">
            <x v="11"/>
          </reference>
          <reference field="5" count="1">
            <x v="138"/>
          </reference>
        </references>
      </pivotArea>
    </format>
    <format dxfId="3480">
      <pivotArea dataOnly="0" labelOnly="1" fieldPosition="0">
        <references count="5">
          <reference field="1" count="1" selected="0">
            <x v="165"/>
          </reference>
          <reference field="2" count="1" selected="0">
            <x v="0"/>
          </reference>
          <reference field="3" count="1" selected="0">
            <x v="12"/>
          </reference>
          <reference field="4" count="1" selected="0">
            <x v="19"/>
          </reference>
          <reference field="5" count="1">
            <x v="188"/>
          </reference>
        </references>
      </pivotArea>
    </format>
    <format dxfId="3479">
      <pivotArea dataOnly="0" labelOnly="1" fieldPosition="0">
        <references count="5">
          <reference field="1" count="1" selected="0">
            <x v="165"/>
          </reference>
          <reference field="2" count="1" selected="0">
            <x v="0"/>
          </reference>
          <reference field="3" count="1" selected="0">
            <x v="12"/>
          </reference>
          <reference field="4" count="1" selected="0">
            <x v="42"/>
          </reference>
          <reference field="5" count="1">
            <x v="69"/>
          </reference>
        </references>
      </pivotArea>
    </format>
    <format dxfId="3478">
      <pivotArea dataOnly="0" labelOnly="1" fieldPosition="0">
        <references count="5">
          <reference field="1" count="1" selected="0">
            <x v="165"/>
          </reference>
          <reference field="2" count="1" selected="0">
            <x v="0"/>
          </reference>
          <reference field="3" count="1" selected="0">
            <x v="38"/>
          </reference>
          <reference field="4" count="1" selected="0">
            <x v="257"/>
          </reference>
          <reference field="5" count="4">
            <x v="6"/>
            <x v="138"/>
            <x v="676"/>
            <x v="1830"/>
          </reference>
        </references>
      </pivotArea>
    </format>
    <format dxfId="3477">
      <pivotArea dataOnly="0" labelOnly="1" fieldPosition="0">
        <references count="5">
          <reference field="1" count="1" selected="0">
            <x v="165"/>
          </reference>
          <reference field="2" count="1" selected="0">
            <x v="2"/>
          </reference>
          <reference field="3" count="1" selected="0">
            <x v="6"/>
          </reference>
          <reference field="4" count="1" selected="0">
            <x v="257"/>
          </reference>
          <reference field="5" count="1">
            <x v="661"/>
          </reference>
        </references>
      </pivotArea>
    </format>
    <format dxfId="3476">
      <pivotArea dataOnly="0" labelOnly="1" fieldPosition="0">
        <references count="5">
          <reference field="1" count="1" selected="0">
            <x v="165"/>
          </reference>
          <reference field="2" count="1" selected="0">
            <x v="6"/>
          </reference>
          <reference field="3" count="1" selected="0">
            <x v="38"/>
          </reference>
          <reference field="4" count="1" selected="0">
            <x v="257"/>
          </reference>
          <reference field="5" count="1">
            <x v="763"/>
          </reference>
        </references>
      </pivotArea>
    </format>
    <format dxfId="3475">
      <pivotArea dataOnly="0" labelOnly="1" fieldPosition="0">
        <references count="5">
          <reference field="1" count="1" selected="0">
            <x v="165"/>
          </reference>
          <reference field="2" count="1" selected="0">
            <x v="12"/>
          </reference>
          <reference field="3" count="1" selected="0">
            <x v="1"/>
          </reference>
          <reference field="4" count="1" selected="0">
            <x v="257"/>
          </reference>
          <reference field="5" count="3">
            <x v="80"/>
            <x v="213"/>
            <x v="500"/>
          </reference>
        </references>
      </pivotArea>
    </format>
    <format dxfId="3474">
      <pivotArea dataOnly="0" labelOnly="1" fieldPosition="0">
        <references count="5">
          <reference field="1" count="1" selected="0">
            <x v="165"/>
          </reference>
          <reference field="2" count="1" selected="0">
            <x v="12"/>
          </reference>
          <reference field="3" count="1" selected="0">
            <x v="38"/>
          </reference>
          <reference field="4" count="1" selected="0">
            <x v="257"/>
          </reference>
          <reference field="5" count="2">
            <x v="6"/>
            <x v="49"/>
          </reference>
        </references>
      </pivotArea>
    </format>
    <format dxfId="3473">
      <pivotArea dataOnly="0" labelOnly="1" fieldPosition="0">
        <references count="5">
          <reference field="1" count="1" selected="0">
            <x v="165"/>
          </reference>
          <reference field="2" count="1" selected="0">
            <x v="14"/>
          </reference>
          <reference field="3" count="1" selected="0">
            <x v="38"/>
          </reference>
          <reference field="4" count="1" selected="0">
            <x v="257"/>
          </reference>
          <reference field="5" count="1">
            <x v="937"/>
          </reference>
        </references>
      </pivotArea>
    </format>
    <format dxfId="3472">
      <pivotArea dataOnly="0" labelOnly="1" fieldPosition="0">
        <references count="5">
          <reference field="1" count="1" selected="0">
            <x v="165"/>
          </reference>
          <reference field="2" count="1" selected="0">
            <x v="15"/>
          </reference>
          <reference field="3" count="1" selected="0">
            <x v="6"/>
          </reference>
          <reference field="4" count="1" selected="0">
            <x v="257"/>
          </reference>
          <reference field="5" count="1">
            <x v="410"/>
          </reference>
        </references>
      </pivotArea>
    </format>
    <format dxfId="3471">
      <pivotArea dataOnly="0" labelOnly="1" fieldPosition="0">
        <references count="5">
          <reference field="1" count="1" selected="0">
            <x v="165"/>
          </reference>
          <reference field="2" count="1" selected="0">
            <x v="15"/>
          </reference>
          <reference field="3" count="1" selected="0">
            <x v="9"/>
          </reference>
          <reference field="4" count="1" selected="0">
            <x v="257"/>
          </reference>
          <reference field="5" count="1">
            <x v="1044"/>
          </reference>
        </references>
      </pivotArea>
    </format>
    <format dxfId="3470">
      <pivotArea dataOnly="0" labelOnly="1" fieldPosition="0">
        <references count="5">
          <reference field="1" count="1" selected="0">
            <x v="165"/>
          </reference>
          <reference field="2" count="1" selected="0">
            <x v="15"/>
          </reference>
          <reference field="3" count="1" selected="0">
            <x v="38"/>
          </reference>
          <reference field="4" count="1" selected="0">
            <x v="257"/>
          </reference>
          <reference field="5" count="1">
            <x v="1122"/>
          </reference>
        </references>
      </pivotArea>
    </format>
    <format dxfId="3469">
      <pivotArea dataOnly="0" labelOnly="1" fieldPosition="0">
        <references count="5">
          <reference field="1" count="1" selected="0">
            <x v="165"/>
          </reference>
          <reference field="2" count="1" selected="0">
            <x v="28"/>
          </reference>
          <reference field="3" count="1" selected="0">
            <x v="1"/>
          </reference>
          <reference field="4" count="1" selected="0">
            <x v="257"/>
          </reference>
          <reference field="5" count="1">
            <x v="250"/>
          </reference>
        </references>
      </pivotArea>
    </format>
    <format dxfId="3468">
      <pivotArea dataOnly="0" labelOnly="1" fieldPosition="0">
        <references count="5">
          <reference field="1" count="1" selected="0">
            <x v="165"/>
          </reference>
          <reference field="2" count="1" selected="0">
            <x v="35"/>
          </reference>
          <reference field="3" count="1" selected="0">
            <x v="1"/>
          </reference>
          <reference field="4" count="1" selected="0">
            <x v="257"/>
          </reference>
          <reference field="5" count="2">
            <x v="213"/>
            <x v="352"/>
          </reference>
        </references>
      </pivotArea>
    </format>
    <format dxfId="3467">
      <pivotArea dataOnly="0" labelOnly="1" fieldPosition="0">
        <references count="5">
          <reference field="1" count="1" selected="0">
            <x v="166"/>
          </reference>
          <reference field="2" count="1" selected="0">
            <x v="0"/>
          </reference>
          <reference field="3" count="1" selected="0">
            <x v="12"/>
          </reference>
          <reference field="4" count="1" selected="0">
            <x v="6"/>
          </reference>
          <reference field="5" count="1">
            <x v="90"/>
          </reference>
        </references>
      </pivotArea>
    </format>
    <format dxfId="3466">
      <pivotArea dataOnly="0" labelOnly="1" fieldPosition="0">
        <references count="5">
          <reference field="1" count="1" selected="0">
            <x v="166"/>
          </reference>
          <reference field="2" count="1" selected="0">
            <x v="0"/>
          </reference>
          <reference field="3" count="1" selected="0">
            <x v="12"/>
          </reference>
          <reference field="4" count="1" selected="0">
            <x v="56"/>
          </reference>
          <reference field="5" count="1">
            <x v="69"/>
          </reference>
        </references>
      </pivotArea>
    </format>
    <format dxfId="3465">
      <pivotArea dataOnly="0" labelOnly="1" fieldPosition="0">
        <references count="5">
          <reference field="1" count="1" selected="0">
            <x v="166"/>
          </reference>
          <reference field="2" count="1" selected="0">
            <x v="12"/>
          </reference>
          <reference field="3" count="1" selected="0">
            <x v="1"/>
          </reference>
          <reference field="4" count="1" selected="0">
            <x v="258"/>
          </reference>
          <reference field="5" count="3">
            <x v="80"/>
            <x v="213"/>
            <x v="352"/>
          </reference>
        </references>
      </pivotArea>
    </format>
    <format dxfId="3464">
      <pivotArea dataOnly="0" labelOnly="1" fieldPosition="0">
        <references count="5">
          <reference field="1" count="1" selected="0">
            <x v="166"/>
          </reference>
          <reference field="2" count="1" selected="0">
            <x v="35"/>
          </reference>
          <reference field="3" count="1" selected="0">
            <x v="1"/>
          </reference>
          <reference field="4" count="1" selected="0">
            <x v="258"/>
          </reference>
          <reference field="5" count="1">
            <x v="80"/>
          </reference>
        </references>
      </pivotArea>
    </format>
    <format dxfId="3463">
      <pivotArea dataOnly="0" labelOnly="1" fieldPosition="0">
        <references count="5">
          <reference field="1" count="1" selected="0">
            <x v="167"/>
          </reference>
          <reference field="2" count="1" selected="0">
            <x v="0"/>
          </reference>
          <reference field="3" count="1" selected="0">
            <x v="8"/>
          </reference>
          <reference field="4" count="1" selected="0">
            <x v="260"/>
          </reference>
          <reference field="5" count="1">
            <x v="1199"/>
          </reference>
        </references>
      </pivotArea>
    </format>
    <format dxfId="3462">
      <pivotArea dataOnly="0" labelOnly="1" fieldPosition="0">
        <references count="5">
          <reference field="1" count="1" selected="0">
            <x v="167"/>
          </reference>
          <reference field="2" count="1" selected="0">
            <x v="0"/>
          </reference>
          <reference field="3" count="1" selected="0">
            <x v="10"/>
          </reference>
          <reference field="4" count="1" selected="0">
            <x v="260"/>
          </reference>
          <reference field="5" count="1">
            <x v="0"/>
          </reference>
        </references>
      </pivotArea>
    </format>
    <format dxfId="3461">
      <pivotArea dataOnly="0" labelOnly="1" fieldPosition="0">
        <references count="5">
          <reference field="1" count="1" selected="0">
            <x v="167"/>
          </reference>
          <reference field="2" count="1" selected="0">
            <x v="0"/>
          </reference>
          <reference field="3" count="1" selected="0">
            <x v="12"/>
          </reference>
          <reference field="4" count="1" selected="0">
            <x v="6"/>
          </reference>
          <reference field="5" count="1">
            <x v="90"/>
          </reference>
        </references>
      </pivotArea>
    </format>
    <format dxfId="3460">
      <pivotArea dataOnly="0" labelOnly="1" fieldPosition="0">
        <references count="5">
          <reference field="1" count="1" selected="0">
            <x v="167"/>
          </reference>
          <reference field="2" count="1" selected="0">
            <x v="0"/>
          </reference>
          <reference field="3" count="1" selected="0">
            <x v="12"/>
          </reference>
          <reference field="4" count="1" selected="0">
            <x v="16"/>
          </reference>
          <reference field="5" count="1">
            <x v="138"/>
          </reference>
        </references>
      </pivotArea>
    </format>
    <format dxfId="3459">
      <pivotArea dataOnly="0" labelOnly="1" fieldPosition="0">
        <references count="5">
          <reference field="1" count="1" selected="0">
            <x v="167"/>
          </reference>
          <reference field="2" count="1" selected="0">
            <x v="0"/>
          </reference>
          <reference field="3" count="1" selected="0">
            <x v="12"/>
          </reference>
          <reference field="4" count="1" selected="0">
            <x v="27"/>
          </reference>
          <reference field="5" count="1">
            <x v="92"/>
          </reference>
        </references>
      </pivotArea>
    </format>
    <format dxfId="3458">
      <pivotArea dataOnly="0" labelOnly="1" fieldPosition="0">
        <references count="5">
          <reference field="1" count="1" selected="0">
            <x v="167"/>
          </reference>
          <reference field="2" count="1" selected="0">
            <x v="0"/>
          </reference>
          <reference field="3" count="1" selected="0">
            <x v="12"/>
          </reference>
          <reference field="4" count="1" selected="0">
            <x v="30"/>
          </reference>
          <reference field="5" count="1">
            <x v="6"/>
          </reference>
        </references>
      </pivotArea>
    </format>
    <format dxfId="3457">
      <pivotArea dataOnly="0" labelOnly="1" fieldPosition="0">
        <references count="5">
          <reference field="1" count="1" selected="0">
            <x v="167"/>
          </reference>
          <reference field="2" count="1" selected="0">
            <x v="0"/>
          </reference>
          <reference field="3" count="1" selected="0">
            <x v="12"/>
          </reference>
          <reference field="4" count="1" selected="0">
            <x v="39"/>
          </reference>
          <reference field="5" count="1">
            <x v="61"/>
          </reference>
        </references>
      </pivotArea>
    </format>
    <format dxfId="3456">
      <pivotArea dataOnly="0" labelOnly="1" fieldPosition="0">
        <references count="5">
          <reference field="1" count="1" selected="0">
            <x v="167"/>
          </reference>
          <reference field="2" count="1" selected="0">
            <x v="0"/>
          </reference>
          <reference field="3" count="1" selected="0">
            <x v="12"/>
          </reference>
          <reference field="4" count="1" selected="0">
            <x v="57"/>
          </reference>
          <reference field="5" count="1">
            <x v="69"/>
          </reference>
        </references>
      </pivotArea>
    </format>
    <format dxfId="3455">
      <pivotArea dataOnly="0" labelOnly="1" fieldPosition="0">
        <references count="5">
          <reference field="1" count="1" selected="0">
            <x v="167"/>
          </reference>
          <reference field="2" count="1" selected="0">
            <x v="5"/>
          </reference>
          <reference field="3" count="1" selected="0">
            <x v="37"/>
          </reference>
          <reference field="4" count="1" selected="0">
            <x v="260"/>
          </reference>
          <reference field="5" count="1">
            <x v="1270"/>
          </reference>
        </references>
      </pivotArea>
    </format>
    <format dxfId="3454">
      <pivotArea dataOnly="0" labelOnly="1" fieldPosition="0">
        <references count="5">
          <reference field="1" count="1" selected="0">
            <x v="167"/>
          </reference>
          <reference field="2" count="1" selected="0">
            <x v="5"/>
          </reference>
          <reference field="3" count="1" selected="0">
            <x v="38"/>
          </reference>
          <reference field="4" count="1" selected="0">
            <x v="260"/>
          </reference>
          <reference field="5" count="1">
            <x v="607"/>
          </reference>
        </references>
      </pivotArea>
    </format>
    <format dxfId="3453">
      <pivotArea dataOnly="0" labelOnly="1" fieldPosition="0">
        <references count="5">
          <reference field="1" count="1" selected="0">
            <x v="167"/>
          </reference>
          <reference field="2" count="1" selected="0">
            <x v="6"/>
          </reference>
          <reference field="3" count="1" selected="0">
            <x v="38"/>
          </reference>
          <reference field="4" count="1" selected="0">
            <x v="260"/>
          </reference>
          <reference field="5" count="1">
            <x v="551"/>
          </reference>
        </references>
      </pivotArea>
    </format>
    <format dxfId="3452">
      <pivotArea dataOnly="0" labelOnly="1" fieldPosition="0">
        <references count="5">
          <reference field="1" count="1" selected="0">
            <x v="167"/>
          </reference>
          <reference field="2" count="1" selected="0">
            <x v="12"/>
          </reference>
          <reference field="3" count="1" selected="0">
            <x v="1"/>
          </reference>
          <reference field="4" count="1" selected="0">
            <x v="260"/>
          </reference>
          <reference field="5" count="1">
            <x v="80"/>
          </reference>
        </references>
      </pivotArea>
    </format>
    <format dxfId="3451">
      <pivotArea dataOnly="0" labelOnly="1" fieldPosition="0">
        <references count="5">
          <reference field="1" count="1" selected="0">
            <x v="167"/>
          </reference>
          <reference field="2" count="1" selected="0">
            <x v="14"/>
          </reference>
          <reference field="3" count="1" selected="0">
            <x v="6"/>
          </reference>
          <reference field="4" count="1" selected="0">
            <x v="260"/>
          </reference>
          <reference field="5" count="1">
            <x v="1792"/>
          </reference>
        </references>
      </pivotArea>
    </format>
    <format dxfId="3450">
      <pivotArea dataOnly="0" labelOnly="1" fieldPosition="0">
        <references count="5">
          <reference field="1" count="1" selected="0">
            <x v="167"/>
          </reference>
          <reference field="2" count="1" selected="0">
            <x v="14"/>
          </reference>
          <reference field="3" count="1" selected="0">
            <x v="29"/>
          </reference>
          <reference field="4" count="1" selected="0">
            <x v="259"/>
          </reference>
          <reference field="5" count="1">
            <x v="1182"/>
          </reference>
        </references>
      </pivotArea>
    </format>
    <format dxfId="3449">
      <pivotArea dataOnly="0" labelOnly="1" fieldPosition="0">
        <references count="5">
          <reference field="1" count="1" selected="0">
            <x v="167"/>
          </reference>
          <reference field="2" count="1" selected="0">
            <x v="15"/>
          </reference>
          <reference field="3" count="1" selected="0">
            <x v="10"/>
          </reference>
          <reference field="4" count="1" selected="0">
            <x v="260"/>
          </reference>
          <reference field="5" count="1">
            <x v="0"/>
          </reference>
        </references>
      </pivotArea>
    </format>
    <format dxfId="3448">
      <pivotArea dataOnly="0" labelOnly="1" fieldPosition="0">
        <references count="5">
          <reference field="1" count="1" selected="0">
            <x v="167"/>
          </reference>
          <reference field="2" count="1" selected="0">
            <x v="33"/>
          </reference>
          <reference field="3" count="1" selected="0">
            <x v="37"/>
          </reference>
          <reference field="4" count="1" selected="0">
            <x v="260"/>
          </reference>
          <reference field="5" count="1">
            <x v="1208"/>
          </reference>
        </references>
      </pivotArea>
    </format>
    <format dxfId="3447">
      <pivotArea dataOnly="0" labelOnly="1" fieldPosition="0">
        <references count="5">
          <reference field="1" count="1" selected="0">
            <x v="167"/>
          </reference>
          <reference field="2" count="1" selected="0">
            <x v="35"/>
          </reference>
          <reference field="3" count="1" selected="0">
            <x v="1"/>
          </reference>
          <reference field="4" count="1" selected="0">
            <x v="260"/>
          </reference>
          <reference field="5" count="1">
            <x v="80"/>
          </reference>
        </references>
      </pivotArea>
    </format>
    <format dxfId="3446">
      <pivotArea dataOnly="0" labelOnly="1" fieldPosition="0">
        <references count="5">
          <reference field="1" count="1" selected="0">
            <x v="168"/>
          </reference>
          <reference field="2" count="1" selected="0">
            <x v="0"/>
          </reference>
          <reference field="3" count="1" selected="0">
            <x v="11"/>
          </reference>
          <reference field="4" count="1" selected="0">
            <x v="51"/>
          </reference>
          <reference field="5" count="1">
            <x v="633"/>
          </reference>
        </references>
      </pivotArea>
    </format>
    <format dxfId="3445">
      <pivotArea dataOnly="0" labelOnly="1" fieldPosition="0">
        <references count="5">
          <reference field="1" count="1" selected="0">
            <x v="168"/>
          </reference>
          <reference field="2" count="1" selected="0">
            <x v="0"/>
          </reference>
          <reference field="3" count="1" selected="0">
            <x v="12"/>
          </reference>
          <reference field="4" count="1" selected="0">
            <x v="12"/>
          </reference>
          <reference field="5" count="1">
            <x v="39"/>
          </reference>
        </references>
      </pivotArea>
    </format>
    <format dxfId="3444">
      <pivotArea dataOnly="0" labelOnly="1" fieldPosition="0">
        <references count="5">
          <reference field="1" count="1" selected="0">
            <x v="168"/>
          </reference>
          <reference field="2" count="1" selected="0">
            <x v="0"/>
          </reference>
          <reference field="3" count="1" selected="0">
            <x v="12"/>
          </reference>
          <reference field="4" count="1" selected="0">
            <x v="38"/>
          </reference>
          <reference field="5" count="1">
            <x v="114"/>
          </reference>
        </references>
      </pivotArea>
    </format>
    <format dxfId="3443">
      <pivotArea dataOnly="0" labelOnly="1" fieldPosition="0">
        <references count="5">
          <reference field="1" count="1" selected="0">
            <x v="168"/>
          </reference>
          <reference field="2" count="1" selected="0">
            <x v="0"/>
          </reference>
          <reference field="3" count="1" selected="0">
            <x v="12"/>
          </reference>
          <reference field="4" count="1" selected="0">
            <x v="55"/>
          </reference>
          <reference field="5" count="1">
            <x v="92"/>
          </reference>
        </references>
      </pivotArea>
    </format>
    <format dxfId="3442">
      <pivotArea dataOnly="0" labelOnly="1" fieldPosition="0">
        <references count="5">
          <reference field="1" count="1" selected="0">
            <x v="168"/>
          </reference>
          <reference field="2" count="1" selected="0">
            <x v="0"/>
          </reference>
          <reference field="3" count="1" selected="0">
            <x v="12"/>
          </reference>
          <reference field="4" count="1" selected="0">
            <x v="57"/>
          </reference>
          <reference field="5" count="1">
            <x v="192"/>
          </reference>
        </references>
      </pivotArea>
    </format>
    <format dxfId="3441">
      <pivotArea dataOnly="0" labelOnly="1" fieldPosition="0">
        <references count="5">
          <reference field="1" count="1" selected="0">
            <x v="168"/>
          </reference>
          <reference field="2" count="1" selected="0">
            <x v="0"/>
          </reference>
          <reference field="3" count="1" selected="0">
            <x v="38"/>
          </reference>
          <reference field="4" count="1" selected="0">
            <x v="262"/>
          </reference>
          <reference field="5" count="3">
            <x v="262"/>
            <x v="1137"/>
            <x v="1343"/>
          </reference>
        </references>
      </pivotArea>
    </format>
    <format dxfId="3440">
      <pivotArea dataOnly="0" labelOnly="1" fieldPosition="0">
        <references count="5">
          <reference field="1" count="1" selected="0">
            <x v="168"/>
          </reference>
          <reference field="2" count="1" selected="0">
            <x v="3"/>
          </reference>
          <reference field="3" count="1" selected="0">
            <x v="38"/>
          </reference>
          <reference field="4" count="1" selected="0">
            <x v="262"/>
          </reference>
          <reference field="5" count="1">
            <x v="1133"/>
          </reference>
        </references>
      </pivotArea>
    </format>
    <format dxfId="3439">
      <pivotArea dataOnly="0" labelOnly="1" fieldPosition="0">
        <references count="5">
          <reference field="1" count="1" selected="0">
            <x v="168"/>
          </reference>
          <reference field="2" count="1" selected="0">
            <x v="12"/>
          </reference>
          <reference field="3" count="1" selected="0">
            <x v="1"/>
          </reference>
          <reference field="4" count="1" selected="0">
            <x v="262"/>
          </reference>
          <reference field="5" count="5">
            <x v="80"/>
            <x v="213"/>
            <x v="352"/>
            <x v="500"/>
            <x v="607"/>
          </reference>
        </references>
      </pivotArea>
    </format>
    <format dxfId="3438">
      <pivotArea dataOnly="0" labelOnly="1" fieldPosition="0">
        <references count="5">
          <reference field="1" count="1" selected="0">
            <x v="168"/>
          </reference>
          <reference field="2" count="1" selected="0">
            <x v="12"/>
          </reference>
          <reference field="3" count="1" selected="0">
            <x v="38"/>
          </reference>
          <reference field="4" count="1" selected="0">
            <x v="262"/>
          </reference>
          <reference field="5" count="1">
            <x v="1697"/>
          </reference>
        </references>
      </pivotArea>
    </format>
    <format dxfId="3437">
      <pivotArea dataOnly="0" labelOnly="1" fieldPosition="0">
        <references count="5">
          <reference field="1" count="1" selected="0">
            <x v="168"/>
          </reference>
          <reference field="2" count="1" selected="0">
            <x v="14"/>
          </reference>
          <reference field="3" count="1" selected="0">
            <x v="6"/>
          </reference>
          <reference field="4" count="1" selected="0">
            <x v="262"/>
          </reference>
          <reference field="5" count="1">
            <x v="1792"/>
          </reference>
        </references>
      </pivotArea>
    </format>
    <format dxfId="3436">
      <pivotArea dataOnly="0" labelOnly="1" fieldPosition="0">
        <references count="5">
          <reference field="1" count="1" selected="0">
            <x v="168"/>
          </reference>
          <reference field="2" count="1" selected="0">
            <x v="14"/>
          </reference>
          <reference field="3" count="1" selected="0">
            <x v="9"/>
          </reference>
          <reference field="4" count="1" selected="0">
            <x v="262"/>
          </reference>
          <reference field="5" count="1">
            <x v="0"/>
          </reference>
        </references>
      </pivotArea>
    </format>
    <format dxfId="3435">
      <pivotArea dataOnly="0" labelOnly="1" fieldPosition="0">
        <references count="5">
          <reference field="1" count="1" selected="0">
            <x v="168"/>
          </reference>
          <reference field="2" count="1" selected="0">
            <x v="14"/>
          </reference>
          <reference field="3" count="1" selected="0">
            <x v="29"/>
          </reference>
          <reference field="4" count="1" selected="0">
            <x v="261"/>
          </reference>
          <reference field="5" count="1">
            <x v="1238"/>
          </reference>
        </references>
      </pivotArea>
    </format>
    <format dxfId="3434">
      <pivotArea dataOnly="0" labelOnly="1" fieldPosition="0">
        <references count="5">
          <reference field="1" count="1" selected="0">
            <x v="168"/>
          </reference>
          <reference field="2" count="1" selected="0">
            <x v="15"/>
          </reference>
          <reference field="3" count="1" selected="0">
            <x v="33"/>
          </reference>
          <reference field="4" count="1" selected="0">
            <x v="262"/>
          </reference>
          <reference field="5" count="1">
            <x v="981"/>
          </reference>
        </references>
      </pivotArea>
    </format>
    <format dxfId="3433">
      <pivotArea dataOnly="0" labelOnly="1" fieldPosition="0">
        <references count="5">
          <reference field="1" count="1" selected="0">
            <x v="168"/>
          </reference>
          <reference field="2" count="1" selected="0">
            <x v="15"/>
          </reference>
          <reference field="3" count="1" selected="0">
            <x v="38"/>
          </reference>
          <reference field="4" count="1" selected="0">
            <x v="262"/>
          </reference>
          <reference field="5" count="1">
            <x v="500"/>
          </reference>
        </references>
      </pivotArea>
    </format>
    <format dxfId="3432">
      <pivotArea dataOnly="0" labelOnly="1" fieldPosition="0">
        <references count="5">
          <reference field="1" count="1" selected="0">
            <x v="168"/>
          </reference>
          <reference field="2" count="1" selected="0">
            <x v="26"/>
          </reference>
          <reference field="3" count="1" selected="0">
            <x v="38"/>
          </reference>
          <reference field="4" count="1" selected="0">
            <x v="262"/>
          </reference>
          <reference field="5" count="1">
            <x v="719"/>
          </reference>
        </references>
      </pivotArea>
    </format>
    <format dxfId="3431">
      <pivotArea dataOnly="0" labelOnly="1" fieldPosition="0">
        <references count="5">
          <reference field="1" count="1" selected="0">
            <x v="169"/>
          </reference>
          <reference field="2" count="1" selected="0">
            <x v="0"/>
          </reference>
          <reference field="3" count="1" selected="0">
            <x v="12"/>
          </reference>
          <reference field="4" count="1" selected="0">
            <x v="6"/>
          </reference>
          <reference field="5" count="1">
            <x v="32"/>
          </reference>
        </references>
      </pivotArea>
    </format>
    <format dxfId="3430">
      <pivotArea dataOnly="0" labelOnly="1" fieldPosition="0">
        <references count="5">
          <reference field="1" count="1" selected="0">
            <x v="169"/>
          </reference>
          <reference field="2" count="1" selected="0">
            <x v="0"/>
          </reference>
          <reference field="3" count="1" selected="0">
            <x v="12"/>
          </reference>
          <reference field="4" count="1" selected="0">
            <x v="61"/>
          </reference>
          <reference field="5" count="1">
            <x v="315"/>
          </reference>
        </references>
      </pivotArea>
    </format>
    <format dxfId="3429">
      <pivotArea dataOnly="0" labelOnly="1" fieldPosition="0">
        <references count="5">
          <reference field="1" count="1" selected="0">
            <x v="169"/>
          </reference>
          <reference field="2" count="1" selected="0">
            <x v="0"/>
          </reference>
          <reference field="3" count="1" selected="0">
            <x v="12"/>
          </reference>
          <reference field="4" count="1" selected="0">
            <x v="62"/>
          </reference>
          <reference field="5" count="1">
            <x v="81"/>
          </reference>
        </references>
      </pivotArea>
    </format>
    <format dxfId="3428">
      <pivotArea dataOnly="0" labelOnly="1" fieldPosition="0">
        <references count="6">
          <reference field="1" count="1" selected="0">
            <x v="0"/>
          </reference>
          <reference field="2" count="1" selected="0">
            <x v="0"/>
          </reference>
          <reference field="3" count="1" selected="0">
            <x v="1"/>
          </reference>
          <reference field="4" count="1" selected="0">
            <x v="77"/>
          </reference>
          <reference field="5" count="1" selected="0">
            <x v="213"/>
          </reference>
          <reference field="6" count="1">
            <x v="47"/>
          </reference>
        </references>
      </pivotArea>
    </format>
    <format dxfId="3427">
      <pivotArea dataOnly="0" labelOnly="1" fieldPosition="0">
        <references count="6">
          <reference field="1" count="1" selected="0">
            <x v="0"/>
          </reference>
          <reference field="2" count="1" selected="0">
            <x v="0"/>
          </reference>
          <reference field="3" count="1" selected="0">
            <x v="8"/>
          </reference>
          <reference field="4" count="1" selected="0">
            <x v="77"/>
          </reference>
          <reference field="5" count="1" selected="0">
            <x v="964"/>
          </reference>
          <reference field="6" count="1">
            <x v="47"/>
          </reference>
        </references>
      </pivotArea>
    </format>
    <format dxfId="3426">
      <pivotArea dataOnly="0" labelOnly="1" fieldPosition="0">
        <references count="6">
          <reference field="1" count="1" selected="0">
            <x v="0"/>
          </reference>
          <reference field="2" count="1" selected="0">
            <x v="0"/>
          </reference>
          <reference field="3" count="1" selected="0">
            <x v="12"/>
          </reference>
          <reference field="4" count="1" selected="0">
            <x v="21"/>
          </reference>
          <reference field="5" count="1" selected="0">
            <x v="24"/>
          </reference>
          <reference field="6" count="1">
            <x v="47"/>
          </reference>
        </references>
      </pivotArea>
    </format>
    <format dxfId="3425">
      <pivotArea dataOnly="0" labelOnly="1" fieldPosition="0">
        <references count="6">
          <reference field="1" count="1" selected="0">
            <x v="0"/>
          </reference>
          <reference field="2" count="1" selected="0">
            <x v="0"/>
          </reference>
          <reference field="3" count="1" selected="0">
            <x v="37"/>
          </reference>
          <reference field="4" count="1" selected="0">
            <x v="77"/>
          </reference>
          <reference field="5" count="1" selected="0">
            <x v="1421"/>
          </reference>
          <reference field="6" count="1">
            <x v="47"/>
          </reference>
        </references>
      </pivotArea>
    </format>
    <format dxfId="3424">
      <pivotArea dataOnly="0" labelOnly="1" fieldPosition="0">
        <references count="6">
          <reference field="1" count="1" selected="0">
            <x v="0"/>
          </reference>
          <reference field="2" count="1" selected="0">
            <x v="10"/>
          </reference>
          <reference field="3" count="1" selected="0">
            <x v="37"/>
          </reference>
          <reference field="4" count="1" selected="0">
            <x v="77"/>
          </reference>
          <reference field="5" count="1" selected="0">
            <x v="1361"/>
          </reference>
          <reference field="6" count="1">
            <x v="47"/>
          </reference>
        </references>
      </pivotArea>
    </format>
    <format dxfId="3423">
      <pivotArea dataOnly="0" labelOnly="1" fieldPosition="0">
        <references count="6">
          <reference field="1" count="1" selected="0">
            <x v="0"/>
          </reference>
          <reference field="2" count="1" selected="0">
            <x v="11"/>
          </reference>
          <reference field="3" count="1" selected="0">
            <x v="37"/>
          </reference>
          <reference field="4" count="1" selected="0">
            <x v="77"/>
          </reference>
          <reference field="5" count="1" selected="0">
            <x v="490"/>
          </reference>
          <reference field="6" count="1">
            <x v="47"/>
          </reference>
        </references>
      </pivotArea>
    </format>
    <format dxfId="3422">
      <pivotArea dataOnly="0" labelOnly="1" fieldPosition="0">
        <references count="6">
          <reference field="1" count="1" selected="0">
            <x v="0"/>
          </reference>
          <reference field="2" count="1" selected="0">
            <x v="12"/>
          </reference>
          <reference field="3" count="1" selected="0">
            <x v="1"/>
          </reference>
          <reference field="4" count="1" selected="0">
            <x v="77"/>
          </reference>
          <reference field="5" count="1" selected="0">
            <x v="80"/>
          </reference>
          <reference field="6" count="1">
            <x v="47"/>
          </reference>
        </references>
      </pivotArea>
    </format>
    <format dxfId="3421">
      <pivotArea dataOnly="0" labelOnly="1" fieldPosition="0">
        <references count="6">
          <reference field="1" count="1" selected="0">
            <x v="0"/>
          </reference>
          <reference field="2" count="1" selected="0">
            <x v="12"/>
          </reference>
          <reference field="3" count="1" selected="0">
            <x v="1"/>
          </reference>
          <reference field="4" count="1" selected="0">
            <x v="77"/>
          </reference>
          <reference field="5" count="1" selected="0">
            <x v="213"/>
          </reference>
          <reference field="6" count="1">
            <x v="47"/>
          </reference>
        </references>
      </pivotArea>
    </format>
    <format dxfId="3420">
      <pivotArea dataOnly="0" labelOnly="1" fieldPosition="0">
        <references count="6">
          <reference field="1" count="1" selected="0">
            <x v="0"/>
          </reference>
          <reference field="2" count="1" selected="0">
            <x v="12"/>
          </reference>
          <reference field="3" count="1" selected="0">
            <x v="1"/>
          </reference>
          <reference field="4" count="1" selected="0">
            <x v="77"/>
          </reference>
          <reference field="5" count="1" selected="0">
            <x v="352"/>
          </reference>
          <reference field="6" count="1">
            <x v="47"/>
          </reference>
        </references>
      </pivotArea>
    </format>
    <format dxfId="3419">
      <pivotArea dataOnly="0" labelOnly="1" fieldPosition="0">
        <references count="6">
          <reference field="1" count="1" selected="0">
            <x v="0"/>
          </reference>
          <reference field="2" count="1" selected="0">
            <x v="12"/>
          </reference>
          <reference field="3" count="1" selected="0">
            <x v="1"/>
          </reference>
          <reference field="4" count="1" selected="0">
            <x v="77"/>
          </reference>
          <reference field="5" count="1" selected="0">
            <x v="500"/>
          </reference>
          <reference field="6" count="1">
            <x v="47"/>
          </reference>
        </references>
      </pivotArea>
    </format>
    <format dxfId="3418">
      <pivotArea dataOnly="0" labelOnly="1" fieldPosition="0">
        <references count="6">
          <reference field="1" count="1" selected="0">
            <x v="0"/>
          </reference>
          <reference field="2" count="1" selected="0">
            <x v="12"/>
          </reference>
          <reference field="3" count="1" selected="0">
            <x v="1"/>
          </reference>
          <reference field="4" count="1" selected="0">
            <x v="77"/>
          </reference>
          <reference field="5" count="1" selected="0">
            <x v="1028"/>
          </reference>
          <reference field="6" count="1">
            <x v="47"/>
          </reference>
        </references>
      </pivotArea>
    </format>
    <format dxfId="3417">
      <pivotArea dataOnly="0" labelOnly="1" fieldPosition="0">
        <references count="6">
          <reference field="1" count="1" selected="0">
            <x v="0"/>
          </reference>
          <reference field="2" count="1" selected="0">
            <x v="12"/>
          </reference>
          <reference field="3" count="1" selected="0">
            <x v="37"/>
          </reference>
          <reference field="4" count="1" selected="0">
            <x v="77"/>
          </reference>
          <reference field="5" count="1" selected="0">
            <x v="947"/>
          </reference>
          <reference field="6" count="1">
            <x v="47"/>
          </reference>
        </references>
      </pivotArea>
    </format>
    <format dxfId="3416">
      <pivotArea dataOnly="0" labelOnly="1" fieldPosition="0">
        <references count="6">
          <reference field="1" count="1" selected="0">
            <x v="0"/>
          </reference>
          <reference field="2" count="1" selected="0">
            <x v="12"/>
          </reference>
          <reference field="3" count="1" selected="0">
            <x v="37"/>
          </reference>
          <reference field="4" count="1" selected="0">
            <x v="77"/>
          </reference>
          <reference field="5" count="1" selected="0">
            <x v="1421"/>
          </reference>
          <reference field="6" count="1">
            <x v="47"/>
          </reference>
        </references>
      </pivotArea>
    </format>
    <format dxfId="3415">
      <pivotArea dataOnly="0" labelOnly="1" fieldPosition="0">
        <references count="6">
          <reference field="1" count="1" selected="0">
            <x v="0"/>
          </reference>
          <reference field="2" count="1" selected="0">
            <x v="19"/>
          </reference>
          <reference field="3" count="1" selected="0">
            <x v="1"/>
          </reference>
          <reference field="4" count="1" selected="0">
            <x v="77"/>
          </reference>
          <reference field="5" count="1" selected="0">
            <x v="440"/>
          </reference>
          <reference field="6" count="1">
            <x v="47"/>
          </reference>
        </references>
      </pivotArea>
    </format>
    <format dxfId="3414">
      <pivotArea dataOnly="0" labelOnly="1" fieldPosition="0">
        <references count="6">
          <reference field="1" count="1" selected="0">
            <x v="0"/>
          </reference>
          <reference field="2" count="1" selected="0">
            <x v="35"/>
          </reference>
          <reference field="3" count="1" selected="0">
            <x v="1"/>
          </reference>
          <reference field="4" count="1" selected="0">
            <x v="77"/>
          </reference>
          <reference field="5" count="1" selected="0">
            <x v="80"/>
          </reference>
          <reference field="6" count="1">
            <x v="47"/>
          </reference>
        </references>
      </pivotArea>
    </format>
    <format dxfId="3413">
      <pivotArea dataOnly="0" labelOnly="1" fieldPosition="0">
        <references count="6">
          <reference field="1" count="1" selected="0">
            <x v="0"/>
          </reference>
          <reference field="2" count="1" selected="0">
            <x v="35"/>
          </reference>
          <reference field="3" count="1" selected="0">
            <x v="37"/>
          </reference>
          <reference field="4" count="1" selected="0">
            <x v="77"/>
          </reference>
          <reference field="5" count="1" selected="0">
            <x v="1194"/>
          </reference>
          <reference field="6" count="1">
            <x v="47"/>
          </reference>
        </references>
      </pivotArea>
    </format>
    <format dxfId="3412">
      <pivotArea dataOnly="0" labelOnly="1" fieldPosition="0">
        <references count="6">
          <reference field="1" count="1" selected="0">
            <x v="1"/>
          </reference>
          <reference field="2" count="1" selected="0">
            <x v="0"/>
          </reference>
          <reference field="3" count="1" selected="0">
            <x v="1"/>
          </reference>
          <reference field="4" count="1" selected="0">
            <x v="78"/>
          </reference>
          <reference field="5" count="1" selected="0">
            <x v="80"/>
          </reference>
          <reference field="6" count="1">
            <x v="47"/>
          </reference>
        </references>
      </pivotArea>
    </format>
    <format dxfId="3411">
      <pivotArea dataOnly="0" labelOnly="1" fieldPosition="0">
        <references count="6">
          <reference field="1" count="1" selected="0">
            <x v="1"/>
          </reference>
          <reference field="2" count="1" selected="0">
            <x v="0"/>
          </reference>
          <reference field="3" count="1" selected="0">
            <x v="7"/>
          </reference>
          <reference field="4" count="1" selected="0">
            <x v="78"/>
          </reference>
          <reference field="5" count="1" selected="0">
            <x v="231"/>
          </reference>
          <reference field="6" count="1">
            <x v="47"/>
          </reference>
        </references>
      </pivotArea>
    </format>
    <format dxfId="3410">
      <pivotArea dataOnly="0" labelOnly="1" fieldPosition="0">
        <references count="6">
          <reference field="1" count="1" selected="0">
            <x v="1"/>
          </reference>
          <reference field="2" count="1" selected="0">
            <x v="0"/>
          </reference>
          <reference field="3" count="1" selected="0">
            <x v="7"/>
          </reference>
          <reference field="4" count="1" selected="0">
            <x v="78"/>
          </reference>
          <reference field="5" count="1" selected="0">
            <x v="665"/>
          </reference>
          <reference field="6" count="1">
            <x v="47"/>
          </reference>
        </references>
      </pivotArea>
    </format>
    <format dxfId="3409">
      <pivotArea dataOnly="0" labelOnly="1" fieldPosition="0">
        <references count="6">
          <reference field="1" count="1" selected="0">
            <x v="1"/>
          </reference>
          <reference field="2" count="1" selected="0">
            <x v="0"/>
          </reference>
          <reference field="3" count="1" selected="0">
            <x v="7"/>
          </reference>
          <reference field="4" count="1" selected="0">
            <x v="78"/>
          </reference>
          <reference field="5" count="1" selected="0">
            <x v="754"/>
          </reference>
          <reference field="6" count="1">
            <x v="47"/>
          </reference>
        </references>
      </pivotArea>
    </format>
    <format dxfId="3408">
      <pivotArea dataOnly="0" labelOnly="1" fieldPosition="0">
        <references count="6">
          <reference field="1" count="1" selected="0">
            <x v="1"/>
          </reference>
          <reference field="2" count="1" selected="0">
            <x v="0"/>
          </reference>
          <reference field="3" count="1" selected="0">
            <x v="8"/>
          </reference>
          <reference field="4" count="1" selected="0">
            <x v="78"/>
          </reference>
          <reference field="5" count="1" selected="0">
            <x v="667"/>
          </reference>
          <reference field="6" count="1">
            <x v="47"/>
          </reference>
        </references>
      </pivotArea>
    </format>
    <format dxfId="3407">
      <pivotArea dataOnly="0" labelOnly="1" fieldPosition="0">
        <references count="6">
          <reference field="1" count="1" selected="0">
            <x v="1"/>
          </reference>
          <reference field="2" count="1" selected="0">
            <x v="0"/>
          </reference>
          <reference field="3" count="1" selected="0">
            <x v="8"/>
          </reference>
          <reference field="4" count="1" selected="0">
            <x v="78"/>
          </reference>
          <reference field="5" count="1" selected="0">
            <x v="1156"/>
          </reference>
          <reference field="6" count="1">
            <x v="47"/>
          </reference>
        </references>
      </pivotArea>
    </format>
    <format dxfId="3406">
      <pivotArea dataOnly="0" labelOnly="1" fieldPosition="0">
        <references count="6">
          <reference field="1" count="1" selected="0">
            <x v="1"/>
          </reference>
          <reference field="2" count="1" selected="0">
            <x v="0"/>
          </reference>
          <reference field="3" count="1" selected="0">
            <x v="12"/>
          </reference>
          <reference field="4" count="1" selected="0">
            <x v="25"/>
          </reference>
          <reference field="5" count="1" selected="0">
            <x v="180"/>
          </reference>
          <reference field="6" count="1">
            <x v="47"/>
          </reference>
        </references>
      </pivotArea>
    </format>
    <format dxfId="3405">
      <pivotArea dataOnly="0" labelOnly="1" fieldPosition="0">
        <references count="6">
          <reference field="1" count="1" selected="0">
            <x v="1"/>
          </reference>
          <reference field="2" count="1" selected="0">
            <x v="0"/>
          </reference>
          <reference field="3" count="1" selected="0">
            <x v="12"/>
          </reference>
          <reference field="4" count="1" selected="0">
            <x v="37"/>
          </reference>
          <reference field="5" count="1" selected="0">
            <x v="199"/>
          </reference>
          <reference field="6" count="1">
            <x v="47"/>
          </reference>
        </references>
      </pivotArea>
    </format>
    <format dxfId="3404">
      <pivotArea dataOnly="0" labelOnly="1" fieldPosition="0">
        <references count="6">
          <reference field="1" count="1" selected="0">
            <x v="1"/>
          </reference>
          <reference field="2" count="1" selected="0">
            <x v="3"/>
          </reference>
          <reference field="3" count="1" selected="0">
            <x v="37"/>
          </reference>
          <reference field="4" count="1" selected="0">
            <x v="78"/>
          </reference>
          <reference field="5" count="1" selected="0">
            <x v="109"/>
          </reference>
          <reference field="6" count="1">
            <x v="47"/>
          </reference>
        </references>
      </pivotArea>
    </format>
    <format dxfId="3403">
      <pivotArea dataOnly="0" labelOnly="1" fieldPosition="0">
        <references count="6">
          <reference field="1" count="1" selected="0">
            <x v="1"/>
          </reference>
          <reference field="2" count="1" selected="0">
            <x v="7"/>
          </reference>
          <reference field="3" count="1" selected="0">
            <x v="8"/>
          </reference>
          <reference field="4" count="1" selected="0">
            <x v="78"/>
          </reference>
          <reference field="5" count="1" selected="0">
            <x v="1148"/>
          </reference>
          <reference field="6" count="1">
            <x v="47"/>
          </reference>
        </references>
      </pivotArea>
    </format>
    <format dxfId="3402">
      <pivotArea dataOnly="0" labelOnly="1" fieldPosition="0">
        <references count="6">
          <reference field="1" count="1" selected="0">
            <x v="1"/>
          </reference>
          <reference field="2" count="1" selected="0">
            <x v="12"/>
          </reference>
          <reference field="3" count="1" selected="0">
            <x v="1"/>
          </reference>
          <reference field="4" count="1" selected="0">
            <x v="78"/>
          </reference>
          <reference field="5" count="1" selected="0">
            <x v="80"/>
          </reference>
          <reference field="6" count="1">
            <x v="47"/>
          </reference>
        </references>
      </pivotArea>
    </format>
    <format dxfId="3401">
      <pivotArea dataOnly="0" labelOnly="1" fieldPosition="0">
        <references count="6">
          <reference field="1" count="1" selected="0">
            <x v="1"/>
          </reference>
          <reference field="2" count="1" selected="0">
            <x v="12"/>
          </reference>
          <reference field="3" count="1" selected="0">
            <x v="1"/>
          </reference>
          <reference field="4" count="1" selected="0">
            <x v="78"/>
          </reference>
          <reference field="5" count="1" selected="0">
            <x v="352"/>
          </reference>
          <reference field="6" count="1">
            <x v="47"/>
          </reference>
        </references>
      </pivotArea>
    </format>
    <format dxfId="3400">
      <pivotArea dataOnly="0" labelOnly="1" fieldPosition="0">
        <references count="6">
          <reference field="1" count="1" selected="0">
            <x v="1"/>
          </reference>
          <reference field="2" count="1" selected="0">
            <x v="12"/>
          </reference>
          <reference field="3" count="1" selected="0">
            <x v="1"/>
          </reference>
          <reference field="4" count="1" selected="0">
            <x v="78"/>
          </reference>
          <reference field="5" count="1" selected="0">
            <x v="771"/>
          </reference>
          <reference field="6" count="1">
            <x v="47"/>
          </reference>
        </references>
      </pivotArea>
    </format>
    <format dxfId="3399">
      <pivotArea dataOnly="0" labelOnly="1" fieldPosition="0">
        <references count="6">
          <reference field="1" count="1" selected="0">
            <x v="1"/>
          </reference>
          <reference field="2" count="1" selected="0">
            <x v="12"/>
          </reference>
          <reference field="3" count="1" selected="0">
            <x v="37"/>
          </reference>
          <reference field="4" count="1" selected="0">
            <x v="78"/>
          </reference>
          <reference field="5" count="1" selected="0">
            <x v="1244"/>
          </reference>
          <reference field="6" count="1">
            <x v="47"/>
          </reference>
        </references>
      </pivotArea>
    </format>
    <format dxfId="3398">
      <pivotArea dataOnly="0" labelOnly="1" fieldPosition="0">
        <references count="6">
          <reference field="1" count="1" selected="0">
            <x v="1"/>
          </reference>
          <reference field="2" count="1" selected="0">
            <x v="15"/>
          </reference>
          <reference field="3" count="1" selected="0">
            <x v="7"/>
          </reference>
          <reference field="4" count="1" selected="0">
            <x v="78"/>
          </reference>
          <reference field="5" count="1" selected="0">
            <x v="469"/>
          </reference>
          <reference field="6" count="1">
            <x v="47"/>
          </reference>
        </references>
      </pivotArea>
    </format>
    <format dxfId="3397">
      <pivotArea dataOnly="0" labelOnly="1" fieldPosition="0">
        <references count="6">
          <reference field="1" count="1" selected="0">
            <x v="1"/>
          </reference>
          <reference field="2" count="1" selected="0">
            <x v="15"/>
          </reference>
          <reference field="3" count="1" selected="0">
            <x v="38"/>
          </reference>
          <reference field="4" count="1" selected="0">
            <x v="78"/>
          </reference>
          <reference field="5" count="1" selected="0">
            <x v="1274"/>
          </reference>
          <reference field="6" count="1">
            <x v="47"/>
          </reference>
        </references>
      </pivotArea>
    </format>
    <format dxfId="3396">
      <pivotArea dataOnly="0" labelOnly="1" fieldPosition="0">
        <references count="6">
          <reference field="1" count="1" selected="0">
            <x v="1"/>
          </reference>
          <reference field="2" count="1" selected="0">
            <x v="21"/>
          </reference>
          <reference field="3" count="1" selected="0">
            <x v="37"/>
          </reference>
          <reference field="4" count="1" selected="0">
            <x v="78"/>
          </reference>
          <reference field="5" count="1" selected="0">
            <x v="352"/>
          </reference>
          <reference field="6" count="1">
            <x v="47"/>
          </reference>
        </references>
      </pivotArea>
    </format>
    <format dxfId="3395">
      <pivotArea dataOnly="0" labelOnly="1" fieldPosition="0">
        <references count="6">
          <reference field="1" count="1" selected="0">
            <x v="1"/>
          </reference>
          <reference field="2" count="1" selected="0">
            <x v="21"/>
          </reference>
          <reference field="3" count="1" selected="0">
            <x v="38"/>
          </reference>
          <reference field="4" count="1" selected="0">
            <x v="78"/>
          </reference>
          <reference field="5" count="1" selected="0">
            <x v="1274"/>
          </reference>
          <reference field="6" count="1">
            <x v="47"/>
          </reference>
        </references>
      </pivotArea>
    </format>
    <format dxfId="3394">
      <pivotArea dataOnly="0" labelOnly="1" fieldPosition="0">
        <references count="6">
          <reference field="1" count="1" selected="0">
            <x v="1"/>
          </reference>
          <reference field="2" count="1" selected="0">
            <x v="23"/>
          </reference>
          <reference field="3" count="1" selected="0">
            <x v="38"/>
          </reference>
          <reference field="4" count="1" selected="0">
            <x v="78"/>
          </reference>
          <reference field="5" count="1" selected="0">
            <x v="1857"/>
          </reference>
          <reference field="6" count="1">
            <x v="47"/>
          </reference>
        </references>
      </pivotArea>
    </format>
    <format dxfId="3393">
      <pivotArea dataOnly="0" labelOnly="1" fieldPosition="0">
        <references count="6">
          <reference field="1" count="1" selected="0">
            <x v="1"/>
          </reference>
          <reference field="2" count="1" selected="0">
            <x v="35"/>
          </reference>
          <reference field="3" count="1" selected="0">
            <x v="1"/>
          </reference>
          <reference field="4" count="1" selected="0">
            <x v="78"/>
          </reference>
          <reference field="5" count="1" selected="0">
            <x v="80"/>
          </reference>
          <reference field="6" count="1">
            <x v="47"/>
          </reference>
        </references>
      </pivotArea>
    </format>
    <format dxfId="3392">
      <pivotArea dataOnly="0" labelOnly="1" fieldPosition="0">
        <references count="6">
          <reference field="1" count="1" selected="0">
            <x v="2"/>
          </reference>
          <reference field="2" count="1" selected="0">
            <x v="0"/>
          </reference>
          <reference field="3" count="1" selected="0">
            <x v="6"/>
          </reference>
          <reference field="4" count="1" selected="0">
            <x v="79"/>
          </reference>
          <reference field="5" count="1" selected="0">
            <x v="212"/>
          </reference>
          <reference field="6" count="1">
            <x v="47"/>
          </reference>
        </references>
      </pivotArea>
    </format>
    <format dxfId="3391">
      <pivotArea dataOnly="0" labelOnly="1" fieldPosition="0">
        <references count="6">
          <reference field="1" count="1" selected="0">
            <x v="2"/>
          </reference>
          <reference field="2" count="1" selected="0">
            <x v="0"/>
          </reference>
          <reference field="3" count="1" selected="0">
            <x v="7"/>
          </reference>
          <reference field="4" count="1" selected="0">
            <x v="79"/>
          </reference>
          <reference field="5" count="1" selected="0">
            <x v="255"/>
          </reference>
          <reference field="6" count="1">
            <x v="47"/>
          </reference>
        </references>
      </pivotArea>
    </format>
    <format dxfId="3390">
      <pivotArea dataOnly="0" labelOnly="1" fieldPosition="0">
        <references count="6">
          <reference field="1" count="1" selected="0">
            <x v="2"/>
          </reference>
          <reference field="2" count="1" selected="0">
            <x v="0"/>
          </reference>
          <reference field="3" count="1" selected="0">
            <x v="12"/>
          </reference>
          <reference field="4" count="1" selected="0">
            <x v="68"/>
          </reference>
          <reference field="5" count="1" selected="0">
            <x v="4"/>
          </reference>
          <reference field="6" count="1">
            <x v="47"/>
          </reference>
        </references>
      </pivotArea>
    </format>
    <format dxfId="3389">
      <pivotArea dataOnly="0" labelOnly="1" fieldPosition="0">
        <references count="6">
          <reference field="1" count="1" selected="0">
            <x v="2"/>
          </reference>
          <reference field="2" count="1" selected="0">
            <x v="0"/>
          </reference>
          <reference field="3" count="1" selected="0">
            <x v="12"/>
          </reference>
          <reference field="4" count="1" selected="0">
            <x v="70"/>
          </reference>
          <reference field="5" count="1" selected="0">
            <x v="11"/>
          </reference>
          <reference field="6" count="1">
            <x v="47"/>
          </reference>
        </references>
      </pivotArea>
    </format>
    <format dxfId="3388">
      <pivotArea dataOnly="0" labelOnly="1" fieldPosition="0">
        <references count="6">
          <reference field="1" count="1" selected="0">
            <x v="2"/>
          </reference>
          <reference field="2" count="1" selected="0">
            <x v="3"/>
          </reference>
          <reference field="3" count="1" selected="0">
            <x v="38"/>
          </reference>
          <reference field="4" count="1" selected="0">
            <x v="79"/>
          </reference>
          <reference field="5" count="1" selected="0">
            <x v="33"/>
          </reference>
          <reference field="6" count="1">
            <x v="47"/>
          </reference>
        </references>
      </pivotArea>
    </format>
    <format dxfId="3387">
      <pivotArea dataOnly="0" labelOnly="1" fieldPosition="0">
        <references count="6">
          <reference field="1" count="1" selected="0">
            <x v="2"/>
          </reference>
          <reference field="2" count="1" selected="0">
            <x v="8"/>
          </reference>
          <reference field="3" count="1" selected="0">
            <x v="37"/>
          </reference>
          <reference field="4" count="1" selected="0">
            <x v="79"/>
          </reference>
          <reference field="5" count="1" selected="0">
            <x v="988"/>
          </reference>
          <reference field="6" count="1">
            <x v="47"/>
          </reference>
        </references>
      </pivotArea>
    </format>
    <format dxfId="3386">
      <pivotArea dataOnly="0" labelOnly="1" fieldPosition="0">
        <references count="6">
          <reference field="1" count="1" selected="0">
            <x v="2"/>
          </reference>
          <reference field="2" count="1" selected="0">
            <x v="12"/>
          </reference>
          <reference field="3" count="1" selected="0">
            <x v="1"/>
          </reference>
          <reference field="4" count="1" selected="0">
            <x v="79"/>
          </reference>
          <reference field="5" count="1" selected="0">
            <x v="80"/>
          </reference>
          <reference field="6" count="1">
            <x v="47"/>
          </reference>
        </references>
      </pivotArea>
    </format>
    <format dxfId="3385">
      <pivotArea dataOnly="0" labelOnly="1" fieldPosition="0">
        <references count="6">
          <reference field="1" count="1" selected="0">
            <x v="2"/>
          </reference>
          <reference field="2" count="1" selected="0">
            <x v="12"/>
          </reference>
          <reference field="3" count="1" selected="0">
            <x v="1"/>
          </reference>
          <reference field="4" count="1" selected="0">
            <x v="79"/>
          </reference>
          <reference field="5" count="1" selected="0">
            <x v="213"/>
          </reference>
          <reference field="6" count="1">
            <x v="47"/>
          </reference>
        </references>
      </pivotArea>
    </format>
    <format dxfId="3384">
      <pivotArea dataOnly="0" labelOnly="1" fieldPosition="0">
        <references count="6">
          <reference field="1" count="1" selected="0">
            <x v="2"/>
          </reference>
          <reference field="2" count="1" selected="0">
            <x v="12"/>
          </reference>
          <reference field="3" count="1" selected="0">
            <x v="1"/>
          </reference>
          <reference field="4" count="1" selected="0">
            <x v="79"/>
          </reference>
          <reference field="5" count="1" selected="0">
            <x v="352"/>
          </reference>
          <reference field="6" count="1">
            <x v="47"/>
          </reference>
        </references>
      </pivotArea>
    </format>
    <format dxfId="3383">
      <pivotArea dataOnly="0" labelOnly="1" fieldPosition="0">
        <references count="6">
          <reference field="1" count="1" selected="0">
            <x v="2"/>
          </reference>
          <reference field="2" count="1" selected="0">
            <x v="12"/>
          </reference>
          <reference field="3" count="1" selected="0">
            <x v="1"/>
          </reference>
          <reference field="4" count="1" selected="0">
            <x v="79"/>
          </reference>
          <reference field="5" count="1" selected="0">
            <x v="500"/>
          </reference>
          <reference field="6" count="1">
            <x v="47"/>
          </reference>
        </references>
      </pivotArea>
    </format>
    <format dxfId="3382">
      <pivotArea dataOnly="0" labelOnly="1" fieldPosition="0">
        <references count="6">
          <reference field="1" count="1" selected="0">
            <x v="2"/>
          </reference>
          <reference field="2" count="1" selected="0">
            <x v="12"/>
          </reference>
          <reference field="3" count="1" selected="0">
            <x v="1"/>
          </reference>
          <reference field="4" count="1" selected="0">
            <x v="79"/>
          </reference>
          <reference field="5" count="1" selected="0">
            <x v="846"/>
          </reference>
          <reference field="6" count="1">
            <x v="47"/>
          </reference>
        </references>
      </pivotArea>
    </format>
    <format dxfId="3381">
      <pivotArea dataOnly="0" labelOnly="1" fieldPosition="0">
        <references count="6">
          <reference field="1" count="1" selected="0">
            <x v="2"/>
          </reference>
          <reference field="2" count="1" selected="0">
            <x v="21"/>
          </reference>
          <reference field="3" count="1" selected="0">
            <x v="37"/>
          </reference>
          <reference field="4" count="1" selected="0">
            <x v="79"/>
          </reference>
          <reference field="5" count="1" selected="0">
            <x v="352"/>
          </reference>
          <reference field="6" count="1">
            <x v="47"/>
          </reference>
        </references>
      </pivotArea>
    </format>
    <format dxfId="3380">
      <pivotArea dataOnly="0" labelOnly="1" fieldPosition="0">
        <references count="6">
          <reference field="1" count="1" selected="0">
            <x v="2"/>
          </reference>
          <reference field="2" count="1" selected="0">
            <x v="23"/>
          </reference>
          <reference field="3" count="1" selected="0">
            <x v="6"/>
          </reference>
          <reference field="4" count="1" selected="0">
            <x v="79"/>
          </reference>
          <reference field="5" count="1" selected="0">
            <x v="86"/>
          </reference>
          <reference field="6" count="1">
            <x v="47"/>
          </reference>
        </references>
      </pivotArea>
    </format>
    <format dxfId="3379">
      <pivotArea dataOnly="0" labelOnly="1" fieldPosition="0">
        <references count="6">
          <reference field="1" count="1" selected="0">
            <x v="2"/>
          </reference>
          <reference field="2" count="1" selected="0">
            <x v="24"/>
          </reference>
          <reference field="3" count="1" selected="0">
            <x v="37"/>
          </reference>
          <reference field="4" count="1" selected="0">
            <x v="79"/>
          </reference>
          <reference field="5" count="1" selected="0">
            <x v="352"/>
          </reference>
          <reference field="6" count="1">
            <x v="47"/>
          </reference>
        </references>
      </pivotArea>
    </format>
    <format dxfId="3378">
      <pivotArea dataOnly="0" labelOnly="1" fieldPosition="0">
        <references count="6">
          <reference field="1" count="1" selected="0">
            <x v="2"/>
          </reference>
          <reference field="2" count="1" selected="0">
            <x v="27"/>
          </reference>
          <reference field="3" count="1" selected="0">
            <x v="6"/>
          </reference>
          <reference field="4" count="1" selected="0">
            <x v="79"/>
          </reference>
          <reference field="5" count="1" selected="0">
            <x v="1495"/>
          </reference>
          <reference field="6" count="1">
            <x v="47"/>
          </reference>
        </references>
      </pivotArea>
    </format>
    <format dxfId="3377">
      <pivotArea dataOnly="0" labelOnly="1" fieldPosition="0">
        <references count="6">
          <reference field="1" count="1" selected="0">
            <x v="2"/>
          </reference>
          <reference field="2" count="1" selected="0">
            <x v="35"/>
          </reference>
          <reference field="3" count="1" selected="0">
            <x v="1"/>
          </reference>
          <reference field="4" count="1" selected="0">
            <x v="79"/>
          </reference>
          <reference field="5" count="1" selected="0">
            <x v="80"/>
          </reference>
          <reference field="6" count="1">
            <x v="47"/>
          </reference>
        </references>
      </pivotArea>
    </format>
    <format dxfId="3376">
      <pivotArea dataOnly="0" labelOnly="1" fieldPosition="0">
        <references count="6">
          <reference field="1" count="1" selected="0">
            <x v="3"/>
          </reference>
          <reference field="2" count="1" selected="0">
            <x v="0"/>
          </reference>
          <reference field="3" count="1" selected="0">
            <x v="6"/>
          </reference>
          <reference field="4" count="1" selected="0">
            <x v="80"/>
          </reference>
          <reference field="5" count="1" selected="0">
            <x v="795"/>
          </reference>
          <reference field="6" count="1">
            <x v="47"/>
          </reference>
        </references>
      </pivotArea>
    </format>
    <format dxfId="3375">
      <pivotArea dataOnly="0" labelOnly="1" fieldPosition="0">
        <references count="6">
          <reference field="1" count="1" selected="0">
            <x v="3"/>
          </reference>
          <reference field="2" count="1" selected="0">
            <x v="0"/>
          </reference>
          <reference field="3" count="1" selected="0">
            <x v="12"/>
          </reference>
          <reference field="4" count="1" selected="0">
            <x v="25"/>
          </reference>
          <reference field="5" count="1" selected="0">
            <x v="895"/>
          </reference>
          <reference field="6" count="1">
            <x v="47"/>
          </reference>
        </references>
      </pivotArea>
    </format>
    <format dxfId="3374">
      <pivotArea dataOnly="0" labelOnly="1" fieldPosition="0">
        <references count="6">
          <reference field="1" count="1" selected="0">
            <x v="3"/>
          </reference>
          <reference field="2" count="1" selected="0">
            <x v="12"/>
          </reference>
          <reference field="3" count="1" selected="0">
            <x v="1"/>
          </reference>
          <reference field="4" count="1" selected="0">
            <x v="80"/>
          </reference>
          <reference field="5" count="1" selected="0">
            <x v="80"/>
          </reference>
          <reference field="6" count="1">
            <x v="47"/>
          </reference>
        </references>
      </pivotArea>
    </format>
    <format dxfId="3373">
      <pivotArea dataOnly="0" labelOnly="1" fieldPosition="0">
        <references count="6">
          <reference field="1" count="1" selected="0">
            <x v="3"/>
          </reference>
          <reference field="2" count="1" selected="0">
            <x v="12"/>
          </reference>
          <reference field="3" count="1" selected="0">
            <x v="1"/>
          </reference>
          <reference field="4" count="1" selected="0">
            <x v="80"/>
          </reference>
          <reference field="5" count="1" selected="0">
            <x v="500"/>
          </reference>
          <reference field="6" count="1">
            <x v="47"/>
          </reference>
        </references>
      </pivotArea>
    </format>
    <format dxfId="3372">
      <pivotArea dataOnly="0" labelOnly="1" fieldPosition="0">
        <references count="6">
          <reference field="1" count="1" selected="0">
            <x v="3"/>
          </reference>
          <reference field="2" count="1" selected="0">
            <x v="12"/>
          </reference>
          <reference field="3" count="1" selected="0">
            <x v="1"/>
          </reference>
          <reference field="4" count="1" selected="0">
            <x v="80"/>
          </reference>
          <reference field="5" count="1" selected="0">
            <x v="911"/>
          </reference>
          <reference field="6" count="1">
            <x v="47"/>
          </reference>
        </references>
      </pivotArea>
    </format>
    <format dxfId="3371">
      <pivotArea dataOnly="0" labelOnly="1" fieldPosition="0">
        <references count="6">
          <reference field="1" count="1" selected="0">
            <x v="3"/>
          </reference>
          <reference field="2" count="1" selected="0">
            <x v="35"/>
          </reference>
          <reference field="3" count="1" selected="0">
            <x v="1"/>
          </reference>
          <reference field="4" count="1" selected="0">
            <x v="80"/>
          </reference>
          <reference field="5" count="1" selected="0">
            <x v="80"/>
          </reference>
          <reference field="6" count="1">
            <x v="47"/>
          </reference>
        </references>
      </pivotArea>
    </format>
    <format dxfId="3370">
      <pivotArea dataOnly="0" labelOnly="1" fieldPosition="0">
        <references count="6">
          <reference field="1" count="1" selected="0">
            <x v="4"/>
          </reference>
          <reference field="2" count="1" selected="0">
            <x v="0"/>
          </reference>
          <reference field="3" count="1" selected="0">
            <x v="7"/>
          </reference>
          <reference field="4" count="1" selected="0">
            <x v="81"/>
          </reference>
          <reference field="5" count="1" selected="0">
            <x v="1163"/>
          </reference>
          <reference field="6" count="1">
            <x v="47"/>
          </reference>
        </references>
      </pivotArea>
    </format>
    <format dxfId="3369">
      <pivotArea dataOnly="0" labelOnly="1" fieldPosition="0">
        <references count="6">
          <reference field="1" count="1" selected="0">
            <x v="4"/>
          </reference>
          <reference field="2" count="1" selected="0">
            <x v="0"/>
          </reference>
          <reference field="3" count="1" selected="0">
            <x v="8"/>
          </reference>
          <reference field="4" count="1" selected="0">
            <x v="81"/>
          </reference>
          <reference field="5" count="1" selected="0">
            <x v="854"/>
          </reference>
          <reference field="6" count="1">
            <x v="47"/>
          </reference>
        </references>
      </pivotArea>
    </format>
    <format dxfId="3368">
      <pivotArea dataOnly="0" labelOnly="1" fieldPosition="0">
        <references count="6">
          <reference field="1" count="1" selected="0">
            <x v="4"/>
          </reference>
          <reference field="2" count="1" selected="0">
            <x v="0"/>
          </reference>
          <reference field="3" count="1" selected="0">
            <x v="12"/>
          </reference>
          <reference field="4" count="1" selected="0">
            <x v="29"/>
          </reference>
          <reference field="5" count="1" selected="0">
            <x v="98"/>
          </reference>
          <reference field="6" count="1">
            <x v="47"/>
          </reference>
        </references>
      </pivotArea>
    </format>
    <format dxfId="3367">
      <pivotArea dataOnly="0" labelOnly="1" fieldPosition="0">
        <references count="6">
          <reference field="1" count="1" selected="0">
            <x v="4"/>
          </reference>
          <reference field="2" count="1" selected="0">
            <x v="0"/>
          </reference>
          <reference field="3" count="1" selected="0">
            <x v="12"/>
          </reference>
          <reference field="4" count="1" selected="0">
            <x v="59"/>
          </reference>
          <reference field="5" count="1" selected="0">
            <x v="6"/>
          </reference>
          <reference field="6" count="1">
            <x v="47"/>
          </reference>
        </references>
      </pivotArea>
    </format>
    <format dxfId="3366">
      <pivotArea dataOnly="0" labelOnly="1" fieldPosition="0">
        <references count="6">
          <reference field="1" count="1" selected="0">
            <x v="4"/>
          </reference>
          <reference field="2" count="1" selected="0">
            <x v="0"/>
          </reference>
          <reference field="3" count="1" selected="0">
            <x v="12"/>
          </reference>
          <reference field="4" count="1" selected="0">
            <x v="68"/>
          </reference>
          <reference field="5" count="1" selected="0">
            <x v="11"/>
          </reference>
          <reference field="6" count="1">
            <x v="47"/>
          </reference>
        </references>
      </pivotArea>
    </format>
    <format dxfId="3365">
      <pivotArea dataOnly="0" labelOnly="1" fieldPosition="0">
        <references count="6">
          <reference field="1" count="1" selected="0">
            <x v="4"/>
          </reference>
          <reference field="2" count="1" selected="0">
            <x v="0"/>
          </reference>
          <reference field="3" count="1" selected="0">
            <x v="12"/>
          </reference>
          <reference field="4" count="1" selected="0">
            <x v="71"/>
          </reference>
          <reference field="5" count="1" selected="0">
            <x v="55"/>
          </reference>
          <reference field="6" count="1">
            <x v="47"/>
          </reference>
        </references>
      </pivotArea>
    </format>
    <format dxfId="3364">
      <pivotArea dataOnly="0" labelOnly="1" fieldPosition="0">
        <references count="6">
          <reference field="1" count="1" selected="0">
            <x v="4"/>
          </reference>
          <reference field="2" count="1" selected="0">
            <x v="8"/>
          </reference>
          <reference field="3" count="1" selected="0">
            <x v="37"/>
          </reference>
          <reference field="4" count="1" selected="0">
            <x v="81"/>
          </reference>
          <reference field="5" count="1" selected="0">
            <x v="1022"/>
          </reference>
          <reference field="6" count="1">
            <x v="47"/>
          </reference>
        </references>
      </pivotArea>
    </format>
    <format dxfId="3363">
      <pivotArea dataOnly="0" labelOnly="1" fieldPosition="0">
        <references count="6">
          <reference field="1" count="1" selected="0">
            <x v="4"/>
          </reference>
          <reference field="2" count="1" selected="0">
            <x v="12"/>
          </reference>
          <reference field="3" count="1" selected="0">
            <x v="1"/>
          </reference>
          <reference field="4" count="1" selected="0">
            <x v="81"/>
          </reference>
          <reference field="5" count="1" selected="0">
            <x v="213"/>
          </reference>
          <reference field="6" count="1">
            <x v="47"/>
          </reference>
        </references>
      </pivotArea>
    </format>
    <format dxfId="3362">
      <pivotArea dataOnly="0" labelOnly="1" fieldPosition="0">
        <references count="6">
          <reference field="1" count="1" selected="0">
            <x v="4"/>
          </reference>
          <reference field="2" count="1" selected="0">
            <x v="12"/>
          </reference>
          <reference field="3" count="1" selected="0">
            <x v="1"/>
          </reference>
          <reference field="4" count="1" selected="0">
            <x v="81"/>
          </reference>
          <reference field="5" count="1" selected="0">
            <x v="607"/>
          </reference>
          <reference field="6" count="1">
            <x v="47"/>
          </reference>
        </references>
      </pivotArea>
    </format>
    <format dxfId="3361">
      <pivotArea dataOnly="0" labelOnly="1" fieldPosition="0">
        <references count="6">
          <reference field="1" count="1" selected="0">
            <x v="4"/>
          </reference>
          <reference field="2" count="1" selected="0">
            <x v="27"/>
          </reference>
          <reference field="3" count="1" selected="0">
            <x v="37"/>
          </reference>
          <reference field="4" count="1" selected="0">
            <x v="81"/>
          </reference>
          <reference field="5" count="1" selected="0">
            <x v="1587"/>
          </reference>
          <reference field="6" count="1">
            <x v="47"/>
          </reference>
        </references>
      </pivotArea>
    </format>
    <format dxfId="3360">
      <pivotArea dataOnly="0" labelOnly="1" fieldPosition="0">
        <references count="6">
          <reference field="1" count="1" selected="0">
            <x v="5"/>
          </reference>
          <reference field="2" count="1" selected="0">
            <x v="0"/>
          </reference>
          <reference field="3" count="1" selected="0">
            <x v="10"/>
          </reference>
          <reference field="4" count="1" selected="0">
            <x v="82"/>
          </reference>
          <reference field="5" count="1" selected="0">
            <x v="0"/>
          </reference>
          <reference field="6" count="1">
            <x v="11"/>
          </reference>
        </references>
      </pivotArea>
    </format>
    <format dxfId="3359">
      <pivotArea dataOnly="0" labelOnly="1" fieldPosition="0">
        <references count="6">
          <reference field="1" count="1" selected="0">
            <x v="5"/>
          </reference>
          <reference field="2" count="1" selected="0">
            <x v="0"/>
          </reference>
          <reference field="3" count="1" selected="0">
            <x v="12"/>
          </reference>
          <reference field="4" count="1" selected="0">
            <x v="18"/>
          </reference>
          <reference field="5" count="1" selected="0">
            <x v="11"/>
          </reference>
          <reference field="6" count="1">
            <x v="47"/>
          </reference>
        </references>
      </pivotArea>
    </format>
    <format dxfId="3358">
      <pivotArea dataOnly="0" labelOnly="1" fieldPosition="0">
        <references count="6">
          <reference field="1" count="1" selected="0">
            <x v="5"/>
          </reference>
          <reference field="2" count="1" selected="0">
            <x v="0"/>
          </reference>
          <reference field="3" count="1" selected="0">
            <x v="12"/>
          </reference>
          <reference field="4" count="1" selected="0">
            <x v="59"/>
          </reference>
          <reference field="5" count="1" selected="0">
            <x v="6"/>
          </reference>
          <reference field="6" count="1">
            <x v="47"/>
          </reference>
        </references>
      </pivotArea>
    </format>
    <format dxfId="3357">
      <pivotArea dataOnly="0" labelOnly="1" fieldPosition="0">
        <references count="6">
          <reference field="1" count="1" selected="0">
            <x v="5"/>
          </reference>
          <reference field="2" count="1" selected="0">
            <x v="3"/>
          </reference>
          <reference field="3" count="1" selected="0">
            <x v="1"/>
          </reference>
          <reference field="4" count="1" selected="0">
            <x v="82"/>
          </reference>
          <reference field="5" count="1" selected="0">
            <x v="956"/>
          </reference>
          <reference field="6" count="1">
            <x v="47"/>
          </reference>
        </references>
      </pivotArea>
    </format>
    <format dxfId="3356">
      <pivotArea dataOnly="0" labelOnly="1" fieldPosition="0">
        <references count="6">
          <reference field="1" count="1" selected="0">
            <x v="5"/>
          </reference>
          <reference field="2" count="1" selected="0">
            <x v="3"/>
          </reference>
          <reference field="3" count="1" selected="0">
            <x v="6"/>
          </reference>
          <reference field="4" count="1" selected="0">
            <x v="82"/>
          </reference>
          <reference field="5" count="1" selected="0">
            <x v="387"/>
          </reference>
          <reference field="6" count="1">
            <x v="47"/>
          </reference>
        </references>
      </pivotArea>
    </format>
    <format dxfId="3355">
      <pivotArea dataOnly="0" labelOnly="1" fieldPosition="0">
        <references count="6">
          <reference field="1" count="1" selected="0">
            <x v="5"/>
          </reference>
          <reference field="2" count="1" selected="0">
            <x v="10"/>
          </reference>
          <reference field="3" count="1" selected="0">
            <x v="37"/>
          </reference>
          <reference field="4" count="1" selected="0">
            <x v="82"/>
          </reference>
          <reference field="5" count="1" selected="0">
            <x v="1398"/>
          </reference>
          <reference field="6" count="1">
            <x v="47"/>
          </reference>
        </references>
      </pivotArea>
    </format>
    <format dxfId="3354">
      <pivotArea dataOnly="0" labelOnly="1" fieldPosition="0">
        <references count="6">
          <reference field="1" count="1" selected="0">
            <x v="5"/>
          </reference>
          <reference field="2" count="1" selected="0">
            <x v="12"/>
          </reference>
          <reference field="3" count="1" selected="0">
            <x v="1"/>
          </reference>
          <reference field="4" count="1" selected="0">
            <x v="82"/>
          </reference>
          <reference field="5" count="1" selected="0">
            <x v="80"/>
          </reference>
          <reference field="6" count="1">
            <x v="47"/>
          </reference>
        </references>
      </pivotArea>
    </format>
    <format dxfId="3353">
      <pivotArea dataOnly="0" labelOnly="1" fieldPosition="0">
        <references count="6">
          <reference field="1" count="1" selected="0">
            <x v="5"/>
          </reference>
          <reference field="2" count="1" selected="0">
            <x v="12"/>
          </reference>
          <reference field="3" count="1" selected="0">
            <x v="1"/>
          </reference>
          <reference field="4" count="1" selected="0">
            <x v="82"/>
          </reference>
          <reference field="5" count="1" selected="0">
            <x v="213"/>
          </reference>
          <reference field="6" count="1">
            <x v="47"/>
          </reference>
        </references>
      </pivotArea>
    </format>
    <format dxfId="3352">
      <pivotArea dataOnly="0" labelOnly="1" fieldPosition="0">
        <references count="6">
          <reference field="1" count="1" selected="0">
            <x v="5"/>
          </reference>
          <reference field="2" count="1" selected="0">
            <x v="12"/>
          </reference>
          <reference field="3" count="1" selected="0">
            <x v="1"/>
          </reference>
          <reference field="4" count="1" selected="0">
            <x v="82"/>
          </reference>
          <reference field="5" count="1" selected="0">
            <x v="771"/>
          </reference>
          <reference field="6" count="1">
            <x v="47"/>
          </reference>
        </references>
      </pivotArea>
    </format>
    <format dxfId="3351">
      <pivotArea dataOnly="0" labelOnly="1" fieldPosition="0">
        <references count="6">
          <reference field="1" count="1" selected="0">
            <x v="5"/>
          </reference>
          <reference field="2" count="1" selected="0">
            <x v="19"/>
          </reference>
          <reference field="3" count="1" selected="0">
            <x v="37"/>
          </reference>
          <reference field="4" count="1" selected="0">
            <x v="82"/>
          </reference>
          <reference field="5" count="1" selected="0">
            <x v="1427"/>
          </reference>
          <reference field="6" count="1">
            <x v="47"/>
          </reference>
        </references>
      </pivotArea>
    </format>
    <format dxfId="3350">
      <pivotArea dataOnly="0" labelOnly="1" fieldPosition="0">
        <references count="6">
          <reference field="1" count="1" selected="0">
            <x v="6"/>
          </reference>
          <reference field="2" count="1" selected="0">
            <x v="0"/>
          </reference>
          <reference field="3" count="1" selected="0">
            <x v="8"/>
          </reference>
          <reference field="4" count="1" selected="0">
            <x v="84"/>
          </reference>
          <reference field="5" count="1" selected="0">
            <x v="113"/>
          </reference>
          <reference field="6" count="1">
            <x v="47"/>
          </reference>
        </references>
      </pivotArea>
    </format>
    <format dxfId="3349">
      <pivotArea dataOnly="0" labelOnly="1" fieldPosition="0">
        <references count="6">
          <reference field="1" count="1" selected="0">
            <x v="6"/>
          </reference>
          <reference field="2" count="1" selected="0">
            <x v="0"/>
          </reference>
          <reference field="3" count="1" selected="0">
            <x v="8"/>
          </reference>
          <reference field="4" count="1" selected="0">
            <x v="84"/>
          </reference>
          <reference field="5" count="1" selected="0">
            <x v="854"/>
          </reference>
          <reference field="6" count="1">
            <x v="47"/>
          </reference>
        </references>
      </pivotArea>
    </format>
    <format dxfId="3348">
      <pivotArea dataOnly="0" labelOnly="1" fieldPosition="0">
        <references count="6">
          <reference field="1" count="1" selected="0">
            <x v="6"/>
          </reference>
          <reference field="2" count="1" selected="0">
            <x v="0"/>
          </reference>
          <reference field="3" count="1" selected="0">
            <x v="9"/>
          </reference>
          <reference field="4" count="1" selected="0">
            <x v="84"/>
          </reference>
          <reference field="5" count="1" selected="0">
            <x v="387"/>
          </reference>
          <reference field="6" count="1">
            <x v="47"/>
          </reference>
        </references>
      </pivotArea>
    </format>
    <format dxfId="3347">
      <pivotArea dataOnly="0" labelOnly="1" fieldPosition="0">
        <references count="6">
          <reference field="1" count="1" selected="0">
            <x v="6"/>
          </reference>
          <reference field="2" count="1" selected="0">
            <x v="0"/>
          </reference>
          <reference field="3" count="1" selected="0">
            <x v="9"/>
          </reference>
          <reference field="4" count="1" selected="0">
            <x v="84"/>
          </reference>
          <reference field="5" count="1" selected="0">
            <x v="517"/>
          </reference>
          <reference field="6" count="1">
            <x v="47"/>
          </reference>
        </references>
      </pivotArea>
    </format>
    <format dxfId="3346">
      <pivotArea dataOnly="0" labelOnly="1" fieldPosition="0">
        <references count="6">
          <reference field="1" count="1" selected="0">
            <x v="6"/>
          </reference>
          <reference field="2" count="1" selected="0">
            <x v="0"/>
          </reference>
          <reference field="3" count="1" selected="0">
            <x v="9"/>
          </reference>
          <reference field="4" count="1" selected="0">
            <x v="84"/>
          </reference>
          <reference field="5" count="1" selected="0">
            <x v="645"/>
          </reference>
          <reference field="6" count="1">
            <x v="47"/>
          </reference>
        </references>
      </pivotArea>
    </format>
    <format dxfId="3345">
      <pivotArea dataOnly="0" labelOnly="1" fieldPosition="0">
        <references count="6">
          <reference field="1" count="1" selected="0">
            <x v="6"/>
          </reference>
          <reference field="2" count="1" selected="0">
            <x v="0"/>
          </reference>
          <reference field="3" count="1" selected="0">
            <x v="9"/>
          </reference>
          <reference field="4" count="1" selected="0">
            <x v="84"/>
          </reference>
          <reference field="5" count="1" selected="0">
            <x v="741"/>
          </reference>
          <reference field="6" count="1">
            <x v="47"/>
          </reference>
        </references>
      </pivotArea>
    </format>
    <format dxfId="3344">
      <pivotArea dataOnly="0" labelOnly="1" fieldPosition="0">
        <references count="6">
          <reference field="1" count="1" selected="0">
            <x v="6"/>
          </reference>
          <reference field="2" count="1" selected="0">
            <x v="0"/>
          </reference>
          <reference field="3" count="1" selected="0">
            <x v="12"/>
          </reference>
          <reference field="4" count="1" selected="0">
            <x v="16"/>
          </reference>
          <reference field="5" count="1" selected="0">
            <x v="258"/>
          </reference>
          <reference field="6" count="1">
            <x v="47"/>
          </reference>
        </references>
      </pivotArea>
    </format>
    <format dxfId="3343">
      <pivotArea dataOnly="0" labelOnly="1" fieldPosition="0">
        <references count="6">
          <reference field="1" count="1" selected="0">
            <x v="6"/>
          </reference>
          <reference field="2" count="1" selected="0">
            <x v="0"/>
          </reference>
          <reference field="3" count="1" selected="0">
            <x v="12"/>
          </reference>
          <reference field="4" count="1" selected="0">
            <x v="30"/>
          </reference>
          <reference field="5" count="1" selected="0">
            <x v="59"/>
          </reference>
          <reference field="6" count="1">
            <x v="47"/>
          </reference>
        </references>
      </pivotArea>
    </format>
    <format dxfId="3342">
      <pivotArea dataOnly="0" labelOnly="1" fieldPosition="0">
        <references count="6">
          <reference field="1" count="1" selected="0">
            <x v="6"/>
          </reference>
          <reference field="2" count="1" selected="0">
            <x v="0"/>
          </reference>
          <reference field="3" count="1" selected="0">
            <x v="12"/>
          </reference>
          <reference field="4" count="1" selected="0">
            <x v="48"/>
          </reference>
          <reference field="5" count="1" selected="0">
            <x v="6"/>
          </reference>
          <reference field="6" count="1">
            <x v="47"/>
          </reference>
        </references>
      </pivotArea>
    </format>
    <format dxfId="3341">
      <pivotArea dataOnly="0" labelOnly="1" fieldPosition="0">
        <references count="6">
          <reference field="1" count="1" selected="0">
            <x v="6"/>
          </reference>
          <reference field="2" count="1" selected="0">
            <x v="0"/>
          </reference>
          <reference field="3" count="1" selected="0">
            <x v="12"/>
          </reference>
          <reference field="4" count="1" selected="0">
            <x v="58"/>
          </reference>
          <reference field="5" count="1" selected="0">
            <x v="18"/>
          </reference>
          <reference field="6" count="1">
            <x v="47"/>
          </reference>
        </references>
      </pivotArea>
    </format>
    <format dxfId="3340">
      <pivotArea dataOnly="0" labelOnly="1" fieldPosition="0">
        <references count="6">
          <reference field="1" count="1" selected="0">
            <x v="6"/>
          </reference>
          <reference field="2" count="1" selected="0">
            <x v="0"/>
          </reference>
          <reference field="3" count="1" selected="0">
            <x v="14"/>
          </reference>
          <reference field="4" count="1" selected="0">
            <x v="83"/>
          </reference>
          <reference field="5" count="1" selected="0">
            <x v="546"/>
          </reference>
          <reference field="6" count="1">
            <x v="47"/>
          </reference>
        </references>
      </pivotArea>
    </format>
    <format dxfId="3339">
      <pivotArea dataOnly="0" labelOnly="1" fieldPosition="0">
        <references count="6">
          <reference field="1" count="1" selected="0">
            <x v="6"/>
          </reference>
          <reference field="2" count="1" selected="0">
            <x v="0"/>
          </reference>
          <reference field="3" count="1" selected="0">
            <x v="14"/>
          </reference>
          <reference field="4" count="1" selected="0">
            <x v="83"/>
          </reference>
          <reference field="5" count="1" selected="0">
            <x v="668"/>
          </reference>
          <reference field="6" count="1">
            <x v="47"/>
          </reference>
        </references>
      </pivotArea>
    </format>
    <format dxfId="3338">
      <pivotArea dataOnly="0" labelOnly="1" fieldPosition="0">
        <references count="6">
          <reference field="1" count="1" selected="0">
            <x v="6"/>
          </reference>
          <reference field="2" count="1" selected="0">
            <x v="0"/>
          </reference>
          <reference field="3" count="1" selected="0">
            <x v="14"/>
          </reference>
          <reference field="4" count="1" selected="0">
            <x v="83"/>
          </reference>
          <reference field="5" count="1" selected="0">
            <x v="821"/>
          </reference>
          <reference field="6" count="1">
            <x v="47"/>
          </reference>
        </references>
      </pivotArea>
    </format>
    <format dxfId="3337">
      <pivotArea dataOnly="0" labelOnly="1" fieldPosition="0">
        <references count="6">
          <reference field="1" count="1" selected="0">
            <x v="6"/>
          </reference>
          <reference field="2" count="1" selected="0">
            <x v="0"/>
          </reference>
          <reference field="3" count="1" selected="0">
            <x v="14"/>
          </reference>
          <reference field="4" count="1" selected="0">
            <x v="83"/>
          </reference>
          <reference field="5" count="1" selected="0">
            <x v="829"/>
          </reference>
          <reference field="6" count="1">
            <x v="47"/>
          </reference>
        </references>
      </pivotArea>
    </format>
    <format dxfId="3336">
      <pivotArea dataOnly="0" labelOnly="1" fieldPosition="0">
        <references count="6">
          <reference field="1" count="1" selected="0">
            <x v="6"/>
          </reference>
          <reference field="2" count="1" selected="0">
            <x v="2"/>
          </reference>
          <reference field="3" count="1" selected="0">
            <x v="14"/>
          </reference>
          <reference field="4" count="1" selected="0">
            <x v="83"/>
          </reference>
          <reference field="5" count="1" selected="0">
            <x v="1867"/>
          </reference>
          <reference field="6" count="1">
            <x v="47"/>
          </reference>
        </references>
      </pivotArea>
    </format>
    <format dxfId="3335">
      <pivotArea dataOnly="0" labelOnly="1" fieldPosition="0">
        <references count="6">
          <reference field="1" count="1" selected="0">
            <x v="6"/>
          </reference>
          <reference field="2" count="1" selected="0">
            <x v="3"/>
          </reference>
          <reference field="3" count="1" selected="0">
            <x v="14"/>
          </reference>
          <reference field="4" count="1" selected="0">
            <x v="83"/>
          </reference>
          <reference field="5" count="1" selected="0">
            <x v="1313"/>
          </reference>
          <reference field="6" count="1">
            <x v="47"/>
          </reference>
        </references>
      </pivotArea>
    </format>
    <format dxfId="3334">
      <pivotArea dataOnly="0" labelOnly="1" fieldPosition="0">
        <references count="6">
          <reference field="1" count="1" selected="0">
            <x v="6"/>
          </reference>
          <reference field="2" count="1" selected="0">
            <x v="3"/>
          </reference>
          <reference field="3" count="1" selected="0">
            <x v="37"/>
          </reference>
          <reference field="4" count="1" selected="0">
            <x v="84"/>
          </reference>
          <reference field="5" count="1" selected="0">
            <x v="410"/>
          </reference>
          <reference field="6" count="1">
            <x v="47"/>
          </reference>
        </references>
      </pivotArea>
    </format>
    <format dxfId="3333">
      <pivotArea dataOnly="0" labelOnly="1" fieldPosition="0">
        <references count="6">
          <reference field="1" count="1" selected="0">
            <x v="6"/>
          </reference>
          <reference field="2" count="1" selected="0">
            <x v="12"/>
          </reference>
          <reference field="3" count="1" selected="0">
            <x v="1"/>
          </reference>
          <reference field="4" count="1" selected="0">
            <x v="84"/>
          </reference>
          <reference field="5" count="1" selected="0">
            <x v="80"/>
          </reference>
          <reference field="6" count="1">
            <x v="47"/>
          </reference>
        </references>
      </pivotArea>
    </format>
    <format dxfId="3332">
      <pivotArea dataOnly="0" labelOnly="1" fieldPosition="0">
        <references count="6">
          <reference field="1" count="1" selected="0">
            <x v="6"/>
          </reference>
          <reference field="2" count="1" selected="0">
            <x v="12"/>
          </reference>
          <reference field="3" count="1" selected="0">
            <x v="1"/>
          </reference>
          <reference field="4" count="1" selected="0">
            <x v="84"/>
          </reference>
          <reference field="5" count="1" selected="0">
            <x v="352"/>
          </reference>
          <reference field="6" count="1">
            <x v="47"/>
          </reference>
        </references>
      </pivotArea>
    </format>
    <format dxfId="3331">
      <pivotArea dataOnly="0" labelOnly="1" fieldPosition="0">
        <references count="6">
          <reference field="1" count="1" selected="0">
            <x v="6"/>
          </reference>
          <reference field="2" count="1" selected="0">
            <x v="12"/>
          </reference>
          <reference field="3" count="1" selected="0">
            <x v="1"/>
          </reference>
          <reference field="4" count="1" selected="0">
            <x v="84"/>
          </reference>
          <reference field="5" count="1" selected="0">
            <x v="771"/>
          </reference>
          <reference field="6" count="1">
            <x v="47"/>
          </reference>
        </references>
      </pivotArea>
    </format>
    <format dxfId="3330">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64"/>
          </reference>
          <reference field="6" count="1">
            <x v="47"/>
          </reference>
        </references>
      </pivotArea>
    </format>
    <format dxfId="3329">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242"/>
          </reference>
          <reference field="6" count="1">
            <x v="47"/>
          </reference>
        </references>
      </pivotArea>
    </format>
    <format dxfId="3328">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254"/>
          </reference>
          <reference field="6" count="1">
            <x v="47"/>
          </reference>
        </references>
      </pivotArea>
    </format>
    <format dxfId="3327">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417"/>
          </reference>
          <reference field="6" count="1">
            <x v="47"/>
          </reference>
        </references>
      </pivotArea>
    </format>
    <format dxfId="3326">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548"/>
          </reference>
          <reference field="6" count="1">
            <x v="47"/>
          </reference>
        </references>
      </pivotArea>
    </format>
    <format dxfId="3325">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568"/>
          </reference>
          <reference field="6" count="1">
            <x v="47"/>
          </reference>
        </references>
      </pivotArea>
    </format>
    <format dxfId="3324">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949"/>
          </reference>
          <reference field="6" count="1">
            <x v="47"/>
          </reference>
        </references>
      </pivotArea>
    </format>
    <format dxfId="3323">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298"/>
          </reference>
          <reference field="6" count="1">
            <x v="47"/>
          </reference>
        </references>
      </pivotArea>
    </format>
    <format dxfId="3322">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440"/>
          </reference>
          <reference field="6" count="1">
            <x v="47"/>
          </reference>
        </references>
      </pivotArea>
    </format>
    <format dxfId="3321">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499"/>
          </reference>
          <reference field="6" count="1">
            <x v="47"/>
          </reference>
        </references>
      </pivotArea>
    </format>
    <format dxfId="3320">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567"/>
          </reference>
          <reference field="6" count="1">
            <x v="47"/>
          </reference>
        </references>
      </pivotArea>
    </format>
    <format dxfId="3319">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569"/>
          </reference>
          <reference field="6" count="1">
            <x v="47"/>
          </reference>
        </references>
      </pivotArea>
    </format>
    <format dxfId="3318">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618"/>
          </reference>
          <reference field="6" count="1">
            <x v="47"/>
          </reference>
        </references>
      </pivotArea>
    </format>
    <format dxfId="3317">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626"/>
          </reference>
          <reference field="6" count="1">
            <x v="47"/>
          </reference>
        </references>
      </pivotArea>
    </format>
    <format dxfId="3316">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639"/>
          </reference>
          <reference field="6" count="1">
            <x v="47"/>
          </reference>
        </references>
      </pivotArea>
    </format>
    <format dxfId="3315">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655"/>
          </reference>
          <reference field="6" count="1">
            <x v="47"/>
          </reference>
        </references>
      </pivotArea>
    </format>
    <format dxfId="3314">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671"/>
          </reference>
          <reference field="6" count="1">
            <x v="47"/>
          </reference>
        </references>
      </pivotArea>
    </format>
    <format dxfId="3313">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681"/>
          </reference>
          <reference field="6" count="1">
            <x v="47"/>
          </reference>
        </references>
      </pivotArea>
    </format>
    <format dxfId="3312">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688"/>
          </reference>
          <reference field="6" count="1">
            <x v="47"/>
          </reference>
        </references>
      </pivotArea>
    </format>
    <format dxfId="3311">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693"/>
          </reference>
          <reference field="6" count="1">
            <x v="47"/>
          </reference>
        </references>
      </pivotArea>
    </format>
    <format dxfId="3310">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714"/>
          </reference>
          <reference field="6" count="1">
            <x v="47"/>
          </reference>
        </references>
      </pivotArea>
    </format>
    <format dxfId="3309">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745"/>
          </reference>
          <reference field="6" count="1">
            <x v="47"/>
          </reference>
        </references>
      </pivotArea>
    </format>
    <format dxfId="3308">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748"/>
          </reference>
          <reference field="6" count="1">
            <x v="47"/>
          </reference>
        </references>
      </pivotArea>
    </format>
    <format dxfId="3307">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757"/>
          </reference>
          <reference field="6" count="1">
            <x v="47"/>
          </reference>
        </references>
      </pivotArea>
    </format>
    <format dxfId="3306">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794"/>
          </reference>
          <reference field="6" count="1">
            <x v="47"/>
          </reference>
        </references>
      </pivotArea>
    </format>
    <format dxfId="3305">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829"/>
          </reference>
          <reference field="6" count="1">
            <x v="47"/>
          </reference>
        </references>
      </pivotArea>
    </format>
    <format dxfId="3304">
      <pivotArea dataOnly="0" labelOnly="1" fieldPosition="0">
        <references count="6">
          <reference field="1" count="1" selected="0">
            <x v="6"/>
          </reference>
          <reference field="2" count="1" selected="0">
            <x v="12"/>
          </reference>
          <reference field="3" count="1" selected="0">
            <x v="14"/>
          </reference>
          <reference field="4" count="1" selected="0">
            <x v="83"/>
          </reference>
          <reference field="5" count="1" selected="0">
            <x v="1841"/>
          </reference>
          <reference field="6" count="1">
            <x v="47"/>
          </reference>
        </references>
      </pivotArea>
    </format>
    <format dxfId="3303">
      <pivotArea dataOnly="0" labelOnly="1" fieldPosition="0">
        <references count="6">
          <reference field="1" count="1" selected="0">
            <x v="6"/>
          </reference>
          <reference field="2" count="1" selected="0">
            <x v="15"/>
          </reference>
          <reference field="3" count="1" selected="0">
            <x v="7"/>
          </reference>
          <reference field="4" count="1" selected="0">
            <x v="84"/>
          </reference>
          <reference field="5" count="1" selected="0">
            <x v="882"/>
          </reference>
          <reference field="6" count="1">
            <x v="47"/>
          </reference>
        </references>
      </pivotArea>
    </format>
    <format dxfId="3302">
      <pivotArea dataOnly="0" labelOnly="1" fieldPosition="0">
        <references count="6">
          <reference field="1" count="1" selected="0">
            <x v="6"/>
          </reference>
          <reference field="2" count="1" selected="0">
            <x v="17"/>
          </reference>
          <reference field="3" count="1" selected="0">
            <x v="14"/>
          </reference>
          <reference field="4" count="1" selected="0">
            <x v="83"/>
          </reference>
          <reference field="5" count="1" selected="0">
            <x v="1471"/>
          </reference>
          <reference field="6" count="1">
            <x v="47"/>
          </reference>
        </references>
      </pivotArea>
    </format>
    <format dxfId="3301">
      <pivotArea dataOnly="0" labelOnly="1" fieldPosition="0">
        <references count="6">
          <reference field="1" count="1" selected="0">
            <x v="6"/>
          </reference>
          <reference field="2" count="1" selected="0">
            <x v="21"/>
          </reference>
          <reference field="3" count="1" selected="0">
            <x v="14"/>
          </reference>
          <reference field="4" count="1" selected="0">
            <x v="83"/>
          </reference>
          <reference field="5" count="1" selected="0">
            <x v="1185"/>
          </reference>
          <reference field="6" count="1">
            <x v="47"/>
          </reference>
        </references>
      </pivotArea>
    </format>
    <format dxfId="3300">
      <pivotArea dataOnly="0" labelOnly="1" fieldPosition="0">
        <references count="6">
          <reference field="1" count="1" selected="0">
            <x v="6"/>
          </reference>
          <reference field="2" count="1" selected="0">
            <x v="21"/>
          </reference>
          <reference field="3" count="1" selected="0">
            <x v="37"/>
          </reference>
          <reference field="4" count="1" selected="0">
            <x v="84"/>
          </reference>
          <reference field="5" count="1" selected="0">
            <x v="1068"/>
          </reference>
          <reference field="6" count="1">
            <x v="47"/>
          </reference>
        </references>
      </pivotArea>
    </format>
    <format dxfId="3299">
      <pivotArea dataOnly="0" labelOnly="1" fieldPosition="0">
        <references count="6">
          <reference field="1" count="1" selected="0">
            <x v="6"/>
          </reference>
          <reference field="2" count="1" selected="0">
            <x v="23"/>
          </reference>
          <reference field="3" count="1" selected="0">
            <x v="14"/>
          </reference>
          <reference field="4" count="1" selected="0">
            <x v="83"/>
          </reference>
          <reference field="5" count="1" selected="0">
            <x v="1728"/>
          </reference>
          <reference field="6" count="1">
            <x v="47"/>
          </reference>
        </references>
      </pivotArea>
    </format>
    <format dxfId="3298">
      <pivotArea dataOnly="0" labelOnly="1" fieldPosition="0">
        <references count="6">
          <reference field="1" count="1" selected="0">
            <x v="6"/>
          </reference>
          <reference field="2" count="1" selected="0">
            <x v="24"/>
          </reference>
          <reference field="3" count="1" selected="0">
            <x v="14"/>
          </reference>
          <reference field="4" count="1" selected="0">
            <x v="83"/>
          </reference>
          <reference field="5" count="1" selected="0">
            <x v="885"/>
          </reference>
          <reference field="6" count="1">
            <x v="47"/>
          </reference>
        </references>
      </pivotArea>
    </format>
    <format dxfId="3297">
      <pivotArea dataOnly="0" labelOnly="1" fieldPosition="0">
        <references count="6">
          <reference field="1" count="1" selected="0">
            <x v="6"/>
          </reference>
          <reference field="2" count="1" selected="0">
            <x v="27"/>
          </reference>
          <reference field="3" count="1" selected="0">
            <x v="14"/>
          </reference>
          <reference field="4" count="1" selected="0">
            <x v="83"/>
          </reference>
          <reference field="5" count="1" selected="0">
            <x v="599"/>
          </reference>
          <reference field="6" count="1">
            <x v="47"/>
          </reference>
        </references>
      </pivotArea>
    </format>
    <format dxfId="3296">
      <pivotArea dataOnly="0" labelOnly="1" fieldPosition="0">
        <references count="6">
          <reference field="1" count="1" selected="0">
            <x v="6"/>
          </reference>
          <reference field="2" count="1" selected="0">
            <x v="35"/>
          </reference>
          <reference field="3" count="1" selected="0">
            <x v="1"/>
          </reference>
          <reference field="4" count="1" selected="0">
            <x v="84"/>
          </reference>
          <reference field="5" count="1" selected="0">
            <x v="80"/>
          </reference>
          <reference field="6" count="1">
            <x v="47"/>
          </reference>
        </references>
      </pivotArea>
    </format>
    <format dxfId="3295">
      <pivotArea dataOnly="0" labelOnly="1" fieldPosition="0">
        <references count="6">
          <reference field="1" count="1" selected="0">
            <x v="6"/>
          </reference>
          <reference field="2" count="1" selected="0">
            <x v="35"/>
          </reference>
          <reference field="3" count="1" selected="0">
            <x v="1"/>
          </reference>
          <reference field="4" count="1" selected="0">
            <x v="84"/>
          </reference>
          <reference field="5" count="1" selected="0">
            <x v="213"/>
          </reference>
          <reference field="6" count="1">
            <x v="47"/>
          </reference>
        </references>
      </pivotArea>
    </format>
    <format dxfId="3294">
      <pivotArea dataOnly="0" labelOnly="1" fieldPosition="0">
        <references count="6">
          <reference field="1" count="1" selected="0">
            <x v="6"/>
          </reference>
          <reference field="2" count="1" selected="0">
            <x v="35"/>
          </reference>
          <reference field="3" count="1" selected="0">
            <x v="14"/>
          </reference>
          <reference field="4" count="1" selected="0">
            <x v="83"/>
          </reference>
          <reference field="5" count="1" selected="0">
            <x v="154"/>
          </reference>
          <reference field="6" count="1">
            <x v="47"/>
          </reference>
        </references>
      </pivotArea>
    </format>
    <format dxfId="3293">
      <pivotArea dataOnly="0" labelOnly="1" fieldPosition="0">
        <references count="6">
          <reference field="1" count="1" selected="0">
            <x v="6"/>
          </reference>
          <reference field="2" count="1" selected="0">
            <x v="35"/>
          </reference>
          <reference field="3" count="1" selected="0">
            <x v="14"/>
          </reference>
          <reference field="4" count="1" selected="0">
            <x v="83"/>
          </reference>
          <reference field="5" count="1" selected="0">
            <x v="259"/>
          </reference>
          <reference field="6" count="1">
            <x v="47"/>
          </reference>
        </references>
      </pivotArea>
    </format>
    <format dxfId="3292">
      <pivotArea dataOnly="0" labelOnly="1" fieldPosition="0">
        <references count="6">
          <reference field="1" count="1" selected="0">
            <x v="6"/>
          </reference>
          <reference field="2" count="1" selected="0">
            <x v="35"/>
          </reference>
          <reference field="3" count="1" selected="0">
            <x v="14"/>
          </reference>
          <reference field="4" count="1" selected="0">
            <x v="83"/>
          </reference>
          <reference field="5" count="1" selected="0">
            <x v="264"/>
          </reference>
          <reference field="6" count="1">
            <x v="47"/>
          </reference>
        </references>
      </pivotArea>
    </format>
    <format dxfId="3291">
      <pivotArea dataOnly="0" labelOnly="1" fieldPosition="0">
        <references count="6">
          <reference field="1" count="1" selected="0">
            <x v="6"/>
          </reference>
          <reference field="2" count="1" selected="0">
            <x v="35"/>
          </reference>
          <reference field="3" count="1" selected="0">
            <x v="14"/>
          </reference>
          <reference field="4" count="1" selected="0">
            <x v="83"/>
          </reference>
          <reference field="5" count="1" selected="0">
            <x v="478"/>
          </reference>
          <reference field="6" count="1">
            <x v="47"/>
          </reference>
        </references>
      </pivotArea>
    </format>
    <format dxfId="3290">
      <pivotArea dataOnly="0" labelOnly="1" fieldPosition="0">
        <references count="6">
          <reference field="1" count="1" selected="0">
            <x v="6"/>
          </reference>
          <reference field="2" count="1" selected="0">
            <x v="35"/>
          </reference>
          <reference field="3" count="1" selected="0">
            <x v="14"/>
          </reference>
          <reference field="4" count="1" selected="0">
            <x v="83"/>
          </reference>
          <reference field="5" count="1" selected="0">
            <x v="525"/>
          </reference>
          <reference field="6" count="1">
            <x v="47"/>
          </reference>
        </references>
      </pivotArea>
    </format>
    <format dxfId="3289">
      <pivotArea dataOnly="0" labelOnly="1" fieldPosition="0">
        <references count="6">
          <reference field="1" count="1" selected="0">
            <x v="6"/>
          </reference>
          <reference field="2" count="1" selected="0">
            <x v="35"/>
          </reference>
          <reference field="3" count="1" selected="0">
            <x v="14"/>
          </reference>
          <reference field="4" count="1" selected="0">
            <x v="83"/>
          </reference>
          <reference field="5" count="1" selected="0">
            <x v="527"/>
          </reference>
          <reference field="6" count="1">
            <x v="47"/>
          </reference>
        </references>
      </pivotArea>
    </format>
    <format dxfId="3288">
      <pivotArea dataOnly="0" labelOnly="1" fieldPosition="0">
        <references count="6">
          <reference field="1" count="1" selected="0">
            <x v="6"/>
          </reference>
          <reference field="2" count="1" selected="0">
            <x v="35"/>
          </reference>
          <reference field="3" count="1" selected="0">
            <x v="14"/>
          </reference>
          <reference field="4" count="1" selected="0">
            <x v="83"/>
          </reference>
          <reference field="5" count="1" selected="0">
            <x v="618"/>
          </reference>
          <reference field="6" count="1">
            <x v="47"/>
          </reference>
        </references>
      </pivotArea>
    </format>
    <format dxfId="3287">
      <pivotArea dataOnly="0" labelOnly="1" fieldPosition="0">
        <references count="6">
          <reference field="1" count="1" selected="0">
            <x v="6"/>
          </reference>
          <reference field="2" count="1" selected="0">
            <x v="35"/>
          </reference>
          <reference field="3" count="1" selected="0">
            <x v="14"/>
          </reference>
          <reference field="4" count="1" selected="0">
            <x v="83"/>
          </reference>
          <reference field="5" count="1" selected="0">
            <x v="730"/>
          </reference>
          <reference field="6" count="1">
            <x v="47"/>
          </reference>
        </references>
      </pivotArea>
    </format>
    <format dxfId="3286">
      <pivotArea dataOnly="0" labelOnly="1" fieldPosition="0">
        <references count="6">
          <reference field="1" count="1" selected="0">
            <x v="6"/>
          </reference>
          <reference field="2" count="1" selected="0">
            <x v="35"/>
          </reference>
          <reference field="3" count="1" selected="0">
            <x v="14"/>
          </reference>
          <reference field="4" count="1" selected="0">
            <x v="83"/>
          </reference>
          <reference field="5" count="1" selected="0">
            <x v="746"/>
          </reference>
          <reference field="6" count="1">
            <x v="47"/>
          </reference>
        </references>
      </pivotArea>
    </format>
    <format dxfId="3285">
      <pivotArea dataOnly="0" labelOnly="1" fieldPosition="0">
        <references count="6">
          <reference field="1" count="1" selected="0">
            <x v="6"/>
          </reference>
          <reference field="2" count="1" selected="0">
            <x v="35"/>
          </reference>
          <reference field="3" count="1" selected="0">
            <x v="14"/>
          </reference>
          <reference field="4" count="1" selected="0">
            <x v="83"/>
          </reference>
          <reference field="5" count="1" selected="0">
            <x v="1131"/>
          </reference>
          <reference field="6" count="1">
            <x v="47"/>
          </reference>
        </references>
      </pivotArea>
    </format>
    <format dxfId="3284">
      <pivotArea dataOnly="0" labelOnly="1" fieldPosition="0">
        <references count="6">
          <reference field="1" count="1" selected="0">
            <x v="7"/>
          </reference>
          <reference field="2" count="1" selected="0">
            <x v="0"/>
          </reference>
          <reference field="3" count="1" selected="0">
            <x v="1"/>
          </reference>
          <reference field="4" count="1" selected="0">
            <x v="85"/>
          </reference>
          <reference field="5" count="1" selected="0">
            <x v="80"/>
          </reference>
          <reference field="6" count="1">
            <x v="47"/>
          </reference>
        </references>
      </pivotArea>
    </format>
    <format dxfId="3283">
      <pivotArea dataOnly="0" labelOnly="1" fieldPosition="0">
        <references count="6">
          <reference field="1" count="1" selected="0">
            <x v="7"/>
          </reference>
          <reference field="2" count="1" selected="0">
            <x v="0"/>
          </reference>
          <reference field="3" count="1" selected="0">
            <x v="12"/>
          </reference>
          <reference field="4" count="1" selected="0">
            <x v="16"/>
          </reference>
          <reference field="5" count="1" selected="0">
            <x v="258"/>
          </reference>
          <reference field="6" count="1">
            <x v="47"/>
          </reference>
        </references>
      </pivotArea>
    </format>
    <format dxfId="3282">
      <pivotArea dataOnly="0" labelOnly="1" fieldPosition="0">
        <references count="6">
          <reference field="1" count="1" selected="0">
            <x v="7"/>
          </reference>
          <reference field="2" count="1" selected="0">
            <x v="0"/>
          </reference>
          <reference field="3" count="1" selected="0">
            <x v="12"/>
          </reference>
          <reference field="4" count="1" selected="0">
            <x v="18"/>
          </reference>
          <reference field="5" count="1" selected="0">
            <x v="18"/>
          </reference>
          <reference field="6" count="1">
            <x v="47"/>
          </reference>
        </references>
      </pivotArea>
    </format>
    <format dxfId="3281">
      <pivotArea dataOnly="0" labelOnly="1" fieldPosition="0">
        <references count="6">
          <reference field="1" count="1" selected="0">
            <x v="7"/>
          </reference>
          <reference field="2" count="1" selected="0">
            <x v="6"/>
          </reference>
          <reference field="3" count="1" selected="0">
            <x v="37"/>
          </reference>
          <reference field="4" count="1" selected="0">
            <x v="85"/>
          </reference>
          <reference field="5" count="1" selected="0">
            <x v="1234"/>
          </reference>
          <reference field="6" count="1">
            <x v="47"/>
          </reference>
        </references>
      </pivotArea>
    </format>
    <format dxfId="3280">
      <pivotArea dataOnly="0" labelOnly="1" fieldPosition="0">
        <references count="6">
          <reference field="1" count="1" selected="0">
            <x v="7"/>
          </reference>
          <reference field="2" count="1" selected="0">
            <x v="9"/>
          </reference>
          <reference field="3" count="1" selected="0">
            <x v="1"/>
          </reference>
          <reference field="4" count="1" selected="0">
            <x v="85"/>
          </reference>
          <reference field="5" count="1" selected="0">
            <x v="1019"/>
          </reference>
          <reference field="6" count="1">
            <x v="47"/>
          </reference>
        </references>
      </pivotArea>
    </format>
    <format dxfId="3279">
      <pivotArea dataOnly="0" labelOnly="1" fieldPosition="0">
        <references count="6">
          <reference field="1" count="1" selected="0">
            <x v="7"/>
          </reference>
          <reference field="2" count="1" selected="0">
            <x v="12"/>
          </reference>
          <reference field="3" count="1" selected="0">
            <x v="1"/>
          </reference>
          <reference field="4" count="1" selected="0">
            <x v="85"/>
          </reference>
          <reference field="5" count="1" selected="0">
            <x v="80"/>
          </reference>
          <reference field="6" count="1">
            <x v="47"/>
          </reference>
        </references>
      </pivotArea>
    </format>
    <format dxfId="3278">
      <pivotArea dataOnly="0" labelOnly="1" fieldPosition="0">
        <references count="6">
          <reference field="1" count="1" selected="0">
            <x v="7"/>
          </reference>
          <reference field="2" count="1" selected="0">
            <x v="12"/>
          </reference>
          <reference field="3" count="1" selected="0">
            <x v="1"/>
          </reference>
          <reference field="4" count="1" selected="0">
            <x v="85"/>
          </reference>
          <reference field="5" count="1" selected="0">
            <x v="213"/>
          </reference>
          <reference field="6" count="1">
            <x v="47"/>
          </reference>
        </references>
      </pivotArea>
    </format>
    <format dxfId="3277">
      <pivotArea dataOnly="0" labelOnly="1" fieldPosition="0">
        <references count="6">
          <reference field="1" count="1" selected="0">
            <x v="7"/>
          </reference>
          <reference field="2" count="1" selected="0">
            <x v="12"/>
          </reference>
          <reference field="3" count="1" selected="0">
            <x v="37"/>
          </reference>
          <reference field="4" count="1" selected="0">
            <x v="85"/>
          </reference>
          <reference field="5" count="1" selected="0">
            <x v="800"/>
          </reference>
          <reference field="6" count="1">
            <x v="47"/>
          </reference>
        </references>
      </pivotArea>
    </format>
    <format dxfId="3276">
      <pivotArea dataOnly="0" labelOnly="1" fieldPosition="0">
        <references count="6">
          <reference field="1" count="1" selected="0">
            <x v="7"/>
          </reference>
          <reference field="2" count="1" selected="0">
            <x v="15"/>
          </reference>
          <reference field="3" count="1" selected="0">
            <x v="37"/>
          </reference>
          <reference field="4" count="1" selected="0">
            <x v="85"/>
          </reference>
          <reference field="5" count="1" selected="0">
            <x v="456"/>
          </reference>
          <reference field="6" count="1">
            <x v="47"/>
          </reference>
        </references>
      </pivotArea>
    </format>
    <format dxfId="3275">
      <pivotArea dataOnly="0" labelOnly="1" fieldPosition="0">
        <references count="6">
          <reference field="1" count="1" selected="0">
            <x v="7"/>
          </reference>
          <reference field="2" count="1" selected="0">
            <x v="19"/>
          </reference>
          <reference field="3" count="1" selected="0">
            <x v="37"/>
          </reference>
          <reference field="4" count="1" selected="0">
            <x v="85"/>
          </reference>
          <reference field="5" count="1" selected="0">
            <x v="137"/>
          </reference>
          <reference field="6" count="1">
            <x v="47"/>
          </reference>
        </references>
      </pivotArea>
    </format>
    <format dxfId="3274">
      <pivotArea dataOnly="0" labelOnly="1" fieldPosition="0">
        <references count="6">
          <reference field="1" count="1" selected="0">
            <x v="7"/>
          </reference>
          <reference field="2" count="1" selected="0">
            <x v="21"/>
          </reference>
          <reference field="3" count="1" selected="0">
            <x v="37"/>
          </reference>
          <reference field="4" count="1" selected="0">
            <x v="85"/>
          </reference>
          <reference field="5" count="1" selected="0">
            <x v="352"/>
          </reference>
          <reference field="6" count="1">
            <x v="47"/>
          </reference>
        </references>
      </pivotArea>
    </format>
    <format dxfId="3273">
      <pivotArea dataOnly="0" labelOnly="1" fieldPosition="0">
        <references count="6">
          <reference field="1" count="1" selected="0">
            <x v="7"/>
          </reference>
          <reference field="2" count="1" selected="0">
            <x v="26"/>
          </reference>
          <reference field="3" count="1" selected="0">
            <x v="38"/>
          </reference>
          <reference field="4" count="1" selected="0">
            <x v="85"/>
          </reference>
          <reference field="5" count="1" selected="0">
            <x v="371"/>
          </reference>
          <reference field="6" count="1">
            <x v="47"/>
          </reference>
        </references>
      </pivotArea>
    </format>
    <format dxfId="3272">
      <pivotArea dataOnly="0" labelOnly="1" fieldPosition="0">
        <references count="6">
          <reference field="1" count="1" selected="0">
            <x v="7"/>
          </reference>
          <reference field="2" count="1" selected="0">
            <x v="35"/>
          </reference>
          <reference field="3" count="1" selected="0">
            <x v="1"/>
          </reference>
          <reference field="4" count="1" selected="0">
            <x v="85"/>
          </reference>
          <reference field="5" count="1" selected="0">
            <x v="80"/>
          </reference>
          <reference field="6" count="1">
            <x v="47"/>
          </reference>
        </references>
      </pivotArea>
    </format>
    <format dxfId="3271">
      <pivotArea dataOnly="0" labelOnly="1" fieldPosition="0">
        <references count="6">
          <reference field="1" count="1" selected="0">
            <x v="7"/>
          </reference>
          <reference field="2" count="1" selected="0">
            <x v="35"/>
          </reference>
          <reference field="3" count="1" selected="0">
            <x v="1"/>
          </reference>
          <reference field="4" count="1" selected="0">
            <x v="85"/>
          </reference>
          <reference field="5" count="1" selected="0">
            <x v="213"/>
          </reference>
          <reference field="6" count="1">
            <x v="47"/>
          </reference>
        </references>
      </pivotArea>
    </format>
    <format dxfId="3270">
      <pivotArea dataOnly="0" labelOnly="1" fieldPosition="0">
        <references count="6">
          <reference field="1" count="1" selected="0">
            <x v="7"/>
          </reference>
          <reference field="2" count="1" selected="0">
            <x v="35"/>
          </reference>
          <reference field="3" count="1" selected="0">
            <x v="1"/>
          </reference>
          <reference field="4" count="1" selected="0">
            <x v="85"/>
          </reference>
          <reference field="5" count="1" selected="0">
            <x v="352"/>
          </reference>
          <reference field="6" count="1">
            <x v="47"/>
          </reference>
        </references>
      </pivotArea>
    </format>
    <format dxfId="3269">
      <pivotArea dataOnly="0" labelOnly="1" fieldPosition="0">
        <references count="6">
          <reference field="1" count="1" selected="0">
            <x v="8"/>
          </reference>
          <reference field="2" count="1" selected="0">
            <x v="0"/>
          </reference>
          <reference field="3" count="1" selected="0">
            <x v="8"/>
          </reference>
          <reference field="4" count="1" selected="0">
            <x v="86"/>
          </reference>
          <reference field="5" count="1" selected="0">
            <x v="585"/>
          </reference>
          <reference field="6" count="1">
            <x v="47"/>
          </reference>
        </references>
      </pivotArea>
    </format>
    <format dxfId="3268">
      <pivotArea dataOnly="0" labelOnly="1" fieldPosition="0">
        <references count="6">
          <reference field="1" count="1" selected="0">
            <x v="8"/>
          </reference>
          <reference field="2" count="1" selected="0">
            <x v="0"/>
          </reference>
          <reference field="3" count="1" selected="0">
            <x v="9"/>
          </reference>
          <reference field="4" count="1" selected="0">
            <x v="86"/>
          </reference>
          <reference field="5" count="1" selected="0">
            <x v="559"/>
          </reference>
          <reference field="6" count="1">
            <x v="47"/>
          </reference>
        </references>
      </pivotArea>
    </format>
    <format dxfId="3267">
      <pivotArea dataOnly="0" labelOnly="1" fieldPosition="0">
        <references count="6">
          <reference field="1" count="1" selected="0">
            <x v="8"/>
          </reference>
          <reference field="2" count="1" selected="0">
            <x v="0"/>
          </reference>
          <reference field="3" count="1" selected="0">
            <x v="12"/>
          </reference>
          <reference field="4" count="1" selected="0">
            <x v="4"/>
          </reference>
          <reference field="5" count="1" selected="0">
            <x v="197"/>
          </reference>
          <reference field="6" count="1">
            <x v="47"/>
          </reference>
        </references>
      </pivotArea>
    </format>
    <format dxfId="3266">
      <pivotArea dataOnly="0" labelOnly="1" fieldPosition="0">
        <references count="6">
          <reference field="1" count="1" selected="0">
            <x v="8"/>
          </reference>
          <reference field="2" count="1" selected="0">
            <x v="0"/>
          </reference>
          <reference field="3" count="1" selected="0">
            <x v="12"/>
          </reference>
          <reference field="4" count="1" selected="0">
            <x v="48"/>
          </reference>
          <reference field="5" count="1" selected="0">
            <x v="6"/>
          </reference>
          <reference field="6" count="1">
            <x v="47"/>
          </reference>
        </references>
      </pivotArea>
    </format>
    <format dxfId="3265">
      <pivotArea dataOnly="0" labelOnly="1" fieldPosition="0">
        <references count="6">
          <reference field="1" count="1" selected="0">
            <x v="8"/>
          </reference>
          <reference field="2" count="1" selected="0">
            <x v="3"/>
          </reference>
          <reference field="3" count="1" selected="0">
            <x v="38"/>
          </reference>
          <reference field="4" count="1" selected="0">
            <x v="86"/>
          </reference>
          <reference field="5" count="1" selected="0">
            <x v="278"/>
          </reference>
          <reference field="6" count="1">
            <x v="47"/>
          </reference>
        </references>
      </pivotArea>
    </format>
    <format dxfId="3264">
      <pivotArea dataOnly="0" labelOnly="1" fieldPosition="0">
        <references count="6">
          <reference field="1" count="1" selected="0">
            <x v="8"/>
          </reference>
          <reference field="2" count="1" selected="0">
            <x v="5"/>
          </reference>
          <reference field="3" count="1" selected="0">
            <x v="37"/>
          </reference>
          <reference field="4" count="1" selected="0">
            <x v="86"/>
          </reference>
          <reference field="5" count="1" selected="0">
            <x v="834"/>
          </reference>
          <reference field="6" count="1">
            <x v="47"/>
          </reference>
        </references>
      </pivotArea>
    </format>
    <format dxfId="3263">
      <pivotArea dataOnly="0" labelOnly="1" fieldPosition="0">
        <references count="6">
          <reference field="1" count="1" selected="0">
            <x v="8"/>
          </reference>
          <reference field="2" count="1" selected="0">
            <x v="5"/>
          </reference>
          <reference field="3" count="1" selected="0">
            <x v="38"/>
          </reference>
          <reference field="4" count="1" selected="0">
            <x v="86"/>
          </reference>
          <reference field="5" count="1" selected="0">
            <x v="1723"/>
          </reference>
          <reference field="6" count="1">
            <x v="47"/>
          </reference>
        </references>
      </pivotArea>
    </format>
    <format dxfId="3262">
      <pivotArea dataOnly="0" labelOnly="1" fieldPosition="0">
        <references count="6">
          <reference field="1" count="1" selected="0">
            <x v="8"/>
          </reference>
          <reference field="2" count="1" selected="0">
            <x v="9"/>
          </reference>
          <reference field="3" count="1" selected="0">
            <x v="8"/>
          </reference>
          <reference field="4" count="1" selected="0">
            <x v="86"/>
          </reference>
          <reference field="5" count="1" selected="0">
            <x v="1035"/>
          </reference>
          <reference field="6" count="1">
            <x v="47"/>
          </reference>
        </references>
      </pivotArea>
    </format>
    <format dxfId="3261">
      <pivotArea dataOnly="0" labelOnly="1" fieldPosition="0">
        <references count="6">
          <reference field="1" count="1" selected="0">
            <x v="8"/>
          </reference>
          <reference field="2" count="1" selected="0">
            <x v="12"/>
          </reference>
          <reference field="3" count="1" selected="0">
            <x v="1"/>
          </reference>
          <reference field="4" count="1" selected="0">
            <x v="86"/>
          </reference>
          <reference field="5" count="1" selected="0">
            <x v="80"/>
          </reference>
          <reference field="6" count="1">
            <x v="47"/>
          </reference>
        </references>
      </pivotArea>
    </format>
    <format dxfId="3260">
      <pivotArea dataOnly="0" labelOnly="1" fieldPosition="0">
        <references count="6">
          <reference field="1" count="1" selected="0">
            <x v="8"/>
          </reference>
          <reference field="2" count="1" selected="0">
            <x v="12"/>
          </reference>
          <reference field="3" count="1" selected="0">
            <x v="1"/>
          </reference>
          <reference field="4" count="1" selected="0">
            <x v="86"/>
          </reference>
          <reference field="5" count="1" selected="0">
            <x v="352"/>
          </reference>
          <reference field="6" count="1">
            <x v="47"/>
          </reference>
        </references>
      </pivotArea>
    </format>
    <format dxfId="3259">
      <pivotArea dataOnly="0" labelOnly="1" fieldPosition="0">
        <references count="6">
          <reference field="1" count="1" selected="0">
            <x v="8"/>
          </reference>
          <reference field="2" count="1" selected="0">
            <x v="12"/>
          </reference>
          <reference field="3" count="1" selected="0">
            <x v="1"/>
          </reference>
          <reference field="4" count="1" selected="0">
            <x v="86"/>
          </reference>
          <reference field="5" count="1" selected="0">
            <x v="500"/>
          </reference>
          <reference field="6" count="1">
            <x v="47"/>
          </reference>
        </references>
      </pivotArea>
    </format>
    <format dxfId="3258">
      <pivotArea dataOnly="0" labelOnly="1" fieldPosition="0">
        <references count="6">
          <reference field="1" count="1" selected="0">
            <x v="8"/>
          </reference>
          <reference field="2" count="1" selected="0">
            <x v="23"/>
          </reference>
          <reference field="3" count="1" selected="0">
            <x v="37"/>
          </reference>
          <reference field="4" count="1" selected="0">
            <x v="86"/>
          </reference>
          <reference field="5" count="1" selected="0">
            <x v="653"/>
          </reference>
          <reference field="6" count="1">
            <x v="47"/>
          </reference>
        </references>
      </pivotArea>
    </format>
    <format dxfId="3257">
      <pivotArea dataOnly="0" labelOnly="1" fieldPosition="0">
        <references count="6">
          <reference field="1" count="1" selected="0">
            <x v="9"/>
          </reference>
          <reference field="2" count="1" selected="0">
            <x v="0"/>
          </reference>
          <reference field="3" count="1" selected="0">
            <x v="37"/>
          </reference>
          <reference field="4" count="1" selected="0">
            <x v="87"/>
          </reference>
          <reference field="5" count="1" selected="0">
            <x v="744"/>
          </reference>
          <reference field="6" count="1">
            <x v="47"/>
          </reference>
        </references>
      </pivotArea>
    </format>
    <format dxfId="3256">
      <pivotArea dataOnly="0" labelOnly="1" fieldPosition="0">
        <references count="6">
          <reference field="1" count="1" selected="0">
            <x v="9"/>
          </reference>
          <reference field="2" count="1" selected="0">
            <x v="8"/>
          </reference>
          <reference field="3" count="1" selected="0">
            <x v="37"/>
          </reference>
          <reference field="4" count="1" selected="0">
            <x v="87"/>
          </reference>
          <reference field="5" count="1" selected="0">
            <x v="1341"/>
          </reference>
          <reference field="6" count="1">
            <x v="47"/>
          </reference>
        </references>
      </pivotArea>
    </format>
    <format dxfId="3255">
      <pivotArea dataOnly="0" labelOnly="1" fieldPosition="0">
        <references count="6">
          <reference field="1" count="1" selected="0">
            <x v="9"/>
          </reference>
          <reference field="2" count="1" selected="0">
            <x v="12"/>
          </reference>
          <reference field="3" count="1" selected="0">
            <x v="1"/>
          </reference>
          <reference field="4" count="1" selected="0">
            <x v="87"/>
          </reference>
          <reference field="5" count="1" selected="0">
            <x v="80"/>
          </reference>
          <reference field="6" count="1">
            <x v="47"/>
          </reference>
        </references>
      </pivotArea>
    </format>
    <format dxfId="3254">
      <pivotArea dataOnly="0" labelOnly="1" fieldPosition="0">
        <references count="6">
          <reference field="1" count="1" selected="0">
            <x v="9"/>
          </reference>
          <reference field="2" count="1" selected="0">
            <x v="12"/>
          </reference>
          <reference field="3" count="1" selected="0">
            <x v="1"/>
          </reference>
          <reference field="4" count="1" selected="0">
            <x v="87"/>
          </reference>
          <reference field="5" count="1" selected="0">
            <x v="213"/>
          </reference>
          <reference field="6" count="1">
            <x v="47"/>
          </reference>
        </references>
      </pivotArea>
    </format>
    <format dxfId="3253">
      <pivotArea dataOnly="0" labelOnly="1" fieldPosition="0">
        <references count="6">
          <reference field="1" count="1" selected="0">
            <x v="9"/>
          </reference>
          <reference field="2" count="1" selected="0">
            <x v="12"/>
          </reference>
          <reference field="3" count="1" selected="0">
            <x v="1"/>
          </reference>
          <reference field="4" count="1" selected="0">
            <x v="87"/>
          </reference>
          <reference field="5" count="1" selected="0">
            <x v="352"/>
          </reference>
          <reference field="6" count="1">
            <x v="47"/>
          </reference>
        </references>
      </pivotArea>
    </format>
    <format dxfId="3252">
      <pivotArea dataOnly="0" labelOnly="1" fieldPosition="0">
        <references count="6">
          <reference field="1" count="1" selected="0">
            <x v="9"/>
          </reference>
          <reference field="2" count="1" selected="0">
            <x v="12"/>
          </reference>
          <reference field="3" count="1" selected="0">
            <x v="1"/>
          </reference>
          <reference field="4" count="1" selected="0">
            <x v="87"/>
          </reference>
          <reference field="5" count="1" selected="0">
            <x v="500"/>
          </reference>
          <reference field="6" count="1">
            <x v="47"/>
          </reference>
        </references>
      </pivotArea>
    </format>
    <format dxfId="3251">
      <pivotArea dataOnly="0" labelOnly="1" fieldPosition="0">
        <references count="6">
          <reference field="1" count="1" selected="0">
            <x v="9"/>
          </reference>
          <reference field="2" count="1" selected="0">
            <x v="12"/>
          </reference>
          <reference field="3" count="1" selected="0">
            <x v="37"/>
          </reference>
          <reference field="4" count="1" selected="0">
            <x v="87"/>
          </reference>
          <reference field="5" count="1" selected="0">
            <x v="1028"/>
          </reference>
          <reference field="6" count="1">
            <x v="47"/>
          </reference>
        </references>
      </pivotArea>
    </format>
    <format dxfId="3250">
      <pivotArea dataOnly="0" labelOnly="1" fieldPosition="0">
        <references count="6">
          <reference field="1" count="1" selected="0">
            <x v="9"/>
          </reference>
          <reference field="2" count="1" selected="0">
            <x v="12"/>
          </reference>
          <reference field="3" count="1" selected="0">
            <x v="37"/>
          </reference>
          <reference field="4" count="1" selected="0">
            <x v="87"/>
          </reference>
          <reference field="5" count="1" selected="0">
            <x v="1079"/>
          </reference>
          <reference field="6" count="1">
            <x v="47"/>
          </reference>
        </references>
      </pivotArea>
    </format>
    <format dxfId="3249">
      <pivotArea dataOnly="0" labelOnly="1" fieldPosition="0">
        <references count="6">
          <reference field="1" count="1" selected="0">
            <x v="9"/>
          </reference>
          <reference field="2" count="1" selected="0">
            <x v="23"/>
          </reference>
          <reference field="3" count="1" selected="0">
            <x v="1"/>
          </reference>
          <reference field="4" count="1" selected="0">
            <x v="87"/>
          </reference>
          <reference field="5" count="1" selected="0">
            <x v="278"/>
          </reference>
          <reference field="6" count="1">
            <x v="47"/>
          </reference>
        </references>
      </pivotArea>
    </format>
    <format dxfId="3248">
      <pivotArea dataOnly="0" labelOnly="1" fieldPosition="0">
        <references count="6">
          <reference field="1" count="1" selected="0">
            <x v="9"/>
          </reference>
          <reference field="2" count="1" selected="0">
            <x v="23"/>
          </reference>
          <reference field="3" count="1" selected="0">
            <x v="37"/>
          </reference>
          <reference field="4" count="1" selected="0">
            <x v="87"/>
          </reference>
          <reference field="5" count="1" selected="0">
            <x v="294"/>
          </reference>
          <reference field="6" count="1">
            <x v="47"/>
          </reference>
        </references>
      </pivotArea>
    </format>
    <format dxfId="3247">
      <pivotArea dataOnly="0" labelOnly="1" fieldPosition="0">
        <references count="6">
          <reference field="1" count="1" selected="0">
            <x v="9"/>
          </reference>
          <reference field="2" count="1" selected="0">
            <x v="26"/>
          </reference>
          <reference field="3" count="1" selected="0">
            <x v="37"/>
          </reference>
          <reference field="4" count="1" selected="0">
            <x v="87"/>
          </reference>
          <reference field="5" count="1" selected="0">
            <x v="352"/>
          </reference>
          <reference field="6" count="1">
            <x v="47"/>
          </reference>
        </references>
      </pivotArea>
    </format>
    <format dxfId="3246">
      <pivotArea dataOnly="0" labelOnly="1" fieldPosition="0">
        <references count="6">
          <reference field="1" count="1" selected="0">
            <x v="9"/>
          </reference>
          <reference field="2" count="1" selected="0">
            <x v="35"/>
          </reference>
          <reference field="3" count="1" selected="0">
            <x v="1"/>
          </reference>
          <reference field="4" count="1" selected="0">
            <x v="87"/>
          </reference>
          <reference field="5" count="1" selected="0">
            <x v="80"/>
          </reference>
          <reference field="6" count="1">
            <x v="47"/>
          </reference>
        </references>
      </pivotArea>
    </format>
    <format dxfId="3245">
      <pivotArea dataOnly="0" labelOnly="1" fieldPosition="0">
        <references count="6">
          <reference field="1" count="1" selected="0">
            <x v="10"/>
          </reference>
          <reference field="2" count="1" selected="0">
            <x v="0"/>
          </reference>
          <reference field="3" count="1" selected="0">
            <x v="8"/>
          </reference>
          <reference field="4" count="1" selected="0">
            <x v="88"/>
          </reference>
          <reference field="5" count="1" selected="0">
            <x v="1114"/>
          </reference>
          <reference field="6" count="1">
            <x v="47"/>
          </reference>
        </references>
      </pivotArea>
    </format>
    <format dxfId="3244">
      <pivotArea dataOnly="0" labelOnly="1" fieldPosition="0">
        <references count="6">
          <reference field="1" count="1" selected="0">
            <x v="10"/>
          </reference>
          <reference field="2" count="1" selected="0">
            <x v="0"/>
          </reference>
          <reference field="3" count="1" selected="0">
            <x v="9"/>
          </reference>
          <reference field="4" count="1" selected="0">
            <x v="88"/>
          </reference>
          <reference field="5" count="1" selected="0">
            <x v="212"/>
          </reference>
          <reference field="6" count="1">
            <x v="47"/>
          </reference>
        </references>
      </pivotArea>
    </format>
    <format dxfId="3243">
      <pivotArea dataOnly="0" labelOnly="1" fieldPosition="0">
        <references count="6">
          <reference field="1" count="1" selected="0">
            <x v="10"/>
          </reference>
          <reference field="2" count="1" selected="0">
            <x v="0"/>
          </reference>
          <reference field="3" count="1" selected="0">
            <x v="9"/>
          </reference>
          <reference field="4" count="1" selected="0">
            <x v="88"/>
          </reference>
          <reference field="5" count="1" selected="0">
            <x v="220"/>
          </reference>
          <reference field="6" count="1">
            <x v="47"/>
          </reference>
        </references>
      </pivotArea>
    </format>
    <format dxfId="3242">
      <pivotArea dataOnly="0" labelOnly="1" fieldPosition="0">
        <references count="6">
          <reference field="1" count="1" selected="0">
            <x v="10"/>
          </reference>
          <reference field="2" count="1" selected="0">
            <x v="0"/>
          </reference>
          <reference field="3" count="1" selected="0">
            <x v="9"/>
          </reference>
          <reference field="4" count="1" selected="0">
            <x v="88"/>
          </reference>
          <reference field="5" count="1" selected="0">
            <x v="240"/>
          </reference>
          <reference field="6" count="1">
            <x v="47"/>
          </reference>
        </references>
      </pivotArea>
    </format>
    <format dxfId="3241">
      <pivotArea dataOnly="0" labelOnly="1" fieldPosition="0">
        <references count="6">
          <reference field="1" count="1" selected="0">
            <x v="10"/>
          </reference>
          <reference field="2" count="1" selected="0">
            <x v="0"/>
          </reference>
          <reference field="3" count="1" selected="0">
            <x v="12"/>
          </reference>
          <reference field="4" count="1" selected="0">
            <x v="22"/>
          </reference>
          <reference field="5" count="1" selected="0">
            <x v="18"/>
          </reference>
          <reference field="6" count="1">
            <x v="47"/>
          </reference>
        </references>
      </pivotArea>
    </format>
    <format dxfId="3240">
      <pivotArea dataOnly="0" labelOnly="1" fieldPosition="0">
        <references count="6">
          <reference field="1" count="1" selected="0">
            <x v="10"/>
          </reference>
          <reference field="2" count="1" selected="0">
            <x v="0"/>
          </reference>
          <reference field="3" count="1" selected="0">
            <x v="37"/>
          </reference>
          <reference field="4" count="1" selected="0">
            <x v="88"/>
          </reference>
          <reference field="5" count="1" selected="0">
            <x v="273"/>
          </reference>
          <reference field="6" count="1">
            <x v="47"/>
          </reference>
        </references>
      </pivotArea>
    </format>
    <format dxfId="3239">
      <pivotArea dataOnly="0" labelOnly="1" fieldPosition="0">
        <references count="6">
          <reference field="1" count="1" selected="0">
            <x v="10"/>
          </reference>
          <reference field="2" count="1" selected="0">
            <x v="12"/>
          </reference>
          <reference field="3" count="1" selected="0">
            <x v="1"/>
          </reference>
          <reference field="4" count="1" selected="0">
            <x v="88"/>
          </reference>
          <reference field="5" count="1" selected="0">
            <x v="80"/>
          </reference>
          <reference field="6" count="1">
            <x v="47"/>
          </reference>
        </references>
      </pivotArea>
    </format>
    <format dxfId="3238">
      <pivotArea dataOnly="0" labelOnly="1" fieldPosition="0">
        <references count="6">
          <reference field="1" count="1" selected="0">
            <x v="10"/>
          </reference>
          <reference field="2" count="1" selected="0">
            <x v="12"/>
          </reference>
          <reference field="3" count="1" selected="0">
            <x v="1"/>
          </reference>
          <reference field="4" count="1" selected="0">
            <x v="88"/>
          </reference>
          <reference field="5" count="1" selected="0">
            <x v="213"/>
          </reference>
          <reference field="6" count="1">
            <x v="47"/>
          </reference>
        </references>
      </pivotArea>
    </format>
    <format dxfId="3237">
      <pivotArea dataOnly="0" labelOnly="1" fieldPosition="0">
        <references count="6">
          <reference field="1" count="1" selected="0">
            <x v="10"/>
          </reference>
          <reference field="2" count="1" selected="0">
            <x v="12"/>
          </reference>
          <reference field="3" count="1" selected="0">
            <x v="1"/>
          </reference>
          <reference field="4" count="1" selected="0">
            <x v="88"/>
          </reference>
          <reference field="5" count="1" selected="0">
            <x v="771"/>
          </reference>
          <reference field="6" count="1">
            <x v="47"/>
          </reference>
        </references>
      </pivotArea>
    </format>
    <format dxfId="3236">
      <pivotArea dataOnly="0" labelOnly="1" fieldPosition="0">
        <references count="6">
          <reference field="1" count="1" selected="0">
            <x v="10"/>
          </reference>
          <reference field="2" count="1" selected="0">
            <x v="12"/>
          </reference>
          <reference field="3" count="1" selected="0">
            <x v="1"/>
          </reference>
          <reference field="4" count="1" selected="0">
            <x v="88"/>
          </reference>
          <reference field="5" count="1" selected="0">
            <x v="846"/>
          </reference>
          <reference field="6" count="1">
            <x v="47"/>
          </reference>
        </references>
      </pivotArea>
    </format>
    <format dxfId="3235">
      <pivotArea dataOnly="0" labelOnly="1" fieldPosition="0">
        <references count="6">
          <reference field="1" count="1" selected="0">
            <x v="10"/>
          </reference>
          <reference field="2" count="1" selected="0">
            <x v="24"/>
          </reference>
          <reference field="3" count="1" selected="0">
            <x v="1"/>
          </reference>
          <reference field="4" count="1" selected="0">
            <x v="88"/>
          </reference>
          <reference field="5" count="1" selected="0">
            <x v="213"/>
          </reference>
          <reference field="6" count="1">
            <x v="47"/>
          </reference>
        </references>
      </pivotArea>
    </format>
    <format dxfId="3234">
      <pivotArea dataOnly="0" labelOnly="1" fieldPosition="0">
        <references count="6">
          <reference field="1" count="1" selected="0">
            <x v="10"/>
          </reference>
          <reference field="2" count="1" selected="0">
            <x v="35"/>
          </reference>
          <reference field="3" count="1" selected="0">
            <x v="1"/>
          </reference>
          <reference field="4" count="1" selected="0">
            <x v="88"/>
          </reference>
          <reference field="5" count="1" selected="0">
            <x v="80"/>
          </reference>
          <reference field="6" count="1">
            <x v="47"/>
          </reference>
        </references>
      </pivotArea>
    </format>
    <format dxfId="3233">
      <pivotArea dataOnly="0" labelOnly="1" fieldPosition="0">
        <references count="6">
          <reference field="1" count="1" selected="0">
            <x v="11"/>
          </reference>
          <reference field="2" count="1" selected="0">
            <x v="0"/>
          </reference>
          <reference field="3" count="1" selected="0">
            <x v="12"/>
          </reference>
          <reference field="4" count="1" selected="0">
            <x v="10"/>
          </reference>
          <reference field="5" count="1" selected="0">
            <x v="248"/>
          </reference>
          <reference field="6" count="1">
            <x v="47"/>
          </reference>
        </references>
      </pivotArea>
    </format>
    <format dxfId="3232">
      <pivotArea dataOnly="0" labelOnly="1" fieldPosition="0">
        <references count="6">
          <reference field="1" count="1" selected="0">
            <x v="11"/>
          </reference>
          <reference field="2" count="1" selected="0">
            <x v="0"/>
          </reference>
          <reference field="3" count="1" selected="0">
            <x v="12"/>
          </reference>
          <reference field="4" count="1" selected="0">
            <x v="33"/>
          </reference>
          <reference field="5" count="1" selected="0">
            <x v="18"/>
          </reference>
          <reference field="6" count="1">
            <x v="47"/>
          </reference>
        </references>
      </pivotArea>
    </format>
    <format dxfId="3231">
      <pivotArea dataOnly="0" labelOnly="1" fieldPosition="0">
        <references count="6">
          <reference field="1" count="1" selected="0">
            <x v="11"/>
          </reference>
          <reference field="2" count="1" selected="0">
            <x v="0"/>
          </reference>
          <reference field="3" count="1" selected="0">
            <x v="12"/>
          </reference>
          <reference field="4" count="1" selected="0">
            <x v="39"/>
          </reference>
          <reference field="5" count="1" selected="0">
            <x v="180"/>
          </reference>
          <reference field="6" count="1">
            <x v="47"/>
          </reference>
        </references>
      </pivotArea>
    </format>
    <format dxfId="3230">
      <pivotArea dataOnly="0" labelOnly="1" fieldPosition="0">
        <references count="6">
          <reference field="1" count="1" selected="0">
            <x v="11"/>
          </reference>
          <reference field="2" count="1" selected="0">
            <x v="0"/>
          </reference>
          <reference field="3" count="1" selected="0">
            <x v="12"/>
          </reference>
          <reference field="4" count="1" selected="0">
            <x v="59"/>
          </reference>
          <reference field="5" count="1" selected="0">
            <x v="6"/>
          </reference>
          <reference field="6" count="1">
            <x v="47"/>
          </reference>
        </references>
      </pivotArea>
    </format>
    <format dxfId="3229">
      <pivotArea dataOnly="0" labelOnly="1" fieldPosition="0">
        <references count="6">
          <reference field="1" count="1" selected="0">
            <x v="11"/>
          </reference>
          <reference field="2" count="1" selected="0">
            <x v="0"/>
          </reference>
          <reference field="3" count="1" selected="0">
            <x v="12"/>
          </reference>
          <reference field="4" count="1" selected="0">
            <x v="70"/>
          </reference>
          <reference field="5" count="1" selected="0">
            <x v="14"/>
          </reference>
          <reference field="6" count="1">
            <x v="47"/>
          </reference>
        </references>
      </pivotArea>
    </format>
    <format dxfId="3228">
      <pivotArea dataOnly="0" labelOnly="1" fieldPosition="0">
        <references count="6">
          <reference field="1" count="1" selected="0">
            <x v="11"/>
          </reference>
          <reference field="2" count="1" selected="0">
            <x v="5"/>
          </reference>
          <reference field="3" count="1" selected="0">
            <x v="37"/>
          </reference>
          <reference field="4" count="1" selected="0">
            <x v="89"/>
          </reference>
          <reference field="5" count="1" selected="0">
            <x v="1403"/>
          </reference>
          <reference field="6" count="1">
            <x v="47"/>
          </reference>
        </references>
      </pivotArea>
    </format>
    <format dxfId="3227">
      <pivotArea dataOnly="0" labelOnly="1" fieldPosition="0">
        <references count="6">
          <reference field="1" count="1" selected="0">
            <x v="11"/>
          </reference>
          <reference field="2" count="1" selected="0">
            <x v="12"/>
          </reference>
          <reference field="3" count="1" selected="0">
            <x v="1"/>
          </reference>
          <reference field="4" count="1" selected="0">
            <x v="89"/>
          </reference>
          <reference field="5" count="1" selected="0">
            <x v="352"/>
          </reference>
          <reference field="6" count="1">
            <x v="47"/>
          </reference>
        </references>
      </pivotArea>
    </format>
    <format dxfId="3226">
      <pivotArea dataOnly="0" labelOnly="1" fieldPosition="0">
        <references count="6">
          <reference field="1" count="1" selected="0">
            <x v="11"/>
          </reference>
          <reference field="2" count="1" selected="0">
            <x v="15"/>
          </reference>
          <reference field="3" count="1" selected="0">
            <x v="1"/>
          </reference>
          <reference field="4" count="1" selected="0">
            <x v="89"/>
          </reference>
          <reference field="5" count="1" selected="0">
            <x v="607"/>
          </reference>
          <reference field="6" count="1">
            <x v="47"/>
          </reference>
        </references>
      </pivotArea>
    </format>
    <format dxfId="3225">
      <pivotArea dataOnly="0" labelOnly="1" fieldPosition="0">
        <references count="6">
          <reference field="1" count="1" selected="0">
            <x v="11"/>
          </reference>
          <reference field="2" count="1" selected="0">
            <x v="15"/>
          </reference>
          <reference field="3" count="1" selected="0">
            <x v="37"/>
          </reference>
          <reference field="4" count="1" selected="0">
            <x v="89"/>
          </reference>
          <reference field="5" count="1" selected="0">
            <x v="213"/>
          </reference>
          <reference field="6" count="1">
            <x v="47"/>
          </reference>
        </references>
      </pivotArea>
    </format>
    <format dxfId="3224">
      <pivotArea dataOnly="0" labelOnly="1" fieldPosition="0">
        <references count="6">
          <reference field="1" count="1" selected="0">
            <x v="11"/>
          </reference>
          <reference field="2" count="1" selected="0">
            <x v="23"/>
          </reference>
          <reference field="3" count="1" selected="0">
            <x v="37"/>
          </reference>
          <reference field="4" count="1" selected="0">
            <x v="89"/>
          </reference>
          <reference field="5" count="1" selected="0">
            <x v="111"/>
          </reference>
          <reference field="6" count="1">
            <x v="47"/>
          </reference>
        </references>
      </pivotArea>
    </format>
    <format dxfId="3223">
      <pivotArea dataOnly="0" labelOnly="1" fieldPosition="0">
        <references count="6">
          <reference field="1" count="1" selected="0">
            <x v="12"/>
          </reference>
          <reference field="2" count="1" selected="0">
            <x v="0"/>
          </reference>
          <reference field="3" count="1" selected="0">
            <x v="9"/>
          </reference>
          <reference field="4" count="1" selected="0">
            <x v="90"/>
          </reference>
          <reference field="5" count="1" selected="0">
            <x v="300"/>
          </reference>
          <reference field="6" count="1">
            <x v="47"/>
          </reference>
        </references>
      </pivotArea>
    </format>
    <format dxfId="3222">
      <pivotArea dataOnly="0" labelOnly="1" fieldPosition="0">
        <references count="6">
          <reference field="1" count="1" selected="0">
            <x v="12"/>
          </reference>
          <reference field="2" count="1" selected="0">
            <x v="0"/>
          </reference>
          <reference field="3" count="1" selected="0">
            <x v="9"/>
          </reference>
          <reference field="4" count="1" selected="0">
            <x v="90"/>
          </reference>
          <reference field="5" count="1" selected="0">
            <x v="623"/>
          </reference>
          <reference field="6" count="1">
            <x v="47"/>
          </reference>
        </references>
      </pivotArea>
    </format>
    <format dxfId="3221">
      <pivotArea dataOnly="0" labelOnly="1" fieldPosition="0">
        <references count="6">
          <reference field="1" count="1" selected="0">
            <x v="12"/>
          </reference>
          <reference field="2" count="1" selected="0">
            <x v="0"/>
          </reference>
          <reference field="3" count="1" selected="0">
            <x v="9"/>
          </reference>
          <reference field="4" count="1" selected="0">
            <x v="90"/>
          </reference>
          <reference field="5" count="1" selected="0">
            <x v="1009"/>
          </reference>
          <reference field="6" count="1">
            <x v="47"/>
          </reference>
        </references>
      </pivotArea>
    </format>
    <format dxfId="3220">
      <pivotArea dataOnly="0" labelOnly="1" fieldPosition="0">
        <references count="6">
          <reference field="1" count="1" selected="0">
            <x v="12"/>
          </reference>
          <reference field="2" count="1" selected="0">
            <x v="0"/>
          </reference>
          <reference field="3" count="1" selected="0">
            <x v="12"/>
          </reference>
          <reference field="4" count="1" selected="0">
            <x v="22"/>
          </reference>
          <reference field="5" count="1" selected="0">
            <x v="18"/>
          </reference>
          <reference field="6" count="1">
            <x v="47"/>
          </reference>
        </references>
      </pivotArea>
    </format>
    <format dxfId="3219">
      <pivotArea dataOnly="0" labelOnly="1" fieldPosition="0">
        <references count="6">
          <reference field="1" count="1" selected="0">
            <x v="12"/>
          </reference>
          <reference field="2" count="1" selected="0">
            <x v="0"/>
          </reference>
          <reference field="3" count="1" selected="0">
            <x v="12"/>
          </reference>
          <reference field="4" count="1" selected="0">
            <x v="26"/>
          </reference>
          <reference field="5" count="1" selected="0">
            <x v="123"/>
          </reference>
          <reference field="6" count="1">
            <x v="47"/>
          </reference>
        </references>
      </pivotArea>
    </format>
    <format dxfId="3218">
      <pivotArea dataOnly="0" labelOnly="1" fieldPosition="0">
        <references count="6">
          <reference field="1" count="1" selected="0">
            <x v="12"/>
          </reference>
          <reference field="2" count="1" selected="0">
            <x v="0"/>
          </reference>
          <reference field="3" count="1" selected="0">
            <x v="12"/>
          </reference>
          <reference field="4" count="1" selected="0">
            <x v="48"/>
          </reference>
          <reference field="5" count="1" selected="0">
            <x v="35"/>
          </reference>
          <reference field="6" count="1">
            <x v="47"/>
          </reference>
        </references>
      </pivotArea>
    </format>
    <format dxfId="3217">
      <pivotArea dataOnly="0" labelOnly="1" fieldPosition="0">
        <references count="6">
          <reference field="1" count="1" selected="0">
            <x v="12"/>
          </reference>
          <reference field="2" count="1" selected="0">
            <x v="0"/>
          </reference>
          <reference field="3" count="1" selected="0">
            <x v="12"/>
          </reference>
          <reference field="4" count="1" selected="0">
            <x v="60"/>
          </reference>
          <reference field="5" count="1" selected="0">
            <x v="138"/>
          </reference>
          <reference field="6" count="1">
            <x v="47"/>
          </reference>
        </references>
      </pivotArea>
    </format>
    <format dxfId="3216">
      <pivotArea dataOnly="0" labelOnly="1" fieldPosition="0">
        <references count="6">
          <reference field="1" count="1" selected="0">
            <x v="12"/>
          </reference>
          <reference field="2" count="1" selected="0">
            <x v="0"/>
          </reference>
          <reference field="3" count="1" selected="0">
            <x v="12"/>
          </reference>
          <reference field="4" count="1" selected="0">
            <x v="65"/>
          </reference>
          <reference field="5" count="1" selected="0">
            <x v="2"/>
          </reference>
          <reference field="6" count="1">
            <x v="47"/>
          </reference>
        </references>
      </pivotArea>
    </format>
    <format dxfId="3215">
      <pivotArea dataOnly="0" labelOnly="1" fieldPosition="0">
        <references count="6">
          <reference field="1" count="1" selected="0">
            <x v="12"/>
          </reference>
          <reference field="2" count="1" selected="0">
            <x v="0"/>
          </reference>
          <reference field="3" count="1" selected="0">
            <x v="12"/>
          </reference>
          <reference field="4" count="1" selected="0">
            <x v="70"/>
          </reference>
          <reference field="5" count="1" selected="0">
            <x v="23"/>
          </reference>
          <reference field="6" count="1">
            <x v="47"/>
          </reference>
        </references>
      </pivotArea>
    </format>
    <format dxfId="3214">
      <pivotArea dataOnly="0" labelOnly="1" fieldPosition="0">
        <references count="6">
          <reference field="1" count="1" selected="0">
            <x v="12"/>
          </reference>
          <reference field="2" count="1" selected="0">
            <x v="0"/>
          </reference>
          <reference field="3" count="1" selected="0">
            <x v="37"/>
          </reference>
          <reference field="4" count="1" selected="0">
            <x v="90"/>
          </reference>
          <reference field="5" count="1" selected="0">
            <x v="1206"/>
          </reference>
          <reference field="6" count="1">
            <x v="47"/>
          </reference>
        </references>
      </pivotArea>
    </format>
    <format dxfId="3213">
      <pivotArea dataOnly="0" labelOnly="1" fieldPosition="0">
        <references count="6">
          <reference field="1" count="1" selected="0">
            <x v="12"/>
          </reference>
          <reference field="2" count="1" selected="0">
            <x v="3"/>
          </reference>
          <reference field="3" count="1" selected="0">
            <x v="37"/>
          </reference>
          <reference field="4" count="1" selected="0">
            <x v="90"/>
          </reference>
          <reference field="5" count="1" selected="0">
            <x v="1104"/>
          </reference>
          <reference field="6" count="1">
            <x v="47"/>
          </reference>
        </references>
      </pivotArea>
    </format>
    <format dxfId="3212">
      <pivotArea dataOnly="0" labelOnly="1" fieldPosition="0">
        <references count="6">
          <reference field="1" count="1" selected="0">
            <x v="12"/>
          </reference>
          <reference field="2" count="1" selected="0">
            <x v="5"/>
          </reference>
          <reference field="3" count="1" selected="0">
            <x v="37"/>
          </reference>
          <reference field="4" count="1" selected="0">
            <x v="90"/>
          </reference>
          <reference field="5" count="1" selected="0">
            <x v="1600"/>
          </reference>
          <reference field="6" count="1">
            <x v="47"/>
          </reference>
        </references>
      </pivotArea>
    </format>
    <format dxfId="3211">
      <pivotArea dataOnly="0" labelOnly="1" fieldPosition="0">
        <references count="6">
          <reference field="1" count="1" selected="0">
            <x v="12"/>
          </reference>
          <reference field="2" count="1" selected="0">
            <x v="8"/>
          </reference>
          <reference field="3" count="1" selected="0">
            <x v="37"/>
          </reference>
          <reference field="4" count="1" selected="0">
            <x v="90"/>
          </reference>
          <reference field="5" count="1" selected="0">
            <x v="1085"/>
          </reference>
          <reference field="6" count="1">
            <x v="47"/>
          </reference>
        </references>
      </pivotArea>
    </format>
    <format dxfId="3210">
      <pivotArea dataOnly="0" labelOnly="1" fieldPosition="0">
        <references count="6">
          <reference field="1" count="1" selected="0">
            <x v="12"/>
          </reference>
          <reference field="2" count="1" selected="0">
            <x v="12"/>
          </reference>
          <reference field="3" count="1" selected="0">
            <x v="1"/>
          </reference>
          <reference field="4" count="1" selected="0">
            <x v="90"/>
          </reference>
          <reference field="5" count="1" selected="0">
            <x v="80"/>
          </reference>
          <reference field="6" count="1">
            <x v="47"/>
          </reference>
        </references>
      </pivotArea>
    </format>
    <format dxfId="3209">
      <pivotArea dataOnly="0" labelOnly="1" fieldPosition="0">
        <references count="6">
          <reference field="1" count="1" selected="0">
            <x v="12"/>
          </reference>
          <reference field="2" count="1" selected="0">
            <x v="12"/>
          </reference>
          <reference field="3" count="1" selected="0">
            <x v="1"/>
          </reference>
          <reference field="4" count="1" selected="0">
            <x v="90"/>
          </reference>
          <reference field="5" count="1" selected="0">
            <x v="213"/>
          </reference>
          <reference field="6" count="1">
            <x v="47"/>
          </reference>
        </references>
      </pivotArea>
    </format>
    <format dxfId="3208">
      <pivotArea dataOnly="0" labelOnly="1" fieldPosition="0">
        <references count="6">
          <reference field="1" count="1" selected="0">
            <x v="12"/>
          </reference>
          <reference field="2" count="1" selected="0">
            <x v="12"/>
          </reference>
          <reference field="3" count="1" selected="0">
            <x v="1"/>
          </reference>
          <reference field="4" count="1" selected="0">
            <x v="90"/>
          </reference>
          <reference field="5" count="1" selected="0">
            <x v="500"/>
          </reference>
          <reference field="6" count="1">
            <x v="47"/>
          </reference>
        </references>
      </pivotArea>
    </format>
    <format dxfId="3207">
      <pivotArea dataOnly="0" labelOnly="1" fieldPosition="0">
        <references count="6">
          <reference field="1" count="1" selected="0">
            <x v="12"/>
          </reference>
          <reference field="2" count="1" selected="0">
            <x v="12"/>
          </reference>
          <reference field="3" count="1" selected="0">
            <x v="1"/>
          </reference>
          <reference field="4" count="1" selected="0">
            <x v="90"/>
          </reference>
          <reference field="5" count="1" selected="0">
            <x v="702"/>
          </reference>
          <reference field="6" count="1">
            <x v="47"/>
          </reference>
        </references>
      </pivotArea>
    </format>
    <format dxfId="3206">
      <pivotArea dataOnly="0" labelOnly="1" fieldPosition="0">
        <references count="6">
          <reference field="1" count="1" selected="0">
            <x v="12"/>
          </reference>
          <reference field="2" count="1" selected="0">
            <x v="17"/>
          </reference>
          <reference field="3" count="1" selected="0">
            <x v="7"/>
          </reference>
          <reference field="4" count="1" selected="0">
            <x v="90"/>
          </reference>
          <reference field="5" count="1" selected="0">
            <x v="758"/>
          </reference>
          <reference field="6" count="1">
            <x v="47"/>
          </reference>
        </references>
      </pivotArea>
    </format>
    <format dxfId="3205">
      <pivotArea dataOnly="0" labelOnly="1" fieldPosition="0">
        <references count="6">
          <reference field="1" count="1" selected="0">
            <x v="12"/>
          </reference>
          <reference field="2" count="1" selected="0">
            <x v="24"/>
          </reference>
          <reference field="3" count="1" selected="0">
            <x v="1"/>
          </reference>
          <reference field="4" count="1" selected="0">
            <x v="90"/>
          </reference>
          <reference field="5" count="1" selected="0">
            <x v="109"/>
          </reference>
          <reference field="6" count="1">
            <x v="47"/>
          </reference>
        </references>
      </pivotArea>
    </format>
    <format dxfId="3204">
      <pivotArea dataOnly="0" labelOnly="1" fieldPosition="0">
        <references count="6">
          <reference field="1" count="1" selected="0">
            <x v="12"/>
          </reference>
          <reference field="2" count="1" selected="0">
            <x v="24"/>
          </reference>
          <reference field="3" count="1" selected="0">
            <x v="37"/>
          </reference>
          <reference field="4" count="1" selected="0">
            <x v="90"/>
          </reference>
          <reference field="5" count="1" selected="0">
            <x v="138"/>
          </reference>
          <reference field="6" count="1">
            <x v="47"/>
          </reference>
        </references>
      </pivotArea>
    </format>
    <format dxfId="3203">
      <pivotArea dataOnly="0" labelOnly="1" fieldPosition="0">
        <references count="6">
          <reference field="1" count="1" selected="0">
            <x v="12"/>
          </reference>
          <reference field="2" count="1" selected="0">
            <x v="26"/>
          </reference>
          <reference field="3" count="1" selected="0">
            <x v="37"/>
          </reference>
          <reference field="4" count="1" selected="0">
            <x v="90"/>
          </reference>
          <reference field="5" count="1" selected="0">
            <x v="278"/>
          </reference>
          <reference field="6" count="1">
            <x v="47"/>
          </reference>
        </references>
      </pivotArea>
    </format>
    <format dxfId="3202">
      <pivotArea dataOnly="0" labelOnly="1" fieldPosition="0">
        <references count="6">
          <reference field="1" count="1" selected="0">
            <x v="12"/>
          </reference>
          <reference field="2" count="1" selected="0">
            <x v="27"/>
          </reference>
          <reference field="3" count="1" selected="0">
            <x v="37"/>
          </reference>
          <reference field="4" count="1" selected="0">
            <x v="90"/>
          </reference>
          <reference field="5" count="1" selected="0">
            <x v="1445"/>
          </reference>
          <reference field="6" count="1">
            <x v="47"/>
          </reference>
        </references>
      </pivotArea>
    </format>
    <format dxfId="3201">
      <pivotArea dataOnly="0" labelOnly="1" fieldPosition="0">
        <references count="6">
          <reference field="1" count="1" selected="0">
            <x v="12"/>
          </reference>
          <reference field="2" count="1" selected="0">
            <x v="36"/>
          </reference>
          <reference field="3" count="1" selected="0">
            <x v="8"/>
          </reference>
          <reference field="4" count="1" selected="0">
            <x v="90"/>
          </reference>
          <reference field="5" count="1" selected="0">
            <x v="1518"/>
          </reference>
          <reference field="6" count="1">
            <x v="47"/>
          </reference>
        </references>
      </pivotArea>
    </format>
    <format dxfId="3200">
      <pivotArea dataOnly="0" labelOnly="1" fieldPosition="0">
        <references count="6">
          <reference field="1" count="1" selected="0">
            <x v="13"/>
          </reference>
          <reference field="2" count="1" selected="0">
            <x v="2"/>
          </reference>
          <reference field="3" count="1" selected="0">
            <x v="10"/>
          </reference>
          <reference field="4" count="1" selected="0">
            <x v="91"/>
          </reference>
          <reference field="5" count="1" selected="0">
            <x v="1706"/>
          </reference>
          <reference field="6" count="1">
            <x v="47"/>
          </reference>
        </references>
      </pivotArea>
    </format>
    <format dxfId="3199">
      <pivotArea dataOnly="0" labelOnly="1" fieldPosition="0">
        <references count="6">
          <reference field="1" count="1" selected="0">
            <x v="13"/>
          </reference>
          <reference field="2" count="1" selected="0">
            <x v="3"/>
          </reference>
          <reference field="3" count="1" selected="0">
            <x v="10"/>
          </reference>
          <reference field="4" count="1" selected="0">
            <x v="91"/>
          </reference>
          <reference field="5" count="1" selected="0">
            <x v="1466"/>
          </reference>
          <reference field="6" count="1">
            <x v="47"/>
          </reference>
        </references>
      </pivotArea>
    </format>
    <format dxfId="3198">
      <pivotArea dataOnly="0" labelOnly="1" fieldPosition="0">
        <references count="6">
          <reference field="1" count="1" selected="0">
            <x v="13"/>
          </reference>
          <reference field="2" count="1" selected="0">
            <x v="9"/>
          </reference>
          <reference field="3" count="1" selected="0">
            <x v="10"/>
          </reference>
          <reference field="4" count="1" selected="0">
            <x v="91"/>
          </reference>
          <reference field="5" count="1" selected="0">
            <x v="346"/>
          </reference>
          <reference field="6" count="1">
            <x v="47"/>
          </reference>
        </references>
      </pivotArea>
    </format>
    <format dxfId="3197">
      <pivotArea dataOnly="0" labelOnly="1" fieldPosition="0">
        <references count="6">
          <reference field="1" count="1" selected="0">
            <x v="13"/>
          </reference>
          <reference field="2" count="1" selected="0">
            <x v="11"/>
          </reference>
          <reference field="3" count="1" selected="0">
            <x v="10"/>
          </reference>
          <reference field="4" count="1" selected="0">
            <x v="91"/>
          </reference>
          <reference field="5" count="1" selected="0">
            <x v="845"/>
          </reference>
          <reference field="6" count="1">
            <x v="47"/>
          </reference>
        </references>
      </pivotArea>
    </format>
    <format dxfId="3196">
      <pivotArea dataOnly="0" labelOnly="1" fieldPosition="0">
        <references count="6">
          <reference field="1" count="1" selected="0">
            <x v="13"/>
          </reference>
          <reference field="2" count="1" selected="0">
            <x v="36"/>
          </reference>
          <reference field="3" count="1" selected="0">
            <x v="10"/>
          </reference>
          <reference field="4" count="1" selected="0">
            <x v="91"/>
          </reference>
          <reference field="5" count="1" selected="0">
            <x v="1611"/>
          </reference>
          <reference field="6" count="1">
            <x v="47"/>
          </reference>
        </references>
      </pivotArea>
    </format>
    <format dxfId="3195">
      <pivotArea dataOnly="0" labelOnly="1" fieldPosition="0">
        <references count="6">
          <reference field="1" count="1" selected="0">
            <x v="13"/>
          </reference>
          <reference field="2" count="1" selected="0">
            <x v="37"/>
          </reference>
          <reference field="3" count="1" selected="0">
            <x v="10"/>
          </reference>
          <reference field="4" count="1" selected="0">
            <x v="91"/>
          </reference>
          <reference field="5" count="1" selected="0">
            <x v="1673"/>
          </reference>
          <reference field="6" count="1">
            <x v="47"/>
          </reference>
        </references>
      </pivotArea>
    </format>
    <format dxfId="3194">
      <pivotArea dataOnly="0" labelOnly="1" fieldPosition="0">
        <references count="6">
          <reference field="1" count="1" selected="0">
            <x v="13"/>
          </reference>
          <reference field="2" count="1" selected="0">
            <x v="38"/>
          </reference>
          <reference field="3" count="1" selected="0">
            <x v="10"/>
          </reference>
          <reference field="4" count="1" selected="0">
            <x v="91"/>
          </reference>
          <reference field="5" count="1" selected="0">
            <x v="954"/>
          </reference>
          <reference field="6" count="1">
            <x v="47"/>
          </reference>
        </references>
      </pivotArea>
    </format>
    <format dxfId="3193">
      <pivotArea dataOnly="0" labelOnly="1" fieldPosition="0">
        <references count="6">
          <reference field="1" count="1" selected="0">
            <x v="14"/>
          </reference>
          <reference field="2" count="1" selected="0">
            <x v="0"/>
          </reference>
          <reference field="3" count="1" selected="0">
            <x v="1"/>
          </reference>
          <reference field="4" count="1" selected="0">
            <x v="92"/>
          </reference>
          <reference field="5" count="1" selected="0">
            <x v="80"/>
          </reference>
          <reference field="6" count="1">
            <x v="47"/>
          </reference>
        </references>
      </pivotArea>
    </format>
    <format dxfId="3192">
      <pivotArea dataOnly="0" labelOnly="1" fieldPosition="0">
        <references count="6">
          <reference field="1" count="1" selected="0">
            <x v="14"/>
          </reference>
          <reference field="2" count="1" selected="0">
            <x v="0"/>
          </reference>
          <reference field="3" count="1" selected="0">
            <x v="1"/>
          </reference>
          <reference field="4" count="1" selected="0">
            <x v="92"/>
          </reference>
          <reference field="5" count="1" selected="0">
            <x v="213"/>
          </reference>
          <reference field="6" count="1">
            <x v="47"/>
          </reference>
        </references>
      </pivotArea>
    </format>
    <format dxfId="3191">
      <pivotArea dataOnly="0" labelOnly="1" fieldPosition="0">
        <references count="6">
          <reference field="1" count="1" selected="0">
            <x v="14"/>
          </reference>
          <reference field="2" count="1" selected="0">
            <x v="0"/>
          </reference>
          <reference field="3" count="1" selected="0">
            <x v="12"/>
          </reference>
          <reference field="4" count="1" selected="0">
            <x v="30"/>
          </reference>
          <reference field="5" count="1" selected="0">
            <x v="32"/>
          </reference>
          <reference field="6" count="1">
            <x v="47"/>
          </reference>
        </references>
      </pivotArea>
    </format>
    <format dxfId="3190">
      <pivotArea dataOnly="0" labelOnly="1" fieldPosition="0">
        <references count="6">
          <reference field="1" count="1" selected="0">
            <x v="14"/>
          </reference>
          <reference field="2" count="1" selected="0">
            <x v="0"/>
          </reference>
          <reference field="3" count="1" selected="0">
            <x v="12"/>
          </reference>
          <reference field="4" count="1" selected="0">
            <x v="42"/>
          </reference>
          <reference field="5" count="1" selected="0">
            <x v="9"/>
          </reference>
          <reference field="6" count="1">
            <x v="47"/>
          </reference>
        </references>
      </pivotArea>
    </format>
    <format dxfId="3189">
      <pivotArea dataOnly="0" labelOnly="1" fieldPosition="0">
        <references count="6">
          <reference field="1" count="1" selected="0">
            <x v="14"/>
          </reference>
          <reference field="2" count="1" selected="0">
            <x v="12"/>
          </reference>
          <reference field="3" count="1" selected="0">
            <x v="1"/>
          </reference>
          <reference field="4" count="1" selected="0">
            <x v="92"/>
          </reference>
          <reference field="5" count="1" selected="0">
            <x v="80"/>
          </reference>
          <reference field="6" count="1">
            <x v="47"/>
          </reference>
        </references>
      </pivotArea>
    </format>
    <format dxfId="3188">
      <pivotArea dataOnly="0" labelOnly="1" fieldPosition="0">
        <references count="6">
          <reference field="1" count="1" selected="0">
            <x v="14"/>
          </reference>
          <reference field="2" count="1" selected="0">
            <x v="12"/>
          </reference>
          <reference field="3" count="1" selected="0">
            <x v="1"/>
          </reference>
          <reference field="4" count="1" selected="0">
            <x v="92"/>
          </reference>
          <reference field="5" count="1" selected="0">
            <x v="213"/>
          </reference>
          <reference field="6" count="1">
            <x v="47"/>
          </reference>
        </references>
      </pivotArea>
    </format>
    <format dxfId="3187">
      <pivotArea dataOnly="0" labelOnly="1" fieldPosition="0">
        <references count="6">
          <reference field="1" count="1" selected="0">
            <x v="14"/>
          </reference>
          <reference field="2" count="1" selected="0">
            <x v="12"/>
          </reference>
          <reference field="3" count="1" selected="0">
            <x v="1"/>
          </reference>
          <reference field="4" count="1" selected="0">
            <x v="92"/>
          </reference>
          <reference field="5" count="1" selected="0">
            <x v="352"/>
          </reference>
          <reference field="6" count="1">
            <x v="47"/>
          </reference>
        </references>
      </pivotArea>
    </format>
    <format dxfId="3186">
      <pivotArea dataOnly="0" labelOnly="1" fieldPosition="0">
        <references count="6">
          <reference field="1" count="1" selected="0">
            <x v="14"/>
          </reference>
          <reference field="2" count="1" selected="0">
            <x v="12"/>
          </reference>
          <reference field="3" count="1" selected="0">
            <x v="1"/>
          </reference>
          <reference field="4" count="1" selected="0">
            <x v="92"/>
          </reference>
          <reference field="5" count="1" selected="0">
            <x v="500"/>
          </reference>
          <reference field="6" count="1">
            <x v="47"/>
          </reference>
        </references>
      </pivotArea>
    </format>
    <format dxfId="3185">
      <pivotArea dataOnly="0" labelOnly="1" fieldPosition="0">
        <references count="6">
          <reference field="1" count="1" selected="0">
            <x v="14"/>
          </reference>
          <reference field="2" count="1" selected="0">
            <x v="12"/>
          </reference>
          <reference field="3" count="1" selected="0">
            <x v="1"/>
          </reference>
          <reference field="4" count="1" selected="0">
            <x v="92"/>
          </reference>
          <reference field="5" count="1" selected="0">
            <x v="964"/>
          </reference>
          <reference field="6" count="1">
            <x v="47"/>
          </reference>
        </references>
      </pivotArea>
    </format>
    <format dxfId="3184">
      <pivotArea dataOnly="0" labelOnly="1" fieldPosition="0">
        <references count="6">
          <reference field="1" count="1" selected="0">
            <x v="14"/>
          </reference>
          <reference field="2" count="1" selected="0">
            <x v="12"/>
          </reference>
          <reference field="3" count="1" selected="0">
            <x v="1"/>
          </reference>
          <reference field="4" count="1" selected="0">
            <x v="92"/>
          </reference>
          <reference field="5" count="1" selected="0">
            <x v="1028"/>
          </reference>
          <reference field="6" count="1">
            <x v="47"/>
          </reference>
        </references>
      </pivotArea>
    </format>
    <format dxfId="3183">
      <pivotArea dataOnly="0" labelOnly="1" fieldPosition="0">
        <references count="6">
          <reference field="1" count="1" selected="0">
            <x v="14"/>
          </reference>
          <reference field="2" count="1" selected="0">
            <x v="23"/>
          </reference>
          <reference field="3" count="1" selected="0">
            <x v="37"/>
          </reference>
          <reference field="4" count="1" selected="0">
            <x v="92"/>
          </reference>
          <reference field="5" count="1" selected="0">
            <x v="1031"/>
          </reference>
          <reference field="6" count="1">
            <x v="47"/>
          </reference>
        </references>
      </pivotArea>
    </format>
    <format dxfId="3182">
      <pivotArea dataOnly="0" labelOnly="1" fieldPosition="0">
        <references count="6">
          <reference field="1" count="1" selected="0">
            <x v="14"/>
          </reference>
          <reference field="2" count="1" selected="0">
            <x v="28"/>
          </reference>
          <reference field="3" count="1" selected="0">
            <x v="1"/>
          </reference>
          <reference field="4" count="1" selected="0">
            <x v="92"/>
          </reference>
          <reference field="5" count="1" selected="0">
            <x v="1086"/>
          </reference>
          <reference field="6" count="1">
            <x v="47"/>
          </reference>
        </references>
      </pivotArea>
    </format>
    <format dxfId="3181">
      <pivotArea dataOnly="0" labelOnly="1" fieldPosition="0">
        <references count="6">
          <reference field="1" count="1" selected="0">
            <x v="14"/>
          </reference>
          <reference field="2" count="1" selected="0">
            <x v="35"/>
          </reference>
          <reference field="3" count="1" selected="0">
            <x v="1"/>
          </reference>
          <reference field="4" count="1" selected="0">
            <x v="92"/>
          </reference>
          <reference field="5" count="1" selected="0">
            <x v="80"/>
          </reference>
          <reference field="6" count="1">
            <x v="47"/>
          </reference>
        </references>
      </pivotArea>
    </format>
    <format dxfId="3180">
      <pivotArea dataOnly="0" labelOnly="1" fieldPosition="0">
        <references count="6">
          <reference field="1" count="1" selected="0">
            <x v="14"/>
          </reference>
          <reference field="2" count="1" selected="0">
            <x v="35"/>
          </reference>
          <reference field="3" count="1" selected="0">
            <x v="1"/>
          </reference>
          <reference field="4" count="1" selected="0">
            <x v="92"/>
          </reference>
          <reference field="5" count="1" selected="0">
            <x v="213"/>
          </reference>
          <reference field="6" count="1">
            <x v="47"/>
          </reference>
        </references>
      </pivotArea>
    </format>
    <format dxfId="3179">
      <pivotArea dataOnly="0" labelOnly="1" fieldPosition="0">
        <references count="6">
          <reference field="1" count="1" selected="0">
            <x v="15"/>
          </reference>
          <reference field="2" count="1" selected="0">
            <x v="0"/>
          </reference>
          <reference field="3" count="1" selected="0">
            <x v="9"/>
          </reference>
          <reference field="4" count="1" selected="0">
            <x v="93"/>
          </reference>
          <reference field="5" count="1" selected="0">
            <x v="291"/>
          </reference>
          <reference field="6" count="1">
            <x v="47"/>
          </reference>
        </references>
      </pivotArea>
    </format>
    <format dxfId="3178">
      <pivotArea dataOnly="0" labelOnly="1" fieldPosition="0">
        <references count="6">
          <reference field="1" count="1" selected="0">
            <x v="15"/>
          </reference>
          <reference field="2" count="1" selected="0">
            <x v="0"/>
          </reference>
          <reference field="3" count="1" selected="0">
            <x v="9"/>
          </reference>
          <reference field="4" count="1" selected="0">
            <x v="93"/>
          </reference>
          <reference field="5" count="1" selected="0">
            <x v="587"/>
          </reference>
          <reference field="6" count="1">
            <x v="47"/>
          </reference>
        </references>
      </pivotArea>
    </format>
    <format dxfId="3177">
      <pivotArea dataOnly="0" labelOnly="1" fieldPosition="0">
        <references count="6">
          <reference field="1" count="1" selected="0">
            <x v="15"/>
          </reference>
          <reference field="2" count="1" selected="0">
            <x v="3"/>
          </reference>
          <reference field="3" count="1" selected="0">
            <x v="37"/>
          </reference>
          <reference field="4" count="1" selected="0">
            <x v="93"/>
          </reference>
          <reference field="5" count="1" selected="0">
            <x v="109"/>
          </reference>
          <reference field="6" count="1">
            <x v="47"/>
          </reference>
        </references>
      </pivotArea>
    </format>
    <format dxfId="3176">
      <pivotArea dataOnly="0" labelOnly="1" fieldPosition="0">
        <references count="6">
          <reference field="1" count="1" selected="0">
            <x v="15"/>
          </reference>
          <reference field="2" count="1" selected="0">
            <x v="5"/>
          </reference>
          <reference field="3" count="1" selected="0">
            <x v="8"/>
          </reference>
          <reference field="4" count="1" selected="0">
            <x v="93"/>
          </reference>
          <reference field="5" count="1" selected="0">
            <x v="673"/>
          </reference>
          <reference field="6" count="1">
            <x v="47"/>
          </reference>
        </references>
      </pivotArea>
    </format>
    <format dxfId="3175">
      <pivotArea dataOnly="0" labelOnly="1" fieldPosition="0">
        <references count="6">
          <reference field="1" count="1" selected="0">
            <x v="15"/>
          </reference>
          <reference field="2" count="1" selected="0">
            <x v="5"/>
          </reference>
          <reference field="3" count="1" selected="0">
            <x v="37"/>
          </reference>
          <reference field="4" count="1" selected="0">
            <x v="93"/>
          </reference>
          <reference field="5" count="1" selected="0">
            <x v="1321"/>
          </reference>
          <reference field="6" count="1">
            <x v="47"/>
          </reference>
        </references>
      </pivotArea>
    </format>
    <format dxfId="3174">
      <pivotArea dataOnly="0" labelOnly="1" fieldPosition="0">
        <references count="6">
          <reference field="1" count="1" selected="0">
            <x v="15"/>
          </reference>
          <reference field="2" count="1" selected="0">
            <x v="7"/>
          </reference>
          <reference field="3" count="1" selected="0">
            <x v="8"/>
          </reference>
          <reference field="4" count="1" selected="0">
            <x v="93"/>
          </reference>
          <reference field="5" count="1" selected="0">
            <x v="723"/>
          </reference>
          <reference field="6" count="1">
            <x v="47"/>
          </reference>
        </references>
      </pivotArea>
    </format>
    <format dxfId="3173">
      <pivotArea dataOnly="0" labelOnly="1" fieldPosition="0">
        <references count="6">
          <reference field="1" count="1" selected="0">
            <x v="15"/>
          </reference>
          <reference field="2" count="1" selected="0">
            <x v="7"/>
          </reference>
          <reference field="3" count="1" selected="0">
            <x v="10"/>
          </reference>
          <reference field="4" count="1" selected="0">
            <x v="93"/>
          </reference>
          <reference field="5" count="1" selected="0">
            <x v="1554"/>
          </reference>
          <reference field="6" count="1">
            <x v="47"/>
          </reference>
        </references>
      </pivotArea>
    </format>
    <format dxfId="3172">
      <pivotArea dataOnly="0" labelOnly="1" fieldPosition="0">
        <references count="6">
          <reference field="1" count="1" selected="0">
            <x v="15"/>
          </reference>
          <reference field="2" count="1" selected="0">
            <x v="12"/>
          </reference>
          <reference field="3" count="1" selected="0">
            <x v="1"/>
          </reference>
          <reference field="4" count="1" selected="0">
            <x v="93"/>
          </reference>
          <reference field="5" count="1" selected="0">
            <x v="80"/>
          </reference>
          <reference field="6" count="1">
            <x v="47"/>
          </reference>
        </references>
      </pivotArea>
    </format>
    <format dxfId="3171">
      <pivotArea dataOnly="0" labelOnly="1" fieldPosition="0">
        <references count="6">
          <reference field="1" count="1" selected="0">
            <x v="15"/>
          </reference>
          <reference field="2" count="1" selected="0">
            <x v="12"/>
          </reference>
          <reference field="3" count="1" selected="0">
            <x v="1"/>
          </reference>
          <reference field="4" count="1" selected="0">
            <x v="93"/>
          </reference>
          <reference field="5" count="1" selected="0">
            <x v="213"/>
          </reference>
          <reference field="6" count="1">
            <x v="47"/>
          </reference>
        </references>
      </pivotArea>
    </format>
    <format dxfId="3170">
      <pivotArea dataOnly="0" labelOnly="1" fieldPosition="0">
        <references count="6">
          <reference field="1" count="1" selected="0">
            <x v="15"/>
          </reference>
          <reference field="2" count="1" selected="0">
            <x v="12"/>
          </reference>
          <reference field="3" count="1" selected="0">
            <x v="1"/>
          </reference>
          <reference field="4" count="1" selected="0">
            <x v="93"/>
          </reference>
          <reference field="5" count="1" selected="0">
            <x v="352"/>
          </reference>
          <reference field="6" count="1">
            <x v="47"/>
          </reference>
        </references>
      </pivotArea>
    </format>
    <format dxfId="3169">
      <pivotArea dataOnly="0" labelOnly="1" fieldPosition="0">
        <references count="6">
          <reference field="1" count="1" selected="0">
            <x v="15"/>
          </reference>
          <reference field="2" count="1" selected="0">
            <x v="12"/>
          </reference>
          <reference field="3" count="1" selected="0">
            <x v="1"/>
          </reference>
          <reference field="4" count="1" selected="0">
            <x v="93"/>
          </reference>
          <reference field="5" count="1" selected="0">
            <x v="771"/>
          </reference>
          <reference field="6" count="1">
            <x v="47"/>
          </reference>
        </references>
      </pivotArea>
    </format>
    <format dxfId="3168">
      <pivotArea dataOnly="0" labelOnly="1" fieldPosition="0">
        <references count="6">
          <reference field="1" count="1" selected="0">
            <x v="15"/>
          </reference>
          <reference field="2" count="1" selected="0">
            <x v="12"/>
          </reference>
          <reference field="3" count="1" selected="0">
            <x v="1"/>
          </reference>
          <reference field="4" count="1" selected="0">
            <x v="93"/>
          </reference>
          <reference field="5" count="1" selected="0">
            <x v="964"/>
          </reference>
          <reference field="6" count="1">
            <x v="47"/>
          </reference>
        </references>
      </pivotArea>
    </format>
    <format dxfId="3167">
      <pivotArea dataOnly="0" labelOnly="1" fieldPosition="0">
        <references count="6">
          <reference field="1" count="1" selected="0">
            <x v="15"/>
          </reference>
          <reference field="2" count="1" selected="0">
            <x v="15"/>
          </reference>
          <reference field="3" count="1" selected="0">
            <x v="37"/>
          </reference>
          <reference field="4" count="1" selected="0">
            <x v="93"/>
          </reference>
          <reference field="5" count="1" selected="0">
            <x v="1007"/>
          </reference>
          <reference field="6" count="1">
            <x v="47"/>
          </reference>
        </references>
      </pivotArea>
    </format>
    <format dxfId="3166">
      <pivotArea dataOnly="0" labelOnly="1" fieldPosition="0">
        <references count="6">
          <reference field="1" count="1" selected="0">
            <x v="15"/>
          </reference>
          <reference field="2" count="1" selected="0">
            <x v="23"/>
          </reference>
          <reference field="3" count="1" selected="0">
            <x v="7"/>
          </reference>
          <reference field="4" count="1" selected="0">
            <x v="93"/>
          </reference>
          <reference field="5" count="1" selected="0">
            <x v="1188"/>
          </reference>
          <reference field="6" count="1">
            <x v="47"/>
          </reference>
        </references>
      </pivotArea>
    </format>
    <format dxfId="3165">
      <pivotArea dataOnly="0" labelOnly="1" fieldPosition="0">
        <references count="6">
          <reference field="1" count="1" selected="0">
            <x v="15"/>
          </reference>
          <reference field="2" count="1" selected="0">
            <x v="35"/>
          </reference>
          <reference field="3" count="1" selected="0">
            <x v="1"/>
          </reference>
          <reference field="4" count="1" selected="0">
            <x v="93"/>
          </reference>
          <reference field="5" count="1" selected="0">
            <x v="80"/>
          </reference>
          <reference field="6" count="1">
            <x v="47"/>
          </reference>
        </references>
      </pivotArea>
    </format>
    <format dxfId="3164">
      <pivotArea dataOnly="0" labelOnly="1" fieldPosition="0">
        <references count="6">
          <reference field="1" count="1" selected="0">
            <x v="15"/>
          </reference>
          <reference field="2" count="1" selected="0">
            <x v="36"/>
          </reference>
          <reference field="3" count="1" selected="0">
            <x v="8"/>
          </reference>
          <reference field="4" count="1" selected="0">
            <x v="93"/>
          </reference>
          <reference field="5" count="1" selected="0">
            <x v="1111"/>
          </reference>
          <reference field="6" count="1">
            <x v="47"/>
          </reference>
        </references>
      </pivotArea>
    </format>
    <format dxfId="3163">
      <pivotArea dataOnly="0" labelOnly="1" fieldPosition="0">
        <references count="6">
          <reference field="1" count="1" selected="0">
            <x v="16"/>
          </reference>
          <reference field="2" count="1" selected="0">
            <x v="0"/>
          </reference>
          <reference field="3" count="1" selected="0">
            <x v="9"/>
          </reference>
          <reference field="4" count="1" selected="0">
            <x v="94"/>
          </reference>
          <reference field="5" count="1" selected="0">
            <x v="0"/>
          </reference>
          <reference field="6" count="1">
            <x v="37"/>
          </reference>
        </references>
      </pivotArea>
    </format>
    <format dxfId="3162">
      <pivotArea dataOnly="0" labelOnly="1" fieldPosition="0">
        <references count="6">
          <reference field="1" count="1" selected="0">
            <x v="16"/>
          </reference>
          <reference field="2" count="1" selected="0">
            <x v="0"/>
          </reference>
          <reference field="3" count="1" selected="0">
            <x v="9"/>
          </reference>
          <reference field="4" count="1" selected="0">
            <x v="94"/>
          </reference>
          <reference field="5" count="1" selected="0">
            <x v="220"/>
          </reference>
          <reference field="6" count="1">
            <x v="47"/>
          </reference>
        </references>
      </pivotArea>
    </format>
    <format dxfId="3161">
      <pivotArea dataOnly="0" labelOnly="1" fieldPosition="0">
        <references count="6">
          <reference field="1" count="1" selected="0">
            <x v="16"/>
          </reference>
          <reference field="2" count="1" selected="0">
            <x v="0"/>
          </reference>
          <reference field="3" count="1" selected="0">
            <x v="12"/>
          </reference>
          <reference field="4" count="1" selected="0">
            <x v="60"/>
          </reference>
          <reference field="5" count="1" selected="0">
            <x v="32"/>
          </reference>
          <reference field="6" count="1">
            <x v="47"/>
          </reference>
        </references>
      </pivotArea>
    </format>
    <format dxfId="3160">
      <pivotArea dataOnly="0" labelOnly="1" fieldPosition="0">
        <references count="6">
          <reference field="1" count="1" selected="0">
            <x v="16"/>
          </reference>
          <reference field="2" count="1" selected="0">
            <x v="12"/>
          </reference>
          <reference field="3" count="1" selected="0">
            <x v="1"/>
          </reference>
          <reference field="4" count="1" selected="0">
            <x v="94"/>
          </reference>
          <reference field="5" count="1" selected="0">
            <x v="702"/>
          </reference>
          <reference field="6" count="1">
            <x v="47"/>
          </reference>
        </references>
      </pivotArea>
    </format>
    <format dxfId="3159">
      <pivotArea dataOnly="0" labelOnly="1" fieldPosition="0">
        <references count="6">
          <reference field="1" count="1" selected="0">
            <x v="17"/>
          </reference>
          <reference field="2" count="1" selected="0">
            <x v="0"/>
          </reference>
          <reference field="3" count="1" selected="0">
            <x v="12"/>
          </reference>
          <reference field="4" count="1" selected="0">
            <x v="36"/>
          </reference>
          <reference field="5" count="1" selected="0">
            <x v="236"/>
          </reference>
          <reference field="6" count="1">
            <x v="47"/>
          </reference>
        </references>
      </pivotArea>
    </format>
    <format dxfId="3158">
      <pivotArea dataOnly="0" labelOnly="1" fieldPosition="0">
        <references count="6">
          <reference field="1" count="1" selected="0">
            <x v="17"/>
          </reference>
          <reference field="2" count="1" selected="0">
            <x v="0"/>
          </reference>
          <reference field="3" count="1" selected="0">
            <x v="37"/>
          </reference>
          <reference field="4" count="1" selected="0">
            <x v="95"/>
          </reference>
          <reference field="5" count="1" selected="0">
            <x v="51"/>
          </reference>
          <reference field="6" count="1">
            <x v="47"/>
          </reference>
        </references>
      </pivotArea>
    </format>
    <format dxfId="3157">
      <pivotArea dataOnly="0" labelOnly="1" fieldPosition="0">
        <references count="6">
          <reference field="1" count="1" selected="0">
            <x v="17"/>
          </reference>
          <reference field="2" count="1" selected="0">
            <x v="0"/>
          </reference>
          <reference field="3" count="1" selected="0">
            <x v="37"/>
          </reference>
          <reference field="4" count="1" selected="0">
            <x v="95"/>
          </reference>
          <reference field="5" count="1" selected="0">
            <x v="262"/>
          </reference>
          <reference field="6" count="1">
            <x v="47"/>
          </reference>
        </references>
      </pivotArea>
    </format>
    <format dxfId="3156">
      <pivotArea dataOnly="0" labelOnly="1" fieldPosition="0">
        <references count="6">
          <reference field="1" count="1" selected="0">
            <x v="17"/>
          </reference>
          <reference field="2" count="1" selected="0">
            <x v="3"/>
          </reference>
          <reference field="3" count="1" selected="0">
            <x v="37"/>
          </reference>
          <reference field="4" count="1" selected="0">
            <x v="95"/>
          </reference>
          <reference field="5" count="1" selected="0">
            <x v="846"/>
          </reference>
          <reference field="6" count="1">
            <x v="47"/>
          </reference>
        </references>
      </pivotArea>
    </format>
    <format dxfId="3155">
      <pivotArea dataOnly="0" labelOnly="1" fieldPosition="0">
        <references count="6">
          <reference field="1" count="1" selected="0">
            <x v="17"/>
          </reference>
          <reference field="2" count="1" selected="0">
            <x v="12"/>
          </reference>
          <reference field="3" count="1" selected="0">
            <x v="1"/>
          </reference>
          <reference field="4" count="1" selected="0">
            <x v="95"/>
          </reference>
          <reference field="5" count="1" selected="0">
            <x v="213"/>
          </reference>
          <reference field="6" count="1">
            <x v="47"/>
          </reference>
        </references>
      </pivotArea>
    </format>
    <format dxfId="3154">
      <pivotArea dataOnly="0" labelOnly="1" fieldPosition="0">
        <references count="6">
          <reference field="1" count="1" selected="0">
            <x v="17"/>
          </reference>
          <reference field="2" count="1" selected="0">
            <x v="23"/>
          </reference>
          <reference field="3" count="1" selected="0">
            <x v="37"/>
          </reference>
          <reference field="4" count="1" selected="0">
            <x v="95"/>
          </reference>
          <reference field="5" count="1" selected="0">
            <x v="299"/>
          </reference>
          <reference field="6" count="1">
            <x v="47"/>
          </reference>
        </references>
      </pivotArea>
    </format>
    <format dxfId="3153">
      <pivotArea dataOnly="0" labelOnly="1" fieldPosition="0">
        <references count="6">
          <reference field="1" count="1" selected="0">
            <x v="18"/>
          </reference>
          <reference field="2" count="1" selected="0">
            <x v="0"/>
          </reference>
          <reference field="3" count="1" selected="0">
            <x v="7"/>
          </reference>
          <reference field="4" count="1" selected="0">
            <x v="97"/>
          </reference>
          <reference field="5" count="1" selected="0">
            <x v="102"/>
          </reference>
          <reference field="6" count="1">
            <x v="47"/>
          </reference>
        </references>
      </pivotArea>
    </format>
    <format dxfId="3152">
      <pivotArea dataOnly="0" labelOnly="1" fieldPosition="0">
        <references count="6">
          <reference field="1" count="1" selected="0">
            <x v="18"/>
          </reference>
          <reference field="2" count="1" selected="0">
            <x v="0"/>
          </reference>
          <reference field="3" count="1" selected="0">
            <x v="9"/>
          </reference>
          <reference field="4" count="1" selected="0">
            <x v="97"/>
          </reference>
          <reference field="5" count="1" selected="0">
            <x v="0"/>
          </reference>
          <reference field="6" count="1">
            <x v="46"/>
          </reference>
        </references>
      </pivotArea>
    </format>
    <format dxfId="3151">
      <pivotArea dataOnly="0" labelOnly="1" fieldPosition="0">
        <references count="6">
          <reference field="1" count="1" selected="0">
            <x v="18"/>
          </reference>
          <reference field="2" count="1" selected="0">
            <x v="0"/>
          </reference>
          <reference field="3" count="1" selected="0">
            <x v="9"/>
          </reference>
          <reference field="4" count="1" selected="0">
            <x v="97"/>
          </reference>
          <reference field="5" count="1" selected="0">
            <x v="212"/>
          </reference>
          <reference field="6" count="1">
            <x v="47"/>
          </reference>
        </references>
      </pivotArea>
    </format>
    <format dxfId="3150">
      <pivotArea dataOnly="0" labelOnly="1" fieldPosition="0">
        <references count="6">
          <reference field="1" count="1" selected="0">
            <x v="18"/>
          </reference>
          <reference field="2" count="1" selected="0">
            <x v="0"/>
          </reference>
          <reference field="3" count="1" selected="0">
            <x v="9"/>
          </reference>
          <reference field="4" count="1" selected="0">
            <x v="97"/>
          </reference>
          <reference field="5" count="1" selected="0">
            <x v="617"/>
          </reference>
          <reference field="6" count="1">
            <x v="47"/>
          </reference>
        </references>
      </pivotArea>
    </format>
    <format dxfId="3149">
      <pivotArea dataOnly="0" labelOnly="1" fieldPosition="0">
        <references count="6">
          <reference field="1" count="1" selected="0">
            <x v="18"/>
          </reference>
          <reference field="2" count="1" selected="0">
            <x v="0"/>
          </reference>
          <reference field="3" count="1" selected="0">
            <x v="9"/>
          </reference>
          <reference field="4" count="1" selected="0">
            <x v="97"/>
          </reference>
          <reference field="5" count="1" selected="0">
            <x v="702"/>
          </reference>
          <reference field="6" count="1">
            <x v="47"/>
          </reference>
        </references>
      </pivotArea>
    </format>
    <format dxfId="3148">
      <pivotArea dataOnly="0" labelOnly="1" fieldPosition="0">
        <references count="6">
          <reference field="1" count="1" selected="0">
            <x v="18"/>
          </reference>
          <reference field="2" count="1" selected="0">
            <x v="0"/>
          </reference>
          <reference field="3" count="1" selected="0">
            <x v="12"/>
          </reference>
          <reference field="4" count="1" selected="0">
            <x v="50"/>
          </reference>
          <reference field="5" count="1" selected="0">
            <x v="551"/>
          </reference>
          <reference field="6" count="1">
            <x v="47"/>
          </reference>
        </references>
      </pivotArea>
    </format>
    <format dxfId="3147">
      <pivotArea dataOnly="0" labelOnly="1" fieldPosition="0">
        <references count="6">
          <reference field="1" count="1" selected="0">
            <x v="18"/>
          </reference>
          <reference field="2" count="1" selected="0">
            <x v="0"/>
          </reference>
          <reference field="3" count="1" selected="0">
            <x v="21"/>
          </reference>
          <reference field="4" count="1" selected="0">
            <x v="96"/>
          </reference>
          <reference field="5" count="1" selected="0">
            <x v="557"/>
          </reference>
          <reference field="6" count="1">
            <x v="47"/>
          </reference>
        </references>
      </pivotArea>
    </format>
    <format dxfId="3146">
      <pivotArea dataOnly="0" labelOnly="1" fieldPosition="0">
        <references count="6">
          <reference field="1" count="1" selected="0">
            <x v="18"/>
          </reference>
          <reference field="2" count="1" selected="0">
            <x v="0"/>
          </reference>
          <reference field="3" count="1" selected="0">
            <x v="21"/>
          </reference>
          <reference field="4" count="1" selected="0">
            <x v="96"/>
          </reference>
          <reference field="5" count="1" selected="0">
            <x v="651"/>
          </reference>
          <reference field="6" count="1">
            <x v="47"/>
          </reference>
        </references>
      </pivotArea>
    </format>
    <format dxfId="3145">
      <pivotArea dataOnly="0" labelOnly="1" fieldPosition="0">
        <references count="6">
          <reference field="1" count="1" selected="0">
            <x v="18"/>
          </reference>
          <reference field="2" count="1" selected="0">
            <x v="0"/>
          </reference>
          <reference field="3" count="1" selected="0">
            <x v="21"/>
          </reference>
          <reference field="4" count="1" selected="0">
            <x v="96"/>
          </reference>
          <reference field="5" count="1" selected="0">
            <x v="698"/>
          </reference>
          <reference field="6" count="1">
            <x v="47"/>
          </reference>
        </references>
      </pivotArea>
    </format>
    <format dxfId="3144">
      <pivotArea dataOnly="0" labelOnly="1" fieldPosition="0">
        <references count="6">
          <reference field="1" count="1" selected="0">
            <x v="18"/>
          </reference>
          <reference field="2" count="1" selected="0">
            <x v="0"/>
          </reference>
          <reference field="3" count="1" selected="0">
            <x v="21"/>
          </reference>
          <reference field="4" count="1" selected="0">
            <x v="96"/>
          </reference>
          <reference field="5" count="1" selected="0">
            <x v="1262"/>
          </reference>
          <reference field="6" count="1">
            <x v="47"/>
          </reference>
        </references>
      </pivotArea>
    </format>
    <format dxfId="3143">
      <pivotArea dataOnly="0" labelOnly="1" fieldPosition="0">
        <references count="6">
          <reference field="1" count="1" selected="0">
            <x v="18"/>
          </reference>
          <reference field="2" count="1" selected="0">
            <x v="0"/>
          </reference>
          <reference field="3" count="1" selected="0">
            <x v="37"/>
          </reference>
          <reference field="4" count="1" selected="0">
            <x v="97"/>
          </reference>
          <reference field="5" count="1" selected="0">
            <x v="262"/>
          </reference>
          <reference field="6" count="1">
            <x v="47"/>
          </reference>
        </references>
      </pivotArea>
    </format>
    <format dxfId="3142">
      <pivotArea dataOnly="0" labelOnly="1" fieldPosition="0">
        <references count="6">
          <reference field="1" count="1" selected="0">
            <x v="18"/>
          </reference>
          <reference field="2" count="1" selected="0">
            <x v="2"/>
          </reference>
          <reference field="3" count="1" selected="0">
            <x v="21"/>
          </reference>
          <reference field="4" count="1" selected="0">
            <x v="96"/>
          </reference>
          <reference field="5" count="1" selected="0">
            <x v="1768"/>
          </reference>
          <reference field="6" count="1">
            <x v="47"/>
          </reference>
        </references>
      </pivotArea>
    </format>
    <format dxfId="3141">
      <pivotArea dataOnly="0" labelOnly="1" fieldPosition="0">
        <references count="6">
          <reference field="1" count="1" selected="0">
            <x v="18"/>
          </reference>
          <reference field="2" count="1" selected="0">
            <x v="8"/>
          </reference>
          <reference field="3" count="1" selected="0">
            <x v="37"/>
          </reference>
          <reference field="4" count="1" selected="0">
            <x v="97"/>
          </reference>
          <reference field="5" count="1" selected="0">
            <x v="1143"/>
          </reference>
          <reference field="6" count="1">
            <x v="47"/>
          </reference>
        </references>
      </pivotArea>
    </format>
    <format dxfId="3140">
      <pivotArea dataOnly="0" labelOnly="1" fieldPosition="0">
        <references count="6">
          <reference field="1" count="1" selected="0">
            <x v="18"/>
          </reference>
          <reference field="2" count="1" selected="0">
            <x v="12"/>
          </reference>
          <reference field="3" count="1" selected="0">
            <x v="1"/>
          </reference>
          <reference field="4" count="1" selected="0">
            <x v="97"/>
          </reference>
          <reference field="5" count="1" selected="0">
            <x v="80"/>
          </reference>
          <reference field="6" count="1">
            <x v="47"/>
          </reference>
        </references>
      </pivotArea>
    </format>
    <format dxfId="3139">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61"/>
          </reference>
          <reference field="6" count="1">
            <x v="47"/>
          </reference>
        </references>
      </pivotArea>
    </format>
    <format dxfId="3138">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76"/>
          </reference>
          <reference field="6" count="1">
            <x v="47"/>
          </reference>
        </references>
      </pivotArea>
    </format>
    <format dxfId="3137">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96"/>
          </reference>
          <reference field="6" count="1">
            <x v="47"/>
          </reference>
        </references>
      </pivotArea>
    </format>
    <format dxfId="3136">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237"/>
          </reference>
          <reference field="6" count="1">
            <x v="47"/>
          </reference>
        </references>
      </pivotArea>
    </format>
    <format dxfId="3135">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348"/>
          </reference>
          <reference field="6" count="1">
            <x v="47"/>
          </reference>
        </references>
      </pivotArea>
    </format>
    <format dxfId="3134">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367"/>
          </reference>
          <reference field="6" count="1">
            <x v="47"/>
          </reference>
        </references>
      </pivotArea>
    </format>
    <format dxfId="3133">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399"/>
          </reference>
          <reference field="6" count="1">
            <x v="47"/>
          </reference>
        </references>
      </pivotArea>
    </format>
    <format dxfId="3132">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417"/>
          </reference>
          <reference field="6" count="1">
            <x v="47"/>
          </reference>
        </references>
      </pivotArea>
    </format>
    <format dxfId="3131">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426"/>
          </reference>
          <reference field="6" count="1">
            <x v="47"/>
          </reference>
        </references>
      </pivotArea>
    </format>
    <format dxfId="3130">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531"/>
          </reference>
          <reference field="6" count="1">
            <x v="47"/>
          </reference>
        </references>
      </pivotArea>
    </format>
    <format dxfId="3129">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566"/>
          </reference>
          <reference field="6" count="1">
            <x v="47"/>
          </reference>
        </references>
      </pivotArea>
    </format>
    <format dxfId="3128">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586"/>
          </reference>
          <reference field="6" count="1">
            <x v="47"/>
          </reference>
        </references>
      </pivotArea>
    </format>
    <format dxfId="3127">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597"/>
          </reference>
          <reference field="6" count="1">
            <x v="47"/>
          </reference>
        </references>
      </pivotArea>
    </format>
    <format dxfId="3126">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625"/>
          </reference>
          <reference field="6" count="1">
            <x v="47"/>
          </reference>
        </references>
      </pivotArea>
    </format>
    <format dxfId="3125">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660"/>
          </reference>
          <reference field="6" count="1">
            <x v="47"/>
          </reference>
        </references>
      </pivotArea>
    </format>
    <format dxfId="3124">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724"/>
          </reference>
          <reference field="6" count="1">
            <x v="47"/>
          </reference>
        </references>
      </pivotArea>
    </format>
    <format dxfId="3123">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861"/>
          </reference>
          <reference field="6" count="1">
            <x v="47"/>
          </reference>
        </references>
      </pivotArea>
    </format>
    <format dxfId="3122">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968"/>
          </reference>
          <reference field="6" count="1">
            <x v="47"/>
          </reference>
        </references>
      </pivotArea>
    </format>
    <format dxfId="3121">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999"/>
          </reference>
          <reference field="6" count="1">
            <x v="47"/>
          </reference>
        </references>
      </pivotArea>
    </format>
    <format dxfId="3120">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023"/>
          </reference>
          <reference field="6" count="1">
            <x v="47"/>
          </reference>
        </references>
      </pivotArea>
    </format>
    <format dxfId="3119">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063"/>
          </reference>
          <reference field="6" count="1">
            <x v="47"/>
          </reference>
        </references>
      </pivotArea>
    </format>
    <format dxfId="3118">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072"/>
          </reference>
          <reference field="6" count="1">
            <x v="47"/>
          </reference>
        </references>
      </pivotArea>
    </format>
    <format dxfId="3117">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096"/>
          </reference>
          <reference field="6" count="1">
            <x v="47"/>
          </reference>
        </references>
      </pivotArea>
    </format>
    <format dxfId="3116">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112"/>
          </reference>
          <reference field="6" count="1">
            <x v="47"/>
          </reference>
        </references>
      </pivotArea>
    </format>
    <format dxfId="3115">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113"/>
          </reference>
          <reference field="6" count="1">
            <x v="47"/>
          </reference>
        </references>
      </pivotArea>
    </format>
    <format dxfId="3114">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142"/>
          </reference>
          <reference field="6" count="1">
            <x v="47"/>
          </reference>
        </references>
      </pivotArea>
    </format>
    <format dxfId="3113">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223"/>
          </reference>
          <reference field="6" count="1">
            <x v="47"/>
          </reference>
        </references>
      </pivotArea>
    </format>
    <format dxfId="3112">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329"/>
          </reference>
          <reference field="6" count="1">
            <x v="47"/>
          </reference>
        </references>
      </pivotArea>
    </format>
    <format dxfId="3111">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426"/>
          </reference>
          <reference field="6" count="1">
            <x v="47"/>
          </reference>
        </references>
      </pivotArea>
    </format>
    <format dxfId="3110">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446"/>
          </reference>
          <reference field="6" count="1">
            <x v="47"/>
          </reference>
        </references>
      </pivotArea>
    </format>
    <format dxfId="3109">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461"/>
          </reference>
          <reference field="6" count="1">
            <x v="47"/>
          </reference>
        </references>
      </pivotArea>
    </format>
    <format dxfId="3108">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490"/>
          </reference>
          <reference field="6" count="1">
            <x v="47"/>
          </reference>
        </references>
      </pivotArea>
    </format>
    <format dxfId="3107">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540"/>
          </reference>
          <reference field="6" count="1">
            <x v="47"/>
          </reference>
        </references>
      </pivotArea>
    </format>
    <format dxfId="3106">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545"/>
          </reference>
          <reference field="6" count="1">
            <x v="47"/>
          </reference>
        </references>
      </pivotArea>
    </format>
    <format dxfId="3105">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579"/>
          </reference>
          <reference field="6" count="1">
            <x v="47"/>
          </reference>
        </references>
      </pivotArea>
    </format>
    <format dxfId="3104">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593"/>
          </reference>
          <reference field="6" count="1">
            <x v="47"/>
          </reference>
        </references>
      </pivotArea>
    </format>
    <format dxfId="3103">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597"/>
          </reference>
          <reference field="6" count="1">
            <x v="47"/>
          </reference>
        </references>
      </pivotArea>
    </format>
    <format dxfId="3102">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623"/>
          </reference>
          <reference field="6" count="1">
            <x v="47"/>
          </reference>
        </references>
      </pivotArea>
    </format>
    <format dxfId="3101">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625"/>
          </reference>
          <reference field="6" count="1">
            <x v="47"/>
          </reference>
        </references>
      </pivotArea>
    </format>
    <format dxfId="3100">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683"/>
          </reference>
          <reference field="6" count="1">
            <x v="47"/>
          </reference>
        </references>
      </pivotArea>
    </format>
    <format dxfId="3099">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726"/>
          </reference>
          <reference field="6" count="1">
            <x v="47"/>
          </reference>
        </references>
      </pivotArea>
    </format>
    <format dxfId="3098">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784"/>
          </reference>
          <reference field="6" count="1">
            <x v="47"/>
          </reference>
        </references>
      </pivotArea>
    </format>
    <format dxfId="3097">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798"/>
          </reference>
          <reference field="6" count="1">
            <x v="47"/>
          </reference>
        </references>
      </pivotArea>
    </format>
    <format dxfId="3096">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802"/>
          </reference>
          <reference field="6" count="1">
            <x v="47"/>
          </reference>
        </references>
      </pivotArea>
    </format>
    <format dxfId="3095">
      <pivotArea dataOnly="0" labelOnly="1" fieldPosition="0">
        <references count="6">
          <reference field="1" count="1" selected="0">
            <x v="18"/>
          </reference>
          <reference field="2" count="1" selected="0">
            <x v="12"/>
          </reference>
          <reference field="3" count="1" selected="0">
            <x v="21"/>
          </reference>
          <reference field="4" count="1" selected="0">
            <x v="96"/>
          </reference>
          <reference field="5" count="1" selected="0">
            <x v="1814"/>
          </reference>
          <reference field="6" count="1">
            <x v="47"/>
          </reference>
        </references>
      </pivotArea>
    </format>
    <format dxfId="3094">
      <pivotArea dataOnly="0" labelOnly="1" fieldPosition="0">
        <references count="6">
          <reference field="1" count="1" selected="0">
            <x v="18"/>
          </reference>
          <reference field="2" count="1" selected="0">
            <x v="15"/>
          </reference>
          <reference field="3" count="1" selected="0">
            <x v="21"/>
          </reference>
          <reference field="4" count="1" selected="0">
            <x v="96"/>
          </reference>
          <reference field="5" count="1" selected="0">
            <x v="1709"/>
          </reference>
          <reference field="6" count="1">
            <x v="47"/>
          </reference>
        </references>
      </pivotArea>
    </format>
    <format dxfId="3093">
      <pivotArea dataOnly="0" labelOnly="1" fieldPosition="0">
        <references count="6">
          <reference field="1" count="1" selected="0">
            <x v="18"/>
          </reference>
          <reference field="2" count="1" selected="0">
            <x v="17"/>
          </reference>
          <reference field="3" count="1" selected="0">
            <x v="21"/>
          </reference>
          <reference field="4" count="1" selected="0">
            <x v="96"/>
          </reference>
          <reference field="5" count="1" selected="0">
            <x v="402"/>
          </reference>
          <reference field="6" count="1">
            <x v="47"/>
          </reference>
        </references>
      </pivotArea>
    </format>
    <format dxfId="3092">
      <pivotArea dataOnly="0" labelOnly="1" fieldPosition="0">
        <references count="6">
          <reference field="1" count="1" selected="0">
            <x v="18"/>
          </reference>
          <reference field="2" count="1" selected="0">
            <x v="23"/>
          </reference>
          <reference field="3" count="1" selected="0">
            <x v="21"/>
          </reference>
          <reference field="4" count="1" selected="0">
            <x v="96"/>
          </reference>
          <reference field="5" count="1" selected="0">
            <x v="1278"/>
          </reference>
          <reference field="6" count="1">
            <x v="47"/>
          </reference>
        </references>
      </pivotArea>
    </format>
    <format dxfId="3091">
      <pivotArea dataOnly="0" labelOnly="1" fieldPosition="0">
        <references count="6">
          <reference field="1" count="1" selected="0">
            <x v="18"/>
          </reference>
          <reference field="2" count="1" selected="0">
            <x v="23"/>
          </reference>
          <reference field="3" count="1" selected="0">
            <x v="37"/>
          </reference>
          <reference field="4" count="1" selected="0">
            <x v="97"/>
          </reference>
          <reference field="5" count="1" selected="0">
            <x v="50"/>
          </reference>
          <reference field="6" count="1">
            <x v="47"/>
          </reference>
        </references>
      </pivotArea>
    </format>
    <format dxfId="3090">
      <pivotArea dataOnly="0" labelOnly="1" fieldPosition="0">
        <references count="6">
          <reference field="1" count="1" selected="0">
            <x v="18"/>
          </reference>
          <reference field="2" count="1" selected="0">
            <x v="24"/>
          </reference>
          <reference field="3" count="1" selected="0">
            <x v="21"/>
          </reference>
          <reference field="4" count="1" selected="0">
            <x v="96"/>
          </reference>
          <reference field="5" count="1" selected="0">
            <x v="1118"/>
          </reference>
          <reference field="6" count="1">
            <x v="47"/>
          </reference>
        </references>
      </pivotArea>
    </format>
    <format dxfId="3089">
      <pivotArea dataOnly="0" labelOnly="1" fieldPosition="0">
        <references count="6">
          <reference field="1" count="1" selected="0">
            <x v="18"/>
          </reference>
          <reference field="2" count="1" selected="0">
            <x v="35"/>
          </reference>
          <reference field="3" count="1" selected="0">
            <x v="21"/>
          </reference>
          <reference field="4" count="1" selected="0">
            <x v="96"/>
          </reference>
          <reference field="5" count="1" selected="0">
            <x v="56"/>
          </reference>
          <reference field="6" count="1">
            <x v="47"/>
          </reference>
        </references>
      </pivotArea>
    </format>
    <format dxfId="3088">
      <pivotArea dataOnly="0" labelOnly="1" fieldPosition="0">
        <references count="6">
          <reference field="1" count="1" selected="0">
            <x v="18"/>
          </reference>
          <reference field="2" count="1" selected="0">
            <x v="35"/>
          </reference>
          <reference field="3" count="1" selected="0">
            <x v="21"/>
          </reference>
          <reference field="4" count="1" selected="0">
            <x v="96"/>
          </reference>
          <reference field="5" count="1" selected="0">
            <x v="409"/>
          </reference>
          <reference field="6" count="1">
            <x v="47"/>
          </reference>
        </references>
      </pivotArea>
    </format>
    <format dxfId="3087">
      <pivotArea dataOnly="0" labelOnly="1" fieldPosition="0">
        <references count="6">
          <reference field="1" count="1" selected="0">
            <x v="18"/>
          </reference>
          <reference field="2" count="1" selected="0">
            <x v="35"/>
          </reference>
          <reference field="3" count="1" selected="0">
            <x v="21"/>
          </reference>
          <reference field="4" count="1" selected="0">
            <x v="96"/>
          </reference>
          <reference field="5" count="1" selected="0">
            <x v="457"/>
          </reference>
          <reference field="6" count="1">
            <x v="47"/>
          </reference>
        </references>
      </pivotArea>
    </format>
    <format dxfId="3086">
      <pivotArea dataOnly="0" labelOnly="1" fieldPosition="0">
        <references count="6">
          <reference field="1" count="1" selected="0">
            <x v="18"/>
          </reference>
          <reference field="2" count="1" selected="0">
            <x v="35"/>
          </reference>
          <reference field="3" count="1" selected="0">
            <x v="21"/>
          </reference>
          <reference field="4" count="1" selected="0">
            <x v="96"/>
          </reference>
          <reference field="5" count="1" selected="0">
            <x v="786"/>
          </reference>
          <reference field="6" count="1">
            <x v="47"/>
          </reference>
        </references>
      </pivotArea>
    </format>
    <format dxfId="3085">
      <pivotArea dataOnly="0" labelOnly="1" fieldPosition="0">
        <references count="6">
          <reference field="1" count="1" selected="0">
            <x v="18"/>
          </reference>
          <reference field="2" count="1" selected="0">
            <x v="35"/>
          </reference>
          <reference field="3" count="1" selected="0">
            <x v="21"/>
          </reference>
          <reference field="4" count="1" selected="0">
            <x v="96"/>
          </reference>
          <reference field="5" count="1" selected="0">
            <x v="950"/>
          </reference>
          <reference field="6" count="1">
            <x v="47"/>
          </reference>
        </references>
      </pivotArea>
    </format>
    <format dxfId="3084">
      <pivotArea dataOnly="0" labelOnly="1" fieldPosition="0">
        <references count="6">
          <reference field="1" count="1" selected="0">
            <x v="19"/>
          </reference>
          <reference field="2" count="1" selected="0">
            <x v="0"/>
          </reference>
          <reference field="3" count="1" selected="0">
            <x v="8"/>
          </reference>
          <reference field="4" count="1" selected="0">
            <x v="98"/>
          </reference>
          <reference field="5" count="1" selected="0">
            <x v="351"/>
          </reference>
          <reference field="6" count="1">
            <x v="47"/>
          </reference>
        </references>
      </pivotArea>
    </format>
    <format dxfId="3083">
      <pivotArea dataOnly="0" labelOnly="1" fieldPosition="0">
        <references count="6">
          <reference field="1" count="1" selected="0">
            <x v="19"/>
          </reference>
          <reference field="2" count="1" selected="0">
            <x v="0"/>
          </reference>
          <reference field="3" count="1" selected="0">
            <x v="9"/>
          </reference>
          <reference field="4" count="1" selected="0">
            <x v="98"/>
          </reference>
          <reference field="5" count="1" selected="0">
            <x v="702"/>
          </reference>
          <reference field="6" count="1">
            <x v="47"/>
          </reference>
        </references>
      </pivotArea>
    </format>
    <format dxfId="3082">
      <pivotArea dataOnly="0" labelOnly="1" fieldPosition="0">
        <references count="6">
          <reference field="1" count="1" selected="0">
            <x v="19"/>
          </reference>
          <reference field="2" count="1" selected="0">
            <x v="0"/>
          </reference>
          <reference field="3" count="1" selected="0">
            <x v="9"/>
          </reference>
          <reference field="4" count="1" selected="0">
            <x v="98"/>
          </reference>
          <reference field="5" count="1" selected="0">
            <x v="958"/>
          </reference>
          <reference field="6" count="1">
            <x v="47"/>
          </reference>
        </references>
      </pivotArea>
    </format>
    <format dxfId="3081">
      <pivotArea dataOnly="0" labelOnly="1" fieldPosition="0">
        <references count="6">
          <reference field="1" count="1" selected="0">
            <x v="19"/>
          </reference>
          <reference field="2" count="1" selected="0">
            <x v="0"/>
          </reference>
          <reference field="3" count="1" selected="0">
            <x v="9"/>
          </reference>
          <reference field="4" count="1" selected="0">
            <x v="98"/>
          </reference>
          <reference field="5" count="1" selected="0">
            <x v="1417"/>
          </reference>
          <reference field="6" count="1">
            <x v="47"/>
          </reference>
        </references>
      </pivotArea>
    </format>
    <format dxfId="3080">
      <pivotArea dataOnly="0" labelOnly="1" fieldPosition="0">
        <references count="6">
          <reference field="1" count="1" selected="0">
            <x v="19"/>
          </reference>
          <reference field="2" count="1" selected="0">
            <x v="0"/>
          </reference>
          <reference field="3" count="1" selected="0">
            <x v="12"/>
          </reference>
          <reference field="4" count="1" selected="0">
            <x v="18"/>
          </reference>
          <reference field="5" count="1" selected="0">
            <x v="44"/>
          </reference>
          <reference field="6" count="1">
            <x v="47"/>
          </reference>
        </references>
      </pivotArea>
    </format>
    <format dxfId="3079">
      <pivotArea dataOnly="0" labelOnly="1" fieldPosition="0">
        <references count="6">
          <reference field="1" count="1" selected="0">
            <x v="19"/>
          </reference>
          <reference field="2" count="1" selected="0">
            <x v="0"/>
          </reference>
          <reference field="3" count="1" selected="0">
            <x v="12"/>
          </reference>
          <reference field="4" count="1" selected="0">
            <x v="68"/>
          </reference>
          <reference field="5" count="1" selected="0">
            <x v="18"/>
          </reference>
          <reference field="6" count="1">
            <x v="47"/>
          </reference>
        </references>
      </pivotArea>
    </format>
    <format dxfId="3078">
      <pivotArea dataOnly="0" labelOnly="1" fieldPosition="0">
        <references count="6">
          <reference field="1" count="1" selected="0">
            <x v="19"/>
          </reference>
          <reference field="2" count="1" selected="0">
            <x v="6"/>
          </reference>
          <reference field="3" count="1" selected="0">
            <x v="37"/>
          </reference>
          <reference field="4" count="1" selected="0">
            <x v="98"/>
          </reference>
          <reference field="5" count="1" selected="0">
            <x v="1025"/>
          </reference>
          <reference field="6" count="1">
            <x v="47"/>
          </reference>
        </references>
      </pivotArea>
    </format>
    <format dxfId="3077">
      <pivotArea dataOnly="0" labelOnly="1" fieldPosition="0">
        <references count="6">
          <reference field="1" count="1" selected="0">
            <x v="19"/>
          </reference>
          <reference field="2" count="1" selected="0">
            <x v="15"/>
          </reference>
          <reference field="3" count="1" selected="0">
            <x v="7"/>
          </reference>
          <reference field="4" count="1" selected="0">
            <x v="98"/>
          </reference>
          <reference field="5" count="1" selected="0">
            <x v="711"/>
          </reference>
          <reference field="6" count="1">
            <x v="47"/>
          </reference>
        </references>
      </pivotArea>
    </format>
    <format dxfId="3076">
      <pivotArea dataOnly="0" labelOnly="1" fieldPosition="0">
        <references count="6">
          <reference field="1" count="1" selected="0">
            <x v="19"/>
          </reference>
          <reference field="2" count="1" selected="0">
            <x v="15"/>
          </reference>
          <reference field="3" count="1" selected="0">
            <x v="8"/>
          </reference>
          <reference field="4" count="1" selected="0">
            <x v="98"/>
          </reference>
          <reference field="5" count="1" selected="0">
            <x v="794"/>
          </reference>
          <reference field="6" count="1">
            <x v="47"/>
          </reference>
        </references>
      </pivotArea>
    </format>
    <format dxfId="3075">
      <pivotArea dataOnly="0" labelOnly="1" fieldPosition="0">
        <references count="6">
          <reference field="1" count="1" selected="0">
            <x v="19"/>
          </reference>
          <reference field="2" count="1" selected="0">
            <x v="15"/>
          </reference>
          <reference field="3" count="1" selected="0">
            <x v="9"/>
          </reference>
          <reference field="4" count="1" selected="0">
            <x v="98"/>
          </reference>
          <reference field="5" count="1" selected="0">
            <x v="1213"/>
          </reference>
          <reference field="6" count="1">
            <x v="47"/>
          </reference>
        </references>
      </pivotArea>
    </format>
    <format dxfId="3074">
      <pivotArea dataOnly="0" labelOnly="1" fieldPosition="0">
        <references count="6">
          <reference field="1" count="1" selected="0">
            <x v="20"/>
          </reference>
          <reference field="2" count="1" selected="0">
            <x v="0"/>
          </reference>
          <reference field="3" count="1" selected="0">
            <x v="9"/>
          </reference>
          <reference field="4" count="1" selected="0">
            <x v="99"/>
          </reference>
          <reference field="5" count="1" selected="0">
            <x v="412"/>
          </reference>
          <reference field="6" count="1">
            <x v="47"/>
          </reference>
        </references>
      </pivotArea>
    </format>
    <format dxfId="3073">
      <pivotArea dataOnly="0" labelOnly="1" fieldPosition="0">
        <references count="6">
          <reference field="1" count="1" selected="0">
            <x v="20"/>
          </reference>
          <reference field="2" count="1" selected="0">
            <x v="0"/>
          </reference>
          <reference field="3" count="1" selected="0">
            <x v="12"/>
          </reference>
          <reference field="4" count="1" selected="0">
            <x v="46"/>
          </reference>
          <reference field="5" count="1" selected="0">
            <x v="325"/>
          </reference>
          <reference field="6" count="1">
            <x v="47"/>
          </reference>
        </references>
      </pivotArea>
    </format>
    <format dxfId="3072">
      <pivotArea dataOnly="0" labelOnly="1" fieldPosition="0">
        <references count="6">
          <reference field="1" count="1" selected="0">
            <x v="20"/>
          </reference>
          <reference field="2" count="1" selected="0">
            <x v="0"/>
          </reference>
          <reference field="3" count="1" selected="0">
            <x v="12"/>
          </reference>
          <reference field="4" count="1" selected="0">
            <x v="50"/>
          </reference>
          <reference field="5" count="1" selected="0">
            <x v="137"/>
          </reference>
          <reference field="6" count="1">
            <x v="47"/>
          </reference>
        </references>
      </pivotArea>
    </format>
    <format dxfId="3071">
      <pivotArea dataOnly="0" labelOnly="1" fieldPosition="0">
        <references count="6">
          <reference field="1" count="1" selected="0">
            <x v="20"/>
          </reference>
          <reference field="2" count="1" selected="0">
            <x v="0"/>
          </reference>
          <reference field="3" count="1" selected="0">
            <x v="12"/>
          </reference>
          <reference field="4" count="1" selected="0">
            <x v="56"/>
          </reference>
          <reference field="5" count="1" selected="0">
            <x v="194"/>
          </reference>
          <reference field="6" count="1">
            <x v="47"/>
          </reference>
        </references>
      </pivotArea>
    </format>
    <format dxfId="3070">
      <pivotArea dataOnly="0" labelOnly="1" fieldPosition="0">
        <references count="6">
          <reference field="1" count="1" selected="0">
            <x v="20"/>
          </reference>
          <reference field="2" count="1" selected="0">
            <x v="0"/>
          </reference>
          <reference field="3" count="1" selected="0">
            <x v="12"/>
          </reference>
          <reference field="4" count="1" selected="0">
            <x v="65"/>
          </reference>
          <reference field="5" count="1" selected="0">
            <x v="18"/>
          </reference>
          <reference field="6" count="1">
            <x v="47"/>
          </reference>
        </references>
      </pivotArea>
    </format>
    <format dxfId="3069">
      <pivotArea dataOnly="0" labelOnly="1" fieldPosition="0">
        <references count="6">
          <reference field="1" count="1" selected="0">
            <x v="20"/>
          </reference>
          <reference field="2" count="1" selected="0">
            <x v="3"/>
          </reference>
          <reference field="3" count="1" selected="0">
            <x v="37"/>
          </reference>
          <reference field="4" count="1" selected="0">
            <x v="99"/>
          </reference>
          <reference field="5" count="1" selected="0">
            <x v="143"/>
          </reference>
          <reference field="6" count="1">
            <x v="47"/>
          </reference>
        </references>
      </pivotArea>
    </format>
    <format dxfId="3068">
      <pivotArea dataOnly="0" labelOnly="1" fieldPosition="0">
        <references count="6">
          <reference field="1" count="1" selected="0">
            <x v="20"/>
          </reference>
          <reference field="2" count="1" selected="0">
            <x v="11"/>
          </reference>
          <reference field="3" count="1" selected="0">
            <x v="1"/>
          </reference>
          <reference field="4" count="1" selected="0">
            <x v="99"/>
          </reference>
          <reference field="5" count="1" selected="0">
            <x v="528"/>
          </reference>
          <reference field="6" count="1">
            <x v="47"/>
          </reference>
        </references>
      </pivotArea>
    </format>
    <format dxfId="3067">
      <pivotArea dataOnly="0" labelOnly="1" fieldPosition="0">
        <references count="6">
          <reference field="1" count="1" selected="0">
            <x v="20"/>
          </reference>
          <reference field="2" count="1" selected="0">
            <x v="15"/>
          </reference>
          <reference field="3" count="1" selected="0">
            <x v="32"/>
          </reference>
          <reference field="4" count="1" selected="0">
            <x v="74"/>
          </reference>
          <reference field="5" count="1" selected="0">
            <x v="1882"/>
          </reference>
          <reference field="6" count="1">
            <x v="47"/>
          </reference>
        </references>
      </pivotArea>
    </format>
    <format dxfId="3066">
      <pivotArea dataOnly="0" labelOnly="1" fieldPosition="0">
        <references count="6">
          <reference field="1" count="1" selected="0">
            <x v="20"/>
          </reference>
          <reference field="2" count="1" selected="0">
            <x v="17"/>
          </reference>
          <reference field="3" count="1" selected="0">
            <x v="6"/>
          </reference>
          <reference field="4" count="1" selected="0">
            <x v="99"/>
          </reference>
          <reference field="5" count="1" selected="0">
            <x v="1249"/>
          </reference>
          <reference field="6" count="1">
            <x v="47"/>
          </reference>
        </references>
      </pivotArea>
    </format>
    <format dxfId="3065">
      <pivotArea dataOnly="0" labelOnly="1" fieldPosition="0">
        <references count="6">
          <reference field="1" count="1" selected="0">
            <x v="20"/>
          </reference>
          <reference field="2" count="1" selected="0">
            <x v="23"/>
          </reference>
          <reference field="3" count="1" selected="0">
            <x v="9"/>
          </reference>
          <reference field="4" count="1" selected="0">
            <x v="99"/>
          </reference>
          <reference field="5" count="1" selected="0">
            <x v="1344"/>
          </reference>
          <reference field="6" count="1">
            <x v="47"/>
          </reference>
        </references>
      </pivotArea>
    </format>
    <format dxfId="3064">
      <pivotArea dataOnly="0" labelOnly="1" fieldPosition="0">
        <references count="6">
          <reference field="1" count="1" selected="0">
            <x v="21"/>
          </reference>
          <reference field="2" count="1" selected="0">
            <x v="0"/>
          </reference>
          <reference field="3" count="1" selected="0">
            <x v="9"/>
          </reference>
          <reference field="4" count="1" selected="0">
            <x v="100"/>
          </reference>
          <reference field="5" count="1" selected="0">
            <x v="1543"/>
          </reference>
          <reference field="6" count="1">
            <x v="47"/>
          </reference>
        </references>
      </pivotArea>
    </format>
    <format dxfId="3063">
      <pivotArea dataOnly="0" labelOnly="1" fieldPosition="0">
        <references count="6">
          <reference field="1" count="1" selected="0">
            <x v="21"/>
          </reference>
          <reference field="2" count="1" selected="0">
            <x v="0"/>
          </reference>
          <reference field="3" count="1" selected="0">
            <x v="12"/>
          </reference>
          <reference field="4" count="1" selected="0">
            <x v="10"/>
          </reference>
          <reference field="5" count="1" selected="0">
            <x v="90"/>
          </reference>
          <reference field="6" count="1">
            <x v="47"/>
          </reference>
        </references>
      </pivotArea>
    </format>
    <format dxfId="3062">
      <pivotArea dataOnly="0" labelOnly="1" fieldPosition="0">
        <references count="6">
          <reference field="1" count="1" selected="0">
            <x v="21"/>
          </reference>
          <reference field="2" count="1" selected="0">
            <x v="0"/>
          </reference>
          <reference field="3" count="1" selected="0">
            <x v="12"/>
          </reference>
          <reference field="4" count="1" selected="0">
            <x v="19"/>
          </reference>
          <reference field="5" count="1" selected="0">
            <x v="39"/>
          </reference>
          <reference field="6" count="1">
            <x v="47"/>
          </reference>
        </references>
      </pivotArea>
    </format>
    <format dxfId="3061">
      <pivotArea dataOnly="0" labelOnly="1" fieldPosition="0">
        <references count="6">
          <reference field="1" count="1" selected="0">
            <x v="21"/>
          </reference>
          <reference field="2" count="1" selected="0">
            <x v="0"/>
          </reference>
          <reference field="3" count="1" selected="0">
            <x v="12"/>
          </reference>
          <reference field="4" count="1" selected="0">
            <x v="30"/>
          </reference>
          <reference field="5" count="1" selected="0">
            <x v="92"/>
          </reference>
          <reference field="6" count="1">
            <x v="47"/>
          </reference>
        </references>
      </pivotArea>
    </format>
    <format dxfId="3060">
      <pivotArea dataOnly="0" labelOnly="1" fieldPosition="0">
        <references count="6">
          <reference field="1" count="1" selected="0">
            <x v="21"/>
          </reference>
          <reference field="2" count="1" selected="0">
            <x v="3"/>
          </reference>
          <reference field="3" count="1" selected="0">
            <x v="1"/>
          </reference>
          <reference field="4" count="1" selected="0">
            <x v="100"/>
          </reference>
          <reference field="5" count="1" selected="0">
            <x v="935"/>
          </reference>
          <reference field="6" count="1">
            <x v="47"/>
          </reference>
        </references>
      </pivotArea>
    </format>
    <format dxfId="3059">
      <pivotArea dataOnly="0" labelOnly="1" fieldPosition="0">
        <references count="6">
          <reference field="1" count="1" selected="0">
            <x v="21"/>
          </reference>
          <reference field="2" count="1" selected="0">
            <x v="3"/>
          </reference>
          <reference field="3" count="1" selected="0">
            <x v="6"/>
          </reference>
          <reference field="4" count="1" selected="0">
            <x v="100"/>
          </reference>
          <reference field="5" count="1" selected="0">
            <x v="387"/>
          </reference>
          <reference field="6" count="1">
            <x v="47"/>
          </reference>
        </references>
      </pivotArea>
    </format>
    <format dxfId="3058">
      <pivotArea dataOnly="0" labelOnly="1" fieldPosition="0">
        <references count="6">
          <reference field="1" count="1" selected="0">
            <x v="21"/>
          </reference>
          <reference field="2" count="1" selected="0">
            <x v="3"/>
          </reference>
          <reference field="3" count="1" selected="0">
            <x v="37"/>
          </reference>
          <reference field="4" count="1" selected="0">
            <x v="100"/>
          </reference>
          <reference field="5" count="1" selected="0">
            <x v="737"/>
          </reference>
          <reference field="6" count="1">
            <x v="47"/>
          </reference>
        </references>
      </pivotArea>
    </format>
    <format dxfId="3057">
      <pivotArea dataOnly="0" labelOnly="1" fieldPosition="0">
        <references count="6">
          <reference field="1" count="1" selected="0">
            <x v="21"/>
          </reference>
          <reference field="2" count="1" selected="0">
            <x v="9"/>
          </reference>
          <reference field="3" count="1" selected="0">
            <x v="8"/>
          </reference>
          <reference field="4" count="1" selected="0">
            <x v="100"/>
          </reference>
          <reference field="5" count="1" selected="0">
            <x v="490"/>
          </reference>
          <reference field="6" count="1">
            <x v="47"/>
          </reference>
        </references>
      </pivotArea>
    </format>
    <format dxfId="3056">
      <pivotArea dataOnly="0" labelOnly="1" fieldPosition="0">
        <references count="6">
          <reference field="1" count="1" selected="0">
            <x v="21"/>
          </reference>
          <reference field="2" count="1" selected="0">
            <x v="12"/>
          </reference>
          <reference field="3" count="1" selected="0">
            <x v="1"/>
          </reference>
          <reference field="4" count="1" selected="0">
            <x v="100"/>
          </reference>
          <reference field="5" count="1" selected="0">
            <x v="80"/>
          </reference>
          <reference field="6" count="1">
            <x v="47"/>
          </reference>
        </references>
      </pivotArea>
    </format>
    <format dxfId="3055">
      <pivotArea dataOnly="0" labelOnly="1" fieldPosition="0">
        <references count="6">
          <reference field="1" count="1" selected="0">
            <x v="21"/>
          </reference>
          <reference field="2" count="1" selected="0">
            <x v="12"/>
          </reference>
          <reference field="3" count="1" selected="0">
            <x v="1"/>
          </reference>
          <reference field="4" count="1" selected="0">
            <x v="100"/>
          </reference>
          <reference field="5" count="1" selected="0">
            <x v="702"/>
          </reference>
          <reference field="6" count="1">
            <x v="47"/>
          </reference>
        </references>
      </pivotArea>
    </format>
    <format dxfId="3054">
      <pivotArea dataOnly="0" labelOnly="1" fieldPosition="0">
        <references count="6">
          <reference field="1" count="1" selected="0">
            <x v="22"/>
          </reference>
          <reference field="2" count="1" selected="0">
            <x v="0"/>
          </reference>
          <reference field="3" count="1" selected="0">
            <x v="12"/>
          </reference>
          <reference field="4" count="1" selected="0">
            <x v="8"/>
          </reference>
          <reference field="5" count="1" selected="0">
            <x v="92"/>
          </reference>
          <reference field="6" count="1">
            <x v="47"/>
          </reference>
        </references>
      </pivotArea>
    </format>
    <format dxfId="3053">
      <pivotArea dataOnly="0" labelOnly="1" fieldPosition="0">
        <references count="6">
          <reference field="1" count="1" selected="0">
            <x v="22"/>
          </reference>
          <reference field="2" count="1" selected="0">
            <x v="0"/>
          </reference>
          <reference field="3" count="1" selected="0">
            <x v="12"/>
          </reference>
          <reference field="4" count="1" selected="0">
            <x v="25"/>
          </reference>
          <reference field="5" count="1" selected="0">
            <x v="180"/>
          </reference>
          <reference field="6" count="1">
            <x v="47"/>
          </reference>
        </references>
      </pivotArea>
    </format>
    <format dxfId="3052">
      <pivotArea dataOnly="0" labelOnly="1" fieldPosition="0">
        <references count="6">
          <reference field="1" count="1" selected="0">
            <x v="22"/>
          </reference>
          <reference field="2" count="1" selected="0">
            <x v="0"/>
          </reference>
          <reference field="3" count="1" selected="0">
            <x v="12"/>
          </reference>
          <reference field="4" count="1" selected="0">
            <x v="26"/>
          </reference>
          <reference field="5" count="1" selected="0">
            <x v="53"/>
          </reference>
          <reference field="6" count="1">
            <x v="47"/>
          </reference>
        </references>
      </pivotArea>
    </format>
    <format dxfId="3051">
      <pivotArea dataOnly="0" labelOnly="1" fieldPosition="0">
        <references count="6">
          <reference field="1" count="1" selected="0">
            <x v="22"/>
          </reference>
          <reference field="2" count="1" selected="0">
            <x v="0"/>
          </reference>
          <reference field="3" count="1" selected="0">
            <x v="12"/>
          </reference>
          <reference field="4" count="1" selected="0">
            <x v="70"/>
          </reference>
          <reference field="5" count="1" selected="0">
            <x v="18"/>
          </reference>
          <reference field="6" count="1">
            <x v="47"/>
          </reference>
        </references>
      </pivotArea>
    </format>
    <format dxfId="3050">
      <pivotArea dataOnly="0" labelOnly="1" fieldPosition="0">
        <references count="6">
          <reference field="1" count="1" selected="0">
            <x v="22"/>
          </reference>
          <reference field="2" count="1" selected="0">
            <x v="12"/>
          </reference>
          <reference field="3" count="1" selected="0">
            <x v="1"/>
          </reference>
          <reference field="4" count="1" selected="0">
            <x v="101"/>
          </reference>
          <reference field="5" count="1" selected="0">
            <x v="213"/>
          </reference>
          <reference field="6" count="1">
            <x v="47"/>
          </reference>
        </references>
      </pivotArea>
    </format>
    <format dxfId="3049">
      <pivotArea dataOnly="0" labelOnly="1" fieldPosition="0">
        <references count="6">
          <reference field="1" count="1" selected="0">
            <x v="22"/>
          </reference>
          <reference field="2" count="1" selected="0">
            <x v="23"/>
          </reference>
          <reference field="3" count="1" selected="0">
            <x v="6"/>
          </reference>
          <reference field="4" count="1" selected="0">
            <x v="101"/>
          </reference>
          <reference field="5" count="1" selected="0">
            <x v="701"/>
          </reference>
          <reference field="6" count="1">
            <x v="47"/>
          </reference>
        </references>
      </pivotArea>
    </format>
    <format dxfId="3048">
      <pivotArea dataOnly="0" labelOnly="1" fieldPosition="0">
        <references count="6">
          <reference field="1" count="1" selected="0">
            <x v="22"/>
          </reference>
          <reference field="2" count="1" selected="0">
            <x v="35"/>
          </reference>
          <reference field="3" count="1" selected="0">
            <x v="1"/>
          </reference>
          <reference field="4" count="1" selected="0">
            <x v="101"/>
          </reference>
          <reference field="5" count="1" selected="0">
            <x v="80"/>
          </reference>
          <reference field="6" count="1">
            <x v="47"/>
          </reference>
        </references>
      </pivotArea>
    </format>
    <format dxfId="3047">
      <pivotArea dataOnly="0" labelOnly="1" fieldPosition="0">
        <references count="6">
          <reference field="1" count="1" selected="0">
            <x v="23"/>
          </reference>
          <reference field="2" count="1" selected="0">
            <x v="0"/>
          </reference>
          <reference field="3" count="1" selected="0">
            <x v="8"/>
          </reference>
          <reference field="4" count="1" selected="0">
            <x v="102"/>
          </reference>
          <reference field="5" count="1" selected="0">
            <x v="1114"/>
          </reference>
          <reference field="6" count="1">
            <x v="47"/>
          </reference>
        </references>
      </pivotArea>
    </format>
    <format dxfId="3046">
      <pivotArea dataOnly="0" labelOnly="1" fieldPosition="0">
        <references count="6">
          <reference field="1" count="1" selected="0">
            <x v="23"/>
          </reference>
          <reference field="2" count="1" selected="0">
            <x v="0"/>
          </reference>
          <reference field="3" count="1" selected="0">
            <x v="9"/>
          </reference>
          <reference field="4" count="1" selected="0">
            <x v="102"/>
          </reference>
          <reference field="5" count="1" selected="0">
            <x v="170"/>
          </reference>
          <reference field="6" count="1">
            <x v="47"/>
          </reference>
        </references>
      </pivotArea>
    </format>
    <format dxfId="3045">
      <pivotArea dataOnly="0" labelOnly="1" fieldPosition="0">
        <references count="6">
          <reference field="1" count="1" selected="0">
            <x v="23"/>
          </reference>
          <reference field="2" count="1" selected="0">
            <x v="0"/>
          </reference>
          <reference field="3" count="1" selected="0">
            <x v="9"/>
          </reference>
          <reference field="4" count="1" selected="0">
            <x v="102"/>
          </reference>
          <reference field="5" count="1" selected="0">
            <x v="255"/>
          </reference>
          <reference field="6" count="1">
            <x v="47"/>
          </reference>
        </references>
      </pivotArea>
    </format>
    <format dxfId="3044">
      <pivotArea dataOnly="0" labelOnly="1" fieldPosition="0">
        <references count="6">
          <reference field="1" count="1" selected="0">
            <x v="23"/>
          </reference>
          <reference field="2" count="1" selected="0">
            <x v="0"/>
          </reference>
          <reference field="3" count="1" selected="0">
            <x v="9"/>
          </reference>
          <reference field="4" count="1" selected="0">
            <x v="102"/>
          </reference>
          <reference field="5" count="1" selected="0">
            <x v="1106"/>
          </reference>
          <reference field="6" count="1">
            <x v="47"/>
          </reference>
        </references>
      </pivotArea>
    </format>
    <format dxfId="3043">
      <pivotArea dataOnly="0" labelOnly="1" fieldPosition="0">
        <references count="6">
          <reference field="1" count="1" selected="0">
            <x v="23"/>
          </reference>
          <reference field="2" count="1" selected="0">
            <x v="0"/>
          </reference>
          <reference field="3" count="1" selected="0">
            <x v="12"/>
          </reference>
          <reference field="4" count="1" selected="0">
            <x v="31"/>
          </reference>
          <reference field="5" count="1" selected="0">
            <x v="488"/>
          </reference>
          <reference field="6" count="1">
            <x v="47"/>
          </reference>
        </references>
      </pivotArea>
    </format>
    <format dxfId="3042">
      <pivotArea dataOnly="0" labelOnly="1" fieldPosition="0">
        <references count="6">
          <reference field="1" count="1" selected="0">
            <x v="23"/>
          </reference>
          <reference field="2" count="1" selected="0">
            <x v="0"/>
          </reference>
          <reference field="3" count="1" selected="0">
            <x v="12"/>
          </reference>
          <reference field="4" count="1" selected="0">
            <x v="39"/>
          </reference>
          <reference field="5" count="1" selected="0">
            <x v="61"/>
          </reference>
          <reference field="6" count="1">
            <x v="47"/>
          </reference>
        </references>
      </pivotArea>
    </format>
    <format dxfId="3041">
      <pivotArea dataOnly="0" labelOnly="1" fieldPosition="0">
        <references count="6">
          <reference field="1" count="1" selected="0">
            <x v="23"/>
          </reference>
          <reference field="2" count="1" selected="0">
            <x v="0"/>
          </reference>
          <reference field="3" count="1" selected="0">
            <x v="12"/>
          </reference>
          <reference field="4" count="1" selected="0">
            <x v="70"/>
          </reference>
          <reference field="5" count="1" selected="0">
            <x v="18"/>
          </reference>
          <reference field="6" count="1">
            <x v="47"/>
          </reference>
        </references>
      </pivotArea>
    </format>
    <format dxfId="3040">
      <pivotArea dataOnly="0" labelOnly="1" fieldPosition="0">
        <references count="6">
          <reference field="1" count="1" selected="0">
            <x v="23"/>
          </reference>
          <reference field="2" count="1" selected="0">
            <x v="0"/>
          </reference>
          <reference field="3" count="1" selected="0">
            <x v="37"/>
          </reference>
          <reference field="4" count="1" selected="0">
            <x v="102"/>
          </reference>
          <reference field="5" count="1" selected="0">
            <x v="1137"/>
          </reference>
          <reference field="6" count="1">
            <x v="47"/>
          </reference>
        </references>
      </pivotArea>
    </format>
    <format dxfId="3039">
      <pivotArea dataOnly="0" labelOnly="1" fieldPosition="0">
        <references count="6">
          <reference field="1" count="1" selected="0">
            <x v="23"/>
          </reference>
          <reference field="2" count="1" selected="0">
            <x v="6"/>
          </reference>
          <reference field="3" count="1" selected="0">
            <x v="37"/>
          </reference>
          <reference field="4" count="1" selected="0">
            <x v="102"/>
          </reference>
          <reference field="5" count="1" selected="0">
            <x v="469"/>
          </reference>
          <reference field="6" count="1">
            <x v="47"/>
          </reference>
        </references>
      </pivotArea>
    </format>
    <format dxfId="3038">
      <pivotArea dataOnly="0" labelOnly="1" fieldPosition="0">
        <references count="6">
          <reference field="1" count="1" selected="0">
            <x v="23"/>
          </reference>
          <reference field="2" count="1" selected="0">
            <x v="9"/>
          </reference>
          <reference field="3" count="1" selected="0">
            <x v="8"/>
          </reference>
          <reference field="4" count="1" selected="0">
            <x v="102"/>
          </reference>
          <reference field="5" count="1" selected="0">
            <x v="592"/>
          </reference>
          <reference field="6" count="1">
            <x v="47"/>
          </reference>
        </references>
      </pivotArea>
    </format>
    <format dxfId="3037">
      <pivotArea dataOnly="0" labelOnly="1" fieldPosition="0">
        <references count="6">
          <reference field="1" count="1" selected="0">
            <x v="23"/>
          </reference>
          <reference field="2" count="1" selected="0">
            <x v="12"/>
          </reference>
          <reference field="3" count="1" selected="0">
            <x v="1"/>
          </reference>
          <reference field="4" count="1" selected="0">
            <x v="102"/>
          </reference>
          <reference field="5" count="1" selected="0">
            <x v="80"/>
          </reference>
          <reference field="6" count="1">
            <x v="47"/>
          </reference>
        </references>
      </pivotArea>
    </format>
    <format dxfId="3036">
      <pivotArea dataOnly="0" labelOnly="1" fieldPosition="0">
        <references count="6">
          <reference field="1" count="1" selected="0">
            <x v="23"/>
          </reference>
          <reference field="2" count="1" selected="0">
            <x v="12"/>
          </reference>
          <reference field="3" count="1" selected="0">
            <x v="1"/>
          </reference>
          <reference field="4" count="1" selected="0">
            <x v="102"/>
          </reference>
          <reference field="5" count="1" selected="0">
            <x v="213"/>
          </reference>
          <reference field="6" count="1">
            <x v="47"/>
          </reference>
        </references>
      </pivotArea>
    </format>
    <format dxfId="3035">
      <pivotArea dataOnly="0" labelOnly="1" fieldPosition="0">
        <references count="6">
          <reference field="1" count="1" selected="0">
            <x v="23"/>
          </reference>
          <reference field="2" count="1" selected="0">
            <x v="12"/>
          </reference>
          <reference field="3" count="1" selected="0">
            <x v="1"/>
          </reference>
          <reference field="4" count="1" selected="0">
            <x v="102"/>
          </reference>
          <reference field="5" count="1" selected="0">
            <x v="352"/>
          </reference>
          <reference field="6" count="1">
            <x v="47"/>
          </reference>
        </references>
      </pivotArea>
    </format>
    <format dxfId="3034">
      <pivotArea dataOnly="0" labelOnly="1" fieldPosition="0">
        <references count="6">
          <reference field="1" count="1" selected="0">
            <x v="23"/>
          </reference>
          <reference field="2" count="1" selected="0">
            <x v="12"/>
          </reference>
          <reference field="3" count="1" selected="0">
            <x v="1"/>
          </reference>
          <reference field="4" count="1" selected="0">
            <x v="102"/>
          </reference>
          <reference field="5" count="1" selected="0">
            <x v="607"/>
          </reference>
          <reference field="6" count="1">
            <x v="47"/>
          </reference>
        </references>
      </pivotArea>
    </format>
    <format dxfId="3033">
      <pivotArea dataOnly="0" labelOnly="1" fieldPosition="0">
        <references count="6">
          <reference field="1" count="1" selected="0">
            <x v="23"/>
          </reference>
          <reference field="2" count="1" selected="0">
            <x v="12"/>
          </reference>
          <reference field="3" count="1" selected="0">
            <x v="1"/>
          </reference>
          <reference field="4" count="1" selected="0">
            <x v="102"/>
          </reference>
          <reference field="5" count="1" selected="0">
            <x v="911"/>
          </reference>
          <reference field="6" count="1">
            <x v="47"/>
          </reference>
        </references>
      </pivotArea>
    </format>
    <format dxfId="3032">
      <pivotArea dataOnly="0" labelOnly="1" fieldPosition="0">
        <references count="6">
          <reference field="1" count="1" selected="0">
            <x v="23"/>
          </reference>
          <reference field="2" count="1" selected="0">
            <x v="12"/>
          </reference>
          <reference field="3" count="1" selected="0">
            <x v="37"/>
          </reference>
          <reference field="4" count="1" selected="0">
            <x v="102"/>
          </reference>
          <reference field="5" count="1" selected="0">
            <x v="248"/>
          </reference>
          <reference field="6" count="1">
            <x v="47"/>
          </reference>
        </references>
      </pivotArea>
    </format>
    <format dxfId="3031">
      <pivotArea dataOnly="0" labelOnly="1" fieldPosition="0">
        <references count="6">
          <reference field="1" count="1" selected="0">
            <x v="23"/>
          </reference>
          <reference field="2" count="1" selected="0">
            <x v="12"/>
          </reference>
          <reference field="3" count="1" selected="0">
            <x v="37"/>
          </reference>
          <reference field="4" count="1" selected="0">
            <x v="102"/>
          </reference>
          <reference field="5" count="1" selected="0">
            <x v="1192"/>
          </reference>
          <reference field="6" count="1">
            <x v="47"/>
          </reference>
        </references>
      </pivotArea>
    </format>
    <format dxfId="3030">
      <pivotArea dataOnly="0" labelOnly="1" fieldPosition="0">
        <references count="6">
          <reference field="1" count="1" selected="0">
            <x v="23"/>
          </reference>
          <reference field="2" count="1" selected="0">
            <x v="16"/>
          </reference>
          <reference field="3" count="1" selected="0">
            <x v="37"/>
          </reference>
          <reference field="4" count="1" selected="0">
            <x v="102"/>
          </reference>
          <reference field="5" count="1" selected="0">
            <x v="39"/>
          </reference>
          <reference field="6" count="1">
            <x v="47"/>
          </reference>
        </references>
      </pivotArea>
    </format>
    <format dxfId="3029">
      <pivotArea dataOnly="0" labelOnly="1" fieldPosition="0">
        <references count="6">
          <reference field="1" count="1" selected="0">
            <x v="23"/>
          </reference>
          <reference field="2" count="1" selected="0">
            <x v="19"/>
          </reference>
          <reference field="3" count="1" selected="0">
            <x v="6"/>
          </reference>
          <reference field="4" count="1" selected="0">
            <x v="102"/>
          </reference>
          <reference field="5" count="1" selected="0">
            <x v="872"/>
          </reference>
          <reference field="6" count="1">
            <x v="47"/>
          </reference>
        </references>
      </pivotArea>
    </format>
    <format dxfId="3028">
      <pivotArea dataOnly="0" labelOnly="1" fieldPosition="0">
        <references count="6">
          <reference field="1" count="1" selected="0">
            <x v="23"/>
          </reference>
          <reference field="2" count="1" selected="0">
            <x v="23"/>
          </reference>
          <reference field="3" count="1" selected="0">
            <x v="6"/>
          </reference>
          <reference field="4" count="1" selected="0">
            <x v="102"/>
          </reference>
          <reference field="5" count="1" selected="0">
            <x v="1149"/>
          </reference>
          <reference field="6" count="1">
            <x v="47"/>
          </reference>
        </references>
      </pivotArea>
    </format>
    <format dxfId="3027">
      <pivotArea dataOnly="0" labelOnly="1" fieldPosition="0">
        <references count="6">
          <reference field="1" count="1" selected="0">
            <x v="23"/>
          </reference>
          <reference field="2" count="1" selected="0">
            <x v="23"/>
          </reference>
          <reference field="3" count="1" selected="0">
            <x v="7"/>
          </reference>
          <reference field="4" count="1" selected="0">
            <x v="102"/>
          </reference>
          <reference field="5" count="1" selected="0">
            <x v="371"/>
          </reference>
          <reference field="6" count="1">
            <x v="47"/>
          </reference>
        </references>
      </pivotArea>
    </format>
    <format dxfId="3026">
      <pivotArea dataOnly="0" labelOnly="1" fieldPosition="0">
        <references count="6">
          <reference field="1" count="1" selected="0">
            <x v="23"/>
          </reference>
          <reference field="2" count="1" selected="0">
            <x v="35"/>
          </reference>
          <reference field="3" count="1" selected="0">
            <x v="1"/>
          </reference>
          <reference field="4" count="1" selected="0">
            <x v="102"/>
          </reference>
          <reference field="5" count="1" selected="0">
            <x v="80"/>
          </reference>
          <reference field="6" count="1">
            <x v="47"/>
          </reference>
        </references>
      </pivotArea>
    </format>
    <format dxfId="3025">
      <pivotArea dataOnly="0" labelOnly="1" fieldPosition="0">
        <references count="6">
          <reference field="1" count="1" selected="0">
            <x v="24"/>
          </reference>
          <reference field="2" count="1" selected="0">
            <x v="0"/>
          </reference>
          <reference field="3" count="1" selected="0">
            <x v="6"/>
          </reference>
          <reference field="4" count="1" selected="0">
            <x v="103"/>
          </reference>
          <reference field="5" count="1" selected="0">
            <x v="469"/>
          </reference>
          <reference field="6" count="1">
            <x v="47"/>
          </reference>
        </references>
      </pivotArea>
    </format>
    <format dxfId="3024">
      <pivotArea dataOnly="0" labelOnly="1" fieldPosition="0">
        <references count="6">
          <reference field="1" count="1" selected="0">
            <x v="24"/>
          </reference>
          <reference field="2" count="1" selected="0">
            <x v="0"/>
          </reference>
          <reference field="3" count="1" selected="0">
            <x v="12"/>
          </reference>
          <reference field="4" count="1" selected="0">
            <x v="6"/>
          </reference>
          <reference field="5" count="1" selected="0">
            <x v="101"/>
          </reference>
          <reference field="6" count="1">
            <x v="47"/>
          </reference>
        </references>
      </pivotArea>
    </format>
    <format dxfId="3023">
      <pivotArea dataOnly="0" labelOnly="1" fieldPosition="0">
        <references count="6">
          <reference field="1" count="1" selected="0">
            <x v="24"/>
          </reference>
          <reference field="2" count="1" selected="0">
            <x v="0"/>
          </reference>
          <reference field="3" count="1" selected="0">
            <x v="12"/>
          </reference>
          <reference field="4" count="1" selected="0">
            <x v="57"/>
          </reference>
          <reference field="5" count="1" selected="0">
            <x v="9"/>
          </reference>
          <reference field="6" count="1">
            <x v="47"/>
          </reference>
        </references>
      </pivotArea>
    </format>
    <format dxfId="3022">
      <pivotArea dataOnly="0" labelOnly="1" fieldPosition="0">
        <references count="6">
          <reference field="1" count="1" selected="0">
            <x v="24"/>
          </reference>
          <reference field="2" count="1" selected="0">
            <x v="6"/>
          </reference>
          <reference field="3" count="1" selected="0">
            <x v="37"/>
          </reference>
          <reference field="4" count="1" selected="0">
            <x v="103"/>
          </reference>
          <reference field="5" count="1" selected="0">
            <x v="607"/>
          </reference>
          <reference field="6" count="1">
            <x v="47"/>
          </reference>
        </references>
      </pivotArea>
    </format>
    <format dxfId="3021">
      <pivotArea dataOnly="0" labelOnly="1" fieldPosition="0">
        <references count="6">
          <reference field="1" count="1" selected="0">
            <x v="24"/>
          </reference>
          <reference field="2" count="1" selected="0">
            <x v="15"/>
          </reference>
          <reference field="3" count="1" selected="0">
            <x v="33"/>
          </reference>
          <reference field="4" count="1" selected="0">
            <x v="103"/>
          </reference>
          <reference field="5" count="1" selected="0">
            <x v="1879"/>
          </reference>
          <reference field="6" count="1">
            <x v="47"/>
          </reference>
        </references>
      </pivotArea>
    </format>
    <format dxfId="3020">
      <pivotArea dataOnly="0" labelOnly="1" fieldPosition="0">
        <references count="6">
          <reference field="1" count="1" selected="0">
            <x v="24"/>
          </reference>
          <reference field="2" count="1" selected="0">
            <x v="19"/>
          </reference>
          <reference field="3" count="1" selected="0">
            <x v="6"/>
          </reference>
          <reference field="4" count="1" selected="0">
            <x v="103"/>
          </reference>
          <reference field="5" count="1" selected="0">
            <x v="371"/>
          </reference>
          <reference field="6" count="1">
            <x v="47"/>
          </reference>
        </references>
      </pivotArea>
    </format>
    <format dxfId="3019">
      <pivotArea dataOnly="0" labelOnly="1" fieldPosition="0">
        <references count="6">
          <reference field="1" count="1" selected="0">
            <x v="24"/>
          </reference>
          <reference field="2" count="1" selected="0">
            <x v="23"/>
          </reference>
          <reference field="3" count="1" selected="0">
            <x v="37"/>
          </reference>
          <reference field="4" count="1" selected="0">
            <x v="103"/>
          </reference>
          <reference field="5" count="1" selected="0">
            <x v="562"/>
          </reference>
          <reference field="6" count="1">
            <x v="47"/>
          </reference>
        </references>
      </pivotArea>
    </format>
    <format dxfId="3018">
      <pivotArea dataOnly="0" labelOnly="1" fieldPosition="0">
        <references count="6">
          <reference field="1" count="1" selected="0">
            <x v="25"/>
          </reference>
          <reference field="2" count="1" selected="0">
            <x v="0"/>
          </reference>
          <reference field="3" count="1" selected="0">
            <x v="10"/>
          </reference>
          <reference field="4" count="1" selected="0">
            <x v="105"/>
          </reference>
          <reference field="5" count="1" selected="0">
            <x v="0"/>
          </reference>
          <reference field="6" count="1">
            <x v="13"/>
          </reference>
        </references>
      </pivotArea>
    </format>
    <format dxfId="3017">
      <pivotArea dataOnly="0" labelOnly="1" fieldPosition="0">
        <references count="6">
          <reference field="1" count="1" selected="0">
            <x v="25"/>
          </reference>
          <reference field="2" count="1" selected="0">
            <x v="0"/>
          </reference>
          <reference field="3" count="1" selected="0">
            <x v="12"/>
          </reference>
          <reference field="4" count="1" selected="0">
            <x v="26"/>
          </reference>
          <reference field="5" count="1" selected="0">
            <x v="52"/>
          </reference>
          <reference field="6" count="1">
            <x v="47"/>
          </reference>
        </references>
      </pivotArea>
    </format>
    <format dxfId="3016">
      <pivotArea dataOnly="0" labelOnly="1" fieldPosition="0">
        <references count="6">
          <reference field="1" count="1" selected="0">
            <x v="25"/>
          </reference>
          <reference field="2" count="1" selected="0">
            <x v="0"/>
          </reference>
          <reference field="3" count="1" selected="0">
            <x v="12"/>
          </reference>
          <reference field="4" count="1" selected="0">
            <x v="29"/>
          </reference>
          <reference field="5" count="1" selected="0">
            <x v="11"/>
          </reference>
          <reference field="6" count="1">
            <x v="47"/>
          </reference>
        </references>
      </pivotArea>
    </format>
    <format dxfId="3015">
      <pivotArea dataOnly="0" labelOnly="1" fieldPosition="0">
        <references count="6">
          <reference field="1" count="1" selected="0">
            <x v="25"/>
          </reference>
          <reference field="2" count="1" selected="0">
            <x v="0"/>
          </reference>
          <reference field="3" count="1" selected="0">
            <x v="12"/>
          </reference>
          <reference field="4" count="1" selected="0">
            <x v="53"/>
          </reference>
          <reference field="5" count="1" selected="0">
            <x v="52"/>
          </reference>
          <reference field="6" count="1">
            <x v="47"/>
          </reference>
        </references>
      </pivotArea>
    </format>
    <format dxfId="3014">
      <pivotArea dataOnly="0" labelOnly="1" fieldPosition="0">
        <references count="6">
          <reference field="1" count="1" selected="0">
            <x v="25"/>
          </reference>
          <reference field="2" count="1" selected="0">
            <x v="0"/>
          </reference>
          <reference field="3" count="1" selected="0">
            <x v="37"/>
          </reference>
          <reference field="4" count="1" selected="0">
            <x v="105"/>
          </reference>
          <reference field="5" count="1" selected="0">
            <x v="1348"/>
          </reference>
          <reference field="6" count="1">
            <x v="47"/>
          </reference>
        </references>
      </pivotArea>
    </format>
    <format dxfId="3013">
      <pivotArea dataOnly="0" labelOnly="1" fieldPosition="0">
        <references count="6">
          <reference field="1" count="1" selected="0">
            <x v="25"/>
          </reference>
          <reference field="2" count="1" selected="0">
            <x v="0"/>
          </reference>
          <reference field="3" count="1" selected="0">
            <x v="37"/>
          </reference>
          <reference field="4" count="1" selected="0">
            <x v="105"/>
          </reference>
          <reference field="5" count="1" selected="0">
            <x v="1674"/>
          </reference>
          <reference field="6" count="1">
            <x v="47"/>
          </reference>
        </references>
      </pivotArea>
    </format>
    <format dxfId="3012">
      <pivotArea dataOnly="0" labelOnly="1" fieldPosition="0">
        <references count="6">
          <reference field="1" count="1" selected="0">
            <x v="25"/>
          </reference>
          <reference field="2" count="1" selected="0">
            <x v="2"/>
          </reference>
          <reference field="3" count="1" selected="0">
            <x v="28"/>
          </reference>
          <reference field="4" count="1" selected="0">
            <x v="104"/>
          </reference>
          <reference field="5" count="1" selected="0">
            <x v="34"/>
          </reference>
          <reference field="6" count="1">
            <x v="47"/>
          </reference>
        </references>
      </pivotArea>
    </format>
    <format dxfId="3011">
      <pivotArea dataOnly="0" labelOnly="1" fieldPosition="0">
        <references count="6">
          <reference field="1" count="1" selected="0">
            <x v="25"/>
          </reference>
          <reference field="2" count="1" selected="0">
            <x v="8"/>
          </reference>
          <reference field="3" count="1" selected="0">
            <x v="37"/>
          </reference>
          <reference field="4" count="1" selected="0">
            <x v="105"/>
          </reference>
          <reference field="5" count="1" selected="0">
            <x v="1165"/>
          </reference>
          <reference field="6" count="1">
            <x v="47"/>
          </reference>
        </references>
      </pivotArea>
    </format>
    <format dxfId="3010">
      <pivotArea dataOnly="0" labelOnly="1" fieldPosition="0">
        <references count="6">
          <reference field="1" count="1" selected="0">
            <x v="25"/>
          </reference>
          <reference field="2" count="1" selected="0">
            <x v="10"/>
          </reference>
          <reference field="3" count="1" selected="0">
            <x v="38"/>
          </reference>
          <reference field="4" count="1" selected="0">
            <x v="105"/>
          </reference>
          <reference field="5" count="1" selected="0">
            <x v="1500"/>
          </reference>
          <reference field="6" count="1">
            <x v="47"/>
          </reference>
        </references>
      </pivotArea>
    </format>
    <format dxfId="3009">
      <pivotArea dataOnly="0" labelOnly="1" fieldPosition="0">
        <references count="6">
          <reference field="1" count="1" selected="0">
            <x v="25"/>
          </reference>
          <reference field="2" count="1" selected="0">
            <x v="12"/>
          </reference>
          <reference field="3" count="1" selected="0">
            <x v="1"/>
          </reference>
          <reference field="4" count="1" selected="0">
            <x v="105"/>
          </reference>
          <reference field="5" count="1" selected="0">
            <x v="80"/>
          </reference>
          <reference field="6" count="1">
            <x v="47"/>
          </reference>
        </references>
      </pivotArea>
    </format>
    <format dxfId="3008">
      <pivotArea dataOnly="0" labelOnly="1" fieldPosition="0">
        <references count="6">
          <reference field="1" count="1" selected="0">
            <x v="25"/>
          </reference>
          <reference field="2" count="1" selected="0">
            <x v="12"/>
          </reference>
          <reference field="3" count="1" selected="0">
            <x v="1"/>
          </reference>
          <reference field="4" count="1" selected="0">
            <x v="105"/>
          </reference>
          <reference field="5" count="1" selected="0">
            <x v="213"/>
          </reference>
          <reference field="6" count="1">
            <x v="47"/>
          </reference>
        </references>
      </pivotArea>
    </format>
    <format dxfId="3007">
      <pivotArea dataOnly="0" labelOnly="1" fieldPosition="0">
        <references count="6">
          <reference field="1" count="1" selected="0">
            <x v="25"/>
          </reference>
          <reference field="2" count="1" selected="0">
            <x v="12"/>
          </reference>
          <reference field="3" count="1" selected="0">
            <x v="1"/>
          </reference>
          <reference field="4" count="1" selected="0">
            <x v="105"/>
          </reference>
          <reference field="5" count="1" selected="0">
            <x v="352"/>
          </reference>
          <reference field="6" count="1">
            <x v="47"/>
          </reference>
        </references>
      </pivotArea>
    </format>
    <format dxfId="3006">
      <pivotArea dataOnly="0" labelOnly="1" fieldPosition="0">
        <references count="6">
          <reference field="1" count="1" selected="0">
            <x v="25"/>
          </reference>
          <reference field="2" count="1" selected="0">
            <x v="12"/>
          </reference>
          <reference field="3" count="1" selected="0">
            <x v="1"/>
          </reference>
          <reference field="4" count="1" selected="0">
            <x v="105"/>
          </reference>
          <reference field="5" count="1" selected="0">
            <x v="500"/>
          </reference>
          <reference field="6" count="1">
            <x v="47"/>
          </reference>
        </references>
      </pivotArea>
    </format>
    <format dxfId="3005">
      <pivotArea dataOnly="0" labelOnly="1" fieldPosition="0">
        <references count="6">
          <reference field="1" count="1" selected="0">
            <x v="25"/>
          </reference>
          <reference field="2" count="1" selected="0">
            <x v="12"/>
          </reference>
          <reference field="3" count="1" selected="0">
            <x v="1"/>
          </reference>
          <reference field="4" count="1" selected="0">
            <x v="105"/>
          </reference>
          <reference field="5" count="1" selected="0">
            <x v="964"/>
          </reference>
          <reference field="6" count="1">
            <x v="47"/>
          </reference>
        </references>
      </pivotArea>
    </format>
    <format dxfId="3004">
      <pivotArea dataOnly="0" labelOnly="1" fieldPosition="0">
        <references count="6">
          <reference field="1" count="1" selected="0">
            <x v="25"/>
          </reference>
          <reference field="2" count="1" selected="0">
            <x v="12"/>
          </reference>
          <reference field="3" count="1" selected="0">
            <x v="1"/>
          </reference>
          <reference field="4" count="1" selected="0">
            <x v="105"/>
          </reference>
          <reference field="5" count="1" selected="0">
            <x v="1069"/>
          </reference>
          <reference field="6" count="1">
            <x v="47"/>
          </reference>
        </references>
      </pivotArea>
    </format>
    <format dxfId="3003">
      <pivotArea dataOnly="0" labelOnly="1" fieldPosition="0">
        <references count="6">
          <reference field="1" count="1" selected="0">
            <x v="25"/>
          </reference>
          <reference field="2" count="1" selected="0">
            <x v="15"/>
          </reference>
          <reference field="3" count="1" selected="0">
            <x v="38"/>
          </reference>
          <reference field="4" count="1" selected="0">
            <x v="105"/>
          </reference>
          <reference field="5" count="1" selected="0">
            <x v="1274"/>
          </reference>
          <reference field="6" count="1">
            <x v="47"/>
          </reference>
        </references>
      </pivotArea>
    </format>
    <format dxfId="3002">
      <pivotArea dataOnly="0" labelOnly="1" fieldPosition="0">
        <references count="6">
          <reference field="1" count="1" selected="0">
            <x v="25"/>
          </reference>
          <reference field="2" count="1" selected="0">
            <x v="21"/>
          </reference>
          <reference field="3" count="1" selected="0">
            <x v="38"/>
          </reference>
          <reference field="4" count="1" selected="0">
            <x v="105"/>
          </reference>
          <reference field="5" count="1" selected="0">
            <x v="1274"/>
          </reference>
          <reference field="6" count="1">
            <x v="47"/>
          </reference>
        </references>
      </pivotArea>
    </format>
    <format dxfId="3001">
      <pivotArea dataOnly="0" labelOnly="1" fieldPosition="0">
        <references count="6">
          <reference field="1" count="1" selected="0">
            <x v="25"/>
          </reference>
          <reference field="2" count="1" selected="0">
            <x v="23"/>
          </reference>
          <reference field="3" count="1" selected="0">
            <x v="38"/>
          </reference>
          <reference field="4" count="1" selected="0">
            <x v="105"/>
          </reference>
          <reference field="5" count="1" selected="0">
            <x v="1858"/>
          </reference>
          <reference field="6" count="1">
            <x v="47"/>
          </reference>
        </references>
      </pivotArea>
    </format>
    <format dxfId="3000">
      <pivotArea dataOnly="0" labelOnly="1" fieldPosition="0">
        <references count="6">
          <reference field="1" count="1" selected="0">
            <x v="25"/>
          </reference>
          <reference field="2" count="1" selected="0">
            <x v="36"/>
          </reference>
          <reference field="3" count="1" selected="0">
            <x v="1"/>
          </reference>
          <reference field="4" count="1" selected="0">
            <x v="105"/>
          </reference>
          <reference field="5" count="1" selected="0">
            <x v="351"/>
          </reference>
          <reference field="6" count="1">
            <x v="47"/>
          </reference>
        </references>
      </pivotArea>
    </format>
    <format dxfId="2999">
      <pivotArea dataOnly="0" labelOnly="1" fieldPosition="0">
        <references count="6">
          <reference field="1" count="1" selected="0">
            <x v="26"/>
          </reference>
          <reference field="2" count="1" selected="0">
            <x v="0"/>
          </reference>
          <reference field="3" count="1" selected="0">
            <x v="6"/>
          </reference>
          <reference field="4" count="1" selected="0">
            <x v="106"/>
          </reference>
          <reference field="5" count="1" selected="0">
            <x v="248"/>
          </reference>
          <reference field="6" count="1">
            <x v="47"/>
          </reference>
        </references>
      </pivotArea>
    </format>
    <format dxfId="2998">
      <pivotArea dataOnly="0" labelOnly="1" fieldPosition="0">
        <references count="6">
          <reference field="1" count="1" selected="0">
            <x v="26"/>
          </reference>
          <reference field="2" count="1" selected="0">
            <x v="0"/>
          </reference>
          <reference field="3" count="1" selected="0">
            <x v="9"/>
          </reference>
          <reference field="4" count="1" selected="0">
            <x v="106"/>
          </reference>
          <reference field="5" count="1" selected="0">
            <x v="212"/>
          </reference>
          <reference field="6" count="1">
            <x v="47"/>
          </reference>
        </references>
      </pivotArea>
    </format>
    <format dxfId="2997">
      <pivotArea dataOnly="0" labelOnly="1" fieldPosition="0">
        <references count="6">
          <reference field="1" count="1" selected="0">
            <x v="26"/>
          </reference>
          <reference field="2" count="1" selected="0">
            <x v="0"/>
          </reference>
          <reference field="3" count="1" selected="0">
            <x v="9"/>
          </reference>
          <reference field="4" count="1" selected="0">
            <x v="106"/>
          </reference>
          <reference field="5" count="1" selected="0">
            <x v="350"/>
          </reference>
          <reference field="6" count="1">
            <x v="47"/>
          </reference>
        </references>
      </pivotArea>
    </format>
    <format dxfId="2996">
      <pivotArea dataOnly="0" labelOnly="1" fieldPosition="0">
        <references count="6">
          <reference field="1" count="1" selected="0">
            <x v="26"/>
          </reference>
          <reference field="2" count="1" selected="0">
            <x v="0"/>
          </reference>
          <reference field="3" count="1" selected="0">
            <x v="9"/>
          </reference>
          <reference field="4" count="1" selected="0">
            <x v="106"/>
          </reference>
          <reference field="5" count="1" selected="0">
            <x v="510"/>
          </reference>
          <reference field="6" count="1">
            <x v="47"/>
          </reference>
        </references>
      </pivotArea>
    </format>
    <format dxfId="2995">
      <pivotArea dataOnly="0" labelOnly="1" fieldPosition="0">
        <references count="6">
          <reference field="1" count="1" selected="0">
            <x v="26"/>
          </reference>
          <reference field="2" count="1" selected="0">
            <x v="0"/>
          </reference>
          <reference field="3" count="1" selected="0">
            <x v="9"/>
          </reference>
          <reference field="4" count="1" selected="0">
            <x v="106"/>
          </reference>
          <reference field="5" count="1" selected="0">
            <x v="572"/>
          </reference>
          <reference field="6" count="1">
            <x v="47"/>
          </reference>
        </references>
      </pivotArea>
    </format>
    <format dxfId="2994">
      <pivotArea dataOnly="0" labelOnly="1" fieldPosition="0">
        <references count="6">
          <reference field="1" count="1" selected="0">
            <x v="26"/>
          </reference>
          <reference field="2" count="1" selected="0">
            <x v="0"/>
          </reference>
          <reference field="3" count="1" selected="0">
            <x v="9"/>
          </reference>
          <reference field="4" count="1" selected="0">
            <x v="106"/>
          </reference>
          <reference field="5" count="1" selected="0">
            <x v="664"/>
          </reference>
          <reference field="6" count="1">
            <x v="47"/>
          </reference>
        </references>
      </pivotArea>
    </format>
    <format dxfId="2993">
      <pivotArea dataOnly="0" labelOnly="1" fieldPosition="0">
        <references count="6">
          <reference field="1" count="1" selected="0">
            <x v="26"/>
          </reference>
          <reference field="2" count="1" selected="0">
            <x v="0"/>
          </reference>
          <reference field="3" count="1" selected="0">
            <x v="9"/>
          </reference>
          <reference field="4" count="1" selected="0">
            <x v="106"/>
          </reference>
          <reference field="5" count="1" selected="0">
            <x v="867"/>
          </reference>
          <reference field="6" count="1">
            <x v="47"/>
          </reference>
        </references>
      </pivotArea>
    </format>
    <format dxfId="2992">
      <pivotArea dataOnly="0" labelOnly="1" fieldPosition="0">
        <references count="6">
          <reference field="1" count="1" selected="0">
            <x v="26"/>
          </reference>
          <reference field="2" count="1" selected="0">
            <x v="0"/>
          </reference>
          <reference field="3" count="1" selected="0">
            <x v="9"/>
          </reference>
          <reference field="4" count="1" selected="0">
            <x v="106"/>
          </reference>
          <reference field="5" count="1" selected="0">
            <x v="963"/>
          </reference>
          <reference field="6" count="1">
            <x v="47"/>
          </reference>
        </references>
      </pivotArea>
    </format>
    <format dxfId="2991">
      <pivotArea dataOnly="0" labelOnly="1" fieldPosition="0">
        <references count="6">
          <reference field="1" count="1" selected="0">
            <x v="26"/>
          </reference>
          <reference field="2" count="1" selected="0">
            <x v="0"/>
          </reference>
          <reference field="3" count="1" selected="0">
            <x v="12"/>
          </reference>
          <reference field="4" count="1" selected="0">
            <x v="26"/>
          </reference>
          <reference field="5" count="1" selected="0">
            <x v="52"/>
          </reference>
          <reference field="6" count="1">
            <x v="47"/>
          </reference>
        </references>
      </pivotArea>
    </format>
    <format dxfId="2990">
      <pivotArea dataOnly="0" labelOnly="1" fieldPosition="0">
        <references count="6">
          <reference field="1" count="1" selected="0">
            <x v="26"/>
          </reference>
          <reference field="2" count="1" selected="0">
            <x v="0"/>
          </reference>
          <reference field="3" count="1" selected="0">
            <x v="12"/>
          </reference>
          <reference field="4" count="1" selected="0">
            <x v="50"/>
          </reference>
          <reference field="5" count="1" selected="0">
            <x v="248"/>
          </reference>
          <reference field="6" count="1">
            <x v="47"/>
          </reference>
        </references>
      </pivotArea>
    </format>
    <format dxfId="2989">
      <pivotArea dataOnly="0" labelOnly="1" fieldPosition="0">
        <references count="6">
          <reference field="1" count="1" selected="0">
            <x v="26"/>
          </reference>
          <reference field="2" count="1" selected="0">
            <x v="0"/>
          </reference>
          <reference field="3" count="1" selected="0">
            <x v="37"/>
          </reference>
          <reference field="4" count="1" selected="0">
            <x v="106"/>
          </reference>
          <reference field="5" count="1" selected="0">
            <x v="685"/>
          </reference>
          <reference field="6" count="1">
            <x v="47"/>
          </reference>
        </references>
      </pivotArea>
    </format>
    <format dxfId="2988">
      <pivotArea dataOnly="0" labelOnly="1" fieldPosition="0">
        <references count="6">
          <reference field="1" count="1" selected="0">
            <x v="26"/>
          </reference>
          <reference field="2" count="1" selected="0">
            <x v="0"/>
          </reference>
          <reference field="3" count="1" selected="0">
            <x v="37"/>
          </reference>
          <reference field="4" count="1" selected="0">
            <x v="106"/>
          </reference>
          <reference field="5" count="1" selected="0">
            <x v="1547"/>
          </reference>
          <reference field="6" count="1">
            <x v="47"/>
          </reference>
        </references>
      </pivotArea>
    </format>
    <format dxfId="2987">
      <pivotArea dataOnly="0" labelOnly="1" fieldPosition="0">
        <references count="6">
          <reference field="1" count="1" selected="0">
            <x v="26"/>
          </reference>
          <reference field="2" count="1" selected="0">
            <x v="5"/>
          </reference>
          <reference field="3" count="1" selected="0">
            <x v="37"/>
          </reference>
          <reference field="4" count="1" selected="0">
            <x v="106"/>
          </reference>
          <reference field="5" count="1" selected="0">
            <x v="1334"/>
          </reference>
          <reference field="6" count="1">
            <x v="47"/>
          </reference>
        </references>
      </pivotArea>
    </format>
    <format dxfId="2986">
      <pivotArea dataOnly="0" labelOnly="1" fieldPosition="0">
        <references count="6">
          <reference field="1" count="1" selected="0">
            <x v="26"/>
          </reference>
          <reference field="2" count="1" selected="0">
            <x v="9"/>
          </reference>
          <reference field="3" count="1" selected="0">
            <x v="8"/>
          </reference>
          <reference field="4" count="1" selected="0">
            <x v="106"/>
          </reference>
          <reference field="5" count="1" selected="0">
            <x v="428"/>
          </reference>
          <reference field="6" count="1">
            <x v="47"/>
          </reference>
        </references>
      </pivotArea>
    </format>
    <format dxfId="2985">
      <pivotArea dataOnly="0" labelOnly="1" fieldPosition="0">
        <references count="6">
          <reference field="1" count="1" selected="0">
            <x v="26"/>
          </reference>
          <reference field="2" count="1" selected="0">
            <x v="12"/>
          </reference>
          <reference field="3" count="1" selected="0">
            <x v="0"/>
          </reference>
          <reference field="4" count="1" selected="0">
            <x v="106"/>
          </reference>
          <reference field="5" count="1" selected="0">
            <x v="80"/>
          </reference>
          <reference field="6" count="1">
            <x v="47"/>
          </reference>
        </references>
      </pivotArea>
    </format>
    <format dxfId="2984">
      <pivotArea dataOnly="0" labelOnly="1" fieldPosition="0">
        <references count="6">
          <reference field="1" count="1" selected="0">
            <x v="26"/>
          </reference>
          <reference field="2" count="1" selected="0">
            <x v="12"/>
          </reference>
          <reference field="3" count="1" selected="0">
            <x v="1"/>
          </reference>
          <reference field="4" count="1" selected="0">
            <x v="106"/>
          </reference>
          <reference field="5" count="1" selected="0">
            <x v="352"/>
          </reference>
          <reference field="6" count="1">
            <x v="47"/>
          </reference>
        </references>
      </pivotArea>
    </format>
    <format dxfId="2983">
      <pivotArea dataOnly="0" labelOnly="1" fieldPosition="0">
        <references count="6">
          <reference field="1" count="1" selected="0">
            <x v="26"/>
          </reference>
          <reference field="2" count="1" selected="0">
            <x v="12"/>
          </reference>
          <reference field="3" count="1" selected="0">
            <x v="1"/>
          </reference>
          <reference field="4" count="1" selected="0">
            <x v="106"/>
          </reference>
          <reference field="5" count="1" selected="0">
            <x v="500"/>
          </reference>
          <reference field="6" count="1">
            <x v="47"/>
          </reference>
        </references>
      </pivotArea>
    </format>
    <format dxfId="2982">
      <pivotArea dataOnly="0" labelOnly="1" fieldPosition="0">
        <references count="6">
          <reference field="1" count="1" selected="0">
            <x v="26"/>
          </reference>
          <reference field="2" count="1" selected="0">
            <x v="15"/>
          </reference>
          <reference field="3" count="1" selected="0">
            <x v="9"/>
          </reference>
          <reference field="4" count="1" selected="0">
            <x v="106"/>
          </reference>
          <reference field="5" count="1" selected="0">
            <x v="466"/>
          </reference>
          <reference field="6" count="1">
            <x v="47"/>
          </reference>
        </references>
      </pivotArea>
    </format>
    <format dxfId="2981">
      <pivotArea dataOnly="0" labelOnly="1" fieldPosition="0">
        <references count="6">
          <reference field="1" count="1" selected="0">
            <x v="26"/>
          </reference>
          <reference field="2" count="1" selected="0">
            <x v="19"/>
          </reference>
          <reference field="3" count="1" selected="0">
            <x v="37"/>
          </reference>
          <reference field="4" count="1" selected="0">
            <x v="106"/>
          </reference>
          <reference field="5" count="1" selected="0">
            <x v="633"/>
          </reference>
          <reference field="6" count="1">
            <x v="47"/>
          </reference>
        </references>
      </pivotArea>
    </format>
    <format dxfId="2980">
      <pivotArea dataOnly="0" labelOnly="1" fieldPosition="0">
        <references count="6">
          <reference field="1" count="1" selected="0">
            <x v="26"/>
          </reference>
          <reference field="2" count="1" selected="0">
            <x v="27"/>
          </reference>
          <reference field="3" count="1" selected="0">
            <x v="6"/>
          </reference>
          <reference field="4" count="1" selected="0">
            <x v="106"/>
          </reference>
          <reference field="5" count="1" selected="0">
            <x v="1459"/>
          </reference>
          <reference field="6" count="1">
            <x v="47"/>
          </reference>
        </references>
      </pivotArea>
    </format>
    <format dxfId="2979">
      <pivotArea dataOnly="0" labelOnly="1" fieldPosition="0">
        <references count="6">
          <reference field="1" count="1" selected="0">
            <x v="27"/>
          </reference>
          <reference field="2" count="1" selected="0">
            <x v="0"/>
          </reference>
          <reference field="3" count="1" selected="0">
            <x v="12"/>
          </reference>
          <reference field="4" count="1" selected="0">
            <x v="60"/>
          </reference>
          <reference field="5" count="1" selected="0">
            <x v="9"/>
          </reference>
          <reference field="6" count="1">
            <x v="47"/>
          </reference>
        </references>
      </pivotArea>
    </format>
    <format dxfId="2978">
      <pivotArea dataOnly="0" labelOnly="1" fieldPosition="0">
        <references count="6">
          <reference field="1" count="1" selected="0">
            <x v="27"/>
          </reference>
          <reference field="2" count="1" selected="0">
            <x v="0"/>
          </reference>
          <reference field="3" count="1" selected="0">
            <x v="37"/>
          </reference>
          <reference field="4" count="1" selected="0">
            <x v="107"/>
          </reference>
          <reference field="5" count="1" selected="0">
            <x v="371"/>
          </reference>
          <reference field="6" count="1">
            <x v="47"/>
          </reference>
        </references>
      </pivotArea>
    </format>
    <format dxfId="2977">
      <pivotArea dataOnly="0" labelOnly="1" fieldPosition="0">
        <references count="6">
          <reference field="1" count="1" selected="0">
            <x v="27"/>
          </reference>
          <reference field="2" count="1" selected="0">
            <x v="8"/>
          </reference>
          <reference field="3" count="1" selected="0">
            <x v="37"/>
          </reference>
          <reference field="4" count="1" selected="0">
            <x v="107"/>
          </reference>
          <reference field="5" count="1" selected="0">
            <x v="1525"/>
          </reference>
          <reference field="6" count="1">
            <x v="47"/>
          </reference>
        </references>
      </pivotArea>
    </format>
    <format dxfId="2976">
      <pivotArea dataOnly="0" labelOnly="1" fieldPosition="0">
        <references count="6">
          <reference field="1" count="1" selected="0">
            <x v="27"/>
          </reference>
          <reference field="2" count="1" selected="0">
            <x v="12"/>
          </reference>
          <reference field="3" count="1" selected="0">
            <x v="1"/>
          </reference>
          <reference field="4" count="1" selected="0">
            <x v="107"/>
          </reference>
          <reference field="5" count="1" selected="0">
            <x v="213"/>
          </reference>
          <reference field="6" count="1">
            <x v="47"/>
          </reference>
        </references>
      </pivotArea>
    </format>
    <format dxfId="2975">
      <pivotArea dataOnly="0" labelOnly="1" fieldPosition="0">
        <references count="6">
          <reference field="1" count="1" selected="0">
            <x v="27"/>
          </reference>
          <reference field="2" count="1" selected="0">
            <x v="23"/>
          </reference>
          <reference field="3" count="1" selected="0">
            <x v="37"/>
          </reference>
          <reference field="4" count="1" selected="0">
            <x v="107"/>
          </reference>
          <reference field="5" count="1" selected="0">
            <x v="121"/>
          </reference>
          <reference field="6" count="1">
            <x v="47"/>
          </reference>
        </references>
      </pivotArea>
    </format>
    <format dxfId="2974">
      <pivotArea dataOnly="0" labelOnly="1" fieldPosition="0">
        <references count="6">
          <reference field="1" count="1" selected="0">
            <x v="28"/>
          </reference>
          <reference field="2" count="1" selected="0">
            <x v="0"/>
          </reference>
          <reference field="3" count="1" selected="0">
            <x v="7"/>
          </reference>
          <reference field="4" count="1" selected="0">
            <x v="108"/>
          </reference>
          <reference field="5" count="1" selected="0">
            <x v="503"/>
          </reference>
          <reference field="6" count="1">
            <x v="47"/>
          </reference>
        </references>
      </pivotArea>
    </format>
    <format dxfId="2973">
      <pivotArea dataOnly="0" labelOnly="1" fieldPosition="0">
        <references count="6">
          <reference field="1" count="1" selected="0">
            <x v="28"/>
          </reference>
          <reference field="2" count="1" selected="0">
            <x v="0"/>
          </reference>
          <reference field="3" count="1" selected="0">
            <x v="9"/>
          </reference>
          <reference field="4" count="1" selected="0">
            <x v="108"/>
          </reference>
          <reference field="5" count="1" selected="0">
            <x v="230"/>
          </reference>
          <reference field="6" count="1">
            <x v="47"/>
          </reference>
        </references>
      </pivotArea>
    </format>
    <format dxfId="2972">
      <pivotArea dataOnly="0" labelOnly="1" fieldPosition="0">
        <references count="6">
          <reference field="1" count="1" selected="0">
            <x v="28"/>
          </reference>
          <reference field="2" count="1" selected="0">
            <x v="0"/>
          </reference>
          <reference field="3" count="1" selected="0">
            <x v="9"/>
          </reference>
          <reference field="4" count="1" selected="0">
            <x v="108"/>
          </reference>
          <reference field="5" count="1" selected="0">
            <x v="248"/>
          </reference>
          <reference field="6" count="1">
            <x v="47"/>
          </reference>
        </references>
      </pivotArea>
    </format>
    <format dxfId="2971">
      <pivotArea dataOnly="0" labelOnly="1" fieldPosition="0">
        <references count="6">
          <reference field="1" count="1" selected="0">
            <x v="28"/>
          </reference>
          <reference field="2" count="1" selected="0">
            <x v="0"/>
          </reference>
          <reference field="3" count="1" selected="0">
            <x v="9"/>
          </reference>
          <reference field="4" count="1" selected="0">
            <x v="108"/>
          </reference>
          <reference field="5" count="1" selected="0">
            <x v="485"/>
          </reference>
          <reference field="6" count="1">
            <x v="47"/>
          </reference>
        </references>
      </pivotArea>
    </format>
    <format dxfId="2970">
      <pivotArea dataOnly="0" labelOnly="1" fieldPosition="0">
        <references count="6">
          <reference field="1" count="1" selected="0">
            <x v="28"/>
          </reference>
          <reference field="2" count="1" selected="0">
            <x v="0"/>
          </reference>
          <reference field="3" count="1" selected="0">
            <x v="9"/>
          </reference>
          <reference field="4" count="1" selected="0">
            <x v="108"/>
          </reference>
          <reference field="5" count="1" selected="0">
            <x v="712"/>
          </reference>
          <reference field="6" count="1">
            <x v="47"/>
          </reference>
        </references>
      </pivotArea>
    </format>
    <format dxfId="2969">
      <pivotArea dataOnly="0" labelOnly="1" fieldPosition="0">
        <references count="6">
          <reference field="1" count="1" selected="0">
            <x v="28"/>
          </reference>
          <reference field="2" count="1" selected="0">
            <x v="0"/>
          </reference>
          <reference field="3" count="1" selected="0">
            <x v="9"/>
          </reference>
          <reference field="4" count="1" selected="0">
            <x v="108"/>
          </reference>
          <reference field="5" count="1" selected="0">
            <x v="871"/>
          </reference>
          <reference field="6" count="1">
            <x v="47"/>
          </reference>
        </references>
      </pivotArea>
    </format>
    <format dxfId="2968">
      <pivotArea dataOnly="0" labelOnly="1" fieldPosition="0">
        <references count="6">
          <reference field="1" count="1" selected="0">
            <x v="28"/>
          </reference>
          <reference field="2" count="1" selected="0">
            <x v="0"/>
          </reference>
          <reference field="3" count="1" selected="0">
            <x v="9"/>
          </reference>
          <reference field="4" count="1" selected="0">
            <x v="108"/>
          </reference>
          <reference field="5" count="1" selected="0">
            <x v="1103"/>
          </reference>
          <reference field="6" count="1">
            <x v="47"/>
          </reference>
        </references>
      </pivotArea>
    </format>
    <format dxfId="2967">
      <pivotArea dataOnly="0" labelOnly="1" fieldPosition="0">
        <references count="6">
          <reference field="1" count="1" selected="0">
            <x v="28"/>
          </reference>
          <reference field="2" count="1" selected="0">
            <x v="0"/>
          </reference>
          <reference field="3" count="1" selected="0">
            <x v="10"/>
          </reference>
          <reference field="4" count="1" selected="0">
            <x v="108"/>
          </reference>
          <reference field="5" count="1" selected="0">
            <x v="433"/>
          </reference>
          <reference field="6" count="1">
            <x v="47"/>
          </reference>
        </references>
      </pivotArea>
    </format>
    <format dxfId="2966">
      <pivotArea dataOnly="0" labelOnly="1" fieldPosition="0">
        <references count="6">
          <reference field="1" count="1" selected="0">
            <x v="28"/>
          </reference>
          <reference field="2" count="1" selected="0">
            <x v="0"/>
          </reference>
          <reference field="3" count="1" selected="0">
            <x v="12"/>
          </reference>
          <reference field="4" count="1" selected="0">
            <x v="65"/>
          </reference>
          <reference field="5" count="1" selected="0">
            <x v="11"/>
          </reference>
          <reference field="6" count="1">
            <x v="47"/>
          </reference>
        </references>
      </pivotArea>
    </format>
    <format dxfId="2965">
      <pivotArea dataOnly="0" labelOnly="1" fieldPosition="0">
        <references count="6">
          <reference field="1" count="1" selected="0">
            <x v="28"/>
          </reference>
          <reference field="2" count="1" selected="0">
            <x v="12"/>
          </reference>
          <reference field="3" count="1" selected="0">
            <x v="1"/>
          </reference>
          <reference field="4" count="1" selected="0">
            <x v="108"/>
          </reference>
          <reference field="5" count="1" selected="0">
            <x v="80"/>
          </reference>
          <reference field="6" count="1">
            <x v="47"/>
          </reference>
        </references>
      </pivotArea>
    </format>
    <format dxfId="2964">
      <pivotArea dataOnly="0" labelOnly="1" fieldPosition="0">
        <references count="6">
          <reference field="1" count="1" selected="0">
            <x v="28"/>
          </reference>
          <reference field="2" count="1" selected="0">
            <x v="12"/>
          </reference>
          <reference field="3" count="1" selected="0">
            <x v="1"/>
          </reference>
          <reference field="4" count="1" selected="0">
            <x v="108"/>
          </reference>
          <reference field="5" count="1" selected="0">
            <x v="213"/>
          </reference>
          <reference field="6" count="1">
            <x v="47"/>
          </reference>
        </references>
      </pivotArea>
    </format>
    <format dxfId="2963">
      <pivotArea dataOnly="0" labelOnly="1" fieldPosition="0">
        <references count="6">
          <reference field="1" count="1" selected="0">
            <x v="28"/>
          </reference>
          <reference field="2" count="1" selected="0">
            <x v="12"/>
          </reference>
          <reference field="3" count="1" selected="0">
            <x v="1"/>
          </reference>
          <reference field="4" count="1" selected="0">
            <x v="108"/>
          </reference>
          <reference field="5" count="1" selected="0">
            <x v="846"/>
          </reference>
          <reference field="6" count="1">
            <x v="47"/>
          </reference>
        </references>
      </pivotArea>
    </format>
    <format dxfId="2962">
      <pivotArea dataOnly="0" labelOnly="1" fieldPosition="0">
        <references count="6">
          <reference field="1" count="1" selected="0">
            <x v="28"/>
          </reference>
          <reference field="2" count="1" selected="0">
            <x v="19"/>
          </reference>
          <reference field="3" count="1" selected="0">
            <x v="10"/>
          </reference>
          <reference field="4" count="1" selected="0">
            <x v="108"/>
          </reference>
          <reference field="5" count="1" selected="0">
            <x v="1659"/>
          </reference>
          <reference field="6" count="1">
            <x v="47"/>
          </reference>
        </references>
      </pivotArea>
    </format>
    <format dxfId="2961">
      <pivotArea dataOnly="0" labelOnly="1" fieldPosition="0">
        <references count="6">
          <reference field="1" count="1" selected="0">
            <x v="28"/>
          </reference>
          <reference field="2" count="1" selected="0">
            <x v="21"/>
          </reference>
          <reference field="3" count="1" selected="0">
            <x v="37"/>
          </reference>
          <reference field="4" count="1" selected="0">
            <x v="108"/>
          </reference>
          <reference field="5" count="1" selected="0">
            <x v="947"/>
          </reference>
          <reference field="6" count="1">
            <x v="47"/>
          </reference>
        </references>
      </pivotArea>
    </format>
    <format dxfId="2960">
      <pivotArea dataOnly="0" labelOnly="1" fieldPosition="0">
        <references count="6">
          <reference field="1" count="1" selected="0">
            <x v="28"/>
          </reference>
          <reference field="2" count="1" selected="0">
            <x v="35"/>
          </reference>
          <reference field="3" count="1" selected="0">
            <x v="1"/>
          </reference>
          <reference field="4" count="1" selected="0">
            <x v="108"/>
          </reference>
          <reference field="5" count="1" selected="0">
            <x v="80"/>
          </reference>
          <reference field="6" count="1">
            <x v="47"/>
          </reference>
        </references>
      </pivotArea>
    </format>
    <format dxfId="2959">
      <pivotArea dataOnly="0" labelOnly="1" fieldPosition="0">
        <references count="6">
          <reference field="1" count="1" selected="0">
            <x v="29"/>
          </reference>
          <reference field="2" count="1" selected="0">
            <x v="0"/>
          </reference>
          <reference field="3" count="1" selected="0">
            <x v="6"/>
          </reference>
          <reference field="4" count="1" selected="0">
            <x v="109"/>
          </reference>
          <reference field="5" count="1" selected="0">
            <x v="228"/>
          </reference>
          <reference field="6" count="1">
            <x v="47"/>
          </reference>
        </references>
      </pivotArea>
    </format>
    <format dxfId="2958">
      <pivotArea dataOnly="0" labelOnly="1" fieldPosition="0">
        <references count="6">
          <reference field="1" count="1" selected="0">
            <x v="29"/>
          </reference>
          <reference field="2" count="1" selected="0">
            <x v="0"/>
          </reference>
          <reference field="3" count="1" selected="0">
            <x v="6"/>
          </reference>
          <reference field="4" count="1" selected="0">
            <x v="109"/>
          </reference>
          <reference field="5" count="1" selected="0">
            <x v="321"/>
          </reference>
          <reference field="6" count="1">
            <x v="47"/>
          </reference>
        </references>
      </pivotArea>
    </format>
    <format dxfId="2957">
      <pivotArea dataOnly="0" labelOnly="1" fieldPosition="0">
        <references count="6">
          <reference field="1" count="1" selected="0">
            <x v="29"/>
          </reference>
          <reference field="2" count="1" selected="0">
            <x v="0"/>
          </reference>
          <reference field="3" count="1" selected="0">
            <x v="12"/>
          </reference>
          <reference field="4" count="1" selected="0">
            <x v="10"/>
          </reference>
          <reference field="5" count="1" selected="0">
            <x v="9"/>
          </reference>
          <reference field="6" count="1">
            <x v="47"/>
          </reference>
        </references>
      </pivotArea>
    </format>
    <format dxfId="2956">
      <pivotArea dataOnly="0" labelOnly="1" fieldPosition="0">
        <references count="6">
          <reference field="1" count="1" selected="0">
            <x v="29"/>
          </reference>
          <reference field="2" count="1" selected="0">
            <x v="0"/>
          </reference>
          <reference field="3" count="1" selected="0">
            <x v="12"/>
          </reference>
          <reference field="4" count="1" selected="0">
            <x v="58"/>
          </reference>
          <reference field="5" count="1" selected="0">
            <x v="11"/>
          </reference>
          <reference field="6" count="1">
            <x v="47"/>
          </reference>
        </references>
      </pivotArea>
    </format>
    <format dxfId="2955">
      <pivotArea dataOnly="0" labelOnly="1" fieldPosition="0">
        <references count="6">
          <reference field="1" count="1" selected="0">
            <x v="29"/>
          </reference>
          <reference field="2" count="1" selected="0">
            <x v="0"/>
          </reference>
          <reference field="3" count="1" selected="0">
            <x v="12"/>
          </reference>
          <reference field="4" count="1" selected="0">
            <x v="64"/>
          </reference>
          <reference field="5" count="1" selected="0">
            <x v="64"/>
          </reference>
          <reference field="6" count="1">
            <x v="47"/>
          </reference>
        </references>
      </pivotArea>
    </format>
    <format dxfId="2954">
      <pivotArea dataOnly="0" labelOnly="1" fieldPosition="0">
        <references count="6">
          <reference field="1" count="1" selected="0">
            <x v="29"/>
          </reference>
          <reference field="2" count="1" selected="0">
            <x v="3"/>
          </reference>
          <reference field="3" count="1" selected="0">
            <x v="37"/>
          </reference>
          <reference field="4" count="1" selected="0">
            <x v="109"/>
          </reference>
          <reference field="5" count="1" selected="0">
            <x v="187"/>
          </reference>
          <reference field="6" count="1">
            <x v="47"/>
          </reference>
        </references>
      </pivotArea>
    </format>
    <format dxfId="2953">
      <pivotArea dataOnly="0" labelOnly="1" fieldPosition="0">
        <references count="6">
          <reference field="1" count="1" selected="0">
            <x v="29"/>
          </reference>
          <reference field="2" count="1" selected="0">
            <x v="5"/>
          </reference>
          <reference field="3" count="1" selected="0">
            <x v="37"/>
          </reference>
          <reference field="4" count="1" selected="0">
            <x v="109"/>
          </reference>
          <reference field="5" count="1" selected="0">
            <x v="592"/>
          </reference>
          <reference field="6" count="1">
            <x v="47"/>
          </reference>
        </references>
      </pivotArea>
    </format>
    <format dxfId="2952">
      <pivotArea dataOnly="0" labelOnly="1" fieldPosition="0">
        <references count="6">
          <reference field="1" count="1" selected="0">
            <x v="29"/>
          </reference>
          <reference field="2" count="1" selected="0">
            <x v="7"/>
          </reference>
          <reference field="3" count="1" selected="0">
            <x v="37"/>
          </reference>
          <reference field="4" count="1" selected="0">
            <x v="109"/>
          </reference>
          <reference field="5" count="1" selected="0">
            <x v="314"/>
          </reference>
          <reference field="6" count="1">
            <x v="47"/>
          </reference>
        </references>
      </pivotArea>
    </format>
    <format dxfId="2951">
      <pivotArea dataOnly="0" labelOnly="1" fieldPosition="0">
        <references count="6">
          <reference field="1" count="1" selected="0">
            <x v="29"/>
          </reference>
          <reference field="2" count="1" selected="0">
            <x v="8"/>
          </reference>
          <reference field="3" count="1" selected="0">
            <x v="37"/>
          </reference>
          <reference field="4" count="1" selected="0">
            <x v="109"/>
          </reference>
          <reference field="5" count="1" selected="0">
            <x v="697"/>
          </reference>
          <reference field="6" count="1">
            <x v="47"/>
          </reference>
        </references>
      </pivotArea>
    </format>
    <format dxfId="2950">
      <pivotArea dataOnly="0" labelOnly="1" fieldPosition="0">
        <references count="6">
          <reference field="1" count="1" selected="0">
            <x v="29"/>
          </reference>
          <reference field="2" count="1" selected="0">
            <x v="9"/>
          </reference>
          <reference field="3" count="1" selected="0">
            <x v="8"/>
          </reference>
          <reference field="4" count="1" selected="0">
            <x v="109"/>
          </reference>
          <reference field="5" count="1" selected="0">
            <x v="1297"/>
          </reference>
          <reference field="6" count="1">
            <x v="47"/>
          </reference>
        </references>
      </pivotArea>
    </format>
    <format dxfId="2949">
      <pivotArea dataOnly="0" labelOnly="1" fieldPosition="0">
        <references count="6">
          <reference field="1" count="1" selected="0">
            <x v="29"/>
          </reference>
          <reference field="2" count="1" selected="0">
            <x v="12"/>
          </reference>
          <reference field="3" count="1" selected="0">
            <x v="1"/>
          </reference>
          <reference field="4" count="1" selected="0">
            <x v="109"/>
          </reference>
          <reference field="5" count="1" selected="0">
            <x v="80"/>
          </reference>
          <reference field="6" count="1">
            <x v="47"/>
          </reference>
        </references>
      </pivotArea>
    </format>
    <format dxfId="2948">
      <pivotArea dataOnly="0" labelOnly="1" fieldPosition="0">
        <references count="6">
          <reference field="1" count="1" selected="0">
            <x v="29"/>
          </reference>
          <reference field="2" count="1" selected="0">
            <x v="12"/>
          </reference>
          <reference field="3" count="1" selected="0">
            <x v="1"/>
          </reference>
          <reference field="4" count="1" selected="0">
            <x v="109"/>
          </reference>
          <reference field="5" count="1" selected="0">
            <x v="213"/>
          </reference>
          <reference field="6" count="1">
            <x v="47"/>
          </reference>
        </references>
      </pivotArea>
    </format>
    <format dxfId="2947">
      <pivotArea dataOnly="0" labelOnly="1" fieldPosition="0">
        <references count="6">
          <reference field="1" count="1" selected="0">
            <x v="29"/>
          </reference>
          <reference field="2" count="1" selected="0">
            <x v="12"/>
          </reference>
          <reference field="3" count="1" selected="0">
            <x v="1"/>
          </reference>
          <reference field="4" count="1" selected="0">
            <x v="109"/>
          </reference>
          <reference field="5" count="1" selected="0">
            <x v="352"/>
          </reference>
          <reference field="6" count="1">
            <x v="47"/>
          </reference>
        </references>
      </pivotArea>
    </format>
    <format dxfId="2946">
      <pivotArea dataOnly="0" labelOnly="1" fieldPosition="0">
        <references count="6">
          <reference field="1" count="1" selected="0">
            <x v="29"/>
          </reference>
          <reference field="2" count="1" selected="0">
            <x v="12"/>
          </reference>
          <reference field="3" count="1" selected="0">
            <x v="1"/>
          </reference>
          <reference field="4" count="1" selected="0">
            <x v="109"/>
          </reference>
          <reference field="5" count="1" selected="0">
            <x v="500"/>
          </reference>
          <reference field="6" count="1">
            <x v="47"/>
          </reference>
        </references>
      </pivotArea>
    </format>
    <format dxfId="2945">
      <pivotArea dataOnly="0" labelOnly="1" fieldPosition="0">
        <references count="6">
          <reference field="1" count="1" selected="0">
            <x v="29"/>
          </reference>
          <reference field="2" count="1" selected="0">
            <x v="12"/>
          </reference>
          <reference field="3" count="1" selected="0">
            <x v="1"/>
          </reference>
          <reference field="4" count="1" selected="0">
            <x v="109"/>
          </reference>
          <reference field="5" count="1" selected="0">
            <x v="607"/>
          </reference>
          <reference field="6" count="1">
            <x v="47"/>
          </reference>
        </references>
      </pivotArea>
    </format>
    <format dxfId="2944">
      <pivotArea dataOnly="0" labelOnly="1" fieldPosition="0">
        <references count="6">
          <reference field="1" count="1" selected="0">
            <x v="29"/>
          </reference>
          <reference field="2" count="1" selected="0">
            <x v="12"/>
          </reference>
          <reference field="3" count="1" selected="0">
            <x v="1"/>
          </reference>
          <reference field="4" count="1" selected="0">
            <x v="109"/>
          </reference>
          <reference field="5" count="1" selected="0">
            <x v="911"/>
          </reference>
          <reference field="6" count="1">
            <x v="47"/>
          </reference>
        </references>
      </pivotArea>
    </format>
    <format dxfId="2943">
      <pivotArea dataOnly="0" labelOnly="1" fieldPosition="0">
        <references count="6">
          <reference field="1" count="1" selected="0">
            <x v="29"/>
          </reference>
          <reference field="2" count="1" selected="0">
            <x v="12"/>
          </reference>
          <reference field="3" count="1" selected="0">
            <x v="37"/>
          </reference>
          <reference field="4" count="1" selected="0">
            <x v="109"/>
          </reference>
          <reference field="5" count="1" selected="0">
            <x v="1244"/>
          </reference>
          <reference field="6" count="1">
            <x v="47"/>
          </reference>
        </references>
      </pivotArea>
    </format>
    <format dxfId="2942">
      <pivotArea dataOnly="0" labelOnly="1" fieldPosition="0">
        <references count="6">
          <reference field="1" count="1" selected="0">
            <x v="29"/>
          </reference>
          <reference field="2" count="1" selected="0">
            <x v="15"/>
          </reference>
          <reference field="3" count="1" selected="0">
            <x v="1"/>
          </reference>
          <reference field="4" count="1" selected="0">
            <x v="109"/>
          </reference>
          <reference field="5" count="1" selected="0">
            <x v="1698"/>
          </reference>
          <reference field="6" count="1">
            <x v="47"/>
          </reference>
        </references>
      </pivotArea>
    </format>
    <format dxfId="2941">
      <pivotArea dataOnly="0" labelOnly="1" fieldPosition="0">
        <references count="6">
          <reference field="1" count="1" selected="0">
            <x v="29"/>
          </reference>
          <reference field="2" count="1" selected="0">
            <x v="21"/>
          </reference>
          <reference field="3" count="1" selected="0">
            <x v="6"/>
          </reference>
          <reference field="4" count="1" selected="0">
            <x v="109"/>
          </reference>
          <reference field="5" count="1" selected="0">
            <x v="551"/>
          </reference>
          <reference field="6" count="1">
            <x v="47"/>
          </reference>
        </references>
      </pivotArea>
    </format>
    <format dxfId="2940">
      <pivotArea dataOnly="0" labelOnly="1" fieldPosition="0">
        <references count="6">
          <reference field="1" count="1" selected="0">
            <x v="29"/>
          </reference>
          <reference field="2" count="1" selected="0">
            <x v="21"/>
          </reference>
          <reference field="3" count="1" selected="0">
            <x v="37"/>
          </reference>
          <reference field="4" count="1" selected="0">
            <x v="109"/>
          </reference>
          <reference field="5" count="1" selected="0">
            <x v="352"/>
          </reference>
          <reference field="6" count="1">
            <x v="47"/>
          </reference>
        </references>
      </pivotArea>
    </format>
    <format dxfId="2939">
      <pivotArea dataOnly="0" labelOnly="1" fieldPosition="0">
        <references count="6">
          <reference field="1" count="1" selected="0">
            <x v="29"/>
          </reference>
          <reference field="2" count="1" selected="0">
            <x v="23"/>
          </reference>
          <reference field="3" count="1" selected="0">
            <x v="1"/>
          </reference>
          <reference field="4" count="1" selected="0">
            <x v="109"/>
          </reference>
          <reference field="5" count="1" selected="0">
            <x v="109"/>
          </reference>
          <reference field="6" count="1">
            <x v="47"/>
          </reference>
        </references>
      </pivotArea>
    </format>
    <format dxfId="2938">
      <pivotArea dataOnly="0" labelOnly="1" fieldPosition="0">
        <references count="6">
          <reference field="1" count="1" selected="0">
            <x v="29"/>
          </reference>
          <reference field="2" count="1" selected="0">
            <x v="23"/>
          </reference>
          <reference field="3" count="1" selected="0">
            <x v="37"/>
          </reference>
          <reference field="4" count="1" selected="0">
            <x v="109"/>
          </reference>
          <reference field="5" count="1" selected="0">
            <x v="286"/>
          </reference>
          <reference field="6" count="1">
            <x v="47"/>
          </reference>
        </references>
      </pivotArea>
    </format>
    <format dxfId="2937">
      <pivotArea dataOnly="0" labelOnly="1" fieldPosition="0">
        <references count="6">
          <reference field="1" count="1" selected="0">
            <x v="29"/>
          </reference>
          <reference field="2" count="1" selected="0">
            <x v="24"/>
          </reference>
          <reference field="3" count="1" selected="0">
            <x v="37"/>
          </reference>
          <reference field="4" count="1" selected="0">
            <x v="109"/>
          </reference>
          <reference field="5" count="1" selected="0">
            <x v="80"/>
          </reference>
          <reference field="6" count="1">
            <x v="47"/>
          </reference>
        </references>
      </pivotArea>
    </format>
    <format dxfId="2936">
      <pivotArea dataOnly="0" labelOnly="1" fieldPosition="0">
        <references count="6">
          <reference field="1" count="1" selected="0">
            <x v="29"/>
          </reference>
          <reference field="2" count="1" selected="0">
            <x v="26"/>
          </reference>
          <reference field="3" count="1" selected="0">
            <x v="37"/>
          </reference>
          <reference field="4" count="1" selected="0">
            <x v="109"/>
          </reference>
          <reference field="5" count="1" selected="0">
            <x v="109"/>
          </reference>
          <reference field="6" count="1">
            <x v="47"/>
          </reference>
        </references>
      </pivotArea>
    </format>
    <format dxfId="2935">
      <pivotArea dataOnly="0" labelOnly="1" fieldPosition="0">
        <references count="6">
          <reference field="1" count="1" selected="0">
            <x v="29"/>
          </reference>
          <reference field="2" count="1" selected="0">
            <x v="28"/>
          </reference>
          <reference field="3" count="1" selected="0">
            <x v="8"/>
          </reference>
          <reference field="4" count="1" selected="0">
            <x v="109"/>
          </reference>
          <reference field="5" count="1" selected="0">
            <x v="669"/>
          </reference>
          <reference field="6" count="1">
            <x v="47"/>
          </reference>
        </references>
      </pivotArea>
    </format>
    <format dxfId="2934">
      <pivotArea dataOnly="0" labelOnly="1" fieldPosition="0">
        <references count="6">
          <reference field="1" count="1" selected="0">
            <x v="29"/>
          </reference>
          <reference field="2" count="1" selected="0">
            <x v="33"/>
          </reference>
          <reference field="3" count="1" selected="0">
            <x v="6"/>
          </reference>
          <reference field="4" count="1" selected="0">
            <x v="109"/>
          </reference>
          <reference field="5" count="1" selected="0">
            <x v="469"/>
          </reference>
          <reference field="6" count="1">
            <x v="47"/>
          </reference>
        </references>
      </pivotArea>
    </format>
    <format dxfId="2933">
      <pivotArea dataOnly="0" labelOnly="1" fieldPosition="0">
        <references count="6">
          <reference field="1" count="1" selected="0">
            <x v="29"/>
          </reference>
          <reference field="2" count="1" selected="0">
            <x v="35"/>
          </reference>
          <reference field="3" count="1" selected="0">
            <x v="1"/>
          </reference>
          <reference field="4" count="1" selected="0">
            <x v="109"/>
          </reference>
          <reference field="5" count="1" selected="0">
            <x v="80"/>
          </reference>
          <reference field="6" count="1">
            <x v="47"/>
          </reference>
        </references>
      </pivotArea>
    </format>
    <format dxfId="2932">
      <pivotArea dataOnly="0" labelOnly="1" fieldPosition="0">
        <references count="6">
          <reference field="1" count="1" selected="0">
            <x v="30"/>
          </reference>
          <reference field="2" count="1" selected="0">
            <x v="0"/>
          </reference>
          <reference field="3" count="1" selected="0">
            <x v="15"/>
          </reference>
          <reference field="4" count="1" selected="0">
            <x v="110"/>
          </reference>
          <reference field="5" count="1" selected="0">
            <x v="643"/>
          </reference>
          <reference field="6" count="1">
            <x v="47"/>
          </reference>
        </references>
      </pivotArea>
    </format>
    <format dxfId="2931">
      <pivotArea dataOnly="0" labelOnly="1" fieldPosition="0">
        <references count="6">
          <reference field="1" count="1" selected="0">
            <x v="30"/>
          </reference>
          <reference field="2" count="1" selected="0">
            <x v="0"/>
          </reference>
          <reference field="3" count="1" selected="0">
            <x v="15"/>
          </reference>
          <reference field="4" count="1" selected="0">
            <x v="110"/>
          </reference>
          <reference field="5" count="1" selected="0">
            <x v="646"/>
          </reference>
          <reference field="6" count="1">
            <x v="47"/>
          </reference>
        </references>
      </pivotArea>
    </format>
    <format dxfId="2930">
      <pivotArea dataOnly="0" labelOnly="1" fieldPosition="0">
        <references count="6">
          <reference field="1" count="1" selected="0">
            <x v="30"/>
          </reference>
          <reference field="2" count="1" selected="0">
            <x v="0"/>
          </reference>
          <reference field="3" count="1" selected="0">
            <x v="15"/>
          </reference>
          <reference field="4" count="1" selected="0">
            <x v="110"/>
          </reference>
          <reference field="5" count="1" selected="0">
            <x v="651"/>
          </reference>
          <reference field="6" count="1">
            <x v="47"/>
          </reference>
        </references>
      </pivotArea>
    </format>
    <format dxfId="2929">
      <pivotArea dataOnly="0" labelOnly="1" fieldPosition="0">
        <references count="6">
          <reference field="1" count="1" selected="0">
            <x v="30"/>
          </reference>
          <reference field="2" count="1" selected="0">
            <x v="0"/>
          </reference>
          <reference field="3" count="1" selected="0">
            <x v="15"/>
          </reference>
          <reference field="4" count="1" selected="0">
            <x v="110"/>
          </reference>
          <reference field="5" count="1" selected="0">
            <x v="655"/>
          </reference>
          <reference field="6" count="1">
            <x v="47"/>
          </reference>
        </references>
      </pivotArea>
    </format>
    <format dxfId="2928">
      <pivotArea dataOnly="0" labelOnly="1" fieldPosition="0">
        <references count="6">
          <reference field="1" count="1" selected="0">
            <x v="30"/>
          </reference>
          <reference field="2" count="1" selected="0">
            <x v="0"/>
          </reference>
          <reference field="3" count="1" selected="0">
            <x v="15"/>
          </reference>
          <reference field="4" count="1" selected="0">
            <x v="110"/>
          </reference>
          <reference field="5" count="1" selected="0">
            <x v="820"/>
          </reference>
          <reference field="6" count="1">
            <x v="47"/>
          </reference>
        </references>
      </pivotArea>
    </format>
    <format dxfId="2927">
      <pivotArea dataOnly="0" labelOnly="1" fieldPosition="0">
        <references count="6">
          <reference field="1" count="1" selected="0">
            <x v="30"/>
          </reference>
          <reference field="2" count="1" selected="0">
            <x v="0"/>
          </reference>
          <reference field="3" count="1" selected="0">
            <x v="15"/>
          </reference>
          <reference field="4" count="1" selected="0">
            <x v="110"/>
          </reference>
          <reference field="5" count="1" selected="0">
            <x v="873"/>
          </reference>
          <reference field="6" count="1">
            <x v="47"/>
          </reference>
        </references>
      </pivotArea>
    </format>
    <format dxfId="2926">
      <pivotArea dataOnly="0" labelOnly="1" fieldPosition="0">
        <references count="6">
          <reference field="1" count="1" selected="0">
            <x v="30"/>
          </reference>
          <reference field="2" count="1" selected="0">
            <x v="0"/>
          </reference>
          <reference field="3" count="1" selected="0">
            <x v="15"/>
          </reference>
          <reference field="4" count="1" selected="0">
            <x v="110"/>
          </reference>
          <reference field="5" count="1" selected="0">
            <x v="948"/>
          </reference>
          <reference field="6" count="1">
            <x v="47"/>
          </reference>
        </references>
      </pivotArea>
    </format>
    <format dxfId="2925">
      <pivotArea dataOnly="0" labelOnly="1" fieldPosition="0">
        <references count="6">
          <reference field="1" count="1" selected="0">
            <x v="30"/>
          </reference>
          <reference field="2" count="1" selected="0">
            <x v="0"/>
          </reference>
          <reference field="3" count="1" selected="0">
            <x v="15"/>
          </reference>
          <reference field="4" count="1" selected="0">
            <x v="110"/>
          </reference>
          <reference field="5" count="1" selected="0">
            <x v="1135"/>
          </reference>
          <reference field="6" count="1">
            <x v="47"/>
          </reference>
        </references>
      </pivotArea>
    </format>
    <format dxfId="2924">
      <pivotArea dataOnly="0" labelOnly="1" fieldPosition="0">
        <references count="6">
          <reference field="1" count="1" selected="0">
            <x v="30"/>
          </reference>
          <reference field="2" count="1" selected="0">
            <x v="0"/>
          </reference>
          <reference field="3" count="1" selected="0">
            <x v="15"/>
          </reference>
          <reference field="4" count="1" selected="0">
            <x v="110"/>
          </reference>
          <reference field="5" count="1" selected="0">
            <x v="1140"/>
          </reference>
          <reference field="6" count="1">
            <x v="47"/>
          </reference>
        </references>
      </pivotArea>
    </format>
    <format dxfId="2923">
      <pivotArea dataOnly="0" labelOnly="1" fieldPosition="0">
        <references count="6">
          <reference field="1" count="1" selected="0">
            <x v="30"/>
          </reference>
          <reference field="2" count="1" selected="0">
            <x v="2"/>
          </reference>
          <reference field="3" count="1" selected="0">
            <x v="15"/>
          </reference>
          <reference field="4" count="1" selected="0">
            <x v="110"/>
          </reference>
          <reference field="5" count="1" selected="0">
            <x v="1876"/>
          </reference>
          <reference field="6" count="1">
            <x v="47"/>
          </reference>
        </references>
      </pivotArea>
    </format>
    <format dxfId="2922">
      <pivotArea dataOnly="0" labelOnly="1" fieldPosition="0">
        <references count="6">
          <reference field="1" count="1" selected="0">
            <x v="30"/>
          </reference>
          <reference field="2" count="1" selected="0">
            <x v="3"/>
          </reference>
          <reference field="3" count="1" selected="0">
            <x v="15"/>
          </reference>
          <reference field="4" count="1" selected="0">
            <x v="110"/>
          </reference>
          <reference field="5" count="1" selected="0">
            <x v="1277"/>
          </reference>
          <reference field="6" count="1">
            <x v="47"/>
          </reference>
        </references>
      </pivotArea>
    </format>
    <format dxfId="2921">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222"/>
          </reference>
          <reference field="6" count="1">
            <x v="47"/>
          </reference>
        </references>
      </pivotArea>
    </format>
    <format dxfId="2920">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324"/>
          </reference>
          <reference field="6" count="1">
            <x v="47"/>
          </reference>
        </references>
      </pivotArea>
    </format>
    <format dxfId="2919">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594"/>
          </reference>
          <reference field="6" count="1">
            <x v="47"/>
          </reference>
        </references>
      </pivotArea>
    </format>
    <format dxfId="2918">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006"/>
          </reference>
          <reference field="6" count="1">
            <x v="47"/>
          </reference>
        </references>
      </pivotArea>
    </format>
    <format dxfId="2917">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010"/>
          </reference>
          <reference field="6" count="1">
            <x v="47"/>
          </reference>
        </references>
      </pivotArea>
    </format>
    <format dxfId="2916">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184"/>
          </reference>
          <reference field="6" count="1">
            <x v="47"/>
          </reference>
        </references>
      </pivotArea>
    </format>
    <format dxfId="2915">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373"/>
          </reference>
          <reference field="6" count="1">
            <x v="47"/>
          </reference>
        </references>
      </pivotArea>
    </format>
    <format dxfId="2914">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383"/>
          </reference>
          <reference field="6" count="1">
            <x v="47"/>
          </reference>
        </references>
      </pivotArea>
    </format>
    <format dxfId="2913">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386"/>
          </reference>
          <reference field="6" count="1">
            <x v="47"/>
          </reference>
        </references>
      </pivotArea>
    </format>
    <format dxfId="2912">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397"/>
          </reference>
          <reference field="6" count="1">
            <x v="47"/>
          </reference>
        </references>
      </pivotArea>
    </format>
    <format dxfId="2911">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462"/>
          </reference>
          <reference field="6" count="1">
            <x v="47"/>
          </reference>
        </references>
      </pivotArea>
    </format>
    <format dxfId="2910">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489"/>
          </reference>
          <reference field="6" count="1">
            <x v="47"/>
          </reference>
        </references>
      </pivotArea>
    </format>
    <format dxfId="2909">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506"/>
          </reference>
          <reference field="6" count="1">
            <x v="47"/>
          </reference>
        </references>
      </pivotArea>
    </format>
    <format dxfId="2908">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570"/>
          </reference>
          <reference field="6" count="1">
            <x v="47"/>
          </reference>
        </references>
      </pivotArea>
    </format>
    <format dxfId="2907">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591"/>
          </reference>
          <reference field="6" count="1">
            <x v="47"/>
          </reference>
        </references>
      </pivotArea>
    </format>
    <format dxfId="2906">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595"/>
          </reference>
          <reference field="6" count="1">
            <x v="47"/>
          </reference>
        </references>
      </pivotArea>
    </format>
    <format dxfId="2905">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635"/>
          </reference>
          <reference field="6" count="1">
            <x v="47"/>
          </reference>
        </references>
      </pivotArea>
    </format>
    <format dxfId="2904">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742"/>
          </reference>
          <reference field="6" count="1">
            <x v="47"/>
          </reference>
        </references>
      </pivotArea>
    </format>
    <format dxfId="2903">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746"/>
          </reference>
          <reference field="6" count="1">
            <x v="47"/>
          </reference>
        </references>
      </pivotArea>
    </format>
    <format dxfId="2902">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763"/>
          </reference>
          <reference field="6" count="1">
            <x v="47"/>
          </reference>
        </references>
      </pivotArea>
    </format>
    <format dxfId="2901">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771"/>
          </reference>
          <reference field="6" count="1">
            <x v="47"/>
          </reference>
        </references>
      </pivotArea>
    </format>
    <format dxfId="2900">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785"/>
          </reference>
          <reference field="6" count="1">
            <x v="47"/>
          </reference>
        </references>
      </pivotArea>
    </format>
    <format dxfId="2899">
      <pivotArea dataOnly="0" labelOnly="1" fieldPosition="0">
        <references count="6">
          <reference field="1" count="1" selected="0">
            <x v="30"/>
          </reference>
          <reference field="2" count="1" selected="0">
            <x v="12"/>
          </reference>
          <reference field="3" count="1" selected="0">
            <x v="15"/>
          </reference>
          <reference field="4" count="1" selected="0">
            <x v="110"/>
          </reference>
          <reference field="5" count="1" selected="0">
            <x v="1789"/>
          </reference>
          <reference field="6" count="1">
            <x v="47"/>
          </reference>
        </references>
      </pivotArea>
    </format>
    <format dxfId="2898">
      <pivotArea dataOnly="0" labelOnly="1" fieldPosition="0">
        <references count="6">
          <reference field="1" count="1" selected="0">
            <x v="30"/>
          </reference>
          <reference field="2" count="1" selected="0">
            <x v="15"/>
          </reference>
          <reference field="3" count="1" selected="0">
            <x v="15"/>
          </reference>
          <reference field="4" count="1" selected="0">
            <x v="110"/>
          </reference>
          <reference field="5" count="1" selected="0">
            <x v="1138"/>
          </reference>
          <reference field="6" count="1">
            <x v="47"/>
          </reference>
        </references>
      </pivotArea>
    </format>
    <format dxfId="2897">
      <pivotArea dataOnly="0" labelOnly="1" fieldPosition="0">
        <references count="6">
          <reference field="1" count="1" selected="0">
            <x v="30"/>
          </reference>
          <reference field="2" count="1" selected="0">
            <x v="17"/>
          </reference>
          <reference field="3" count="1" selected="0">
            <x v="15"/>
          </reference>
          <reference field="4" count="1" selected="0">
            <x v="110"/>
          </reference>
          <reference field="5" count="1" selected="0">
            <x v="742"/>
          </reference>
          <reference field="6" count="1">
            <x v="47"/>
          </reference>
        </references>
      </pivotArea>
    </format>
    <format dxfId="2896">
      <pivotArea dataOnly="0" labelOnly="1" fieldPosition="0">
        <references count="6">
          <reference field="1" count="1" selected="0">
            <x v="30"/>
          </reference>
          <reference field="2" count="1" selected="0">
            <x v="21"/>
          </reference>
          <reference field="3" count="1" selected="0">
            <x v="15"/>
          </reference>
          <reference field="4" count="1" selected="0">
            <x v="110"/>
          </reference>
          <reference field="5" count="1" selected="0">
            <x v="1810"/>
          </reference>
          <reference field="6" count="1">
            <x v="47"/>
          </reference>
        </references>
      </pivotArea>
    </format>
    <format dxfId="2895">
      <pivotArea dataOnly="0" labelOnly="1" fieldPosition="0">
        <references count="6">
          <reference field="1" count="1" selected="0">
            <x v="30"/>
          </reference>
          <reference field="2" count="1" selected="0">
            <x v="23"/>
          </reference>
          <reference field="3" count="1" selected="0">
            <x v="15"/>
          </reference>
          <reference field="4" count="1" selected="0">
            <x v="110"/>
          </reference>
          <reference field="5" count="1" selected="0">
            <x v="1650"/>
          </reference>
          <reference field="6" count="1">
            <x v="47"/>
          </reference>
        </references>
      </pivotArea>
    </format>
    <format dxfId="2894">
      <pivotArea dataOnly="0" labelOnly="1" fieldPosition="0">
        <references count="6">
          <reference field="1" count="1" selected="0">
            <x v="30"/>
          </reference>
          <reference field="2" count="1" selected="0">
            <x v="23"/>
          </reference>
          <reference field="3" count="1" selected="0">
            <x v="37"/>
          </reference>
          <reference field="4" count="1" selected="0">
            <x v="111"/>
          </reference>
          <reference field="5" count="1" selected="0">
            <x v="1285"/>
          </reference>
          <reference field="6" count="1">
            <x v="47"/>
          </reference>
        </references>
      </pivotArea>
    </format>
    <format dxfId="2893">
      <pivotArea dataOnly="0" labelOnly="1" fieldPosition="0">
        <references count="6">
          <reference field="1" count="1" selected="0">
            <x v="30"/>
          </reference>
          <reference field="2" count="1" selected="0">
            <x v="24"/>
          </reference>
          <reference field="3" count="1" selected="0">
            <x v="15"/>
          </reference>
          <reference field="4" count="1" selected="0">
            <x v="110"/>
          </reference>
          <reference field="5" count="1" selected="0">
            <x v="1510"/>
          </reference>
          <reference field="6" count="1">
            <x v="47"/>
          </reference>
        </references>
      </pivotArea>
    </format>
    <format dxfId="2892">
      <pivotArea dataOnly="0" labelOnly="1" fieldPosition="0">
        <references count="6">
          <reference field="1" count="1" selected="0">
            <x v="30"/>
          </reference>
          <reference field="2" count="1" selected="0">
            <x v="27"/>
          </reference>
          <reference field="3" count="1" selected="0">
            <x v="15"/>
          </reference>
          <reference field="4" count="1" selected="0">
            <x v="110"/>
          </reference>
          <reference field="5" count="1" selected="0">
            <x v="1469"/>
          </reference>
          <reference field="6" count="1">
            <x v="47"/>
          </reference>
        </references>
      </pivotArea>
    </format>
    <format dxfId="2891">
      <pivotArea dataOnly="0" labelOnly="1" fieldPosition="0">
        <references count="6">
          <reference field="1" count="1" selected="0">
            <x v="30"/>
          </reference>
          <reference field="2" count="1" selected="0">
            <x v="35"/>
          </reference>
          <reference field="3" count="1" selected="0">
            <x v="15"/>
          </reference>
          <reference field="4" count="1" selected="0">
            <x v="110"/>
          </reference>
          <reference field="5" count="1" selected="0">
            <x v="253"/>
          </reference>
          <reference field="6" count="1">
            <x v="47"/>
          </reference>
        </references>
      </pivotArea>
    </format>
    <format dxfId="2890">
      <pivotArea dataOnly="0" labelOnly="1" fieldPosition="0">
        <references count="6">
          <reference field="1" count="1" selected="0">
            <x v="30"/>
          </reference>
          <reference field="2" count="1" selected="0">
            <x v="35"/>
          </reference>
          <reference field="3" count="1" selected="0">
            <x v="15"/>
          </reference>
          <reference field="4" count="1" selected="0">
            <x v="110"/>
          </reference>
          <reference field="5" count="1" selected="0">
            <x v="332"/>
          </reference>
          <reference field="6" count="1">
            <x v="47"/>
          </reference>
        </references>
      </pivotArea>
    </format>
    <format dxfId="2889">
      <pivotArea dataOnly="0" labelOnly="1" fieldPosition="0">
        <references count="6">
          <reference field="1" count="1" selected="0">
            <x v="30"/>
          </reference>
          <reference field="2" count="1" selected="0">
            <x v="35"/>
          </reference>
          <reference field="3" count="1" selected="0">
            <x v="15"/>
          </reference>
          <reference field="4" count="1" selected="0">
            <x v="110"/>
          </reference>
          <reference field="5" count="1" selected="0">
            <x v="362"/>
          </reference>
          <reference field="6" count="1">
            <x v="47"/>
          </reference>
        </references>
      </pivotArea>
    </format>
    <format dxfId="2888">
      <pivotArea dataOnly="0" labelOnly="1" fieldPosition="0">
        <references count="6">
          <reference field="1" count="1" selected="0">
            <x v="30"/>
          </reference>
          <reference field="2" count="1" selected="0">
            <x v="35"/>
          </reference>
          <reference field="3" count="1" selected="0">
            <x v="15"/>
          </reference>
          <reference field="4" count="1" selected="0">
            <x v="110"/>
          </reference>
          <reference field="5" count="1" selected="0">
            <x v="377"/>
          </reference>
          <reference field="6" count="1">
            <x v="47"/>
          </reference>
        </references>
      </pivotArea>
    </format>
    <format dxfId="2887">
      <pivotArea dataOnly="0" labelOnly="1" fieldPosition="0">
        <references count="6">
          <reference field="1" count="1" selected="0">
            <x v="30"/>
          </reference>
          <reference field="2" count="1" selected="0">
            <x v="35"/>
          </reference>
          <reference field="3" count="1" selected="0">
            <x v="15"/>
          </reference>
          <reference field="4" count="1" selected="0">
            <x v="110"/>
          </reference>
          <reference field="5" count="1" selected="0">
            <x v="415"/>
          </reference>
          <reference field="6" count="1">
            <x v="47"/>
          </reference>
        </references>
      </pivotArea>
    </format>
    <format dxfId="2886">
      <pivotArea dataOnly="0" labelOnly="1" fieldPosition="0">
        <references count="6">
          <reference field="1" count="1" selected="0">
            <x v="30"/>
          </reference>
          <reference field="2" count="1" selected="0">
            <x v="35"/>
          </reference>
          <reference field="3" count="1" selected="0">
            <x v="15"/>
          </reference>
          <reference field="4" count="1" selected="0">
            <x v="110"/>
          </reference>
          <reference field="5" count="1" selected="0">
            <x v="446"/>
          </reference>
          <reference field="6" count="1">
            <x v="47"/>
          </reference>
        </references>
      </pivotArea>
    </format>
    <format dxfId="2885">
      <pivotArea dataOnly="0" labelOnly="1" fieldPosition="0">
        <references count="6">
          <reference field="1" count="1" selected="0">
            <x v="30"/>
          </reference>
          <reference field="2" count="1" selected="0">
            <x v="35"/>
          </reference>
          <reference field="3" count="1" selected="0">
            <x v="15"/>
          </reference>
          <reference field="4" count="1" selected="0">
            <x v="110"/>
          </reference>
          <reference field="5" count="1" selected="0">
            <x v="554"/>
          </reference>
          <reference field="6" count="1">
            <x v="47"/>
          </reference>
        </references>
      </pivotArea>
    </format>
    <format dxfId="2884">
      <pivotArea dataOnly="0" labelOnly="1" fieldPosition="0">
        <references count="6">
          <reference field="1" count="1" selected="0">
            <x v="30"/>
          </reference>
          <reference field="2" count="1" selected="0">
            <x v="35"/>
          </reference>
          <reference field="3" count="1" selected="0">
            <x v="15"/>
          </reference>
          <reference field="4" count="1" selected="0">
            <x v="110"/>
          </reference>
          <reference field="5" count="1" selected="0">
            <x v="735"/>
          </reference>
          <reference field="6" count="1">
            <x v="47"/>
          </reference>
        </references>
      </pivotArea>
    </format>
    <format dxfId="2883">
      <pivotArea dataOnly="0" labelOnly="1" fieldPosition="0">
        <references count="6">
          <reference field="1" count="1" selected="0">
            <x v="30"/>
          </reference>
          <reference field="2" count="1" selected="0">
            <x v="35"/>
          </reference>
          <reference field="3" count="1" selected="0">
            <x v="15"/>
          </reference>
          <reference field="4" count="1" selected="0">
            <x v="110"/>
          </reference>
          <reference field="5" count="1" selected="0">
            <x v="952"/>
          </reference>
          <reference field="6" count="1">
            <x v="47"/>
          </reference>
        </references>
      </pivotArea>
    </format>
    <format dxfId="2882">
      <pivotArea dataOnly="0" labelOnly="1" fieldPosition="0">
        <references count="6">
          <reference field="1" count="1" selected="0">
            <x v="30"/>
          </reference>
          <reference field="2" count="1" selected="0">
            <x v="35"/>
          </reference>
          <reference field="3" count="1" selected="0">
            <x v="15"/>
          </reference>
          <reference field="4" count="1" selected="0">
            <x v="110"/>
          </reference>
          <reference field="5" count="1" selected="0">
            <x v="1040"/>
          </reference>
          <reference field="6" count="1">
            <x v="47"/>
          </reference>
        </references>
      </pivotArea>
    </format>
    <format dxfId="2881">
      <pivotArea dataOnly="0" labelOnly="1" fieldPosition="0">
        <references count="6">
          <reference field="1" count="1" selected="0">
            <x v="30"/>
          </reference>
          <reference field="2" count="1" selected="0">
            <x v="35"/>
          </reference>
          <reference field="3" count="1" selected="0">
            <x v="15"/>
          </reference>
          <reference field="4" count="1" selected="0">
            <x v="110"/>
          </reference>
          <reference field="5" count="1" selected="0">
            <x v="1154"/>
          </reference>
          <reference field="6" count="1">
            <x v="47"/>
          </reference>
        </references>
      </pivotArea>
    </format>
    <format dxfId="2880">
      <pivotArea dataOnly="0" labelOnly="1" fieldPosition="0">
        <references count="6">
          <reference field="1" count="1" selected="0">
            <x v="30"/>
          </reference>
          <reference field="2" count="1" selected="0">
            <x v="36"/>
          </reference>
          <reference field="3" count="1" selected="0">
            <x v="6"/>
          </reference>
          <reference field="4" count="1" selected="0">
            <x v="111"/>
          </reference>
          <reference field="5" count="1" selected="0">
            <x v="279"/>
          </reference>
          <reference field="6" count="1">
            <x v="47"/>
          </reference>
        </references>
      </pivotArea>
    </format>
    <format dxfId="2879">
      <pivotArea dataOnly="0" labelOnly="1" fieldPosition="0">
        <references count="6">
          <reference field="1" count="1" selected="0">
            <x v="31"/>
          </reference>
          <reference field="2" count="1" selected="0">
            <x v="0"/>
          </reference>
          <reference field="3" count="1" selected="0">
            <x v="12"/>
          </reference>
          <reference field="4" count="1" selected="0">
            <x v="50"/>
          </reference>
          <reference field="5" count="1" selected="0">
            <x v="248"/>
          </reference>
          <reference field="6" count="1">
            <x v="47"/>
          </reference>
        </references>
      </pivotArea>
    </format>
    <format dxfId="2878">
      <pivotArea dataOnly="0" labelOnly="1" fieldPosition="0">
        <references count="6">
          <reference field="1" count="1" selected="0">
            <x v="31"/>
          </reference>
          <reference field="2" count="1" selected="0">
            <x v="0"/>
          </reference>
          <reference field="3" count="1" selected="0">
            <x v="12"/>
          </reference>
          <reference field="4" count="1" selected="0">
            <x v="60"/>
          </reference>
          <reference field="5" count="1" selected="0">
            <x v="32"/>
          </reference>
          <reference field="6" count="1">
            <x v="47"/>
          </reference>
        </references>
      </pivotArea>
    </format>
    <format dxfId="2877">
      <pivotArea dataOnly="0" labelOnly="1" fieldPosition="0">
        <references count="6">
          <reference field="1" count="1" selected="0">
            <x v="31"/>
          </reference>
          <reference field="2" count="1" selected="0">
            <x v="12"/>
          </reference>
          <reference field="3" count="1" selected="0">
            <x v="1"/>
          </reference>
          <reference field="4" count="1" selected="0">
            <x v="112"/>
          </reference>
          <reference field="5" count="1" selected="0">
            <x v="80"/>
          </reference>
          <reference field="6" count="1">
            <x v="47"/>
          </reference>
        </references>
      </pivotArea>
    </format>
    <format dxfId="2876">
      <pivotArea dataOnly="0" labelOnly="1" fieldPosition="0">
        <references count="6">
          <reference field="1" count="1" selected="0">
            <x v="31"/>
          </reference>
          <reference field="2" count="1" selected="0">
            <x v="12"/>
          </reference>
          <reference field="3" count="1" selected="0">
            <x v="1"/>
          </reference>
          <reference field="4" count="1" selected="0">
            <x v="112"/>
          </reference>
          <reference field="5" count="1" selected="0">
            <x v="500"/>
          </reference>
          <reference field="6" count="1">
            <x v="47"/>
          </reference>
        </references>
      </pivotArea>
    </format>
    <format dxfId="2875">
      <pivotArea dataOnly="0" labelOnly="1" fieldPosition="0">
        <references count="6">
          <reference field="1" count="1" selected="0">
            <x v="31"/>
          </reference>
          <reference field="2" count="1" selected="0">
            <x v="15"/>
          </reference>
          <reference field="3" count="1" selected="0">
            <x v="38"/>
          </reference>
          <reference field="4" count="1" selected="0">
            <x v="112"/>
          </reference>
          <reference field="5" count="1" selected="0">
            <x v="1799"/>
          </reference>
          <reference field="6" count="1">
            <x v="47"/>
          </reference>
        </references>
      </pivotArea>
    </format>
    <format dxfId="2874">
      <pivotArea dataOnly="0" labelOnly="1" fieldPosition="0">
        <references count="6">
          <reference field="1" count="1" selected="0">
            <x v="31"/>
          </reference>
          <reference field="2" count="1" selected="0">
            <x v="19"/>
          </reference>
          <reference field="3" count="1" selected="0">
            <x v="37"/>
          </reference>
          <reference field="4" count="1" selected="0">
            <x v="112"/>
          </reference>
          <reference field="5" count="1" selected="0">
            <x v="156"/>
          </reference>
          <reference field="6" count="1">
            <x v="47"/>
          </reference>
        </references>
      </pivotArea>
    </format>
    <format dxfId="2873">
      <pivotArea dataOnly="0" labelOnly="1" fieldPosition="0">
        <references count="6">
          <reference field="1" count="1" selected="0">
            <x v="31"/>
          </reference>
          <reference field="2" count="1" selected="0">
            <x v="35"/>
          </reference>
          <reference field="3" count="1" selected="0">
            <x v="1"/>
          </reference>
          <reference field="4" count="1" selected="0">
            <x v="112"/>
          </reference>
          <reference field="5" count="1" selected="0">
            <x v="80"/>
          </reference>
          <reference field="6" count="1">
            <x v="47"/>
          </reference>
        </references>
      </pivotArea>
    </format>
    <format dxfId="2872">
      <pivotArea dataOnly="0" labelOnly="1" fieldPosition="0">
        <references count="6">
          <reference field="1" count="1" selected="0">
            <x v="32"/>
          </reference>
          <reference field="2" count="1" selected="0">
            <x v="0"/>
          </reference>
          <reference field="3" count="1" selected="0">
            <x v="12"/>
          </reference>
          <reference field="4" count="1" selected="0">
            <x v="47"/>
          </reference>
          <reference field="5" count="1" selected="0">
            <x v="314"/>
          </reference>
          <reference field="6" count="1">
            <x v="47"/>
          </reference>
        </references>
      </pivotArea>
    </format>
    <format dxfId="2871">
      <pivotArea dataOnly="0" labelOnly="1" fieldPosition="0">
        <references count="6">
          <reference field="1" count="1" selected="0">
            <x v="32"/>
          </reference>
          <reference field="2" count="1" selected="0">
            <x v="0"/>
          </reference>
          <reference field="3" count="1" selected="0">
            <x v="12"/>
          </reference>
          <reference field="4" count="1" selected="0">
            <x v="70"/>
          </reference>
          <reference field="5" count="1" selected="0">
            <x v="18"/>
          </reference>
          <reference field="6" count="1">
            <x v="47"/>
          </reference>
        </references>
      </pivotArea>
    </format>
    <format dxfId="2870">
      <pivotArea dataOnly="0" labelOnly="1" fieldPosition="0">
        <references count="6">
          <reference field="1" count="1" selected="0">
            <x v="32"/>
          </reference>
          <reference field="2" count="1" selected="0">
            <x v="5"/>
          </reference>
          <reference field="3" count="1" selected="0">
            <x v="37"/>
          </reference>
          <reference field="4" count="1" selected="0">
            <x v="113"/>
          </reference>
          <reference field="5" count="1" selected="0">
            <x v="1043"/>
          </reference>
          <reference field="6" count="1">
            <x v="47"/>
          </reference>
        </references>
      </pivotArea>
    </format>
    <format dxfId="2869">
      <pivotArea dataOnly="0" labelOnly="1" fieldPosition="0">
        <references count="6">
          <reference field="1" count="1" selected="0">
            <x v="32"/>
          </reference>
          <reference field="2" count="1" selected="0">
            <x v="24"/>
          </reference>
          <reference field="3" count="1" selected="0">
            <x v="37"/>
          </reference>
          <reference field="4" count="1" selected="0">
            <x v="113"/>
          </reference>
          <reference field="5" count="1" selected="0">
            <x v="352"/>
          </reference>
          <reference field="6" count="1">
            <x v="47"/>
          </reference>
        </references>
      </pivotArea>
    </format>
    <format dxfId="2868">
      <pivotArea dataOnly="0" labelOnly="1" fieldPosition="0">
        <references count="6">
          <reference field="1" count="1" selected="0">
            <x v="33"/>
          </reference>
          <reference field="2" count="1" selected="0">
            <x v="0"/>
          </reference>
          <reference field="3" count="1" selected="0">
            <x v="1"/>
          </reference>
          <reference field="4" count="1" selected="0">
            <x v="114"/>
          </reference>
          <reference field="5" count="1" selected="0">
            <x v="213"/>
          </reference>
          <reference field="6" count="1">
            <x v="47"/>
          </reference>
        </references>
      </pivotArea>
    </format>
    <format dxfId="2867">
      <pivotArea dataOnly="0" labelOnly="1" fieldPosition="0">
        <references count="6">
          <reference field="1" count="1" selected="0">
            <x v="33"/>
          </reference>
          <reference field="2" count="1" selected="0">
            <x v="0"/>
          </reference>
          <reference field="3" count="1" selected="0">
            <x v="6"/>
          </reference>
          <reference field="4" count="1" selected="0">
            <x v="114"/>
          </reference>
          <reference field="5" count="1" selected="0">
            <x v="248"/>
          </reference>
          <reference field="6" count="1">
            <x v="47"/>
          </reference>
        </references>
      </pivotArea>
    </format>
    <format dxfId="2866">
      <pivotArea dataOnly="0" labelOnly="1" fieldPosition="0">
        <references count="6">
          <reference field="1" count="1" selected="0">
            <x v="33"/>
          </reference>
          <reference field="2" count="1" selected="0">
            <x v="0"/>
          </reference>
          <reference field="3" count="1" selected="0">
            <x v="8"/>
          </reference>
          <reference field="4" count="1" selected="0">
            <x v="114"/>
          </reference>
          <reference field="5" count="1" selected="0">
            <x v="996"/>
          </reference>
          <reference field="6" count="1">
            <x v="47"/>
          </reference>
        </references>
      </pivotArea>
    </format>
    <format dxfId="2865">
      <pivotArea dataOnly="0" labelOnly="1" fieldPosition="0">
        <references count="6">
          <reference field="1" count="1" selected="0">
            <x v="33"/>
          </reference>
          <reference field="2" count="1" selected="0">
            <x v="0"/>
          </reference>
          <reference field="3" count="1" selected="0">
            <x v="9"/>
          </reference>
          <reference field="4" count="1" selected="0">
            <x v="114"/>
          </reference>
          <reference field="5" count="1" selected="0">
            <x v="337"/>
          </reference>
          <reference field="6" count="1">
            <x v="47"/>
          </reference>
        </references>
      </pivotArea>
    </format>
    <format dxfId="2864">
      <pivotArea dataOnly="0" labelOnly="1" fieldPosition="0">
        <references count="6">
          <reference field="1" count="1" selected="0">
            <x v="33"/>
          </reference>
          <reference field="2" count="1" selected="0">
            <x v="0"/>
          </reference>
          <reference field="3" count="1" selected="0">
            <x v="9"/>
          </reference>
          <reference field="4" count="1" selected="0">
            <x v="114"/>
          </reference>
          <reference field="5" count="1" selected="0">
            <x v="338"/>
          </reference>
          <reference field="6" count="1">
            <x v="47"/>
          </reference>
        </references>
      </pivotArea>
    </format>
    <format dxfId="2863">
      <pivotArea dataOnly="0" labelOnly="1" fieldPosition="0">
        <references count="6">
          <reference field="1" count="1" selected="0">
            <x v="33"/>
          </reference>
          <reference field="2" count="1" selected="0">
            <x v="0"/>
          </reference>
          <reference field="3" count="1" selected="0">
            <x v="9"/>
          </reference>
          <reference field="4" count="1" selected="0">
            <x v="114"/>
          </reference>
          <reference field="5" count="1" selected="0">
            <x v="649"/>
          </reference>
          <reference field="6" count="1">
            <x v="47"/>
          </reference>
        </references>
      </pivotArea>
    </format>
    <format dxfId="2862">
      <pivotArea dataOnly="0" labelOnly="1" fieldPosition="0">
        <references count="6">
          <reference field="1" count="1" selected="0">
            <x v="33"/>
          </reference>
          <reference field="2" count="1" selected="0">
            <x v="0"/>
          </reference>
          <reference field="3" count="1" selected="0">
            <x v="9"/>
          </reference>
          <reference field="4" count="1" selected="0">
            <x v="114"/>
          </reference>
          <reference field="5" count="1" selected="0">
            <x v="865"/>
          </reference>
          <reference field="6" count="1">
            <x v="47"/>
          </reference>
        </references>
      </pivotArea>
    </format>
    <format dxfId="2861">
      <pivotArea dataOnly="0" labelOnly="1" fieldPosition="0">
        <references count="6">
          <reference field="1" count="1" selected="0">
            <x v="33"/>
          </reference>
          <reference field="2" count="1" selected="0">
            <x v="0"/>
          </reference>
          <reference field="3" count="1" selected="0">
            <x v="9"/>
          </reference>
          <reference field="4" count="1" selected="0">
            <x v="114"/>
          </reference>
          <reference field="5" count="1" selected="0">
            <x v="980"/>
          </reference>
          <reference field="6" count="1">
            <x v="47"/>
          </reference>
        </references>
      </pivotArea>
    </format>
    <format dxfId="2860">
      <pivotArea dataOnly="0" labelOnly="1" fieldPosition="0">
        <references count="6">
          <reference field="1" count="1" selected="0">
            <x v="33"/>
          </reference>
          <reference field="2" count="1" selected="0">
            <x v="0"/>
          </reference>
          <reference field="3" count="1" selected="0">
            <x v="9"/>
          </reference>
          <reference field="4" count="1" selected="0">
            <x v="114"/>
          </reference>
          <reference field="5" count="1" selected="0">
            <x v="1116"/>
          </reference>
          <reference field="6" count="1">
            <x v="47"/>
          </reference>
        </references>
      </pivotArea>
    </format>
    <format dxfId="2859">
      <pivotArea dataOnly="0" labelOnly="1" fieldPosition="0">
        <references count="6">
          <reference field="1" count="1" selected="0">
            <x v="33"/>
          </reference>
          <reference field="2" count="1" selected="0">
            <x v="0"/>
          </reference>
          <reference field="3" count="1" selected="0">
            <x v="9"/>
          </reference>
          <reference field="4" count="1" selected="0">
            <x v="114"/>
          </reference>
          <reference field="5" count="1" selected="0">
            <x v="1434"/>
          </reference>
          <reference field="6" count="1">
            <x v="47"/>
          </reference>
        </references>
      </pivotArea>
    </format>
    <format dxfId="2858">
      <pivotArea dataOnly="0" labelOnly="1" fieldPosition="0">
        <references count="6">
          <reference field="1" count="1" selected="0">
            <x v="33"/>
          </reference>
          <reference field="2" count="1" selected="0">
            <x v="0"/>
          </reference>
          <reference field="3" count="1" selected="0">
            <x v="12"/>
          </reference>
          <reference field="4" count="1" selected="0">
            <x v="5"/>
          </reference>
          <reference field="5" count="1" selected="0">
            <x v="69"/>
          </reference>
          <reference field="6" count="1">
            <x v="47"/>
          </reference>
        </references>
      </pivotArea>
    </format>
    <format dxfId="2857">
      <pivotArea dataOnly="0" labelOnly="1" fieldPosition="0">
        <references count="6">
          <reference field="1" count="1" selected="0">
            <x v="33"/>
          </reference>
          <reference field="2" count="1" selected="0">
            <x v="0"/>
          </reference>
          <reference field="3" count="1" selected="0">
            <x v="12"/>
          </reference>
          <reference field="4" count="1" selected="0">
            <x v="18"/>
          </reference>
          <reference field="5" count="1" selected="0">
            <x v="11"/>
          </reference>
          <reference field="6" count="1">
            <x v="47"/>
          </reference>
        </references>
      </pivotArea>
    </format>
    <format dxfId="2856">
      <pivotArea dataOnly="0" labelOnly="1" fieldPosition="0">
        <references count="6">
          <reference field="1" count="1" selected="0">
            <x v="33"/>
          </reference>
          <reference field="2" count="1" selected="0">
            <x v="0"/>
          </reference>
          <reference field="3" count="1" selected="0">
            <x v="12"/>
          </reference>
          <reference field="4" count="1" selected="0">
            <x v="32"/>
          </reference>
          <reference field="5" count="1" selected="0">
            <x v="90"/>
          </reference>
          <reference field="6" count="1">
            <x v="47"/>
          </reference>
        </references>
      </pivotArea>
    </format>
    <format dxfId="2855">
      <pivotArea dataOnly="0" labelOnly="1" fieldPosition="0">
        <references count="6">
          <reference field="1" count="1" selected="0">
            <x v="33"/>
          </reference>
          <reference field="2" count="1" selected="0">
            <x v="0"/>
          </reference>
          <reference field="3" count="1" selected="0">
            <x v="12"/>
          </reference>
          <reference field="4" count="1" selected="0">
            <x v="47"/>
          </reference>
          <reference field="5" count="1" selected="0">
            <x v="314"/>
          </reference>
          <reference field="6" count="1">
            <x v="47"/>
          </reference>
        </references>
      </pivotArea>
    </format>
    <format dxfId="2854">
      <pivotArea dataOnly="0" labelOnly="1" fieldPosition="0">
        <references count="6">
          <reference field="1" count="1" selected="0">
            <x v="33"/>
          </reference>
          <reference field="2" count="1" selected="0">
            <x v="0"/>
          </reference>
          <reference field="3" count="1" selected="0">
            <x v="12"/>
          </reference>
          <reference field="4" count="1" selected="0">
            <x v="64"/>
          </reference>
          <reference field="5" count="1" selected="0">
            <x v="9"/>
          </reference>
          <reference field="6" count="1">
            <x v="47"/>
          </reference>
        </references>
      </pivotArea>
    </format>
    <format dxfId="2853">
      <pivotArea dataOnly="0" labelOnly="1" fieldPosition="0">
        <references count="6">
          <reference field="1" count="1" selected="0">
            <x v="33"/>
          </reference>
          <reference field="2" count="1" selected="0">
            <x v="0"/>
          </reference>
          <reference field="3" count="1" selected="0">
            <x v="12"/>
          </reference>
          <reference field="4" count="1" selected="0">
            <x v="67"/>
          </reference>
          <reference field="5" count="1" selected="0">
            <x v="92"/>
          </reference>
          <reference field="6" count="1">
            <x v="47"/>
          </reference>
        </references>
      </pivotArea>
    </format>
    <format dxfId="2852">
      <pivotArea dataOnly="0" labelOnly="1" fieldPosition="0">
        <references count="6">
          <reference field="1" count="1" selected="0">
            <x v="33"/>
          </reference>
          <reference field="2" count="1" selected="0">
            <x v="0"/>
          </reference>
          <reference field="3" count="1" selected="0">
            <x v="37"/>
          </reference>
          <reference field="4" count="1" selected="0">
            <x v="114"/>
          </reference>
          <reference field="5" count="1" selected="0">
            <x v="138"/>
          </reference>
          <reference field="6" count="1">
            <x v="47"/>
          </reference>
        </references>
      </pivotArea>
    </format>
    <format dxfId="2851">
      <pivotArea dataOnly="0" labelOnly="1" fieldPosition="0">
        <references count="6">
          <reference field="1" count="1" selected="0">
            <x v="33"/>
          </reference>
          <reference field="2" count="1" selected="0">
            <x v="3"/>
          </reference>
          <reference field="3" count="1" selected="0">
            <x v="37"/>
          </reference>
          <reference field="4" count="1" selected="0">
            <x v="114"/>
          </reference>
          <reference field="5" count="1" selected="0">
            <x v="278"/>
          </reference>
          <reference field="6" count="1">
            <x v="47"/>
          </reference>
        </references>
      </pivotArea>
    </format>
    <format dxfId="2850">
      <pivotArea dataOnly="0" labelOnly="1" fieldPosition="0">
        <references count="6">
          <reference field="1" count="1" selected="0">
            <x v="33"/>
          </reference>
          <reference field="2" count="1" selected="0">
            <x v="5"/>
          </reference>
          <reference field="3" count="1" selected="0">
            <x v="8"/>
          </reference>
          <reference field="4" count="1" selected="0">
            <x v="114"/>
          </reference>
          <reference field="5" count="1" selected="0">
            <x v="1295"/>
          </reference>
          <reference field="6" count="1">
            <x v="47"/>
          </reference>
        </references>
      </pivotArea>
    </format>
    <format dxfId="2849">
      <pivotArea dataOnly="0" labelOnly="1" fieldPosition="0">
        <references count="6">
          <reference field="1" count="1" selected="0">
            <x v="33"/>
          </reference>
          <reference field="2" count="1" selected="0">
            <x v="7"/>
          </reference>
          <reference field="3" count="1" selected="0">
            <x v="8"/>
          </reference>
          <reference field="4" count="1" selected="0">
            <x v="114"/>
          </reference>
          <reference field="5" count="1" selected="0">
            <x v="1258"/>
          </reference>
          <reference field="6" count="1">
            <x v="47"/>
          </reference>
        </references>
      </pivotArea>
    </format>
    <format dxfId="2848">
      <pivotArea dataOnly="0" labelOnly="1" fieldPosition="0">
        <references count="6">
          <reference field="1" count="1" selected="0">
            <x v="33"/>
          </reference>
          <reference field="2" count="1" selected="0">
            <x v="7"/>
          </reference>
          <reference field="3" count="1" selected="0">
            <x v="10"/>
          </reference>
          <reference field="4" count="1" selected="0">
            <x v="114"/>
          </reference>
          <reference field="5" count="1" selected="0">
            <x v="214"/>
          </reference>
          <reference field="6" count="1">
            <x v="47"/>
          </reference>
        </references>
      </pivotArea>
    </format>
    <format dxfId="2847">
      <pivotArea dataOnly="0" labelOnly="1" fieldPosition="0">
        <references count="6">
          <reference field="1" count="1" selected="0">
            <x v="33"/>
          </reference>
          <reference field="2" count="1" selected="0">
            <x v="12"/>
          </reference>
          <reference field="3" count="1" selected="0">
            <x v="1"/>
          </reference>
          <reference field="4" count="1" selected="0">
            <x v="114"/>
          </reference>
          <reference field="5" count="1" selected="0">
            <x v="80"/>
          </reference>
          <reference field="6" count="1">
            <x v="47"/>
          </reference>
        </references>
      </pivotArea>
    </format>
    <format dxfId="2846">
      <pivotArea dataOnly="0" labelOnly="1" fieldPosition="0">
        <references count="6">
          <reference field="1" count="1" selected="0">
            <x v="33"/>
          </reference>
          <reference field="2" count="1" selected="0">
            <x v="12"/>
          </reference>
          <reference field="3" count="1" selected="0">
            <x v="1"/>
          </reference>
          <reference field="4" count="1" selected="0">
            <x v="114"/>
          </reference>
          <reference field="5" count="1" selected="0">
            <x v="352"/>
          </reference>
          <reference field="6" count="1">
            <x v="47"/>
          </reference>
        </references>
      </pivotArea>
    </format>
    <format dxfId="2845">
      <pivotArea dataOnly="0" labelOnly="1" fieldPosition="0">
        <references count="6">
          <reference field="1" count="1" selected="0">
            <x v="33"/>
          </reference>
          <reference field="2" count="1" selected="0">
            <x v="12"/>
          </reference>
          <reference field="3" count="1" selected="0">
            <x v="1"/>
          </reference>
          <reference field="4" count="1" selected="0">
            <x v="114"/>
          </reference>
          <reference field="5" count="1" selected="0">
            <x v="500"/>
          </reference>
          <reference field="6" count="1">
            <x v="47"/>
          </reference>
        </references>
      </pivotArea>
    </format>
    <format dxfId="2844">
      <pivotArea dataOnly="0" labelOnly="1" fieldPosition="0">
        <references count="6">
          <reference field="1" count="1" selected="0">
            <x v="33"/>
          </reference>
          <reference field="2" count="1" selected="0">
            <x v="12"/>
          </reference>
          <reference field="3" count="1" selected="0">
            <x v="1"/>
          </reference>
          <reference field="4" count="1" selected="0">
            <x v="114"/>
          </reference>
          <reference field="5" count="1" selected="0">
            <x v="607"/>
          </reference>
          <reference field="6" count="1">
            <x v="47"/>
          </reference>
        </references>
      </pivotArea>
    </format>
    <format dxfId="2843">
      <pivotArea dataOnly="0" labelOnly="1" fieldPosition="0">
        <references count="6">
          <reference field="1" count="1" selected="0">
            <x v="33"/>
          </reference>
          <reference field="2" count="1" selected="0">
            <x v="12"/>
          </reference>
          <reference field="3" count="1" selected="0">
            <x v="1"/>
          </reference>
          <reference field="4" count="1" selected="0">
            <x v="114"/>
          </reference>
          <reference field="5" count="1" selected="0">
            <x v="702"/>
          </reference>
          <reference field="6" count="1">
            <x v="47"/>
          </reference>
        </references>
      </pivotArea>
    </format>
    <format dxfId="2842">
      <pivotArea dataOnly="0" labelOnly="1" fieldPosition="0">
        <references count="6">
          <reference field="1" count="1" selected="0">
            <x v="33"/>
          </reference>
          <reference field="2" count="1" selected="0">
            <x v="14"/>
          </reference>
          <reference field="3" count="1" selected="0">
            <x v="1"/>
          </reference>
          <reference field="4" count="1" selected="0">
            <x v="114"/>
          </reference>
          <reference field="5" count="1" selected="0">
            <x v="1497"/>
          </reference>
          <reference field="6" count="1">
            <x v="47"/>
          </reference>
        </references>
      </pivotArea>
    </format>
    <format dxfId="2841">
      <pivotArea dataOnly="0" labelOnly="1" fieldPosition="0">
        <references count="6">
          <reference field="1" count="1" selected="0">
            <x v="33"/>
          </reference>
          <reference field="2" count="1" selected="0">
            <x v="19"/>
          </reference>
          <reference field="3" count="1" selected="0">
            <x v="37"/>
          </reference>
          <reference field="4" count="1" selected="0">
            <x v="114"/>
          </reference>
          <reference field="5" count="1" selected="0">
            <x v="1199"/>
          </reference>
          <reference field="6" count="1">
            <x v="47"/>
          </reference>
        </references>
      </pivotArea>
    </format>
    <format dxfId="2840">
      <pivotArea dataOnly="0" labelOnly="1" fieldPosition="0">
        <references count="6">
          <reference field="1" count="1" selected="0">
            <x v="33"/>
          </reference>
          <reference field="2" count="1" selected="0">
            <x v="21"/>
          </reference>
          <reference field="3" count="1" selected="0">
            <x v="33"/>
          </reference>
          <reference field="4" count="1" selected="0">
            <x v="114"/>
          </reference>
          <reference field="5" count="1" selected="0">
            <x v="1093"/>
          </reference>
          <reference field="6" count="1">
            <x v="47"/>
          </reference>
        </references>
      </pivotArea>
    </format>
    <format dxfId="2839">
      <pivotArea dataOnly="0" labelOnly="1" fieldPosition="0">
        <references count="6">
          <reference field="1" count="1" selected="0">
            <x v="33"/>
          </reference>
          <reference field="2" count="1" selected="0">
            <x v="35"/>
          </reference>
          <reference field="3" count="1" selected="0">
            <x v="1"/>
          </reference>
          <reference field="4" count="1" selected="0">
            <x v="114"/>
          </reference>
          <reference field="5" count="1" selected="0">
            <x v="80"/>
          </reference>
          <reference field="6" count="1">
            <x v="47"/>
          </reference>
        </references>
      </pivotArea>
    </format>
    <format dxfId="2838">
      <pivotArea dataOnly="0" labelOnly="1" fieldPosition="0">
        <references count="6">
          <reference field="1" count="1" selected="0">
            <x v="34"/>
          </reference>
          <reference field="2" count="1" selected="0">
            <x v="0"/>
          </reference>
          <reference field="3" count="1" selected="0">
            <x v="12"/>
          </reference>
          <reference field="4" count="1" selected="0">
            <x v="2"/>
          </reference>
          <reference field="5" count="1" selected="0">
            <x v="134"/>
          </reference>
          <reference field="6" count="1">
            <x v="47"/>
          </reference>
        </references>
      </pivotArea>
    </format>
    <format dxfId="2837">
      <pivotArea dataOnly="0" labelOnly="1" fieldPosition="0">
        <references count="6">
          <reference field="1" count="1" selected="0">
            <x v="34"/>
          </reference>
          <reference field="2" count="1" selected="0">
            <x v="0"/>
          </reference>
          <reference field="3" count="1" selected="0">
            <x v="12"/>
          </reference>
          <reference field="4" count="1" selected="0">
            <x v="19"/>
          </reference>
          <reference field="5" count="1" selected="0">
            <x v="73"/>
          </reference>
          <reference field="6" count="1">
            <x v="47"/>
          </reference>
        </references>
      </pivotArea>
    </format>
    <format dxfId="2836">
      <pivotArea dataOnly="0" labelOnly="1" fieldPosition="0">
        <references count="6">
          <reference field="1" count="1" selected="0">
            <x v="34"/>
          </reference>
          <reference field="2" count="1" selected="0">
            <x v="0"/>
          </reference>
          <reference field="3" count="1" selected="0">
            <x v="12"/>
          </reference>
          <reference field="4" count="1" selected="0">
            <x v="27"/>
          </reference>
          <reference field="5" count="1" selected="0">
            <x v="92"/>
          </reference>
          <reference field="6" count="1">
            <x v="47"/>
          </reference>
        </references>
      </pivotArea>
    </format>
    <format dxfId="2835">
      <pivotArea dataOnly="0" labelOnly="1" fieldPosition="0">
        <references count="6">
          <reference field="1" count="1" selected="0">
            <x v="34"/>
          </reference>
          <reference field="2" count="1" selected="0">
            <x v="0"/>
          </reference>
          <reference field="3" count="1" selected="0">
            <x v="12"/>
          </reference>
          <reference field="4" count="1" selected="0">
            <x v="42"/>
          </reference>
          <reference field="5" count="1" selected="0">
            <x v="69"/>
          </reference>
          <reference field="6" count="1">
            <x v="47"/>
          </reference>
        </references>
      </pivotArea>
    </format>
    <format dxfId="2834">
      <pivotArea dataOnly="0" labelOnly="1" fieldPosition="0">
        <references count="6">
          <reference field="1" count="1" selected="0">
            <x v="34"/>
          </reference>
          <reference field="2" count="1" selected="0">
            <x v="0"/>
          </reference>
          <reference field="3" count="1" selected="0">
            <x v="12"/>
          </reference>
          <reference field="4" count="1" selected="0">
            <x v="62"/>
          </reference>
          <reference field="5" count="1" selected="0">
            <x v="52"/>
          </reference>
          <reference field="6" count="1">
            <x v="47"/>
          </reference>
        </references>
      </pivotArea>
    </format>
    <format dxfId="2833">
      <pivotArea dataOnly="0" labelOnly="1" fieldPosition="0">
        <references count="6">
          <reference field="1" count="1" selected="0">
            <x v="34"/>
          </reference>
          <reference field="2" count="1" selected="0">
            <x v="12"/>
          </reference>
          <reference field="3" count="1" selected="0">
            <x v="1"/>
          </reference>
          <reference field="4" count="1" selected="0">
            <x v="115"/>
          </reference>
          <reference field="5" count="1" selected="0">
            <x v="80"/>
          </reference>
          <reference field="6" count="1">
            <x v="47"/>
          </reference>
        </references>
      </pivotArea>
    </format>
    <format dxfId="2832">
      <pivotArea dataOnly="0" labelOnly="1" fieldPosition="0">
        <references count="6">
          <reference field="1" count="1" selected="0">
            <x v="34"/>
          </reference>
          <reference field="2" count="1" selected="0">
            <x v="26"/>
          </reference>
          <reference field="3" count="1" selected="0">
            <x v="37"/>
          </reference>
          <reference field="4" count="1" selected="0">
            <x v="115"/>
          </reference>
          <reference field="5" count="1" selected="0">
            <x v="109"/>
          </reference>
          <reference field="6" count="1">
            <x v="47"/>
          </reference>
        </references>
      </pivotArea>
    </format>
    <format dxfId="2831">
      <pivotArea dataOnly="0" labelOnly="1" fieldPosition="0">
        <references count="6">
          <reference field="1" count="1" selected="0">
            <x v="34"/>
          </reference>
          <reference field="2" count="1" selected="0">
            <x v="27"/>
          </reference>
          <reference field="3" count="1" selected="0">
            <x v="37"/>
          </reference>
          <reference field="4" count="1" selected="0">
            <x v="115"/>
          </reference>
          <reference field="5" count="1" selected="0">
            <x v="39"/>
          </reference>
          <reference field="6" count="1">
            <x v="47"/>
          </reference>
        </references>
      </pivotArea>
    </format>
    <format dxfId="2830">
      <pivotArea dataOnly="0" labelOnly="1" fieldPosition="0">
        <references count="6">
          <reference field="1" count="1" selected="0">
            <x v="35"/>
          </reference>
          <reference field="2" count="1" selected="0">
            <x v="0"/>
          </reference>
          <reference field="3" count="1" selected="0">
            <x v="1"/>
          </reference>
          <reference field="4" count="1" selected="0">
            <x v="116"/>
          </reference>
          <reference field="5" count="1" selected="0">
            <x v="352"/>
          </reference>
          <reference field="6" count="1">
            <x v="47"/>
          </reference>
        </references>
      </pivotArea>
    </format>
    <format dxfId="2829">
      <pivotArea dataOnly="0" labelOnly="1" fieldPosition="0">
        <references count="6">
          <reference field="1" count="1" selected="0">
            <x v="35"/>
          </reference>
          <reference field="2" count="1" selected="0">
            <x v="0"/>
          </reference>
          <reference field="3" count="1" selected="0">
            <x v="8"/>
          </reference>
          <reference field="4" count="1" selected="0">
            <x v="116"/>
          </reference>
          <reference field="5" count="1" selected="0">
            <x v="376"/>
          </reference>
          <reference field="6" count="1">
            <x v="47"/>
          </reference>
        </references>
      </pivotArea>
    </format>
    <format dxfId="2828">
      <pivotArea dataOnly="0" labelOnly="1" fieldPosition="0">
        <references count="6">
          <reference field="1" count="1" selected="0">
            <x v="35"/>
          </reference>
          <reference field="2" count="1" selected="0">
            <x v="0"/>
          </reference>
          <reference field="3" count="1" selected="0">
            <x v="8"/>
          </reference>
          <reference field="4" count="1" selected="0">
            <x v="116"/>
          </reference>
          <reference field="5" count="1" selected="0">
            <x v="773"/>
          </reference>
          <reference field="6" count="1">
            <x v="47"/>
          </reference>
        </references>
      </pivotArea>
    </format>
    <format dxfId="2827">
      <pivotArea dataOnly="0" labelOnly="1" fieldPosition="0">
        <references count="6">
          <reference field="1" count="1" selected="0">
            <x v="35"/>
          </reference>
          <reference field="2" count="1" selected="0">
            <x v="0"/>
          </reference>
          <reference field="3" count="1" selected="0">
            <x v="9"/>
          </reference>
          <reference field="4" count="1" selected="0">
            <x v="116"/>
          </reference>
          <reference field="5" count="1" selected="0">
            <x v="345"/>
          </reference>
          <reference field="6" count="1">
            <x v="47"/>
          </reference>
        </references>
      </pivotArea>
    </format>
    <format dxfId="2826">
      <pivotArea dataOnly="0" labelOnly="1" fieldPosition="0">
        <references count="6">
          <reference field="1" count="1" selected="0">
            <x v="35"/>
          </reference>
          <reference field="2" count="1" selected="0">
            <x v="0"/>
          </reference>
          <reference field="3" count="1" selected="0">
            <x v="9"/>
          </reference>
          <reference field="4" count="1" selected="0">
            <x v="116"/>
          </reference>
          <reference field="5" count="1" selected="0">
            <x v="589"/>
          </reference>
          <reference field="6" count="1">
            <x v="47"/>
          </reference>
        </references>
      </pivotArea>
    </format>
    <format dxfId="2825">
      <pivotArea dataOnly="0" labelOnly="1" fieldPosition="0">
        <references count="6">
          <reference field="1" count="1" selected="0">
            <x v="35"/>
          </reference>
          <reference field="2" count="1" selected="0">
            <x v="0"/>
          </reference>
          <reference field="3" count="1" selected="0">
            <x v="9"/>
          </reference>
          <reference field="4" count="1" selected="0">
            <x v="116"/>
          </reference>
          <reference field="5" count="1" selected="0">
            <x v="681"/>
          </reference>
          <reference field="6" count="1">
            <x v="47"/>
          </reference>
        </references>
      </pivotArea>
    </format>
    <format dxfId="2824">
      <pivotArea dataOnly="0" labelOnly="1" fieldPosition="0">
        <references count="6">
          <reference field="1" count="1" selected="0">
            <x v="35"/>
          </reference>
          <reference field="2" count="1" selected="0">
            <x v="0"/>
          </reference>
          <reference field="3" count="1" selected="0">
            <x v="9"/>
          </reference>
          <reference field="4" count="1" selected="0">
            <x v="116"/>
          </reference>
          <reference field="5" count="1" selected="0">
            <x v="1253"/>
          </reference>
          <reference field="6" count="1">
            <x v="47"/>
          </reference>
        </references>
      </pivotArea>
    </format>
    <format dxfId="2823">
      <pivotArea dataOnly="0" labelOnly="1" fieldPosition="0">
        <references count="6">
          <reference field="1" count="1" selected="0">
            <x v="35"/>
          </reference>
          <reference field="2" count="1" selected="0">
            <x v="0"/>
          </reference>
          <reference field="3" count="1" selected="0">
            <x v="12"/>
          </reference>
          <reference field="4" count="1" selected="0">
            <x v="21"/>
          </reference>
          <reference field="5" count="1" selected="0">
            <x v="69"/>
          </reference>
          <reference field="6" count="1">
            <x v="47"/>
          </reference>
        </references>
      </pivotArea>
    </format>
    <format dxfId="2822">
      <pivotArea dataOnly="0" labelOnly="1" fieldPosition="0">
        <references count="6">
          <reference field="1" count="1" selected="0">
            <x v="35"/>
          </reference>
          <reference field="2" count="1" selected="0">
            <x v="0"/>
          </reference>
          <reference field="3" count="1" selected="0">
            <x v="12"/>
          </reference>
          <reference field="4" count="1" selected="0">
            <x v="61"/>
          </reference>
          <reference field="5" count="1" selected="0">
            <x v="69"/>
          </reference>
          <reference field="6" count="1">
            <x v="47"/>
          </reference>
        </references>
      </pivotArea>
    </format>
    <format dxfId="2821">
      <pivotArea dataOnly="0" labelOnly="1" fieldPosition="0">
        <references count="6">
          <reference field="1" count="1" selected="0">
            <x v="35"/>
          </reference>
          <reference field="2" count="1" selected="0">
            <x v="0"/>
          </reference>
          <reference field="3" count="1" selected="0">
            <x v="12"/>
          </reference>
          <reference field="4" count="1" selected="0">
            <x v="62"/>
          </reference>
          <reference field="5" count="1" selected="0">
            <x v="85"/>
          </reference>
          <reference field="6" count="1">
            <x v="47"/>
          </reference>
        </references>
      </pivotArea>
    </format>
    <format dxfId="2820">
      <pivotArea dataOnly="0" labelOnly="1" fieldPosition="0">
        <references count="6">
          <reference field="1" count="1" selected="0">
            <x v="35"/>
          </reference>
          <reference field="2" count="1" selected="0">
            <x v="0"/>
          </reference>
          <reference field="3" count="1" selected="0">
            <x v="12"/>
          </reference>
          <reference field="4" count="1" selected="0">
            <x v="64"/>
          </reference>
          <reference field="5" count="1" selected="0">
            <x v="69"/>
          </reference>
          <reference field="6" count="1">
            <x v="47"/>
          </reference>
        </references>
      </pivotArea>
    </format>
    <format dxfId="2819">
      <pivotArea dataOnly="0" labelOnly="1" fieldPosition="0">
        <references count="6">
          <reference field="1" count="1" selected="0">
            <x v="35"/>
          </reference>
          <reference field="2" count="1" selected="0">
            <x v="2"/>
          </reference>
          <reference field="3" count="1" selected="0">
            <x v="10"/>
          </reference>
          <reference field="4" count="1" selected="0">
            <x v="116"/>
          </reference>
          <reference field="5" count="1" selected="0">
            <x v="1669"/>
          </reference>
          <reference field="6" count="1">
            <x v="47"/>
          </reference>
        </references>
      </pivotArea>
    </format>
    <format dxfId="2818">
      <pivotArea dataOnly="0" labelOnly="1" fieldPosition="0">
        <references count="6">
          <reference field="1" count="1" selected="0">
            <x v="35"/>
          </reference>
          <reference field="2" count="1" selected="0">
            <x v="3"/>
          </reference>
          <reference field="3" count="1" selected="0">
            <x v="10"/>
          </reference>
          <reference field="4" count="1" selected="0">
            <x v="116"/>
          </reference>
          <reference field="5" count="1" selected="0">
            <x v="1365"/>
          </reference>
          <reference field="6" count="1">
            <x v="47"/>
          </reference>
        </references>
      </pivotArea>
    </format>
    <format dxfId="2817">
      <pivotArea dataOnly="0" labelOnly="1" fieldPosition="0">
        <references count="6">
          <reference field="1" count="1" selected="0">
            <x v="35"/>
          </reference>
          <reference field="2" count="1" selected="0">
            <x v="7"/>
          </reference>
          <reference field="3" count="1" selected="0">
            <x v="8"/>
          </reference>
          <reference field="4" count="1" selected="0">
            <x v="116"/>
          </reference>
          <reference field="5" count="1" selected="0">
            <x v="216"/>
          </reference>
          <reference field="6" count="1">
            <x v="47"/>
          </reference>
        </references>
      </pivotArea>
    </format>
    <format dxfId="2816">
      <pivotArea dataOnly="0" labelOnly="1" fieldPosition="0">
        <references count="6">
          <reference field="1" count="1" selected="0">
            <x v="35"/>
          </reference>
          <reference field="2" count="1" selected="0">
            <x v="7"/>
          </reference>
          <reference field="3" count="1" selected="0">
            <x v="10"/>
          </reference>
          <reference field="4" count="1" selected="0">
            <x v="116"/>
          </reference>
          <reference field="5" count="1" selected="0">
            <x v="692"/>
          </reference>
          <reference field="6" count="1">
            <x v="47"/>
          </reference>
        </references>
      </pivotArea>
    </format>
    <format dxfId="2815">
      <pivotArea dataOnly="0" labelOnly="1" fieldPosition="0">
        <references count="6">
          <reference field="1" count="1" selected="0">
            <x v="35"/>
          </reference>
          <reference field="2" count="1" selected="0">
            <x v="9"/>
          </reference>
          <reference field="3" count="1" selected="0">
            <x v="10"/>
          </reference>
          <reference field="4" count="1" selected="0">
            <x v="116"/>
          </reference>
          <reference field="5" count="1" selected="0">
            <x v="329"/>
          </reference>
          <reference field="6" count="1">
            <x v="47"/>
          </reference>
        </references>
      </pivotArea>
    </format>
    <format dxfId="2814">
      <pivotArea dataOnly="0" labelOnly="1" fieldPosition="0">
        <references count="6">
          <reference field="1" count="1" selected="0">
            <x v="35"/>
          </reference>
          <reference field="2" count="1" selected="0">
            <x v="11"/>
          </reference>
          <reference field="3" count="1" selected="0">
            <x v="10"/>
          </reference>
          <reference field="4" count="1" selected="0">
            <x v="116"/>
          </reference>
          <reference field="5" count="1" selected="0">
            <x v="819"/>
          </reference>
          <reference field="6" count="1">
            <x v="47"/>
          </reference>
        </references>
      </pivotArea>
    </format>
    <format dxfId="2813">
      <pivotArea dataOnly="0" labelOnly="1" fieldPosition="0">
        <references count="6">
          <reference field="1" count="1" selected="0">
            <x v="35"/>
          </reference>
          <reference field="2" count="1" selected="0">
            <x v="12"/>
          </reference>
          <reference field="3" count="1" selected="0">
            <x v="1"/>
          </reference>
          <reference field="4" count="1" selected="0">
            <x v="116"/>
          </reference>
          <reference field="5" count="1" selected="0">
            <x v="213"/>
          </reference>
          <reference field="6" count="1">
            <x v="47"/>
          </reference>
        </references>
      </pivotArea>
    </format>
    <format dxfId="2812">
      <pivotArea dataOnly="0" labelOnly="1" fieldPosition="0">
        <references count="6">
          <reference field="1" count="1" selected="0">
            <x v="35"/>
          </reference>
          <reference field="2" count="1" selected="0">
            <x v="12"/>
          </reference>
          <reference field="3" count="1" selected="0">
            <x v="1"/>
          </reference>
          <reference field="4" count="1" selected="0">
            <x v="116"/>
          </reference>
          <reference field="5" count="1" selected="0">
            <x v="500"/>
          </reference>
          <reference field="6" count="1">
            <x v="47"/>
          </reference>
        </references>
      </pivotArea>
    </format>
    <format dxfId="2811">
      <pivotArea dataOnly="0" labelOnly="1" fieldPosition="0">
        <references count="6">
          <reference field="1" count="1" selected="0">
            <x v="35"/>
          </reference>
          <reference field="2" count="1" selected="0">
            <x v="21"/>
          </reference>
          <reference field="3" count="1" selected="0">
            <x v="37"/>
          </reference>
          <reference field="4" count="1" selected="0">
            <x v="116"/>
          </reference>
          <reference field="5" count="1" selected="0">
            <x v="1050"/>
          </reference>
          <reference field="6" count="1">
            <x v="47"/>
          </reference>
        </references>
      </pivotArea>
    </format>
    <format dxfId="2810">
      <pivotArea dataOnly="0" labelOnly="1" fieldPosition="0">
        <references count="6">
          <reference field="1" count="1" selected="0">
            <x v="35"/>
          </reference>
          <reference field="2" count="1" selected="0">
            <x v="23"/>
          </reference>
          <reference field="3" count="1" selected="0">
            <x v="37"/>
          </reference>
          <reference field="4" count="1" selected="0">
            <x v="116"/>
          </reference>
          <reference field="5" count="1" selected="0">
            <x v="288"/>
          </reference>
          <reference field="6" count="1">
            <x v="47"/>
          </reference>
        </references>
      </pivotArea>
    </format>
    <format dxfId="2809">
      <pivotArea dataOnly="0" labelOnly="1" fieldPosition="0">
        <references count="6">
          <reference field="1" count="1" selected="0">
            <x v="35"/>
          </reference>
          <reference field="2" count="1" selected="0">
            <x v="26"/>
          </reference>
          <reference field="3" count="1" selected="0">
            <x v="37"/>
          </reference>
          <reference field="4" count="1" selected="0">
            <x v="116"/>
          </reference>
          <reference field="5" count="1" selected="0">
            <x v="920"/>
          </reference>
          <reference field="6" count="1">
            <x v="47"/>
          </reference>
        </references>
      </pivotArea>
    </format>
    <format dxfId="2808">
      <pivotArea dataOnly="0" labelOnly="1" fieldPosition="0">
        <references count="6">
          <reference field="1" count="1" selected="0">
            <x v="35"/>
          </reference>
          <reference field="2" count="1" selected="0">
            <x v="27"/>
          </reference>
          <reference field="3" count="1" selected="0">
            <x v="37"/>
          </reference>
          <reference field="4" count="1" selected="0">
            <x v="116"/>
          </reference>
          <reference field="5" count="1" selected="0">
            <x v="39"/>
          </reference>
          <reference field="6" count="1">
            <x v="47"/>
          </reference>
        </references>
      </pivotArea>
    </format>
    <format dxfId="2807">
      <pivotArea dataOnly="0" labelOnly="1" fieldPosition="0">
        <references count="6">
          <reference field="1" count="1" selected="0">
            <x v="35"/>
          </reference>
          <reference field="2" count="1" selected="0">
            <x v="35"/>
          </reference>
          <reference field="3" count="1" selected="0">
            <x v="1"/>
          </reference>
          <reference field="4" count="1" selected="0">
            <x v="116"/>
          </reference>
          <reference field="5" count="1" selected="0">
            <x v="80"/>
          </reference>
          <reference field="6" count="1">
            <x v="47"/>
          </reference>
        </references>
      </pivotArea>
    </format>
    <format dxfId="2806">
      <pivotArea dataOnly="0" labelOnly="1" fieldPosition="0">
        <references count="6">
          <reference field="1" count="1" selected="0">
            <x v="35"/>
          </reference>
          <reference field="2" count="1" selected="0">
            <x v="36"/>
          </reference>
          <reference field="3" count="1" selected="0">
            <x v="8"/>
          </reference>
          <reference field="4" count="1" selected="0">
            <x v="116"/>
          </reference>
          <reference field="5" count="1" selected="0">
            <x v="832"/>
          </reference>
          <reference field="6" count="1">
            <x v="47"/>
          </reference>
        </references>
      </pivotArea>
    </format>
    <format dxfId="2805">
      <pivotArea dataOnly="0" labelOnly="1" fieldPosition="0">
        <references count="6">
          <reference field="1" count="1" selected="0">
            <x v="35"/>
          </reference>
          <reference field="2" count="1" selected="0">
            <x v="36"/>
          </reference>
          <reference field="3" count="1" selected="0">
            <x v="10"/>
          </reference>
          <reference field="4" count="1" selected="0">
            <x v="116"/>
          </reference>
          <reference field="5" count="1" selected="0">
            <x v="1616"/>
          </reference>
          <reference field="6" count="1">
            <x v="47"/>
          </reference>
        </references>
      </pivotArea>
    </format>
    <format dxfId="2804">
      <pivotArea dataOnly="0" labelOnly="1" fieldPosition="0">
        <references count="6">
          <reference field="1" count="1" selected="0">
            <x v="35"/>
          </reference>
          <reference field="2" count="1" selected="0">
            <x v="37"/>
          </reference>
          <reference field="3" count="1" selected="0">
            <x v="10"/>
          </reference>
          <reference field="4" count="1" selected="0">
            <x v="116"/>
          </reference>
          <reference field="5" count="1" selected="0">
            <x v="1712"/>
          </reference>
          <reference field="6" count="1">
            <x v="47"/>
          </reference>
        </references>
      </pivotArea>
    </format>
    <format dxfId="2803">
      <pivotArea dataOnly="0" labelOnly="1" fieldPosition="0">
        <references count="6">
          <reference field="1" count="1" selected="0">
            <x v="35"/>
          </reference>
          <reference field="2" count="1" selected="0">
            <x v="38"/>
          </reference>
          <reference field="3" count="1" selected="0">
            <x v="10"/>
          </reference>
          <reference field="4" count="1" selected="0">
            <x v="116"/>
          </reference>
          <reference field="5" count="1" selected="0">
            <x v="1152"/>
          </reference>
          <reference field="6" count="1">
            <x v="47"/>
          </reference>
        </references>
      </pivotArea>
    </format>
    <format dxfId="2802">
      <pivotArea dataOnly="0" labelOnly="1" fieldPosition="0">
        <references count="6">
          <reference field="1" count="1" selected="0">
            <x v="36"/>
          </reference>
          <reference field="2" count="1" selected="0">
            <x v="0"/>
          </reference>
          <reference field="3" count="1" selected="0">
            <x v="12"/>
          </reference>
          <reference field="4" count="1" selected="0">
            <x v="20"/>
          </reference>
          <reference field="5" count="1" selected="0">
            <x v="119"/>
          </reference>
          <reference field="6" count="1">
            <x v="47"/>
          </reference>
        </references>
      </pivotArea>
    </format>
    <format dxfId="2801">
      <pivotArea dataOnly="0" labelOnly="1" fieldPosition="0">
        <references count="6">
          <reference field="1" count="1" selected="0">
            <x v="36"/>
          </reference>
          <reference field="2" count="1" selected="0">
            <x v="0"/>
          </reference>
          <reference field="3" count="1" selected="0">
            <x v="12"/>
          </reference>
          <reference field="4" count="1" selected="0">
            <x v="70"/>
          </reference>
          <reference field="5" count="1" selected="0">
            <x v="9"/>
          </reference>
          <reference field="6" count="1">
            <x v="47"/>
          </reference>
        </references>
      </pivotArea>
    </format>
    <format dxfId="2800">
      <pivotArea dataOnly="0" labelOnly="1" fieldPosition="0">
        <references count="6">
          <reference field="1" count="1" selected="0">
            <x v="36"/>
          </reference>
          <reference field="2" count="1" selected="0">
            <x v="6"/>
          </reference>
          <reference field="3" count="1" selected="0">
            <x v="37"/>
          </reference>
          <reference field="4" count="1" selected="0">
            <x v="117"/>
          </reference>
          <reference field="5" count="1" selected="0">
            <x v="517"/>
          </reference>
          <reference field="6" count="1">
            <x v="47"/>
          </reference>
        </references>
      </pivotArea>
    </format>
    <format dxfId="2799">
      <pivotArea dataOnly="0" labelOnly="1" fieldPosition="0">
        <references count="6">
          <reference field="1" count="1" selected="0">
            <x v="36"/>
          </reference>
          <reference field="2" count="1" selected="0">
            <x v="32"/>
          </reference>
          <reference field="3" count="1" selected="0">
            <x v="6"/>
          </reference>
          <reference field="4" count="1" selected="0">
            <x v="117"/>
          </reference>
          <reference field="5" count="1" selected="0">
            <x v="1793"/>
          </reference>
          <reference field="6" count="1">
            <x v="47"/>
          </reference>
        </references>
      </pivotArea>
    </format>
    <format dxfId="2798">
      <pivotArea dataOnly="0" labelOnly="1" fieldPosition="0">
        <references count="6">
          <reference field="1" count="1" selected="0">
            <x v="37"/>
          </reference>
          <reference field="2" count="1" selected="0">
            <x v="0"/>
          </reference>
          <reference field="3" count="1" selected="0">
            <x v="8"/>
          </reference>
          <reference field="4" count="1" selected="0">
            <x v="118"/>
          </reference>
          <reference field="5" count="1" selected="0">
            <x v="964"/>
          </reference>
          <reference field="6" count="1">
            <x v="47"/>
          </reference>
        </references>
      </pivotArea>
    </format>
    <format dxfId="2797">
      <pivotArea dataOnly="0" labelOnly="1" fieldPosition="0">
        <references count="6">
          <reference field="1" count="1" selected="0">
            <x v="37"/>
          </reference>
          <reference field="2" count="1" selected="0">
            <x v="0"/>
          </reference>
          <reference field="3" count="1" selected="0">
            <x v="12"/>
          </reference>
          <reference field="4" count="1" selected="0">
            <x v="13"/>
          </reference>
          <reference field="5" count="1" selected="0">
            <x v="140"/>
          </reference>
          <reference field="6" count="1">
            <x v="47"/>
          </reference>
        </references>
      </pivotArea>
    </format>
    <format dxfId="2796">
      <pivotArea dataOnly="0" labelOnly="1" fieldPosition="0">
        <references count="6">
          <reference field="1" count="1" selected="0">
            <x v="37"/>
          </reference>
          <reference field="2" count="1" selected="0">
            <x v="0"/>
          </reference>
          <reference field="3" count="1" selected="0">
            <x v="12"/>
          </reference>
          <reference field="4" count="1" selected="0">
            <x v="17"/>
          </reference>
          <reference field="5" count="1" selected="0">
            <x v="96"/>
          </reference>
          <reference field="6" count="1">
            <x v="47"/>
          </reference>
        </references>
      </pivotArea>
    </format>
    <format dxfId="2795">
      <pivotArea dataOnly="0" labelOnly="1" fieldPosition="0">
        <references count="6">
          <reference field="1" count="1" selected="0">
            <x v="37"/>
          </reference>
          <reference field="2" count="1" selected="0">
            <x v="0"/>
          </reference>
          <reference field="3" count="1" selected="0">
            <x v="12"/>
          </reference>
          <reference field="4" count="1" selected="0">
            <x v="28"/>
          </reference>
          <reference field="5" count="1" selected="0">
            <x v="73"/>
          </reference>
          <reference field="6" count="1">
            <x v="47"/>
          </reference>
        </references>
      </pivotArea>
    </format>
    <format dxfId="2794">
      <pivotArea dataOnly="0" labelOnly="1" fieldPosition="0">
        <references count="6">
          <reference field="1" count="1" selected="0">
            <x v="37"/>
          </reference>
          <reference field="2" count="1" selected="0">
            <x v="0"/>
          </reference>
          <reference field="3" count="1" selected="0">
            <x v="12"/>
          </reference>
          <reference field="4" count="1" selected="0">
            <x v="32"/>
          </reference>
          <reference field="5" count="1" selected="0">
            <x v="391"/>
          </reference>
          <reference field="6" count="1">
            <x v="47"/>
          </reference>
        </references>
      </pivotArea>
    </format>
    <format dxfId="2793">
      <pivotArea dataOnly="0" labelOnly="1" fieldPosition="0">
        <references count="6">
          <reference field="1" count="1" selected="0">
            <x v="37"/>
          </reference>
          <reference field="2" count="1" selected="0">
            <x v="0"/>
          </reference>
          <reference field="3" count="1" selected="0">
            <x v="12"/>
          </reference>
          <reference field="4" count="1" selected="0">
            <x v="69"/>
          </reference>
          <reference field="5" count="1" selected="0">
            <x v="248"/>
          </reference>
          <reference field="6" count="1">
            <x v="47"/>
          </reference>
        </references>
      </pivotArea>
    </format>
    <format dxfId="2792">
      <pivotArea dataOnly="0" labelOnly="1" fieldPosition="0">
        <references count="6">
          <reference field="1" count="1" selected="0">
            <x v="37"/>
          </reference>
          <reference field="2" count="1" selected="0">
            <x v="0"/>
          </reference>
          <reference field="3" count="1" selected="0">
            <x v="12"/>
          </reference>
          <reference field="4" count="1" selected="0">
            <x v="70"/>
          </reference>
          <reference field="5" count="1" selected="0">
            <x v="92"/>
          </reference>
          <reference field="6" count="1">
            <x v="47"/>
          </reference>
        </references>
      </pivotArea>
    </format>
    <format dxfId="2791">
      <pivotArea dataOnly="0" labelOnly="1" fieldPosition="0">
        <references count="6">
          <reference field="1" count="1" selected="0">
            <x v="37"/>
          </reference>
          <reference field="2" count="1" selected="0">
            <x v="0"/>
          </reference>
          <reference field="3" count="1" selected="0">
            <x v="37"/>
          </reference>
          <reference field="4" count="1" selected="0">
            <x v="118"/>
          </reference>
          <reference field="5" count="1" selected="0">
            <x v="138"/>
          </reference>
          <reference field="6" count="1">
            <x v="47"/>
          </reference>
        </references>
      </pivotArea>
    </format>
    <format dxfId="2790">
      <pivotArea dataOnly="0" labelOnly="1" fieldPosition="0">
        <references count="6">
          <reference field="1" count="1" selected="0">
            <x v="37"/>
          </reference>
          <reference field="2" count="1" selected="0">
            <x v="0"/>
          </reference>
          <reference field="3" count="1" selected="0">
            <x v="37"/>
          </reference>
          <reference field="4" count="1" selected="0">
            <x v="118"/>
          </reference>
          <reference field="5" count="1" selected="0">
            <x v="453"/>
          </reference>
          <reference field="6" count="1">
            <x v="47"/>
          </reference>
        </references>
      </pivotArea>
    </format>
    <format dxfId="2789">
      <pivotArea dataOnly="0" labelOnly="1" fieldPosition="0">
        <references count="6">
          <reference field="1" count="1" selected="0">
            <x v="37"/>
          </reference>
          <reference field="2" count="1" selected="0">
            <x v="0"/>
          </reference>
          <reference field="3" count="1" selected="0">
            <x v="37"/>
          </reference>
          <reference field="4" count="1" selected="0">
            <x v="118"/>
          </reference>
          <reference field="5" count="1" selected="0">
            <x v="1232"/>
          </reference>
          <reference field="6" count="1">
            <x v="47"/>
          </reference>
        </references>
      </pivotArea>
    </format>
    <format dxfId="2788">
      <pivotArea dataOnly="0" labelOnly="1" fieldPosition="0">
        <references count="6">
          <reference field="1" count="1" selected="0">
            <x v="37"/>
          </reference>
          <reference field="2" count="1" selected="0">
            <x v="5"/>
          </reference>
          <reference field="3" count="1" selected="0">
            <x v="37"/>
          </reference>
          <reference field="4" count="1" selected="0">
            <x v="118"/>
          </reference>
          <reference field="5" count="1" selected="0">
            <x v="501"/>
          </reference>
          <reference field="6" count="1">
            <x v="47"/>
          </reference>
        </references>
      </pivotArea>
    </format>
    <format dxfId="2787">
      <pivotArea dataOnly="0" labelOnly="1" fieldPosition="0">
        <references count="6">
          <reference field="1" count="1" selected="0">
            <x v="37"/>
          </reference>
          <reference field="2" count="1" selected="0">
            <x v="5"/>
          </reference>
          <reference field="3" count="1" selected="0">
            <x v="38"/>
          </reference>
          <reference field="4" count="1" selected="0">
            <x v="118"/>
          </reference>
          <reference field="5" count="1" selected="0">
            <x v="1450"/>
          </reference>
          <reference field="6" count="1">
            <x v="47"/>
          </reference>
        </references>
      </pivotArea>
    </format>
    <format dxfId="2786">
      <pivotArea dataOnly="0" labelOnly="1" fieldPosition="0">
        <references count="6">
          <reference field="1" count="1" selected="0">
            <x v="37"/>
          </reference>
          <reference field="2" count="1" selected="0">
            <x v="6"/>
          </reference>
          <reference field="3" count="1" selected="0">
            <x v="37"/>
          </reference>
          <reference field="4" count="1" selected="0">
            <x v="118"/>
          </reference>
          <reference field="5" count="1" selected="0">
            <x v="774"/>
          </reference>
          <reference field="6" count="1">
            <x v="47"/>
          </reference>
        </references>
      </pivotArea>
    </format>
    <format dxfId="2785">
      <pivotArea dataOnly="0" labelOnly="1" fieldPosition="0">
        <references count="6">
          <reference field="1" count="1" selected="0">
            <x v="37"/>
          </reference>
          <reference field="2" count="1" selected="0">
            <x v="12"/>
          </reference>
          <reference field="3" count="1" selected="0">
            <x v="1"/>
          </reference>
          <reference field="4" count="1" selected="0">
            <x v="118"/>
          </reference>
          <reference field="5" count="1" selected="0">
            <x v="80"/>
          </reference>
          <reference field="6" count="1">
            <x v="47"/>
          </reference>
        </references>
      </pivotArea>
    </format>
    <format dxfId="2784">
      <pivotArea dataOnly="0" labelOnly="1" fieldPosition="0">
        <references count="6">
          <reference field="1" count="1" selected="0">
            <x v="37"/>
          </reference>
          <reference field="2" count="1" selected="0">
            <x v="12"/>
          </reference>
          <reference field="3" count="1" selected="0">
            <x v="1"/>
          </reference>
          <reference field="4" count="1" selected="0">
            <x v="118"/>
          </reference>
          <reference field="5" count="1" selected="0">
            <x v="213"/>
          </reference>
          <reference field="6" count="1">
            <x v="47"/>
          </reference>
        </references>
      </pivotArea>
    </format>
    <format dxfId="2783">
      <pivotArea dataOnly="0" labelOnly="1" fieldPosition="0">
        <references count="6">
          <reference field="1" count="1" selected="0">
            <x v="37"/>
          </reference>
          <reference field="2" count="1" selected="0">
            <x v="12"/>
          </reference>
          <reference field="3" count="1" selected="0">
            <x v="1"/>
          </reference>
          <reference field="4" count="1" selected="0">
            <x v="118"/>
          </reference>
          <reference field="5" count="1" selected="0">
            <x v="500"/>
          </reference>
          <reference field="6" count="1">
            <x v="47"/>
          </reference>
        </references>
      </pivotArea>
    </format>
    <format dxfId="2782">
      <pivotArea dataOnly="0" labelOnly="1" fieldPosition="0">
        <references count="6">
          <reference field="1" count="1" selected="0">
            <x v="37"/>
          </reference>
          <reference field="2" count="1" selected="0">
            <x v="12"/>
          </reference>
          <reference field="3" count="1" selected="0">
            <x v="1"/>
          </reference>
          <reference field="4" count="1" selected="0">
            <x v="118"/>
          </reference>
          <reference field="5" count="1" selected="0">
            <x v="607"/>
          </reference>
          <reference field="6" count="1">
            <x v="47"/>
          </reference>
        </references>
      </pivotArea>
    </format>
    <format dxfId="2781">
      <pivotArea dataOnly="0" labelOnly="1" fieldPosition="0">
        <references count="6">
          <reference field="1" count="1" selected="0">
            <x v="37"/>
          </reference>
          <reference field="2" count="1" selected="0">
            <x v="12"/>
          </reference>
          <reference field="3" count="1" selected="0">
            <x v="1"/>
          </reference>
          <reference field="4" count="1" selected="0">
            <x v="118"/>
          </reference>
          <reference field="5" count="1" selected="0">
            <x v="702"/>
          </reference>
          <reference field="6" count="1">
            <x v="47"/>
          </reference>
        </references>
      </pivotArea>
    </format>
    <format dxfId="2780">
      <pivotArea dataOnly="0" labelOnly="1" fieldPosition="0">
        <references count="6">
          <reference field="1" count="1" selected="0">
            <x v="37"/>
          </reference>
          <reference field="2" count="1" selected="0">
            <x v="12"/>
          </reference>
          <reference field="3" count="1" selected="0">
            <x v="1"/>
          </reference>
          <reference field="4" count="1" selected="0">
            <x v="118"/>
          </reference>
          <reference field="5" count="1" selected="0">
            <x v="846"/>
          </reference>
          <reference field="6" count="1">
            <x v="47"/>
          </reference>
        </references>
      </pivotArea>
    </format>
    <format dxfId="2779">
      <pivotArea dataOnly="0" labelOnly="1" fieldPosition="0">
        <references count="6">
          <reference field="1" count="1" selected="0">
            <x v="37"/>
          </reference>
          <reference field="2" count="1" selected="0">
            <x v="19"/>
          </reference>
          <reference field="3" count="1" selected="0">
            <x v="38"/>
          </reference>
          <reference field="4" count="1" selected="0">
            <x v="118"/>
          </reference>
          <reference field="5" count="1" selected="0">
            <x v="702"/>
          </reference>
          <reference field="6" count="1">
            <x v="47"/>
          </reference>
        </references>
      </pivotArea>
    </format>
    <format dxfId="2778">
      <pivotArea dataOnly="0" labelOnly="1" fieldPosition="0">
        <references count="6">
          <reference field="1" count="1" selected="0">
            <x v="37"/>
          </reference>
          <reference field="2" count="1" selected="0">
            <x v="23"/>
          </reference>
          <reference field="3" count="1" selected="0">
            <x v="37"/>
          </reference>
          <reference field="4" count="1" selected="0">
            <x v="118"/>
          </reference>
          <reference field="5" count="1" selected="0">
            <x v="48"/>
          </reference>
          <reference field="6" count="1">
            <x v="47"/>
          </reference>
        </references>
      </pivotArea>
    </format>
    <format dxfId="2777">
      <pivotArea dataOnly="0" labelOnly="1" fieldPosition="0">
        <references count="6">
          <reference field="1" count="1" selected="0">
            <x v="37"/>
          </reference>
          <reference field="2" count="1" selected="0">
            <x v="27"/>
          </reference>
          <reference field="3" count="1" selected="0">
            <x v="37"/>
          </reference>
          <reference field="4" count="1" selected="0">
            <x v="118"/>
          </reference>
          <reference field="5" count="1" selected="0">
            <x v="437"/>
          </reference>
          <reference field="6" count="1">
            <x v="47"/>
          </reference>
        </references>
      </pivotArea>
    </format>
    <format dxfId="2776">
      <pivotArea dataOnly="0" labelOnly="1" fieldPosition="0">
        <references count="6">
          <reference field="1" count="1" selected="0">
            <x v="37"/>
          </reference>
          <reference field="2" count="1" selected="0">
            <x v="35"/>
          </reference>
          <reference field="3" count="1" selected="0">
            <x v="1"/>
          </reference>
          <reference field="4" count="1" selected="0">
            <x v="118"/>
          </reference>
          <reference field="5" count="1" selected="0">
            <x v="80"/>
          </reference>
          <reference field="6" count="1">
            <x v="47"/>
          </reference>
        </references>
      </pivotArea>
    </format>
    <format dxfId="2775">
      <pivotArea dataOnly="0" labelOnly="1" fieldPosition="0">
        <references count="6">
          <reference field="1" count="1" selected="0">
            <x v="37"/>
          </reference>
          <reference field="2" count="1" selected="0">
            <x v="36"/>
          </reference>
          <reference field="3" count="1" selected="0">
            <x v="6"/>
          </reference>
          <reference field="4" count="1" selected="0">
            <x v="118"/>
          </reference>
          <reference field="5" count="1" selected="0">
            <x v="793"/>
          </reference>
          <reference field="6" count="1">
            <x v="47"/>
          </reference>
        </references>
      </pivotArea>
    </format>
    <format dxfId="2774">
      <pivotArea dataOnly="0" labelOnly="1" fieldPosition="0">
        <references count="6">
          <reference field="1" count="1" selected="0">
            <x v="38"/>
          </reference>
          <reference field="2" count="1" selected="0">
            <x v="0"/>
          </reference>
          <reference field="3" count="1" selected="0">
            <x v="8"/>
          </reference>
          <reference field="4" count="1" selected="0">
            <x v="119"/>
          </reference>
          <reference field="5" count="1" selected="0">
            <x v="188"/>
          </reference>
          <reference field="6" count="1">
            <x v="47"/>
          </reference>
        </references>
      </pivotArea>
    </format>
    <format dxfId="2773">
      <pivotArea dataOnly="0" labelOnly="1" fieldPosition="0">
        <references count="6">
          <reference field="1" count="1" selected="0">
            <x v="38"/>
          </reference>
          <reference field="2" count="1" selected="0">
            <x v="0"/>
          </reference>
          <reference field="3" count="1" selected="0">
            <x v="9"/>
          </reference>
          <reference field="4" count="1" selected="0">
            <x v="119"/>
          </reference>
          <reference field="5" count="1" selected="0">
            <x v="117"/>
          </reference>
          <reference field="6" count="1">
            <x v="47"/>
          </reference>
        </references>
      </pivotArea>
    </format>
    <format dxfId="2772">
      <pivotArea dataOnly="0" labelOnly="1" fieldPosition="0">
        <references count="6">
          <reference field="1" count="1" selected="0">
            <x v="38"/>
          </reference>
          <reference field="2" count="1" selected="0">
            <x v="0"/>
          </reference>
          <reference field="3" count="1" selected="0">
            <x v="9"/>
          </reference>
          <reference field="4" count="1" selected="0">
            <x v="119"/>
          </reference>
          <reference field="5" count="1" selected="0">
            <x v="363"/>
          </reference>
          <reference field="6" count="1">
            <x v="47"/>
          </reference>
        </references>
      </pivotArea>
    </format>
    <format dxfId="2771">
      <pivotArea dataOnly="0" labelOnly="1" fieldPosition="0">
        <references count="6">
          <reference field="1" count="1" selected="0">
            <x v="38"/>
          </reference>
          <reference field="2" count="1" selected="0">
            <x v="0"/>
          </reference>
          <reference field="3" count="1" selected="0">
            <x v="9"/>
          </reference>
          <reference field="4" count="1" selected="0">
            <x v="119"/>
          </reference>
          <reference field="5" count="1" selected="0">
            <x v="716"/>
          </reference>
          <reference field="6" count="1">
            <x v="47"/>
          </reference>
        </references>
      </pivotArea>
    </format>
    <format dxfId="2770">
      <pivotArea dataOnly="0" labelOnly="1" fieldPosition="0">
        <references count="6">
          <reference field="1" count="1" selected="0">
            <x v="38"/>
          </reference>
          <reference field="2" count="1" selected="0">
            <x v="0"/>
          </reference>
          <reference field="3" count="1" selected="0">
            <x v="9"/>
          </reference>
          <reference field="4" count="1" selected="0">
            <x v="119"/>
          </reference>
          <reference field="5" count="1" selected="0">
            <x v="1095"/>
          </reference>
          <reference field="6" count="1">
            <x v="47"/>
          </reference>
        </references>
      </pivotArea>
    </format>
    <format dxfId="2769">
      <pivotArea dataOnly="0" labelOnly="1" fieldPosition="0">
        <references count="6">
          <reference field="1" count="1" selected="0">
            <x v="38"/>
          </reference>
          <reference field="2" count="1" selected="0">
            <x v="0"/>
          </reference>
          <reference field="3" count="1" selected="0">
            <x v="9"/>
          </reference>
          <reference field="4" count="1" selected="0">
            <x v="119"/>
          </reference>
          <reference field="5" count="1" selected="0">
            <x v="1359"/>
          </reference>
          <reference field="6" count="1">
            <x v="47"/>
          </reference>
        </references>
      </pivotArea>
    </format>
    <format dxfId="2768">
      <pivotArea dataOnly="0" labelOnly="1" fieldPosition="0">
        <references count="6">
          <reference field="1" count="1" selected="0">
            <x v="38"/>
          </reference>
          <reference field="2" count="1" selected="0">
            <x v="0"/>
          </reference>
          <reference field="3" count="1" selected="0">
            <x v="9"/>
          </reference>
          <reference field="4" count="1" selected="0">
            <x v="119"/>
          </reference>
          <reference field="5" count="1" selected="0">
            <x v="1360"/>
          </reference>
          <reference field="6" count="1">
            <x v="47"/>
          </reference>
        </references>
      </pivotArea>
    </format>
    <format dxfId="2767">
      <pivotArea dataOnly="0" labelOnly="1" fieldPosition="0">
        <references count="6">
          <reference field="1" count="1" selected="0">
            <x v="38"/>
          </reference>
          <reference field="2" count="1" selected="0">
            <x v="0"/>
          </reference>
          <reference field="3" count="1" selected="0">
            <x v="12"/>
          </reference>
          <reference field="4" count="1" selected="0">
            <x v="3"/>
          </reference>
          <reference field="5" count="1" selected="0">
            <x v="114"/>
          </reference>
          <reference field="6" count="1">
            <x v="47"/>
          </reference>
        </references>
      </pivotArea>
    </format>
    <format dxfId="2766">
      <pivotArea dataOnly="0" labelOnly="1" fieldPosition="0">
        <references count="6">
          <reference field="1" count="1" selected="0">
            <x v="38"/>
          </reference>
          <reference field="2" count="1" selected="0">
            <x v="0"/>
          </reference>
          <reference field="3" count="1" selected="0">
            <x v="12"/>
          </reference>
          <reference field="4" count="1" selected="0">
            <x v="7"/>
          </reference>
          <reference field="5" count="1" selected="0">
            <x v="386"/>
          </reference>
          <reference field="6" count="1">
            <x v="47"/>
          </reference>
        </references>
      </pivotArea>
    </format>
    <format dxfId="2765">
      <pivotArea dataOnly="0" labelOnly="1" fieldPosition="0">
        <references count="6">
          <reference field="1" count="1" selected="0">
            <x v="38"/>
          </reference>
          <reference field="2" count="1" selected="0">
            <x v="0"/>
          </reference>
          <reference field="3" count="1" selected="0">
            <x v="12"/>
          </reference>
          <reference field="4" count="1" selected="0">
            <x v="10"/>
          </reference>
          <reference field="5" count="1" selected="0">
            <x v="371"/>
          </reference>
          <reference field="6" count="1">
            <x v="47"/>
          </reference>
        </references>
      </pivotArea>
    </format>
    <format dxfId="2764">
      <pivotArea dataOnly="0" labelOnly="1" fieldPosition="0">
        <references count="6">
          <reference field="1" count="1" selected="0">
            <x v="38"/>
          </reference>
          <reference field="2" count="1" selected="0">
            <x v="0"/>
          </reference>
          <reference field="3" count="1" selected="0">
            <x v="12"/>
          </reference>
          <reference field="4" count="1" selected="0">
            <x v="21"/>
          </reference>
          <reference field="5" count="1" selected="0">
            <x v="11"/>
          </reference>
          <reference field="6" count="1">
            <x v="47"/>
          </reference>
        </references>
      </pivotArea>
    </format>
    <format dxfId="2763">
      <pivotArea dataOnly="0" labelOnly="1" fieldPosition="0">
        <references count="6">
          <reference field="1" count="1" selected="0">
            <x v="38"/>
          </reference>
          <reference field="2" count="1" selected="0">
            <x v="0"/>
          </reference>
          <reference field="3" count="1" selected="0">
            <x v="12"/>
          </reference>
          <reference field="4" count="1" selected="0">
            <x v="22"/>
          </reference>
          <reference field="5" count="1" selected="0">
            <x v="285"/>
          </reference>
          <reference field="6" count="1">
            <x v="47"/>
          </reference>
        </references>
      </pivotArea>
    </format>
    <format dxfId="2762">
      <pivotArea dataOnly="0" labelOnly="1" fieldPosition="0">
        <references count="6">
          <reference field="1" count="1" selected="0">
            <x v="38"/>
          </reference>
          <reference field="2" count="1" selected="0">
            <x v="0"/>
          </reference>
          <reference field="3" count="1" selected="0">
            <x v="12"/>
          </reference>
          <reference field="4" count="1" selected="0">
            <x v="34"/>
          </reference>
          <reference field="5" count="1" selected="0">
            <x v="607"/>
          </reference>
          <reference field="6" count="1">
            <x v="47"/>
          </reference>
        </references>
      </pivotArea>
    </format>
    <format dxfId="2761">
      <pivotArea dataOnly="0" labelOnly="1" fieldPosition="0">
        <references count="6">
          <reference field="1" count="1" selected="0">
            <x v="38"/>
          </reference>
          <reference field="2" count="1" selected="0">
            <x v="0"/>
          </reference>
          <reference field="3" count="1" selected="0">
            <x v="12"/>
          </reference>
          <reference field="4" count="1" selected="0">
            <x v="43"/>
          </reference>
          <reference field="5" count="1" selected="0">
            <x v="92"/>
          </reference>
          <reference field="6" count="1">
            <x v="47"/>
          </reference>
        </references>
      </pivotArea>
    </format>
    <format dxfId="2760">
      <pivotArea dataOnly="0" labelOnly="1" fieldPosition="0">
        <references count="6">
          <reference field="1" count="1" selected="0">
            <x v="38"/>
          </reference>
          <reference field="2" count="1" selected="0">
            <x v="0"/>
          </reference>
          <reference field="3" count="1" selected="0">
            <x v="12"/>
          </reference>
          <reference field="4" count="1" selected="0">
            <x v="64"/>
          </reference>
          <reference field="5" count="1" selected="0">
            <x v="69"/>
          </reference>
          <reference field="6" count="1">
            <x v="47"/>
          </reference>
        </references>
      </pivotArea>
    </format>
    <format dxfId="2759">
      <pivotArea dataOnly="0" labelOnly="1" fieldPosition="0">
        <references count="6">
          <reference field="1" count="1" selected="0">
            <x v="38"/>
          </reference>
          <reference field="2" count="1" selected="0">
            <x v="0"/>
          </reference>
          <reference field="3" count="1" selected="0">
            <x v="12"/>
          </reference>
          <reference field="4" count="1" selected="0">
            <x v="68"/>
          </reference>
          <reference field="5" count="1" selected="0">
            <x v="134"/>
          </reference>
          <reference field="6" count="1">
            <x v="47"/>
          </reference>
        </references>
      </pivotArea>
    </format>
    <format dxfId="2758">
      <pivotArea dataOnly="0" labelOnly="1" fieldPosition="0">
        <references count="6">
          <reference field="1" count="1" selected="0">
            <x v="38"/>
          </reference>
          <reference field="2" count="1" selected="0">
            <x v="0"/>
          </reference>
          <reference field="3" count="1" selected="0">
            <x v="12"/>
          </reference>
          <reference field="4" count="1" selected="0">
            <x v="71"/>
          </reference>
          <reference field="5" count="1" selected="0">
            <x v="114"/>
          </reference>
          <reference field="6" count="1">
            <x v="47"/>
          </reference>
        </references>
      </pivotArea>
    </format>
    <format dxfId="2757">
      <pivotArea dataOnly="0" labelOnly="1" fieldPosition="0">
        <references count="6">
          <reference field="1" count="1" selected="0">
            <x v="38"/>
          </reference>
          <reference field="2" count="1" selected="0">
            <x v="5"/>
          </reference>
          <reference field="3" count="1" selected="0">
            <x v="8"/>
          </reference>
          <reference field="4" count="1" selected="0">
            <x v="119"/>
          </reference>
          <reference field="5" count="1" selected="0">
            <x v="290"/>
          </reference>
          <reference field="6" count="1">
            <x v="47"/>
          </reference>
        </references>
      </pivotArea>
    </format>
    <format dxfId="2756">
      <pivotArea dataOnly="0" labelOnly="1" fieldPosition="0">
        <references count="6">
          <reference field="1" count="1" selected="0">
            <x v="38"/>
          </reference>
          <reference field="2" count="1" selected="0">
            <x v="8"/>
          </reference>
          <reference field="3" count="1" selected="0">
            <x v="37"/>
          </reference>
          <reference field="4" count="1" selected="0">
            <x v="119"/>
          </reference>
          <reference field="5" count="1" selected="0">
            <x v="1289"/>
          </reference>
          <reference field="6" count="1">
            <x v="47"/>
          </reference>
        </references>
      </pivotArea>
    </format>
    <format dxfId="2755">
      <pivotArea dataOnly="0" labelOnly="1" fieldPosition="0">
        <references count="6">
          <reference field="1" count="1" selected="0">
            <x v="38"/>
          </reference>
          <reference field="2" count="1" selected="0">
            <x v="12"/>
          </reference>
          <reference field="3" count="1" selected="0">
            <x v="1"/>
          </reference>
          <reference field="4" count="1" selected="0">
            <x v="119"/>
          </reference>
          <reference field="5" count="1" selected="0">
            <x v="213"/>
          </reference>
          <reference field="6" count="1">
            <x v="47"/>
          </reference>
        </references>
      </pivotArea>
    </format>
    <format dxfId="2754">
      <pivotArea dataOnly="0" labelOnly="1" fieldPosition="0">
        <references count="6">
          <reference field="1" count="1" selected="0">
            <x v="38"/>
          </reference>
          <reference field="2" count="1" selected="0">
            <x v="12"/>
          </reference>
          <reference field="3" count="1" selected="0">
            <x v="1"/>
          </reference>
          <reference field="4" count="1" selected="0">
            <x v="119"/>
          </reference>
          <reference field="5" count="1" selected="0">
            <x v="500"/>
          </reference>
          <reference field="6" count="1">
            <x v="47"/>
          </reference>
        </references>
      </pivotArea>
    </format>
    <format dxfId="2753">
      <pivotArea dataOnly="0" labelOnly="1" fieldPosition="0">
        <references count="6">
          <reference field="1" count="1" selected="0">
            <x v="38"/>
          </reference>
          <reference field="2" count="1" selected="0">
            <x v="15"/>
          </reference>
          <reference field="3" count="1" selected="0">
            <x v="10"/>
          </reference>
          <reference field="4" count="1" selected="0">
            <x v="119"/>
          </reference>
          <reference field="5" count="1" selected="0">
            <x v="604"/>
          </reference>
          <reference field="6" count="1">
            <x v="47"/>
          </reference>
        </references>
      </pivotArea>
    </format>
    <format dxfId="2752">
      <pivotArea dataOnly="0" labelOnly="1" fieldPosition="0">
        <references count="6">
          <reference field="1" count="1" selected="0">
            <x v="38"/>
          </reference>
          <reference field="2" count="1" selected="0">
            <x v="23"/>
          </reference>
          <reference field="3" count="1" selected="0">
            <x v="9"/>
          </reference>
          <reference field="4" count="1" selected="0">
            <x v="119"/>
          </reference>
          <reference field="5" count="1" selected="0">
            <x v="696"/>
          </reference>
          <reference field="6" count="1">
            <x v="47"/>
          </reference>
        </references>
      </pivotArea>
    </format>
    <format dxfId="2751">
      <pivotArea dataOnly="0" labelOnly="1" fieldPosition="0">
        <references count="6">
          <reference field="1" count="1" selected="0">
            <x v="38"/>
          </reference>
          <reference field="2" count="1" selected="0">
            <x v="26"/>
          </reference>
          <reference field="3" count="1" selected="0">
            <x v="37"/>
          </reference>
          <reference field="4" count="1" selected="0">
            <x v="119"/>
          </reference>
          <reference field="5" count="1" selected="0">
            <x v="846"/>
          </reference>
          <reference field="6" count="1">
            <x v="47"/>
          </reference>
        </references>
      </pivotArea>
    </format>
    <format dxfId="2750">
      <pivotArea dataOnly="0" labelOnly="1" fieldPosition="0">
        <references count="6">
          <reference field="1" count="1" selected="0">
            <x v="38"/>
          </reference>
          <reference field="2" count="1" selected="0">
            <x v="26"/>
          </reference>
          <reference field="3" count="1" selected="0">
            <x v="38"/>
          </reference>
          <reference field="4" count="1" selected="0">
            <x v="119"/>
          </reference>
          <reference field="5" count="1" selected="0">
            <x v="1845"/>
          </reference>
          <reference field="6" count="1">
            <x v="47"/>
          </reference>
        </references>
      </pivotArea>
    </format>
    <format dxfId="2749">
      <pivotArea dataOnly="0" labelOnly="1" fieldPosition="0">
        <references count="6">
          <reference field="1" count="1" selected="0">
            <x v="38"/>
          </reference>
          <reference field="2" count="1" selected="0">
            <x v="35"/>
          </reference>
          <reference field="3" count="1" selected="0">
            <x v="1"/>
          </reference>
          <reference field="4" count="1" selected="0">
            <x v="119"/>
          </reference>
          <reference field="5" count="1" selected="0">
            <x v="80"/>
          </reference>
          <reference field="6" count="1">
            <x v="47"/>
          </reference>
        </references>
      </pivotArea>
    </format>
    <format dxfId="2748">
      <pivotArea dataOnly="0" labelOnly="1" fieldPosition="0">
        <references count="6">
          <reference field="1" count="1" selected="0">
            <x v="39"/>
          </reference>
          <reference field="2" count="1" selected="0">
            <x v="0"/>
          </reference>
          <reference field="3" count="1" selected="0">
            <x v="12"/>
          </reference>
          <reference field="4" count="1" selected="0">
            <x v="2"/>
          </reference>
          <reference field="5" count="1" selected="0">
            <x v="39"/>
          </reference>
          <reference field="6" count="1">
            <x v="47"/>
          </reference>
        </references>
      </pivotArea>
    </format>
    <format dxfId="2747">
      <pivotArea dataOnly="0" labelOnly="1" fieldPosition="0">
        <references count="6">
          <reference field="1" count="1" selected="0">
            <x v="39"/>
          </reference>
          <reference field="2" count="1" selected="0">
            <x v="0"/>
          </reference>
          <reference field="3" count="1" selected="0">
            <x v="12"/>
          </reference>
          <reference field="4" count="1" selected="0">
            <x v="3"/>
          </reference>
          <reference field="5" count="1" selected="0">
            <x v="114"/>
          </reference>
          <reference field="6" count="1">
            <x v="47"/>
          </reference>
        </references>
      </pivotArea>
    </format>
    <format dxfId="2746">
      <pivotArea dataOnly="0" labelOnly="1" fieldPosition="0">
        <references count="6">
          <reference field="1" count="1" selected="0">
            <x v="39"/>
          </reference>
          <reference field="2" count="1" selected="0">
            <x v="0"/>
          </reference>
          <reference field="3" count="1" selected="0">
            <x v="12"/>
          </reference>
          <reference field="4" count="1" selected="0">
            <x v="8"/>
          </reference>
          <reference field="5" count="1" selected="0">
            <x v="92"/>
          </reference>
          <reference field="6" count="1">
            <x v="47"/>
          </reference>
        </references>
      </pivotArea>
    </format>
    <format dxfId="2745">
      <pivotArea dataOnly="0" labelOnly="1" fieldPosition="0">
        <references count="6">
          <reference field="1" count="1" selected="0">
            <x v="39"/>
          </reference>
          <reference field="2" count="1" selected="0">
            <x v="0"/>
          </reference>
          <reference field="3" count="1" selected="0">
            <x v="12"/>
          </reference>
          <reference field="4" count="1" selected="0">
            <x v="18"/>
          </reference>
          <reference field="5" count="1" selected="0">
            <x v="92"/>
          </reference>
          <reference field="6" count="1">
            <x v="47"/>
          </reference>
        </references>
      </pivotArea>
    </format>
    <format dxfId="2744">
      <pivotArea dataOnly="0" labelOnly="1" fieldPosition="0">
        <references count="6">
          <reference field="1" count="1" selected="0">
            <x v="39"/>
          </reference>
          <reference field="2" count="1" selected="0">
            <x v="0"/>
          </reference>
          <reference field="3" count="1" selected="0">
            <x v="12"/>
          </reference>
          <reference field="4" count="1" selected="0">
            <x v="48"/>
          </reference>
          <reference field="5" count="1" selected="0">
            <x v="92"/>
          </reference>
          <reference field="6" count="1">
            <x v="47"/>
          </reference>
        </references>
      </pivotArea>
    </format>
    <format dxfId="2743">
      <pivotArea dataOnly="0" labelOnly="1" fieldPosition="0">
        <references count="6">
          <reference field="1" count="1" selected="0">
            <x v="39"/>
          </reference>
          <reference field="2" count="1" selected="0">
            <x v="0"/>
          </reference>
          <reference field="3" count="1" selected="0">
            <x v="12"/>
          </reference>
          <reference field="4" count="1" selected="0">
            <x v="53"/>
          </reference>
          <reference field="5" count="1" selected="0">
            <x v="70"/>
          </reference>
          <reference field="6" count="1">
            <x v="47"/>
          </reference>
        </references>
      </pivotArea>
    </format>
    <format dxfId="2742">
      <pivotArea dataOnly="0" labelOnly="1" fieldPosition="0">
        <references count="6">
          <reference field="1" count="1" selected="0">
            <x v="39"/>
          </reference>
          <reference field="2" count="1" selected="0">
            <x v="0"/>
          </reference>
          <reference field="3" count="1" selected="0">
            <x v="12"/>
          </reference>
          <reference field="4" count="1" selected="0">
            <x v="56"/>
          </reference>
          <reference field="5" count="1" selected="0">
            <x v="69"/>
          </reference>
          <reference field="6" count="1">
            <x v="47"/>
          </reference>
        </references>
      </pivotArea>
    </format>
    <format dxfId="2741">
      <pivotArea dataOnly="0" labelOnly="1" fieldPosition="0">
        <references count="6">
          <reference field="1" count="1" selected="0">
            <x v="39"/>
          </reference>
          <reference field="2" count="1" selected="0">
            <x v="0"/>
          </reference>
          <reference field="3" count="1" selected="0">
            <x v="12"/>
          </reference>
          <reference field="4" count="1" selected="0">
            <x v="61"/>
          </reference>
          <reference field="5" count="1" selected="0">
            <x v="69"/>
          </reference>
          <reference field="6" count="1">
            <x v="47"/>
          </reference>
        </references>
      </pivotArea>
    </format>
    <format dxfId="2740">
      <pivotArea dataOnly="0" labelOnly="1" fieldPosition="0">
        <references count="6">
          <reference field="1" count="1" selected="0">
            <x v="39"/>
          </reference>
          <reference field="2" count="1" selected="0">
            <x v="12"/>
          </reference>
          <reference field="3" count="1" selected="0">
            <x v="1"/>
          </reference>
          <reference field="4" count="1" selected="0">
            <x v="120"/>
          </reference>
          <reference field="5" count="1" selected="0">
            <x v="80"/>
          </reference>
          <reference field="6" count="1">
            <x v="47"/>
          </reference>
        </references>
      </pivotArea>
    </format>
    <format dxfId="2739">
      <pivotArea dataOnly="0" labelOnly="1" fieldPosition="0">
        <references count="6">
          <reference field="1" count="1" selected="0">
            <x v="39"/>
          </reference>
          <reference field="2" count="1" selected="0">
            <x v="12"/>
          </reference>
          <reference field="3" count="1" selected="0">
            <x v="1"/>
          </reference>
          <reference field="4" count="1" selected="0">
            <x v="120"/>
          </reference>
          <reference field="5" count="1" selected="0">
            <x v="607"/>
          </reference>
          <reference field="6" count="1">
            <x v="47"/>
          </reference>
        </references>
      </pivotArea>
    </format>
    <format dxfId="2738">
      <pivotArea dataOnly="0" labelOnly="1" fieldPosition="0">
        <references count="6">
          <reference field="1" count="1" selected="0">
            <x v="39"/>
          </reference>
          <reference field="2" count="1" selected="0">
            <x v="12"/>
          </reference>
          <reference field="3" count="1" selected="0">
            <x v="1"/>
          </reference>
          <reference field="4" count="1" selected="0">
            <x v="120"/>
          </reference>
          <reference field="5" count="1" selected="0">
            <x v="702"/>
          </reference>
          <reference field="6" count="1">
            <x v="47"/>
          </reference>
        </references>
      </pivotArea>
    </format>
    <format dxfId="2737">
      <pivotArea dataOnly="0" labelOnly="1" fieldPosition="0">
        <references count="6">
          <reference field="1" count="1" selected="0">
            <x v="39"/>
          </reference>
          <reference field="2" count="1" selected="0">
            <x v="14"/>
          </reference>
          <reference field="3" count="1" selected="0">
            <x v="1"/>
          </reference>
          <reference field="4" count="1" selected="0">
            <x v="120"/>
          </reference>
          <reference field="5" count="1" selected="0">
            <x v="887"/>
          </reference>
          <reference field="6" count="1">
            <x v="47"/>
          </reference>
        </references>
      </pivotArea>
    </format>
    <format dxfId="2736">
      <pivotArea dataOnly="0" labelOnly="1" fieldPosition="0">
        <references count="6">
          <reference field="1" count="1" selected="0">
            <x v="39"/>
          </reference>
          <reference field="2" count="1" selected="0">
            <x v="15"/>
          </reference>
          <reference field="3" count="1" selected="0">
            <x v="37"/>
          </reference>
          <reference field="4" count="1" selected="0">
            <x v="120"/>
          </reference>
          <reference field="5" count="1" selected="0">
            <x v="295"/>
          </reference>
          <reference field="6" count="1">
            <x v="47"/>
          </reference>
        </references>
      </pivotArea>
    </format>
    <format dxfId="2735">
      <pivotArea dataOnly="0" labelOnly="1" fieldPosition="0">
        <references count="6">
          <reference field="1" count="1" selected="0">
            <x v="39"/>
          </reference>
          <reference field="2" count="1" selected="0">
            <x v="19"/>
          </reference>
          <reference field="3" count="1" selected="0">
            <x v="6"/>
          </reference>
          <reference field="4" count="1" selected="0">
            <x v="120"/>
          </reference>
          <reference field="5" count="1" selected="0">
            <x v="371"/>
          </reference>
          <reference field="6" count="1">
            <x v="47"/>
          </reference>
        </references>
      </pivotArea>
    </format>
    <format dxfId="2734">
      <pivotArea dataOnly="0" labelOnly="1" fieldPosition="0">
        <references count="6">
          <reference field="1" count="1" selected="0">
            <x v="39"/>
          </reference>
          <reference field="2" count="1" selected="0">
            <x v="24"/>
          </reference>
          <reference field="3" count="1" selected="0">
            <x v="37"/>
          </reference>
          <reference field="4" count="1" selected="0">
            <x v="120"/>
          </reference>
          <reference field="5" count="1" selected="0">
            <x v="37"/>
          </reference>
          <reference field="6" count="1">
            <x v="47"/>
          </reference>
        </references>
      </pivotArea>
    </format>
    <format dxfId="2733">
      <pivotArea dataOnly="0" labelOnly="1" fieldPosition="0">
        <references count="6">
          <reference field="1" count="1" selected="0">
            <x v="39"/>
          </reference>
          <reference field="2" count="1" selected="0">
            <x v="26"/>
          </reference>
          <reference field="3" count="1" selected="0">
            <x v="37"/>
          </reference>
          <reference field="4" count="1" selected="0">
            <x v="120"/>
          </reference>
          <reference field="5" count="1" selected="0">
            <x v="80"/>
          </reference>
          <reference field="6" count="1">
            <x v="47"/>
          </reference>
        </references>
      </pivotArea>
    </format>
    <format dxfId="2732">
      <pivotArea dataOnly="0" labelOnly="1" fieldPosition="0">
        <references count="6">
          <reference field="1" count="1" selected="0">
            <x v="39"/>
          </reference>
          <reference field="2" count="1" selected="0">
            <x v="26"/>
          </reference>
          <reference field="3" count="1" selected="0">
            <x v="38"/>
          </reference>
          <reference field="4" count="1" selected="0">
            <x v="120"/>
          </reference>
          <reference field="5" count="1" selected="0">
            <x v="1542"/>
          </reference>
          <reference field="6" count="1">
            <x v="47"/>
          </reference>
        </references>
      </pivotArea>
    </format>
    <format dxfId="2731">
      <pivotArea dataOnly="0" labelOnly="1" fieldPosition="0">
        <references count="6">
          <reference field="1" count="1" selected="0">
            <x v="39"/>
          </reference>
          <reference field="2" count="1" selected="0">
            <x v="30"/>
          </reference>
          <reference field="3" count="1" selected="0">
            <x v="6"/>
          </reference>
          <reference field="4" count="1" selected="0">
            <x v="120"/>
          </reference>
          <reference field="5" count="1" selected="0">
            <x v="1713"/>
          </reference>
          <reference field="6" count="1">
            <x v="47"/>
          </reference>
        </references>
      </pivotArea>
    </format>
    <format dxfId="2730">
      <pivotArea dataOnly="0" labelOnly="1" fieldPosition="0">
        <references count="6">
          <reference field="1" count="1" selected="0">
            <x v="40"/>
          </reference>
          <reference field="2" count="1" selected="0">
            <x v="0"/>
          </reference>
          <reference field="3" count="1" selected="0">
            <x v="12"/>
          </reference>
          <reference field="4" count="1" selected="0">
            <x v="17"/>
          </reference>
          <reference field="5" count="1" selected="0">
            <x v="1136"/>
          </reference>
          <reference field="6" count="1">
            <x v="47"/>
          </reference>
        </references>
      </pivotArea>
    </format>
    <format dxfId="2729">
      <pivotArea dataOnly="0" labelOnly="1" fieldPosition="0">
        <references count="6">
          <reference field="1" count="1" selected="0">
            <x v="40"/>
          </reference>
          <reference field="2" count="1" selected="0">
            <x v="0"/>
          </reference>
          <reference field="3" count="1" selected="0">
            <x v="12"/>
          </reference>
          <reference field="4" count="1" selected="0">
            <x v="19"/>
          </reference>
          <reference field="5" count="1" selected="0">
            <x v="73"/>
          </reference>
          <reference field="6" count="1">
            <x v="47"/>
          </reference>
        </references>
      </pivotArea>
    </format>
    <format dxfId="2728">
      <pivotArea dataOnly="0" labelOnly="1" fieldPosition="0">
        <references count="6">
          <reference field="1" count="1" selected="0">
            <x v="40"/>
          </reference>
          <reference field="2" count="1" selected="0">
            <x v="0"/>
          </reference>
          <reference field="3" count="1" selected="0">
            <x v="12"/>
          </reference>
          <reference field="4" count="1" selected="0">
            <x v="24"/>
          </reference>
          <reference field="5" count="1" selected="0">
            <x v="18"/>
          </reference>
          <reference field="6" count="1">
            <x v="47"/>
          </reference>
        </references>
      </pivotArea>
    </format>
    <format dxfId="2727">
      <pivotArea dataOnly="0" labelOnly="1" fieldPosition="0">
        <references count="6">
          <reference field="1" count="1" selected="0">
            <x v="40"/>
          </reference>
          <reference field="2" count="1" selected="0">
            <x v="0"/>
          </reference>
          <reference field="3" count="1" selected="0">
            <x v="12"/>
          </reference>
          <reference field="4" count="1" selected="0">
            <x v="29"/>
          </reference>
          <reference field="5" count="1" selected="0">
            <x v="11"/>
          </reference>
          <reference field="6" count="1">
            <x v="47"/>
          </reference>
        </references>
      </pivotArea>
    </format>
    <format dxfId="2726">
      <pivotArea dataOnly="0" labelOnly="1" fieldPosition="0">
        <references count="6">
          <reference field="1" count="1" selected="0">
            <x v="40"/>
          </reference>
          <reference field="2" count="1" selected="0">
            <x v="0"/>
          </reference>
          <reference field="3" count="1" selected="0">
            <x v="12"/>
          </reference>
          <reference field="4" count="1" selected="0">
            <x v="43"/>
          </reference>
          <reference field="5" count="1" selected="0">
            <x v="92"/>
          </reference>
          <reference field="6" count="1">
            <x v="47"/>
          </reference>
        </references>
      </pivotArea>
    </format>
    <format dxfId="2725">
      <pivotArea dataOnly="0" labelOnly="1" fieldPosition="0">
        <references count="6">
          <reference field="1" count="1" selected="0">
            <x v="40"/>
          </reference>
          <reference field="2" count="1" selected="0">
            <x v="0"/>
          </reference>
          <reference field="3" count="1" selected="0">
            <x v="12"/>
          </reference>
          <reference field="4" count="1" selected="0">
            <x v="48"/>
          </reference>
          <reference field="5" count="1" selected="0">
            <x v="63"/>
          </reference>
          <reference field="6" count="1">
            <x v="47"/>
          </reference>
        </references>
      </pivotArea>
    </format>
    <format dxfId="2724">
      <pivotArea dataOnly="0" labelOnly="1" fieldPosition="0">
        <references count="6">
          <reference field="1" count="1" selected="0">
            <x v="40"/>
          </reference>
          <reference field="2" count="1" selected="0">
            <x v="0"/>
          </reference>
          <reference field="3" count="1" selected="0">
            <x v="12"/>
          </reference>
          <reference field="4" count="1" selected="0">
            <x v="52"/>
          </reference>
          <reference field="5" count="1" selected="0">
            <x v="252"/>
          </reference>
          <reference field="6" count="1">
            <x v="47"/>
          </reference>
        </references>
      </pivotArea>
    </format>
    <format dxfId="2723">
      <pivotArea dataOnly="0" labelOnly="1" fieldPosition="0">
        <references count="6">
          <reference field="1" count="1" selected="0">
            <x v="40"/>
          </reference>
          <reference field="2" count="1" selected="0">
            <x v="12"/>
          </reference>
          <reference field="3" count="1" selected="0">
            <x v="1"/>
          </reference>
          <reference field="4" count="1" selected="0">
            <x v="121"/>
          </reference>
          <reference field="5" count="1" selected="0">
            <x v="80"/>
          </reference>
          <reference field="6" count="1">
            <x v="47"/>
          </reference>
        </references>
      </pivotArea>
    </format>
    <format dxfId="2722">
      <pivotArea dataOnly="0" labelOnly="1" fieldPosition="0">
        <references count="6">
          <reference field="1" count="1" selected="0">
            <x v="40"/>
          </reference>
          <reference field="2" count="1" selected="0">
            <x v="12"/>
          </reference>
          <reference field="3" count="1" selected="0">
            <x v="1"/>
          </reference>
          <reference field="4" count="1" selected="0">
            <x v="121"/>
          </reference>
          <reference field="5" count="1" selected="0">
            <x v="213"/>
          </reference>
          <reference field="6" count="1">
            <x v="47"/>
          </reference>
        </references>
      </pivotArea>
    </format>
    <format dxfId="2721">
      <pivotArea dataOnly="0" labelOnly="1" fieldPosition="0">
        <references count="6">
          <reference field="1" count="1" selected="0">
            <x v="40"/>
          </reference>
          <reference field="2" count="1" selected="0">
            <x v="26"/>
          </reference>
          <reference field="3" count="1" selected="0">
            <x v="10"/>
          </reference>
          <reference field="4" count="1" selected="0">
            <x v="121"/>
          </reference>
          <reference field="5" count="1" selected="0">
            <x v="0"/>
          </reference>
          <reference field="6" count="1">
            <x v="44"/>
          </reference>
        </references>
      </pivotArea>
    </format>
    <format dxfId="2720">
      <pivotArea dataOnly="0" labelOnly="1" fieldPosition="0">
        <references count="6">
          <reference field="1" count="1" selected="0">
            <x v="41"/>
          </reference>
          <reference field="2" count="1" selected="0">
            <x v="0"/>
          </reference>
          <reference field="3" count="1" selected="0">
            <x v="8"/>
          </reference>
          <reference field="4" count="1" selected="0">
            <x v="122"/>
          </reference>
          <reference field="5" count="1" selected="0">
            <x v="630"/>
          </reference>
          <reference field="6" count="1">
            <x v="47"/>
          </reference>
        </references>
      </pivotArea>
    </format>
    <format dxfId="2719">
      <pivotArea dataOnly="0" labelOnly="1" fieldPosition="0">
        <references count="6">
          <reference field="1" count="1" selected="0">
            <x v="41"/>
          </reference>
          <reference field="2" count="1" selected="0">
            <x v="0"/>
          </reference>
          <reference field="3" count="1" selected="0">
            <x v="9"/>
          </reference>
          <reference field="4" count="1" selected="0">
            <x v="122"/>
          </reference>
          <reference field="5" count="1" selected="0">
            <x v="243"/>
          </reference>
          <reference field="6" count="1">
            <x v="47"/>
          </reference>
        </references>
      </pivotArea>
    </format>
    <format dxfId="2718">
      <pivotArea dataOnly="0" labelOnly="1" fieldPosition="0">
        <references count="6">
          <reference field="1" count="1" selected="0">
            <x v="41"/>
          </reference>
          <reference field="2" count="1" selected="0">
            <x v="0"/>
          </reference>
          <reference field="3" count="1" selected="0">
            <x v="9"/>
          </reference>
          <reference field="4" count="1" selected="0">
            <x v="122"/>
          </reference>
          <reference field="5" count="1" selected="0">
            <x v="335"/>
          </reference>
          <reference field="6" count="1">
            <x v="47"/>
          </reference>
        </references>
      </pivotArea>
    </format>
    <format dxfId="2717">
      <pivotArea dataOnly="0" labelOnly="1" fieldPosition="0">
        <references count="6">
          <reference field="1" count="1" selected="0">
            <x v="41"/>
          </reference>
          <reference field="2" count="1" selected="0">
            <x v="0"/>
          </reference>
          <reference field="3" count="1" selected="0">
            <x v="9"/>
          </reference>
          <reference field="4" count="1" selected="0">
            <x v="122"/>
          </reference>
          <reference field="5" count="1" selected="0">
            <x v="595"/>
          </reference>
          <reference field="6" count="1">
            <x v="47"/>
          </reference>
        </references>
      </pivotArea>
    </format>
    <format dxfId="2716">
      <pivotArea dataOnly="0" labelOnly="1" fieldPosition="0">
        <references count="6">
          <reference field="1" count="1" selected="0">
            <x v="41"/>
          </reference>
          <reference field="2" count="1" selected="0">
            <x v="0"/>
          </reference>
          <reference field="3" count="1" selected="0">
            <x v="9"/>
          </reference>
          <reference field="4" count="1" selected="0">
            <x v="122"/>
          </reference>
          <reference field="5" count="1" selected="0">
            <x v="662"/>
          </reference>
          <reference field="6" count="1">
            <x v="47"/>
          </reference>
        </references>
      </pivotArea>
    </format>
    <format dxfId="2715">
      <pivotArea dataOnly="0" labelOnly="1" fieldPosition="0">
        <references count="6">
          <reference field="1" count="1" selected="0">
            <x v="41"/>
          </reference>
          <reference field="2" count="1" selected="0">
            <x v="0"/>
          </reference>
          <reference field="3" count="1" selected="0">
            <x v="12"/>
          </reference>
          <reference field="4" count="1" selected="0">
            <x v="22"/>
          </reference>
          <reference field="5" count="1" selected="0">
            <x v="114"/>
          </reference>
          <reference field="6" count="1">
            <x v="47"/>
          </reference>
        </references>
      </pivotArea>
    </format>
    <format dxfId="2714">
      <pivotArea dataOnly="0" labelOnly="1" fieldPosition="0">
        <references count="6">
          <reference field="1" count="1" selected="0">
            <x v="41"/>
          </reference>
          <reference field="2" count="1" selected="0">
            <x v="0"/>
          </reference>
          <reference field="3" count="1" selected="0">
            <x v="12"/>
          </reference>
          <reference field="4" count="1" selected="0">
            <x v="23"/>
          </reference>
          <reference field="5" count="1" selected="0">
            <x v="152"/>
          </reference>
          <reference field="6" count="1">
            <x v="47"/>
          </reference>
        </references>
      </pivotArea>
    </format>
    <format dxfId="2713">
      <pivotArea dataOnly="0" labelOnly="1" fieldPosition="0">
        <references count="6">
          <reference field="1" count="1" selected="0">
            <x v="41"/>
          </reference>
          <reference field="2" count="1" selected="0">
            <x v="0"/>
          </reference>
          <reference field="3" count="1" selected="0">
            <x v="12"/>
          </reference>
          <reference field="4" count="1" selected="0">
            <x v="36"/>
          </reference>
          <reference field="5" count="1" selected="0">
            <x v="330"/>
          </reference>
          <reference field="6" count="1">
            <x v="47"/>
          </reference>
        </references>
      </pivotArea>
    </format>
    <format dxfId="2712">
      <pivotArea dataOnly="0" labelOnly="1" fieldPosition="0">
        <references count="6">
          <reference field="1" count="1" selected="0">
            <x v="41"/>
          </reference>
          <reference field="2" count="1" selected="0">
            <x v="0"/>
          </reference>
          <reference field="3" count="1" selected="0">
            <x v="12"/>
          </reference>
          <reference field="4" count="1" selected="0">
            <x v="45"/>
          </reference>
          <reference field="5" count="1" selected="0">
            <x v="18"/>
          </reference>
          <reference field="6" count="1">
            <x v="47"/>
          </reference>
        </references>
      </pivotArea>
    </format>
    <format dxfId="2711">
      <pivotArea dataOnly="0" labelOnly="1" fieldPosition="0">
        <references count="6">
          <reference field="1" count="1" selected="0">
            <x v="41"/>
          </reference>
          <reference field="2" count="1" selected="0">
            <x v="0"/>
          </reference>
          <reference field="3" count="1" selected="0">
            <x v="12"/>
          </reference>
          <reference field="4" count="1" selected="0">
            <x v="48"/>
          </reference>
          <reference field="5" count="1" selected="0">
            <x v="92"/>
          </reference>
          <reference field="6" count="1">
            <x v="47"/>
          </reference>
        </references>
      </pivotArea>
    </format>
    <format dxfId="2710">
      <pivotArea dataOnly="0" labelOnly="1" fieldPosition="0">
        <references count="6">
          <reference field="1" count="1" selected="0">
            <x v="41"/>
          </reference>
          <reference field="2" count="1" selected="0">
            <x v="0"/>
          </reference>
          <reference field="3" count="1" selected="0">
            <x v="12"/>
          </reference>
          <reference field="4" count="1" selected="0">
            <x v="57"/>
          </reference>
          <reference field="5" count="1" selected="0">
            <x v="24"/>
          </reference>
          <reference field="6" count="1">
            <x v="47"/>
          </reference>
        </references>
      </pivotArea>
    </format>
    <format dxfId="2709">
      <pivotArea dataOnly="0" labelOnly="1" fieldPosition="0">
        <references count="6">
          <reference field="1" count="1" selected="0">
            <x v="41"/>
          </reference>
          <reference field="2" count="1" selected="0">
            <x v="0"/>
          </reference>
          <reference field="3" count="1" selected="0">
            <x v="12"/>
          </reference>
          <reference field="4" count="1" selected="0">
            <x v="61"/>
          </reference>
          <reference field="5" count="1" selected="0">
            <x v="16"/>
          </reference>
          <reference field="6" count="1">
            <x v="47"/>
          </reference>
        </references>
      </pivotArea>
    </format>
    <format dxfId="2708">
      <pivotArea dataOnly="0" labelOnly="1" fieldPosition="0">
        <references count="6">
          <reference field="1" count="1" selected="0">
            <x v="41"/>
          </reference>
          <reference field="2" count="1" selected="0">
            <x v="0"/>
          </reference>
          <reference field="3" count="1" selected="0">
            <x v="12"/>
          </reference>
          <reference field="4" count="1" selected="0">
            <x v="73"/>
          </reference>
          <reference field="5" count="1" selected="0">
            <x v="132"/>
          </reference>
          <reference field="6" count="1">
            <x v="47"/>
          </reference>
        </references>
      </pivotArea>
    </format>
    <format dxfId="2707">
      <pivotArea dataOnly="0" labelOnly="1" fieldPosition="0">
        <references count="6">
          <reference field="1" count="1" selected="0">
            <x v="41"/>
          </reference>
          <reference field="2" count="1" selected="0">
            <x v="5"/>
          </reference>
          <reference field="3" count="1" selected="0">
            <x v="37"/>
          </reference>
          <reference field="4" count="1" selected="0">
            <x v="122"/>
          </reference>
          <reference field="5" count="1" selected="0">
            <x v="1011"/>
          </reference>
          <reference field="6" count="1">
            <x v="47"/>
          </reference>
        </references>
      </pivotArea>
    </format>
    <format dxfId="2706">
      <pivotArea dataOnly="0" labelOnly="1" fieldPosition="0">
        <references count="6">
          <reference field="1" count="1" selected="0">
            <x v="41"/>
          </reference>
          <reference field="2" count="1" selected="0">
            <x v="7"/>
          </reference>
          <reference field="3" count="1" selected="0">
            <x v="8"/>
          </reference>
          <reference field="4" count="1" selected="0">
            <x v="122"/>
          </reference>
          <reference field="5" count="1" selected="0">
            <x v="1324"/>
          </reference>
          <reference field="6" count="1">
            <x v="47"/>
          </reference>
        </references>
      </pivotArea>
    </format>
    <format dxfId="2705">
      <pivotArea dataOnly="0" labelOnly="1" fieldPosition="0">
        <references count="6">
          <reference field="1" count="1" selected="0">
            <x v="41"/>
          </reference>
          <reference field="2" count="1" selected="0">
            <x v="8"/>
          </reference>
          <reference field="3" count="1" selected="0">
            <x v="37"/>
          </reference>
          <reference field="4" count="1" selected="0">
            <x v="122"/>
          </reference>
          <reference field="5" count="1" selected="0">
            <x v="1412"/>
          </reference>
          <reference field="6" count="1">
            <x v="47"/>
          </reference>
        </references>
      </pivotArea>
    </format>
    <format dxfId="2704">
      <pivotArea dataOnly="0" labelOnly="1" fieldPosition="0">
        <references count="6">
          <reference field="1" count="1" selected="0">
            <x v="41"/>
          </reference>
          <reference field="2" count="1" selected="0">
            <x v="12"/>
          </reference>
          <reference field="3" count="1" selected="0">
            <x v="1"/>
          </reference>
          <reference field="4" count="1" selected="0">
            <x v="122"/>
          </reference>
          <reference field="5" count="1" selected="0">
            <x v="213"/>
          </reference>
          <reference field="6" count="1">
            <x v="47"/>
          </reference>
        </references>
      </pivotArea>
    </format>
    <format dxfId="2703">
      <pivotArea dataOnly="0" labelOnly="1" fieldPosition="0">
        <references count="6">
          <reference field="1" count="1" selected="0">
            <x v="41"/>
          </reference>
          <reference field="2" count="1" selected="0">
            <x v="15"/>
          </reference>
          <reference field="3" count="1" selected="0">
            <x v="9"/>
          </reference>
          <reference field="4" count="1" selected="0">
            <x v="122"/>
          </reference>
          <reference field="5" count="1" selected="0">
            <x v="779"/>
          </reference>
          <reference field="6" count="1">
            <x v="47"/>
          </reference>
        </references>
      </pivotArea>
    </format>
    <format dxfId="2702">
      <pivotArea dataOnly="0" labelOnly="1" fieldPosition="0">
        <references count="6">
          <reference field="1" count="1" selected="0">
            <x v="41"/>
          </reference>
          <reference field="2" count="1" selected="0">
            <x v="15"/>
          </reference>
          <reference field="3" count="1" selected="0">
            <x v="38"/>
          </reference>
          <reference field="4" count="1" selected="0">
            <x v="122"/>
          </reference>
          <reference field="5" count="1" selected="0">
            <x v="1796"/>
          </reference>
          <reference field="6" count="1">
            <x v="47"/>
          </reference>
        </references>
      </pivotArea>
    </format>
    <format dxfId="2701">
      <pivotArea dataOnly="0" labelOnly="1" fieldPosition="0">
        <references count="6">
          <reference field="1" count="1" selected="0">
            <x v="41"/>
          </reference>
          <reference field="2" count="1" selected="0">
            <x v="23"/>
          </reference>
          <reference field="3" count="1" selected="0">
            <x v="8"/>
          </reference>
          <reference field="4" count="1" selected="0">
            <x v="122"/>
          </reference>
          <reference field="5" count="1" selected="0">
            <x v="422"/>
          </reference>
          <reference field="6" count="1">
            <x v="47"/>
          </reference>
        </references>
      </pivotArea>
    </format>
    <format dxfId="2700">
      <pivotArea dataOnly="0" labelOnly="1" fieldPosition="0">
        <references count="6">
          <reference field="1" count="1" selected="0">
            <x v="41"/>
          </reference>
          <reference field="2" count="1" selected="0">
            <x v="26"/>
          </reference>
          <reference field="3" count="1" selected="0">
            <x v="6"/>
          </reference>
          <reference field="4" count="1" selected="0">
            <x v="122"/>
          </reference>
          <reference field="5" count="1" selected="0">
            <x v="201"/>
          </reference>
          <reference field="6" count="1">
            <x v="47"/>
          </reference>
        </references>
      </pivotArea>
    </format>
    <format dxfId="2699">
      <pivotArea dataOnly="0" labelOnly="1" fieldPosition="0">
        <references count="6">
          <reference field="1" count="1" selected="0">
            <x v="41"/>
          </reference>
          <reference field="2" count="1" selected="0">
            <x v="26"/>
          </reference>
          <reference field="3" count="1" selected="0">
            <x v="37"/>
          </reference>
          <reference field="4" count="1" selected="0">
            <x v="122"/>
          </reference>
          <reference field="5" count="1" selected="0">
            <x v="291"/>
          </reference>
          <reference field="6" count="1">
            <x v="47"/>
          </reference>
        </references>
      </pivotArea>
    </format>
    <format dxfId="2698">
      <pivotArea dataOnly="0" labelOnly="1" fieldPosition="0">
        <references count="6">
          <reference field="1" count="1" selected="0">
            <x v="41"/>
          </reference>
          <reference field="2" count="1" selected="0">
            <x v="27"/>
          </reference>
          <reference field="3" count="1" selected="0">
            <x v="37"/>
          </reference>
          <reference field="4" count="1" selected="0">
            <x v="122"/>
          </reference>
          <reference field="5" count="1" selected="0">
            <x v="109"/>
          </reference>
          <reference field="6" count="1">
            <x v="47"/>
          </reference>
        </references>
      </pivotArea>
    </format>
    <format dxfId="2697">
      <pivotArea dataOnly="0" labelOnly="1" fieldPosition="0">
        <references count="6">
          <reference field="1" count="1" selected="0">
            <x v="41"/>
          </reference>
          <reference field="2" count="1" selected="0">
            <x v="37"/>
          </reference>
          <reference field="3" count="1" selected="0">
            <x v="8"/>
          </reference>
          <reference field="4" count="1" selected="0">
            <x v="122"/>
          </reference>
          <reference field="5" count="1" selected="0">
            <x v="1002"/>
          </reference>
          <reference field="6" count="1">
            <x v="47"/>
          </reference>
        </references>
      </pivotArea>
    </format>
    <format dxfId="2696">
      <pivotArea dataOnly="0" labelOnly="1" fieldPosition="0">
        <references count="6">
          <reference field="1" count="1" selected="0">
            <x v="41"/>
          </reference>
          <reference field="2" count="1" selected="0">
            <x v="37"/>
          </reference>
          <reference field="3" count="1" selected="0">
            <x v="10"/>
          </reference>
          <reference field="4" count="1" selected="0">
            <x v="122"/>
          </reference>
          <reference field="5" count="1" selected="0">
            <x v="1293"/>
          </reference>
          <reference field="6" count="1">
            <x v="47"/>
          </reference>
        </references>
      </pivotArea>
    </format>
    <format dxfId="2695">
      <pivotArea dataOnly="0" labelOnly="1" fieldPosition="0">
        <references count="6">
          <reference field="1" count="1" selected="0">
            <x v="42"/>
          </reference>
          <reference field="2" count="1" selected="0">
            <x v="0"/>
          </reference>
          <reference field="3" count="1" selected="0">
            <x v="1"/>
          </reference>
          <reference field="4" count="1" selected="0">
            <x v="124"/>
          </reference>
          <reference field="5" count="1" selected="0">
            <x v="80"/>
          </reference>
          <reference field="6" count="1">
            <x v="47"/>
          </reference>
        </references>
      </pivotArea>
    </format>
    <format dxfId="2694">
      <pivotArea dataOnly="0" labelOnly="1" fieldPosition="0">
        <references count="6">
          <reference field="1" count="1" selected="0">
            <x v="42"/>
          </reference>
          <reference field="2" count="1" selected="0">
            <x v="0"/>
          </reference>
          <reference field="3" count="1" selected="0">
            <x v="12"/>
          </reference>
          <reference field="4" count="1" selected="0">
            <x v="10"/>
          </reference>
          <reference field="5" count="1" selected="0">
            <x v="371"/>
          </reference>
          <reference field="6" count="1">
            <x v="47"/>
          </reference>
        </references>
      </pivotArea>
    </format>
    <format dxfId="2693">
      <pivotArea dataOnly="0" labelOnly="1" fieldPosition="0">
        <references count="6">
          <reference field="1" count="1" selected="0">
            <x v="42"/>
          </reference>
          <reference field="2" count="1" selected="0">
            <x v="0"/>
          </reference>
          <reference field="3" count="1" selected="0">
            <x v="12"/>
          </reference>
          <reference field="4" count="1" selected="0">
            <x v="50"/>
          </reference>
          <reference field="5" count="1" selected="0">
            <x v="21"/>
          </reference>
          <reference field="6" count="1">
            <x v="47"/>
          </reference>
        </references>
      </pivotArea>
    </format>
    <format dxfId="2692">
      <pivotArea dataOnly="0" labelOnly="1" fieldPosition="0">
        <references count="6">
          <reference field="1" count="1" selected="0">
            <x v="42"/>
          </reference>
          <reference field="2" count="1" selected="0">
            <x v="0"/>
          </reference>
          <reference field="3" count="1" selected="0">
            <x v="12"/>
          </reference>
          <reference field="4" count="1" selected="0">
            <x v="61"/>
          </reference>
          <reference field="5" count="1" selected="0">
            <x v="28"/>
          </reference>
          <reference field="6" count="1">
            <x v="47"/>
          </reference>
        </references>
      </pivotArea>
    </format>
    <format dxfId="2691">
      <pivotArea dataOnly="0" labelOnly="1" fieldPosition="0">
        <references count="6">
          <reference field="1" count="1" selected="0">
            <x v="42"/>
          </reference>
          <reference field="2" count="1" selected="0">
            <x v="0"/>
          </reference>
          <reference field="3" count="1" selected="0">
            <x v="22"/>
          </reference>
          <reference field="4" count="1" selected="0">
            <x v="123"/>
          </reference>
          <reference field="5" count="1" selected="0">
            <x v="298"/>
          </reference>
          <reference field="6" count="1">
            <x v="47"/>
          </reference>
        </references>
      </pivotArea>
    </format>
    <format dxfId="2690">
      <pivotArea dataOnly="0" labelOnly="1" fieldPosition="0">
        <references count="6">
          <reference field="1" count="1" selected="0">
            <x v="42"/>
          </reference>
          <reference field="2" count="1" selected="0">
            <x v="0"/>
          </reference>
          <reference field="3" count="1" selected="0">
            <x v="22"/>
          </reference>
          <reference field="4" count="1" selected="0">
            <x v="123"/>
          </reference>
          <reference field="5" count="1" selected="0">
            <x v="651"/>
          </reference>
          <reference field="6" count="1">
            <x v="47"/>
          </reference>
        </references>
      </pivotArea>
    </format>
    <format dxfId="2689">
      <pivotArea dataOnly="0" labelOnly="1" fieldPosition="0">
        <references count="6">
          <reference field="1" count="1" selected="0">
            <x v="42"/>
          </reference>
          <reference field="2" count="1" selected="0">
            <x v="0"/>
          </reference>
          <reference field="3" count="1" selected="0">
            <x v="22"/>
          </reference>
          <reference field="4" count="1" selected="0">
            <x v="123"/>
          </reference>
          <reference field="5" count="1" selected="0">
            <x v="661"/>
          </reference>
          <reference field="6" count="1">
            <x v="47"/>
          </reference>
        </references>
      </pivotArea>
    </format>
    <format dxfId="2688">
      <pivotArea dataOnly="0" labelOnly="1" fieldPosition="0">
        <references count="6">
          <reference field="1" count="1" selected="0">
            <x v="42"/>
          </reference>
          <reference field="2" count="1" selected="0">
            <x v="2"/>
          </reference>
          <reference field="3" count="1" selected="0">
            <x v="22"/>
          </reference>
          <reference field="4" count="1" selected="0">
            <x v="123"/>
          </reference>
          <reference field="5" count="1" selected="0">
            <x v="1790"/>
          </reference>
          <reference field="6" count="1">
            <x v="47"/>
          </reference>
        </references>
      </pivotArea>
    </format>
    <format dxfId="2687">
      <pivotArea dataOnly="0" labelOnly="1" fieldPosition="0">
        <references count="6">
          <reference field="1" count="1" selected="0">
            <x v="42"/>
          </reference>
          <reference field="2" count="1" selected="0">
            <x v="3"/>
          </reference>
          <reference field="3" count="1" selected="0">
            <x v="22"/>
          </reference>
          <reference field="4" count="1" selected="0">
            <x v="123"/>
          </reference>
          <reference field="5" count="1" selected="0">
            <x v="1092"/>
          </reference>
          <reference field="6" count="1">
            <x v="47"/>
          </reference>
        </references>
      </pivotArea>
    </format>
    <format dxfId="2686">
      <pivotArea dataOnly="0" labelOnly="1" fieldPosition="0">
        <references count="6">
          <reference field="1" count="1" selected="0">
            <x v="42"/>
          </reference>
          <reference field="2" count="1" selected="0">
            <x v="6"/>
          </reference>
          <reference field="3" count="1" selected="0">
            <x v="37"/>
          </reference>
          <reference field="4" count="1" selected="0">
            <x v="124"/>
          </reference>
          <reference field="5" count="1" selected="0">
            <x v="539"/>
          </reference>
          <reference field="6" count="1">
            <x v="47"/>
          </reference>
        </references>
      </pivotArea>
    </format>
    <format dxfId="2685">
      <pivotArea dataOnly="0" labelOnly="1" fieldPosition="0">
        <references count="6">
          <reference field="1" count="1" selected="0">
            <x v="42"/>
          </reference>
          <reference field="2" count="1" selected="0">
            <x v="12"/>
          </reference>
          <reference field="3" count="1" selected="0">
            <x v="1"/>
          </reference>
          <reference field="4" count="1" selected="0">
            <x v="124"/>
          </reference>
          <reference field="5" count="1" selected="0">
            <x v="80"/>
          </reference>
          <reference field="6" count="1">
            <x v="47"/>
          </reference>
        </references>
      </pivotArea>
    </format>
    <format dxfId="2684">
      <pivotArea dataOnly="0" labelOnly="1" fieldPosition="0">
        <references count="6">
          <reference field="1" count="1" selected="0">
            <x v="42"/>
          </reference>
          <reference field="2" count="1" selected="0">
            <x v="12"/>
          </reference>
          <reference field="3" count="1" selected="0">
            <x v="1"/>
          </reference>
          <reference field="4" count="1" selected="0">
            <x v="124"/>
          </reference>
          <reference field="5" count="1" selected="0">
            <x v="213"/>
          </reference>
          <reference field="6" count="1">
            <x v="47"/>
          </reference>
        </references>
      </pivotArea>
    </format>
    <format dxfId="2683">
      <pivotArea dataOnly="0" labelOnly="1" fieldPosition="0">
        <references count="6">
          <reference field="1" count="1" selected="0">
            <x v="42"/>
          </reference>
          <reference field="2" count="1" selected="0">
            <x v="12"/>
          </reference>
          <reference field="3" count="1" selected="0">
            <x v="1"/>
          </reference>
          <reference field="4" count="1" selected="0">
            <x v="124"/>
          </reference>
          <reference field="5" count="1" selected="0">
            <x v="352"/>
          </reference>
          <reference field="6" count="1">
            <x v="47"/>
          </reference>
        </references>
      </pivotArea>
    </format>
    <format dxfId="2682">
      <pivotArea dataOnly="0" labelOnly="1" fieldPosition="0">
        <references count="6">
          <reference field="1" count="1" selected="0">
            <x v="42"/>
          </reference>
          <reference field="2" count="1" selected="0">
            <x v="12"/>
          </reference>
          <reference field="3" count="1" selected="0">
            <x v="1"/>
          </reference>
          <reference field="4" count="1" selected="0">
            <x v="124"/>
          </reference>
          <reference field="5" count="1" selected="0">
            <x v="500"/>
          </reference>
          <reference field="6" count="1">
            <x v="47"/>
          </reference>
        </references>
      </pivotArea>
    </format>
    <format dxfId="2681">
      <pivotArea dataOnly="0" labelOnly="1" fieldPosition="0">
        <references count="6">
          <reference field="1" count="1" selected="0">
            <x v="42"/>
          </reference>
          <reference field="2" count="1" selected="0">
            <x v="12"/>
          </reference>
          <reference field="3" count="1" selected="0">
            <x v="1"/>
          </reference>
          <reference field="4" count="1" selected="0">
            <x v="124"/>
          </reference>
          <reference field="5" count="1" selected="0">
            <x v="702"/>
          </reference>
          <reference field="6" count="1">
            <x v="47"/>
          </reference>
        </references>
      </pivotArea>
    </format>
    <format dxfId="2680">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16"/>
          </reference>
          <reference field="6" count="1">
            <x v="47"/>
          </reference>
        </references>
      </pivotArea>
    </format>
    <format dxfId="2679">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49"/>
          </reference>
          <reference field="6" count="1">
            <x v="47"/>
          </reference>
        </references>
      </pivotArea>
    </format>
    <format dxfId="2678">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666"/>
          </reference>
          <reference field="6" count="1">
            <x v="47"/>
          </reference>
        </references>
      </pivotArea>
    </format>
    <format dxfId="2677">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674"/>
          </reference>
          <reference field="6" count="1">
            <x v="47"/>
          </reference>
        </references>
      </pivotArea>
    </format>
    <format dxfId="2676">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690"/>
          </reference>
          <reference field="6" count="1">
            <x v="47"/>
          </reference>
        </references>
      </pivotArea>
    </format>
    <format dxfId="2675">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088"/>
          </reference>
          <reference field="6" count="1">
            <x v="47"/>
          </reference>
        </references>
      </pivotArea>
    </format>
    <format dxfId="2674">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100"/>
          </reference>
          <reference field="6" count="1">
            <x v="47"/>
          </reference>
        </references>
      </pivotArea>
    </format>
    <format dxfId="2673">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198"/>
          </reference>
          <reference field="6" count="1">
            <x v="47"/>
          </reference>
        </references>
      </pivotArea>
    </format>
    <format dxfId="2672">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202"/>
          </reference>
          <reference field="6" count="1">
            <x v="47"/>
          </reference>
        </references>
      </pivotArea>
    </format>
    <format dxfId="2671">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247"/>
          </reference>
          <reference field="6" count="1">
            <x v="47"/>
          </reference>
        </references>
      </pivotArea>
    </format>
    <format dxfId="2670">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307"/>
          </reference>
          <reference field="6" count="1">
            <x v="47"/>
          </reference>
        </references>
      </pivotArea>
    </format>
    <format dxfId="2669">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393"/>
          </reference>
          <reference field="6" count="1">
            <x v="47"/>
          </reference>
        </references>
      </pivotArea>
    </format>
    <format dxfId="2668">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410"/>
          </reference>
          <reference field="6" count="1">
            <x v="47"/>
          </reference>
        </references>
      </pivotArea>
    </format>
    <format dxfId="2667">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423"/>
          </reference>
          <reference field="6" count="1">
            <x v="47"/>
          </reference>
        </references>
      </pivotArea>
    </format>
    <format dxfId="2666">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479"/>
          </reference>
          <reference field="6" count="1">
            <x v="47"/>
          </reference>
        </references>
      </pivotArea>
    </format>
    <format dxfId="2665">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507"/>
          </reference>
          <reference field="6" count="1">
            <x v="47"/>
          </reference>
        </references>
      </pivotArea>
    </format>
    <format dxfId="2664">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514"/>
          </reference>
          <reference field="6" count="1">
            <x v="47"/>
          </reference>
        </references>
      </pivotArea>
    </format>
    <format dxfId="2663">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558"/>
          </reference>
          <reference field="6" count="1">
            <x v="47"/>
          </reference>
        </references>
      </pivotArea>
    </format>
    <format dxfId="2662">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577"/>
          </reference>
          <reference field="6" count="1">
            <x v="47"/>
          </reference>
        </references>
      </pivotArea>
    </format>
    <format dxfId="2661">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643"/>
          </reference>
          <reference field="6" count="1">
            <x v="47"/>
          </reference>
        </references>
      </pivotArea>
    </format>
    <format dxfId="2660">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675"/>
          </reference>
          <reference field="6" count="1">
            <x v="47"/>
          </reference>
        </references>
      </pivotArea>
    </format>
    <format dxfId="2659">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719"/>
          </reference>
          <reference field="6" count="1">
            <x v="47"/>
          </reference>
        </references>
      </pivotArea>
    </format>
    <format dxfId="2658">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722"/>
          </reference>
          <reference field="6" count="1">
            <x v="47"/>
          </reference>
        </references>
      </pivotArea>
    </format>
    <format dxfId="2657">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743"/>
          </reference>
          <reference field="6" count="1">
            <x v="47"/>
          </reference>
        </references>
      </pivotArea>
    </format>
    <format dxfId="2656">
      <pivotArea dataOnly="0" labelOnly="1" fieldPosition="0">
        <references count="6">
          <reference field="1" count="1" selected="0">
            <x v="42"/>
          </reference>
          <reference field="2" count="1" selected="0">
            <x v="12"/>
          </reference>
          <reference field="3" count="1" selected="0">
            <x v="22"/>
          </reference>
          <reference field="4" count="1" selected="0">
            <x v="123"/>
          </reference>
          <reference field="5" count="1" selected="0">
            <x v="1749"/>
          </reference>
          <reference field="6" count="1">
            <x v="47"/>
          </reference>
        </references>
      </pivotArea>
    </format>
    <format dxfId="2655">
      <pivotArea dataOnly="0" labelOnly="1" fieldPosition="0">
        <references count="6">
          <reference field="1" count="1" selected="0">
            <x v="42"/>
          </reference>
          <reference field="2" count="1" selected="0">
            <x v="17"/>
          </reference>
          <reference field="3" count="1" selected="0">
            <x v="22"/>
          </reference>
          <reference field="4" count="1" selected="0">
            <x v="123"/>
          </reference>
          <reference field="5" count="1" selected="0">
            <x v="1039"/>
          </reference>
          <reference field="6" count="1">
            <x v="47"/>
          </reference>
        </references>
      </pivotArea>
    </format>
    <format dxfId="2654">
      <pivotArea dataOnly="0" labelOnly="1" fieldPosition="0">
        <references count="6">
          <reference field="1" count="1" selected="0">
            <x v="42"/>
          </reference>
          <reference field="2" count="1" selected="0">
            <x v="19"/>
          </reference>
          <reference field="3" count="1" selected="0">
            <x v="1"/>
          </reference>
          <reference field="4" count="1" selected="0">
            <x v="124"/>
          </reference>
          <reference field="5" count="1" selected="0">
            <x v="352"/>
          </reference>
          <reference field="6" count="1">
            <x v="47"/>
          </reference>
        </references>
      </pivotArea>
    </format>
    <format dxfId="2653">
      <pivotArea dataOnly="0" labelOnly="1" fieldPosition="0">
        <references count="6">
          <reference field="1" count="1" selected="0">
            <x v="42"/>
          </reference>
          <reference field="2" count="1" selected="0">
            <x v="19"/>
          </reference>
          <reference field="3" count="1" selected="0">
            <x v="37"/>
          </reference>
          <reference field="4" count="1" selected="0">
            <x v="124"/>
          </reference>
          <reference field="5" count="1" selected="0">
            <x v="104"/>
          </reference>
          <reference field="6" count="1">
            <x v="47"/>
          </reference>
        </references>
      </pivotArea>
    </format>
    <format dxfId="2652">
      <pivotArea dataOnly="0" labelOnly="1" fieldPosition="0">
        <references count="6">
          <reference field="1" count="1" selected="0">
            <x v="42"/>
          </reference>
          <reference field="2" count="1" selected="0">
            <x v="21"/>
          </reference>
          <reference field="3" count="1" selected="0">
            <x v="22"/>
          </reference>
          <reference field="4" count="1" selected="0">
            <x v="123"/>
          </reference>
          <reference field="5" count="1" selected="0">
            <x v="1363"/>
          </reference>
          <reference field="6" count="1">
            <x v="47"/>
          </reference>
        </references>
      </pivotArea>
    </format>
    <format dxfId="2651">
      <pivotArea dataOnly="0" labelOnly="1" fieldPosition="0">
        <references count="6">
          <reference field="1" count="1" selected="0">
            <x v="42"/>
          </reference>
          <reference field="2" count="1" selected="0">
            <x v="23"/>
          </reference>
          <reference field="3" count="1" selected="0">
            <x v="22"/>
          </reference>
          <reference field="4" count="1" selected="0">
            <x v="123"/>
          </reference>
          <reference field="5" count="1" selected="0">
            <x v="1290"/>
          </reference>
          <reference field="6" count="1">
            <x v="47"/>
          </reference>
        </references>
      </pivotArea>
    </format>
    <format dxfId="2650">
      <pivotArea dataOnly="0" labelOnly="1" fieldPosition="0">
        <references count="6">
          <reference field="1" count="1" selected="0">
            <x v="42"/>
          </reference>
          <reference field="2" count="1" selected="0">
            <x v="23"/>
          </reference>
          <reference field="3" count="1" selected="0">
            <x v="37"/>
          </reference>
          <reference field="4" count="1" selected="0">
            <x v="124"/>
          </reference>
          <reference field="5" count="1" selected="0">
            <x v="1483"/>
          </reference>
          <reference field="6" count="1">
            <x v="47"/>
          </reference>
        </references>
      </pivotArea>
    </format>
    <format dxfId="2649">
      <pivotArea dataOnly="0" labelOnly="1" fieldPosition="0">
        <references count="6">
          <reference field="1" count="1" selected="0">
            <x v="42"/>
          </reference>
          <reference field="2" count="1" selected="0">
            <x v="26"/>
          </reference>
          <reference field="3" count="1" selected="0">
            <x v="37"/>
          </reference>
          <reference field="4" count="1" selected="0">
            <x v="124"/>
          </reference>
          <reference field="5" count="1" selected="0">
            <x v="930"/>
          </reference>
          <reference field="6" count="1">
            <x v="47"/>
          </reference>
        </references>
      </pivotArea>
    </format>
    <format dxfId="2648">
      <pivotArea dataOnly="0" labelOnly="1" fieldPosition="0">
        <references count="6">
          <reference field="1" count="1" selected="0">
            <x v="42"/>
          </reference>
          <reference field="2" count="1" selected="0">
            <x v="33"/>
          </reference>
          <reference field="3" count="1" selected="0">
            <x v="6"/>
          </reference>
          <reference field="4" count="1" selected="0">
            <x v="124"/>
          </reference>
          <reference field="5" count="1" selected="0">
            <x v="466"/>
          </reference>
          <reference field="6" count="1">
            <x v="47"/>
          </reference>
        </references>
      </pivotArea>
    </format>
    <format dxfId="2647">
      <pivotArea dataOnly="0" labelOnly="1" fieldPosition="0">
        <references count="6">
          <reference field="1" count="1" selected="0">
            <x v="42"/>
          </reference>
          <reference field="2" count="1" selected="0">
            <x v="35"/>
          </reference>
          <reference field="3" count="1" selected="0">
            <x v="1"/>
          </reference>
          <reference field="4" count="1" selected="0">
            <x v="124"/>
          </reference>
          <reference field="5" count="1" selected="0">
            <x v="80"/>
          </reference>
          <reference field="6" count="1">
            <x v="47"/>
          </reference>
        </references>
      </pivotArea>
    </format>
    <format dxfId="2646">
      <pivotArea dataOnly="0" labelOnly="1" fieldPosition="0">
        <references count="6">
          <reference field="1" count="1" selected="0">
            <x v="42"/>
          </reference>
          <reference field="2" count="1" selected="0">
            <x v="35"/>
          </reference>
          <reference field="3" count="1" selected="0">
            <x v="22"/>
          </reference>
          <reference field="4" count="1" selected="0">
            <x v="123"/>
          </reference>
          <reference field="5" count="1" selected="0">
            <x v="123"/>
          </reference>
          <reference field="6" count="1">
            <x v="47"/>
          </reference>
        </references>
      </pivotArea>
    </format>
    <format dxfId="2645">
      <pivotArea dataOnly="0" labelOnly="1" fieldPosition="0">
        <references count="6">
          <reference field="1" count="1" selected="0">
            <x v="42"/>
          </reference>
          <reference field="2" count="1" selected="0">
            <x v="35"/>
          </reference>
          <reference field="3" count="1" selected="0">
            <x v="22"/>
          </reference>
          <reference field="4" count="1" selected="0">
            <x v="123"/>
          </reference>
          <reference field="5" count="1" selected="0">
            <x v="126"/>
          </reference>
          <reference field="6" count="1">
            <x v="47"/>
          </reference>
        </references>
      </pivotArea>
    </format>
    <format dxfId="2644">
      <pivotArea dataOnly="0" labelOnly="1" fieldPosition="0">
        <references count="6">
          <reference field="1" count="1" selected="0">
            <x v="42"/>
          </reference>
          <reference field="2" count="1" selected="0">
            <x v="35"/>
          </reference>
          <reference field="3" count="1" selected="0">
            <x v="22"/>
          </reference>
          <reference field="4" count="1" selected="0">
            <x v="123"/>
          </reference>
          <reference field="5" count="1" selected="0">
            <x v="130"/>
          </reference>
          <reference field="6" count="1">
            <x v="47"/>
          </reference>
        </references>
      </pivotArea>
    </format>
    <format dxfId="2643">
      <pivotArea dataOnly="0" labelOnly="1" fieldPosition="0">
        <references count="6">
          <reference field="1" count="1" selected="0">
            <x v="42"/>
          </reference>
          <reference field="2" count="1" selected="0">
            <x v="35"/>
          </reference>
          <reference field="3" count="1" selected="0">
            <x v="22"/>
          </reference>
          <reference field="4" count="1" selected="0">
            <x v="123"/>
          </reference>
          <reference field="5" count="1" selected="0">
            <x v="239"/>
          </reference>
          <reference field="6" count="1">
            <x v="47"/>
          </reference>
        </references>
      </pivotArea>
    </format>
    <format dxfId="2642">
      <pivotArea dataOnly="0" labelOnly="1" fieldPosition="0">
        <references count="6">
          <reference field="1" count="1" selected="0">
            <x v="42"/>
          </reference>
          <reference field="2" count="1" selected="0">
            <x v="35"/>
          </reference>
          <reference field="3" count="1" selected="0">
            <x v="22"/>
          </reference>
          <reference field="4" count="1" selected="0">
            <x v="123"/>
          </reference>
          <reference field="5" count="1" selected="0">
            <x v="308"/>
          </reference>
          <reference field="6" count="1">
            <x v="47"/>
          </reference>
        </references>
      </pivotArea>
    </format>
    <format dxfId="2641">
      <pivotArea dataOnly="0" labelOnly="1" fieldPosition="0">
        <references count="6">
          <reference field="1" count="1" selected="0">
            <x v="42"/>
          </reference>
          <reference field="2" count="1" selected="0">
            <x v="35"/>
          </reference>
          <reference field="3" count="1" selected="0">
            <x v="22"/>
          </reference>
          <reference field="4" count="1" selected="0">
            <x v="123"/>
          </reference>
          <reference field="5" count="1" selected="0">
            <x v="427"/>
          </reference>
          <reference field="6" count="1">
            <x v="47"/>
          </reference>
        </references>
      </pivotArea>
    </format>
    <format dxfId="2640">
      <pivotArea dataOnly="0" labelOnly="1" fieldPosition="0">
        <references count="6">
          <reference field="1" count="1" selected="0">
            <x v="42"/>
          </reference>
          <reference field="2" count="1" selected="0">
            <x v="35"/>
          </reference>
          <reference field="3" count="1" selected="0">
            <x v="22"/>
          </reference>
          <reference field="4" count="1" selected="0">
            <x v="123"/>
          </reference>
          <reference field="5" count="1" selected="0">
            <x v="441"/>
          </reference>
          <reference field="6" count="1">
            <x v="47"/>
          </reference>
        </references>
      </pivotArea>
    </format>
    <format dxfId="2639">
      <pivotArea dataOnly="0" labelOnly="1" fieldPosition="0">
        <references count="6">
          <reference field="1" count="1" selected="0">
            <x v="42"/>
          </reference>
          <reference field="2" count="1" selected="0">
            <x v="35"/>
          </reference>
          <reference field="3" count="1" selected="0">
            <x v="22"/>
          </reference>
          <reference field="4" count="1" selected="0">
            <x v="123"/>
          </reference>
          <reference field="5" count="1" selected="0">
            <x v="766"/>
          </reference>
          <reference field="6" count="1">
            <x v="47"/>
          </reference>
        </references>
      </pivotArea>
    </format>
    <format dxfId="2638">
      <pivotArea dataOnly="0" labelOnly="1" fieldPosition="0">
        <references count="6">
          <reference field="1" count="1" selected="0">
            <x v="42"/>
          </reference>
          <reference field="2" count="1" selected="0">
            <x v="35"/>
          </reference>
          <reference field="3" count="1" selected="0">
            <x v="22"/>
          </reference>
          <reference field="4" count="1" selected="0">
            <x v="123"/>
          </reference>
          <reference field="5" count="1" selected="0">
            <x v="775"/>
          </reference>
          <reference field="6" count="1">
            <x v="47"/>
          </reference>
        </references>
      </pivotArea>
    </format>
    <format dxfId="2637">
      <pivotArea dataOnly="0" labelOnly="1" fieldPosition="0">
        <references count="6">
          <reference field="1" count="1" selected="0">
            <x v="42"/>
          </reference>
          <reference field="2" count="1" selected="0">
            <x v="35"/>
          </reference>
          <reference field="3" count="1" selected="0">
            <x v="22"/>
          </reference>
          <reference field="4" count="1" selected="0">
            <x v="123"/>
          </reference>
          <reference field="5" count="1" selected="0">
            <x v="814"/>
          </reference>
          <reference field="6" count="1">
            <x v="47"/>
          </reference>
        </references>
      </pivotArea>
    </format>
    <format dxfId="2636">
      <pivotArea dataOnly="0" labelOnly="1" fieldPosition="0">
        <references count="6">
          <reference field="1" count="1" selected="0">
            <x v="42"/>
          </reference>
          <reference field="2" count="1" selected="0">
            <x v="35"/>
          </reference>
          <reference field="3" count="1" selected="0">
            <x v="22"/>
          </reference>
          <reference field="4" count="1" selected="0">
            <x v="123"/>
          </reference>
          <reference field="5" count="1" selected="0">
            <x v="826"/>
          </reference>
          <reference field="6" count="1">
            <x v="47"/>
          </reference>
        </references>
      </pivotArea>
    </format>
    <format dxfId="2635">
      <pivotArea dataOnly="0" labelOnly="1" fieldPosition="0">
        <references count="6">
          <reference field="1" count="1" selected="0">
            <x v="42"/>
          </reference>
          <reference field="2" count="1" selected="0">
            <x v="35"/>
          </reference>
          <reference field="3" count="1" selected="0">
            <x v="22"/>
          </reference>
          <reference field="4" count="1" selected="0">
            <x v="123"/>
          </reference>
          <reference field="5" count="1" selected="0">
            <x v="1299"/>
          </reference>
          <reference field="6" count="1">
            <x v="47"/>
          </reference>
        </references>
      </pivotArea>
    </format>
    <format dxfId="2634">
      <pivotArea dataOnly="0" labelOnly="1" fieldPosition="0">
        <references count="6">
          <reference field="1" count="1" selected="0">
            <x v="42"/>
          </reference>
          <reference field="2" count="1" selected="0">
            <x v="36"/>
          </reference>
          <reference field="3" count="1" selected="0">
            <x v="22"/>
          </reference>
          <reference field="4" count="1" selected="0">
            <x v="123"/>
          </reference>
          <reference field="5" count="1" selected="0">
            <x v="1519"/>
          </reference>
          <reference field="6" count="1">
            <x v="47"/>
          </reference>
        </references>
      </pivotArea>
    </format>
    <format dxfId="2633">
      <pivotArea dataOnly="0" labelOnly="1" fieldPosition="0">
        <references count="6">
          <reference field="1" count="1" selected="0">
            <x v="43"/>
          </reference>
          <reference field="2" count="1" selected="0">
            <x v="0"/>
          </reference>
          <reference field="3" count="1" selected="0">
            <x v="8"/>
          </reference>
          <reference field="4" count="1" selected="0">
            <x v="125"/>
          </reference>
          <reference field="5" count="1" selected="0">
            <x v="1157"/>
          </reference>
          <reference field="6" count="1">
            <x v="47"/>
          </reference>
        </references>
      </pivotArea>
    </format>
    <format dxfId="2632">
      <pivotArea dataOnly="0" labelOnly="1" fieldPosition="0">
        <references count="6">
          <reference field="1" count="1" selected="0">
            <x v="43"/>
          </reference>
          <reference field="2" count="1" selected="0">
            <x v="0"/>
          </reference>
          <reference field="3" count="1" selected="0">
            <x v="8"/>
          </reference>
          <reference field="4" count="1" selected="0">
            <x v="125"/>
          </reference>
          <reference field="5" count="1" selected="0">
            <x v="1292"/>
          </reference>
          <reference field="6" count="1">
            <x v="47"/>
          </reference>
        </references>
      </pivotArea>
    </format>
    <format dxfId="2631">
      <pivotArea dataOnly="0" labelOnly="1" fieldPosition="0">
        <references count="6">
          <reference field="1" count="1" selected="0">
            <x v="43"/>
          </reference>
          <reference field="2" count="1" selected="0">
            <x v="0"/>
          </reference>
          <reference field="3" count="1" selected="0">
            <x v="9"/>
          </reference>
          <reference field="4" count="1" selected="0">
            <x v="125"/>
          </reference>
          <reference field="5" count="1" selected="0">
            <x v="128"/>
          </reference>
          <reference field="6" count="1">
            <x v="47"/>
          </reference>
        </references>
      </pivotArea>
    </format>
    <format dxfId="2630">
      <pivotArea dataOnly="0" labelOnly="1" fieldPosition="0">
        <references count="6">
          <reference field="1" count="1" selected="0">
            <x v="43"/>
          </reference>
          <reference field="2" count="1" selected="0">
            <x v="0"/>
          </reference>
          <reference field="3" count="1" selected="0">
            <x v="9"/>
          </reference>
          <reference field="4" count="1" selected="0">
            <x v="125"/>
          </reference>
          <reference field="5" count="1" selected="0">
            <x v="218"/>
          </reference>
          <reference field="6" count="1">
            <x v="47"/>
          </reference>
        </references>
      </pivotArea>
    </format>
    <format dxfId="2629">
      <pivotArea dataOnly="0" labelOnly="1" fieldPosition="0">
        <references count="6">
          <reference field="1" count="1" selected="0">
            <x v="43"/>
          </reference>
          <reference field="2" count="1" selected="0">
            <x v="0"/>
          </reference>
          <reference field="3" count="1" selected="0">
            <x v="9"/>
          </reference>
          <reference field="4" count="1" selected="0">
            <x v="125"/>
          </reference>
          <reference field="5" count="1" selected="0">
            <x v="529"/>
          </reference>
          <reference field="6" count="1">
            <x v="47"/>
          </reference>
        </references>
      </pivotArea>
    </format>
    <format dxfId="2628">
      <pivotArea dataOnly="0" labelOnly="1" fieldPosition="0">
        <references count="6">
          <reference field="1" count="1" selected="0">
            <x v="43"/>
          </reference>
          <reference field="2" count="1" selected="0">
            <x v="0"/>
          </reference>
          <reference field="3" count="1" selected="0">
            <x v="9"/>
          </reference>
          <reference field="4" count="1" selected="0">
            <x v="125"/>
          </reference>
          <reference field="5" count="1" selected="0">
            <x v="760"/>
          </reference>
          <reference field="6" count="1">
            <x v="47"/>
          </reference>
        </references>
      </pivotArea>
    </format>
    <format dxfId="2627">
      <pivotArea dataOnly="0" labelOnly="1" fieldPosition="0">
        <references count="6">
          <reference field="1" count="1" selected="0">
            <x v="43"/>
          </reference>
          <reference field="2" count="1" selected="0">
            <x v="0"/>
          </reference>
          <reference field="3" count="1" selected="0">
            <x v="9"/>
          </reference>
          <reference field="4" count="1" selected="0">
            <x v="125"/>
          </reference>
          <reference field="5" count="1" selected="0">
            <x v="863"/>
          </reference>
          <reference field="6" count="1">
            <x v="47"/>
          </reference>
        </references>
      </pivotArea>
    </format>
    <format dxfId="2626">
      <pivotArea dataOnly="0" labelOnly="1" fieldPosition="0">
        <references count="6">
          <reference field="1" count="1" selected="0">
            <x v="43"/>
          </reference>
          <reference field="2" count="1" selected="0">
            <x v="0"/>
          </reference>
          <reference field="3" count="1" selected="0">
            <x v="9"/>
          </reference>
          <reference field="4" count="1" selected="0">
            <x v="125"/>
          </reference>
          <reference field="5" count="1" selected="0">
            <x v="964"/>
          </reference>
          <reference field="6" count="1">
            <x v="47"/>
          </reference>
        </references>
      </pivotArea>
    </format>
    <format dxfId="2625">
      <pivotArea dataOnly="0" labelOnly="1" fieldPosition="0">
        <references count="6">
          <reference field="1" count="1" selected="0">
            <x v="43"/>
          </reference>
          <reference field="2" count="1" selected="0">
            <x v="0"/>
          </reference>
          <reference field="3" count="1" selected="0">
            <x v="9"/>
          </reference>
          <reference field="4" count="1" selected="0">
            <x v="125"/>
          </reference>
          <reference field="5" count="1" selected="0">
            <x v="989"/>
          </reference>
          <reference field="6" count="1">
            <x v="47"/>
          </reference>
        </references>
      </pivotArea>
    </format>
    <format dxfId="2624">
      <pivotArea dataOnly="0" labelOnly="1" fieldPosition="0">
        <references count="6">
          <reference field="1" count="1" selected="0">
            <x v="43"/>
          </reference>
          <reference field="2" count="1" selected="0">
            <x v="0"/>
          </reference>
          <reference field="3" count="1" selected="0">
            <x v="12"/>
          </reference>
          <reference field="4" count="1" selected="0">
            <x v="6"/>
          </reference>
          <reference field="5" count="1" selected="0">
            <x v="101"/>
          </reference>
          <reference field="6" count="1">
            <x v="47"/>
          </reference>
        </references>
      </pivotArea>
    </format>
    <format dxfId="2623">
      <pivotArea dataOnly="0" labelOnly="1" fieldPosition="0">
        <references count="6">
          <reference field="1" count="1" selected="0">
            <x v="43"/>
          </reference>
          <reference field="2" count="1" selected="0">
            <x v="0"/>
          </reference>
          <reference field="3" count="1" selected="0">
            <x v="37"/>
          </reference>
          <reference field="4" count="1" selected="0">
            <x v="125"/>
          </reference>
          <reference field="5" count="1" selected="0">
            <x v="592"/>
          </reference>
          <reference field="6" count="1">
            <x v="47"/>
          </reference>
        </references>
      </pivotArea>
    </format>
    <format dxfId="2622">
      <pivotArea dataOnly="0" labelOnly="1" fieldPosition="0">
        <references count="6">
          <reference field="1" count="1" selected="0">
            <x v="43"/>
          </reference>
          <reference field="2" count="1" selected="0">
            <x v="0"/>
          </reference>
          <reference field="3" count="1" selected="0">
            <x v="37"/>
          </reference>
          <reference field="4" count="1" selected="0">
            <x v="125"/>
          </reference>
          <reference field="5" count="1" selected="0">
            <x v="1348"/>
          </reference>
          <reference field="6" count="1">
            <x v="47"/>
          </reference>
        </references>
      </pivotArea>
    </format>
    <format dxfId="2621">
      <pivotArea dataOnly="0" labelOnly="1" fieldPosition="0">
        <references count="6">
          <reference field="1" count="1" selected="0">
            <x v="43"/>
          </reference>
          <reference field="2" count="1" selected="0">
            <x v="2"/>
          </reference>
          <reference field="3" count="1" selected="0">
            <x v="6"/>
          </reference>
          <reference field="4" count="1" selected="0">
            <x v="125"/>
          </reference>
          <reference field="5" count="1" selected="0">
            <x v="433"/>
          </reference>
          <reference field="6" count="1">
            <x v="47"/>
          </reference>
        </references>
      </pivotArea>
    </format>
    <format dxfId="2620">
      <pivotArea dataOnly="0" labelOnly="1" fieldPosition="0">
        <references count="6">
          <reference field="1" count="1" selected="0">
            <x v="43"/>
          </reference>
          <reference field="2" count="1" selected="0">
            <x v="5"/>
          </reference>
          <reference field="3" count="1" selected="0">
            <x v="37"/>
          </reference>
          <reference field="4" count="1" selected="0">
            <x v="125"/>
          </reference>
          <reference field="5" count="1" selected="0">
            <x v="1701"/>
          </reference>
          <reference field="6" count="1">
            <x v="47"/>
          </reference>
        </references>
      </pivotArea>
    </format>
    <format dxfId="2619">
      <pivotArea dataOnly="0" labelOnly="1" fieldPosition="0">
        <references count="6">
          <reference field="1" count="1" selected="0">
            <x v="43"/>
          </reference>
          <reference field="2" count="1" selected="0">
            <x v="9"/>
          </reference>
          <reference field="3" count="1" selected="0">
            <x v="9"/>
          </reference>
          <reference field="4" count="1" selected="0">
            <x v="125"/>
          </reference>
          <reference field="5" count="1" selected="0">
            <x v="855"/>
          </reference>
          <reference field="6" count="1">
            <x v="47"/>
          </reference>
        </references>
      </pivotArea>
    </format>
    <format dxfId="2618">
      <pivotArea dataOnly="0" labelOnly="1" fieldPosition="0">
        <references count="6">
          <reference field="1" count="1" selected="0">
            <x v="43"/>
          </reference>
          <reference field="2" count="1" selected="0">
            <x v="12"/>
          </reference>
          <reference field="3" count="1" selected="0">
            <x v="1"/>
          </reference>
          <reference field="4" count="1" selected="0">
            <x v="125"/>
          </reference>
          <reference field="5" count="1" selected="0">
            <x v="80"/>
          </reference>
          <reference field="6" count="1">
            <x v="47"/>
          </reference>
        </references>
      </pivotArea>
    </format>
    <format dxfId="2617">
      <pivotArea dataOnly="0" labelOnly="1" fieldPosition="0">
        <references count="6">
          <reference field="1" count="1" selected="0">
            <x v="43"/>
          </reference>
          <reference field="2" count="1" selected="0">
            <x v="15"/>
          </reference>
          <reference field="3" count="1" selected="0">
            <x v="9"/>
          </reference>
          <reference field="4" count="1" selected="0">
            <x v="125"/>
          </reference>
          <reference field="5" count="1" selected="0">
            <x v="398"/>
          </reference>
          <reference field="6" count="1">
            <x v="47"/>
          </reference>
        </references>
      </pivotArea>
    </format>
    <format dxfId="2616">
      <pivotArea dataOnly="0" labelOnly="1" fieldPosition="0">
        <references count="6">
          <reference field="1" count="1" selected="0">
            <x v="43"/>
          </reference>
          <reference field="2" count="1" selected="0">
            <x v="15"/>
          </reference>
          <reference field="3" count="1" selected="0">
            <x v="10"/>
          </reference>
          <reference field="4" count="1" selected="0">
            <x v="125"/>
          </reference>
          <reference field="5" count="1" selected="0">
            <x v="781"/>
          </reference>
          <reference field="6" count="1">
            <x v="47"/>
          </reference>
        </references>
      </pivotArea>
    </format>
    <format dxfId="2615">
      <pivotArea dataOnly="0" labelOnly="1" fieldPosition="0">
        <references count="6">
          <reference field="1" count="1" selected="0">
            <x v="43"/>
          </reference>
          <reference field="2" count="1" selected="0">
            <x v="15"/>
          </reference>
          <reference field="3" count="1" selected="0">
            <x v="34"/>
          </reference>
          <reference field="4" count="1" selected="0">
            <x v="76"/>
          </reference>
          <reference field="5" count="1" selected="0">
            <x v="0"/>
          </reference>
          <reference field="6" count="1">
            <x v="0"/>
          </reference>
        </references>
      </pivotArea>
    </format>
    <format dxfId="2614">
      <pivotArea dataOnly="0" labelOnly="1" fieldPosition="0">
        <references count="6">
          <reference field="1" count="1" selected="0">
            <x v="43"/>
          </reference>
          <reference field="2" count="1" selected="0">
            <x v="15"/>
          </reference>
          <reference field="3" count="1" selected="0">
            <x v="37"/>
          </reference>
          <reference field="4" count="1" selected="0">
            <x v="125"/>
          </reference>
          <reference field="5" count="1" selected="0">
            <x v="1553"/>
          </reference>
          <reference field="6" count="1">
            <x v="47"/>
          </reference>
        </references>
      </pivotArea>
    </format>
    <format dxfId="2613">
      <pivotArea dataOnly="0" labelOnly="1" fieldPosition="0">
        <references count="6">
          <reference field="1" count="1" selected="0">
            <x v="43"/>
          </reference>
          <reference field="2" count="1" selected="0">
            <x v="19"/>
          </reference>
          <reference field="3" count="1" selected="0">
            <x v="37"/>
          </reference>
          <reference field="4" count="1" selected="0">
            <x v="125"/>
          </reference>
          <reference field="5" count="1" selected="0">
            <x v="114"/>
          </reference>
          <reference field="6" count="1">
            <x v="47"/>
          </reference>
        </references>
      </pivotArea>
    </format>
    <format dxfId="2612">
      <pivotArea dataOnly="0" labelOnly="1" fieldPosition="0">
        <references count="6">
          <reference field="1" count="1" selected="0">
            <x v="43"/>
          </reference>
          <reference field="2" count="1" selected="0">
            <x v="25"/>
          </reference>
          <reference field="3" count="1" selected="0">
            <x v="9"/>
          </reference>
          <reference field="4" count="1" selected="0">
            <x v="125"/>
          </reference>
          <reference field="5" count="1" selected="0">
            <x v="894"/>
          </reference>
          <reference field="6" count="1">
            <x v="47"/>
          </reference>
        </references>
      </pivotArea>
    </format>
    <format dxfId="2611">
      <pivotArea dataOnly="0" labelOnly="1" fieldPosition="0">
        <references count="6">
          <reference field="1" count="1" selected="0">
            <x v="43"/>
          </reference>
          <reference field="2" count="1" selected="0">
            <x v="27"/>
          </reference>
          <reference field="3" count="1" selected="0">
            <x v="37"/>
          </reference>
          <reference field="4" count="1" selected="0">
            <x v="125"/>
          </reference>
          <reference field="5" count="1" selected="0">
            <x v="1338"/>
          </reference>
          <reference field="6" count="1">
            <x v="47"/>
          </reference>
        </references>
      </pivotArea>
    </format>
    <format dxfId="2610">
      <pivotArea dataOnly="0" labelOnly="1" fieldPosition="0">
        <references count="6">
          <reference field="1" count="1" selected="0">
            <x v="43"/>
          </reference>
          <reference field="2" count="1" selected="0">
            <x v="36"/>
          </reference>
          <reference field="3" count="1" selected="0">
            <x v="1"/>
          </reference>
          <reference field="4" count="1" selected="0">
            <x v="125"/>
          </reference>
          <reference field="5" count="1" selected="0">
            <x v="936"/>
          </reference>
          <reference field="6" count="1">
            <x v="47"/>
          </reference>
        </references>
      </pivotArea>
    </format>
    <format dxfId="2609">
      <pivotArea dataOnly="0" labelOnly="1" fieldPosition="0">
        <references count="6">
          <reference field="1" count="1" selected="0">
            <x v="44"/>
          </reference>
          <reference field="2" count="1" selected="0">
            <x v="0"/>
          </reference>
          <reference field="3" count="1" selected="0">
            <x v="6"/>
          </reference>
          <reference field="4" count="1" selected="0">
            <x v="127"/>
          </reference>
          <reference field="5" count="1" selected="0">
            <x v="693"/>
          </reference>
          <reference field="6" count="1">
            <x v="47"/>
          </reference>
        </references>
      </pivotArea>
    </format>
    <format dxfId="2608">
      <pivotArea dataOnly="0" labelOnly="1" fieldPosition="0">
        <references count="6">
          <reference field="1" count="1" selected="0">
            <x v="44"/>
          </reference>
          <reference field="2" count="1" selected="0">
            <x v="0"/>
          </reference>
          <reference field="3" count="1" selected="0">
            <x v="8"/>
          </reference>
          <reference field="4" count="1" selected="0">
            <x v="127"/>
          </reference>
          <reference field="5" count="1" selected="0">
            <x v="596"/>
          </reference>
          <reference field="6" count="1">
            <x v="47"/>
          </reference>
        </references>
      </pivotArea>
    </format>
    <format dxfId="2607">
      <pivotArea dataOnly="0" labelOnly="1" fieldPosition="0">
        <references count="6">
          <reference field="1" count="1" selected="0">
            <x v="44"/>
          </reference>
          <reference field="2" count="1" selected="0">
            <x v="0"/>
          </reference>
          <reference field="3" count="1" selected="0">
            <x v="9"/>
          </reference>
          <reference field="4" count="1" selected="0">
            <x v="127"/>
          </reference>
          <reference field="5" count="1" selected="0">
            <x v="350"/>
          </reference>
          <reference field="6" count="1">
            <x v="47"/>
          </reference>
        </references>
      </pivotArea>
    </format>
    <format dxfId="2606">
      <pivotArea dataOnly="0" labelOnly="1" fieldPosition="0">
        <references count="6">
          <reference field="1" count="1" selected="0">
            <x v="44"/>
          </reference>
          <reference field="2" count="1" selected="0">
            <x v="0"/>
          </reference>
          <reference field="3" count="1" selected="0">
            <x v="12"/>
          </reference>
          <reference field="4" count="1" selected="0">
            <x v="39"/>
          </reference>
          <reference field="5" count="1" selected="0">
            <x v="433"/>
          </reference>
          <reference field="6" count="1">
            <x v="47"/>
          </reference>
        </references>
      </pivotArea>
    </format>
    <format dxfId="2605">
      <pivotArea dataOnly="0" labelOnly="1" fieldPosition="0">
        <references count="6">
          <reference field="1" count="1" selected="0">
            <x v="44"/>
          </reference>
          <reference field="2" count="1" selected="0">
            <x v="0"/>
          </reference>
          <reference field="3" count="1" selected="0">
            <x v="37"/>
          </reference>
          <reference field="4" count="1" selected="0">
            <x v="127"/>
          </reference>
          <reference field="5" count="1" selected="0">
            <x v="740"/>
          </reference>
          <reference field="6" count="1">
            <x v="47"/>
          </reference>
        </references>
      </pivotArea>
    </format>
    <format dxfId="2604">
      <pivotArea dataOnly="0" labelOnly="1" fieldPosition="0">
        <references count="6">
          <reference field="1" count="1" selected="0">
            <x v="44"/>
          </reference>
          <reference field="2" count="1" selected="0">
            <x v="12"/>
          </reference>
          <reference field="3" count="1" selected="0">
            <x v="1"/>
          </reference>
          <reference field="4" count="1" selected="0">
            <x v="127"/>
          </reference>
          <reference field="5" count="1" selected="0">
            <x v="352"/>
          </reference>
          <reference field="6" count="1">
            <x v="47"/>
          </reference>
        </references>
      </pivotArea>
    </format>
    <format dxfId="2603">
      <pivotArea dataOnly="0" labelOnly="1" fieldPosition="0">
        <references count="6">
          <reference field="1" count="1" selected="0">
            <x v="44"/>
          </reference>
          <reference field="2" count="1" selected="0">
            <x v="12"/>
          </reference>
          <reference field="3" count="1" selected="0">
            <x v="1"/>
          </reference>
          <reference field="4" count="1" selected="0">
            <x v="127"/>
          </reference>
          <reference field="5" count="1" selected="0">
            <x v="500"/>
          </reference>
          <reference field="6" count="1">
            <x v="47"/>
          </reference>
        </references>
      </pivotArea>
    </format>
    <format dxfId="2602">
      <pivotArea dataOnly="0" labelOnly="1" fieldPosition="0">
        <references count="6">
          <reference field="1" count="1" selected="0">
            <x v="44"/>
          </reference>
          <reference field="2" count="1" selected="0">
            <x v="12"/>
          </reference>
          <reference field="3" count="1" selected="0">
            <x v="28"/>
          </reference>
          <reference field="4" count="1" selected="0">
            <x v="126"/>
          </reference>
          <reference field="5" count="1" selected="0">
            <x v="941"/>
          </reference>
          <reference field="6" count="1">
            <x v="47"/>
          </reference>
        </references>
      </pivotArea>
    </format>
    <format dxfId="2601">
      <pivotArea dataOnly="0" labelOnly="1" fieldPosition="0">
        <references count="6">
          <reference field="1" count="1" selected="0">
            <x v="44"/>
          </reference>
          <reference field="2" count="1" selected="0">
            <x v="15"/>
          </reference>
          <reference field="3" count="1" selected="0">
            <x v="8"/>
          </reference>
          <reference field="4" count="1" selected="0">
            <x v="127"/>
          </reference>
          <reference field="5" count="1" selected="0">
            <x v="654"/>
          </reference>
          <reference field="6" count="1">
            <x v="47"/>
          </reference>
        </references>
      </pivotArea>
    </format>
    <format dxfId="2600">
      <pivotArea dataOnly="0" labelOnly="1" fieldPosition="0">
        <references count="6">
          <reference field="1" count="1" selected="0">
            <x v="44"/>
          </reference>
          <reference field="2" count="1" selected="0">
            <x v="19"/>
          </reference>
          <reference field="3" count="1" selected="0">
            <x v="6"/>
          </reference>
          <reference field="4" count="1" selected="0">
            <x v="127"/>
          </reference>
          <reference field="5" count="1" selected="0">
            <x v="911"/>
          </reference>
          <reference field="6" count="1">
            <x v="47"/>
          </reference>
        </references>
      </pivotArea>
    </format>
    <format dxfId="2599">
      <pivotArea dataOnly="0" labelOnly="1" fieldPosition="0">
        <references count="6">
          <reference field="1" count="1" selected="0">
            <x v="44"/>
          </reference>
          <reference field="2" count="1" selected="0">
            <x v="35"/>
          </reference>
          <reference field="3" count="1" selected="0">
            <x v="1"/>
          </reference>
          <reference field="4" count="1" selected="0">
            <x v="127"/>
          </reference>
          <reference field="5" count="1" selected="0">
            <x v="80"/>
          </reference>
          <reference field="6" count="1">
            <x v="47"/>
          </reference>
        </references>
      </pivotArea>
    </format>
    <format dxfId="2598">
      <pivotArea dataOnly="0" labelOnly="1" fieldPosition="0">
        <references count="6">
          <reference field="1" count="1" selected="0">
            <x v="44"/>
          </reference>
          <reference field="2" count="1" selected="0">
            <x v="35"/>
          </reference>
          <reference field="3" count="1" selected="0">
            <x v="1"/>
          </reference>
          <reference field="4" count="1" selected="0">
            <x v="127"/>
          </reference>
          <reference field="5" count="1" selected="0">
            <x v="213"/>
          </reference>
          <reference field="6" count="1">
            <x v="47"/>
          </reference>
        </references>
      </pivotArea>
    </format>
    <format dxfId="2597">
      <pivotArea dataOnly="0" labelOnly="1" fieldPosition="0">
        <references count="6">
          <reference field="1" count="1" selected="0">
            <x v="45"/>
          </reference>
          <reference field="2" count="1" selected="0">
            <x v="0"/>
          </reference>
          <reference field="3" count="1" selected="0">
            <x v="12"/>
          </reference>
          <reference field="4" count="1" selected="0">
            <x v="21"/>
          </reference>
          <reference field="5" count="1" selected="0">
            <x v="69"/>
          </reference>
          <reference field="6" count="1">
            <x v="47"/>
          </reference>
        </references>
      </pivotArea>
    </format>
    <format dxfId="2596">
      <pivotArea dataOnly="0" labelOnly="1" fieldPosition="0">
        <references count="6">
          <reference field="1" count="1" selected="0">
            <x v="46"/>
          </reference>
          <reference field="2" count="1" selected="0">
            <x v="0"/>
          </reference>
          <reference field="3" count="1" selected="0">
            <x v="8"/>
          </reference>
          <reference field="4" count="1" selected="0">
            <x v="128"/>
          </reference>
          <reference field="5" count="1" selected="0">
            <x v="156"/>
          </reference>
          <reference field="6" count="1">
            <x v="47"/>
          </reference>
        </references>
      </pivotArea>
    </format>
    <format dxfId="2595">
      <pivotArea dataOnly="0" labelOnly="1" fieldPosition="0">
        <references count="6">
          <reference field="1" count="1" selected="0">
            <x v="46"/>
          </reference>
          <reference field="2" count="1" selected="0">
            <x v="0"/>
          </reference>
          <reference field="3" count="1" selected="0">
            <x v="8"/>
          </reference>
          <reference field="4" count="1" selected="0">
            <x v="128"/>
          </reference>
          <reference field="5" count="1" selected="0">
            <x v="700"/>
          </reference>
          <reference field="6" count="1">
            <x v="47"/>
          </reference>
        </references>
      </pivotArea>
    </format>
    <format dxfId="2594">
      <pivotArea dataOnly="0" labelOnly="1" fieldPosition="0">
        <references count="6">
          <reference field="1" count="1" selected="0">
            <x v="46"/>
          </reference>
          <reference field="2" count="1" selected="0">
            <x v="0"/>
          </reference>
          <reference field="3" count="1" selected="0">
            <x v="8"/>
          </reference>
          <reference field="4" count="1" selected="0">
            <x v="128"/>
          </reference>
          <reference field="5" count="1" selected="0">
            <x v="964"/>
          </reference>
          <reference field="6" count="1">
            <x v="47"/>
          </reference>
        </references>
      </pivotArea>
    </format>
    <format dxfId="2593">
      <pivotArea dataOnly="0" labelOnly="1" fieldPosition="0">
        <references count="6">
          <reference field="1" count="1" selected="0">
            <x v="46"/>
          </reference>
          <reference field="2" count="1" selected="0">
            <x v="0"/>
          </reference>
          <reference field="3" count="1" selected="0">
            <x v="9"/>
          </reference>
          <reference field="4" count="1" selected="0">
            <x v="128"/>
          </reference>
          <reference field="5" count="1" selected="0">
            <x v="210"/>
          </reference>
          <reference field="6" count="1">
            <x v="47"/>
          </reference>
        </references>
      </pivotArea>
    </format>
    <format dxfId="2592">
      <pivotArea dataOnly="0" labelOnly="1" fieldPosition="0">
        <references count="6">
          <reference field="1" count="1" selected="0">
            <x v="46"/>
          </reference>
          <reference field="2" count="1" selected="0">
            <x v="0"/>
          </reference>
          <reference field="3" count="1" selected="0">
            <x v="9"/>
          </reference>
          <reference field="4" count="1" selected="0">
            <x v="128"/>
          </reference>
          <reference field="5" count="1" selected="0">
            <x v="396"/>
          </reference>
          <reference field="6" count="1">
            <x v="47"/>
          </reference>
        </references>
      </pivotArea>
    </format>
    <format dxfId="2591">
      <pivotArea dataOnly="0" labelOnly="1" fieldPosition="0">
        <references count="6">
          <reference field="1" count="1" selected="0">
            <x v="46"/>
          </reference>
          <reference field="2" count="1" selected="0">
            <x v="0"/>
          </reference>
          <reference field="3" count="1" selected="0">
            <x v="9"/>
          </reference>
          <reference field="4" count="1" selected="0">
            <x v="128"/>
          </reference>
          <reference field="5" count="1" selected="0">
            <x v="798"/>
          </reference>
          <reference field="6" count="1">
            <x v="47"/>
          </reference>
        </references>
      </pivotArea>
    </format>
    <format dxfId="2590">
      <pivotArea dataOnly="0" labelOnly="1" fieldPosition="0">
        <references count="6">
          <reference field="1" count="1" selected="0">
            <x v="46"/>
          </reference>
          <reference field="2" count="1" selected="0">
            <x v="0"/>
          </reference>
          <reference field="3" count="1" selected="0">
            <x v="9"/>
          </reference>
          <reference field="4" count="1" selected="0">
            <x v="128"/>
          </reference>
          <reference field="5" count="1" selected="0">
            <x v="818"/>
          </reference>
          <reference field="6" count="1">
            <x v="47"/>
          </reference>
        </references>
      </pivotArea>
    </format>
    <format dxfId="2589">
      <pivotArea dataOnly="0" labelOnly="1" fieldPosition="0">
        <references count="6">
          <reference field="1" count="1" selected="0">
            <x v="46"/>
          </reference>
          <reference field="2" count="1" selected="0">
            <x v="0"/>
          </reference>
          <reference field="3" count="1" selected="0">
            <x v="9"/>
          </reference>
          <reference field="4" count="1" selected="0">
            <x v="128"/>
          </reference>
          <reference field="5" count="1" selected="0">
            <x v="858"/>
          </reference>
          <reference field="6" count="1">
            <x v="47"/>
          </reference>
        </references>
      </pivotArea>
    </format>
    <format dxfId="2588">
      <pivotArea dataOnly="0" labelOnly="1" fieldPosition="0">
        <references count="6">
          <reference field="1" count="1" selected="0">
            <x v="46"/>
          </reference>
          <reference field="2" count="1" selected="0">
            <x v="0"/>
          </reference>
          <reference field="3" count="1" selected="0">
            <x v="12"/>
          </reference>
          <reference field="4" count="1" selected="0">
            <x v="39"/>
          </reference>
          <reference field="5" count="1" selected="0">
            <x v="180"/>
          </reference>
          <reference field="6" count="1">
            <x v="47"/>
          </reference>
        </references>
      </pivotArea>
    </format>
    <format dxfId="2587">
      <pivotArea dataOnly="0" labelOnly="1" fieldPosition="0">
        <references count="6">
          <reference field="1" count="1" selected="0">
            <x v="46"/>
          </reference>
          <reference field="2" count="1" selected="0">
            <x v="0"/>
          </reference>
          <reference field="3" count="1" selected="0">
            <x v="12"/>
          </reference>
          <reference field="4" count="1" selected="0">
            <x v="50"/>
          </reference>
          <reference field="5" count="1" selected="0">
            <x v="248"/>
          </reference>
          <reference field="6" count="1">
            <x v="47"/>
          </reference>
        </references>
      </pivotArea>
    </format>
    <format dxfId="2586">
      <pivotArea dataOnly="0" labelOnly="1" fieldPosition="0">
        <references count="6">
          <reference field="1" count="1" selected="0">
            <x v="46"/>
          </reference>
          <reference field="2" count="1" selected="0">
            <x v="2"/>
          </reference>
          <reference field="3" count="1" selected="0">
            <x v="8"/>
          </reference>
          <reference field="4" count="1" selected="0">
            <x v="128"/>
          </reference>
          <reference field="5" count="1" selected="0">
            <x v="910"/>
          </reference>
          <reference field="6" count="1">
            <x v="47"/>
          </reference>
        </references>
      </pivotArea>
    </format>
    <format dxfId="2585">
      <pivotArea dataOnly="0" labelOnly="1" fieldPosition="0">
        <references count="6">
          <reference field="1" count="1" selected="0">
            <x v="46"/>
          </reference>
          <reference field="2" count="1" selected="0">
            <x v="11"/>
          </reference>
          <reference field="3" count="1" selected="0">
            <x v="8"/>
          </reference>
          <reference field="4" count="1" selected="0">
            <x v="128"/>
          </reference>
          <reference field="5" count="1" selected="0">
            <x v="591"/>
          </reference>
          <reference field="6" count="1">
            <x v="47"/>
          </reference>
        </references>
      </pivotArea>
    </format>
    <format dxfId="2584">
      <pivotArea dataOnly="0" labelOnly="1" fieldPosition="0">
        <references count="6">
          <reference field="1" count="1" selected="0">
            <x v="46"/>
          </reference>
          <reference field="2" count="1" selected="0">
            <x v="15"/>
          </reference>
          <reference field="3" count="1" selected="0">
            <x v="38"/>
          </reference>
          <reference field="4" count="1" selected="0">
            <x v="128"/>
          </reference>
          <reference field="5" count="1" selected="0">
            <x v="1274"/>
          </reference>
          <reference field="6" count="1">
            <x v="47"/>
          </reference>
        </references>
      </pivotArea>
    </format>
    <format dxfId="2583">
      <pivotArea dataOnly="0" labelOnly="1" fieldPosition="0">
        <references count="6">
          <reference field="1" count="1" selected="0">
            <x v="46"/>
          </reference>
          <reference field="2" count="1" selected="0">
            <x v="19"/>
          </reference>
          <reference field="3" count="1" selected="0">
            <x v="37"/>
          </reference>
          <reference field="4" count="1" selected="0">
            <x v="128"/>
          </reference>
          <reference field="5" count="1" selected="0">
            <x v="445"/>
          </reference>
          <reference field="6" count="1">
            <x v="47"/>
          </reference>
        </references>
      </pivotArea>
    </format>
    <format dxfId="2582">
      <pivotArea dataOnly="0" labelOnly="1" fieldPosition="0">
        <references count="6">
          <reference field="1" count="1" selected="0">
            <x v="46"/>
          </reference>
          <reference field="2" count="1" selected="0">
            <x v="21"/>
          </reference>
          <reference field="3" count="1" selected="0">
            <x v="38"/>
          </reference>
          <reference field="4" count="1" selected="0">
            <x v="128"/>
          </reference>
          <reference field="5" count="1" selected="0">
            <x v="1274"/>
          </reference>
          <reference field="6" count="1">
            <x v="47"/>
          </reference>
        </references>
      </pivotArea>
    </format>
    <format dxfId="2581">
      <pivotArea dataOnly="0" labelOnly="1" fieldPosition="0">
        <references count="6">
          <reference field="1" count="1" selected="0">
            <x v="46"/>
          </reference>
          <reference field="2" count="1" selected="0">
            <x v="23"/>
          </reference>
          <reference field="3" count="1" selected="0">
            <x v="38"/>
          </reference>
          <reference field="4" count="1" selected="0">
            <x v="128"/>
          </reference>
          <reference field="5" count="1" selected="0">
            <x v="1853"/>
          </reference>
          <reference field="6" count="1">
            <x v="47"/>
          </reference>
        </references>
      </pivotArea>
    </format>
    <format dxfId="2580">
      <pivotArea dataOnly="0" labelOnly="1" fieldPosition="0">
        <references count="6">
          <reference field="1" count="1" selected="0">
            <x v="46"/>
          </reference>
          <reference field="2" count="1" selected="0">
            <x v="35"/>
          </reference>
          <reference field="3" count="1" selected="0">
            <x v="37"/>
          </reference>
          <reference field="4" count="1" selected="0">
            <x v="128"/>
          </reference>
          <reference field="5" count="1" selected="0">
            <x v="1245"/>
          </reference>
          <reference field="6" count="1">
            <x v="47"/>
          </reference>
        </references>
      </pivotArea>
    </format>
    <format dxfId="2579">
      <pivotArea dataOnly="0" labelOnly="1" fieldPosition="0">
        <references count="6">
          <reference field="1" count="1" selected="0">
            <x v="46"/>
          </reference>
          <reference field="2" count="1" selected="0">
            <x v="35"/>
          </reference>
          <reference field="3" count="1" selected="0">
            <x v="37"/>
          </reference>
          <reference field="4" count="1" selected="0">
            <x v="128"/>
          </reference>
          <reference field="5" count="1" selected="0">
            <x v="1325"/>
          </reference>
          <reference field="6" count="1">
            <x v="47"/>
          </reference>
        </references>
      </pivotArea>
    </format>
    <format dxfId="2578">
      <pivotArea dataOnly="0" labelOnly="1" fieldPosition="0">
        <references count="6">
          <reference field="1" count="1" selected="0">
            <x v="47"/>
          </reference>
          <reference field="2" count="1" selected="0">
            <x v="0"/>
          </reference>
          <reference field="3" count="1" selected="0">
            <x v="12"/>
          </reference>
          <reference field="4" count="1" selected="0">
            <x v="36"/>
          </reference>
          <reference field="5" count="1" selected="0">
            <x v="748"/>
          </reference>
          <reference field="6" count="1">
            <x v="47"/>
          </reference>
        </references>
      </pivotArea>
    </format>
    <format dxfId="2577">
      <pivotArea dataOnly="0" labelOnly="1" fieldPosition="0">
        <references count="6">
          <reference field="1" count="1" selected="0">
            <x v="48"/>
          </reference>
          <reference field="2" count="1" selected="0">
            <x v="6"/>
          </reference>
          <reference field="3" count="1" selected="0">
            <x v="37"/>
          </reference>
          <reference field="4" count="1" selected="0">
            <x v="129"/>
          </reference>
          <reference field="5" count="1" selected="0">
            <x v="1369"/>
          </reference>
          <reference field="6" count="1">
            <x v="47"/>
          </reference>
        </references>
      </pivotArea>
    </format>
    <format dxfId="2576">
      <pivotArea dataOnly="0" labelOnly="1" fieldPosition="0">
        <references count="6">
          <reference field="1" count="1" selected="0">
            <x v="48"/>
          </reference>
          <reference field="2" count="1" selected="0">
            <x v="8"/>
          </reference>
          <reference field="3" count="1" selected="0">
            <x v="37"/>
          </reference>
          <reference field="4" count="1" selected="0">
            <x v="129"/>
          </reference>
          <reference field="5" count="1" selected="0">
            <x v="1306"/>
          </reference>
          <reference field="6" count="1">
            <x v="47"/>
          </reference>
        </references>
      </pivotArea>
    </format>
    <format dxfId="2575">
      <pivotArea dataOnly="0" labelOnly="1" fieldPosition="0">
        <references count="6">
          <reference field="1" count="1" selected="0">
            <x v="48"/>
          </reference>
          <reference field="2" count="1" selected="0">
            <x v="12"/>
          </reference>
          <reference field="3" count="1" selected="0">
            <x v="1"/>
          </reference>
          <reference field="4" count="1" selected="0">
            <x v="129"/>
          </reference>
          <reference field="5" count="1" selected="0">
            <x v="80"/>
          </reference>
          <reference field="6" count="1">
            <x v="47"/>
          </reference>
        </references>
      </pivotArea>
    </format>
    <format dxfId="2574">
      <pivotArea dataOnly="0" labelOnly="1" fieldPosition="0">
        <references count="6">
          <reference field="1" count="1" selected="0">
            <x v="48"/>
          </reference>
          <reference field="2" count="1" selected="0">
            <x v="12"/>
          </reference>
          <reference field="3" count="1" selected="0">
            <x v="1"/>
          </reference>
          <reference field="4" count="1" selected="0">
            <x v="129"/>
          </reference>
          <reference field="5" count="1" selected="0">
            <x v="213"/>
          </reference>
          <reference field="6" count="1">
            <x v="47"/>
          </reference>
        </references>
      </pivotArea>
    </format>
    <format dxfId="2573">
      <pivotArea dataOnly="0" labelOnly="1" fieldPosition="0">
        <references count="6">
          <reference field="1" count="1" selected="0">
            <x v="48"/>
          </reference>
          <reference field="2" count="1" selected="0">
            <x v="12"/>
          </reference>
          <reference field="3" count="1" selected="0">
            <x v="1"/>
          </reference>
          <reference field="4" count="1" selected="0">
            <x v="129"/>
          </reference>
          <reference field="5" count="1" selected="0">
            <x v="352"/>
          </reference>
          <reference field="6" count="1">
            <x v="47"/>
          </reference>
        </references>
      </pivotArea>
    </format>
    <format dxfId="2572">
      <pivotArea dataOnly="0" labelOnly="1" fieldPosition="0">
        <references count="6">
          <reference field="1" count="1" selected="0">
            <x v="48"/>
          </reference>
          <reference field="2" count="1" selected="0">
            <x v="12"/>
          </reference>
          <reference field="3" count="1" selected="0">
            <x v="1"/>
          </reference>
          <reference field="4" count="1" selected="0">
            <x v="129"/>
          </reference>
          <reference field="5" count="1" selected="0">
            <x v="607"/>
          </reference>
          <reference field="6" count="1">
            <x v="47"/>
          </reference>
        </references>
      </pivotArea>
    </format>
    <format dxfId="2571">
      <pivotArea dataOnly="0" labelOnly="1" fieldPosition="0">
        <references count="6">
          <reference field="1" count="1" selected="0">
            <x v="48"/>
          </reference>
          <reference field="2" count="1" selected="0">
            <x v="12"/>
          </reference>
          <reference field="3" count="1" selected="0">
            <x v="1"/>
          </reference>
          <reference field="4" count="1" selected="0">
            <x v="129"/>
          </reference>
          <reference field="5" count="1" selected="0">
            <x v="702"/>
          </reference>
          <reference field="6" count="1">
            <x v="47"/>
          </reference>
        </references>
      </pivotArea>
    </format>
    <format dxfId="2570">
      <pivotArea dataOnly="0" labelOnly="1" fieldPosition="0">
        <references count="6">
          <reference field="1" count="1" selected="0">
            <x v="48"/>
          </reference>
          <reference field="2" count="1" selected="0">
            <x v="12"/>
          </reference>
          <reference field="3" count="1" selected="0">
            <x v="1"/>
          </reference>
          <reference field="4" count="1" selected="0">
            <x v="129"/>
          </reference>
          <reference field="5" count="1" selected="0">
            <x v="846"/>
          </reference>
          <reference field="6" count="1">
            <x v="47"/>
          </reference>
        </references>
      </pivotArea>
    </format>
    <format dxfId="2569">
      <pivotArea dataOnly="0" labelOnly="1" fieldPosition="0">
        <references count="6">
          <reference field="1" count="1" selected="0">
            <x v="48"/>
          </reference>
          <reference field="2" count="1" selected="0">
            <x v="12"/>
          </reference>
          <reference field="3" count="1" selected="0">
            <x v="1"/>
          </reference>
          <reference field="4" count="1" selected="0">
            <x v="129"/>
          </reference>
          <reference field="5" count="1" selected="0">
            <x v="1199"/>
          </reference>
          <reference field="6" count="1">
            <x v="47"/>
          </reference>
        </references>
      </pivotArea>
    </format>
    <format dxfId="2568">
      <pivotArea dataOnly="0" labelOnly="1" fieldPosition="0">
        <references count="6">
          <reference field="1" count="1" selected="0">
            <x v="48"/>
          </reference>
          <reference field="2" count="1" selected="0">
            <x v="19"/>
          </reference>
          <reference field="3" count="1" selected="0">
            <x v="37"/>
          </reference>
          <reference field="4" count="1" selected="0">
            <x v="129"/>
          </reference>
          <reference field="5" count="1" selected="0">
            <x v="641"/>
          </reference>
          <reference field="6" count="1">
            <x v="47"/>
          </reference>
        </references>
      </pivotArea>
    </format>
    <format dxfId="2567">
      <pivotArea dataOnly="0" labelOnly="1" fieldPosition="0">
        <references count="6">
          <reference field="1" count="1" selected="0">
            <x v="48"/>
          </reference>
          <reference field="2" count="1" selected="0">
            <x v="23"/>
          </reference>
          <reference field="3" count="1" selected="0">
            <x v="6"/>
          </reference>
          <reference field="4" count="1" selected="0">
            <x v="129"/>
          </reference>
          <reference field="5" count="1" selected="0">
            <x v="1028"/>
          </reference>
          <reference field="6" count="1">
            <x v="47"/>
          </reference>
        </references>
      </pivotArea>
    </format>
    <format dxfId="2566">
      <pivotArea dataOnly="0" labelOnly="1" fieldPosition="0">
        <references count="6">
          <reference field="1" count="1" selected="0">
            <x v="48"/>
          </reference>
          <reference field="2" count="1" selected="0">
            <x v="23"/>
          </reference>
          <reference field="3" count="1" selected="0">
            <x v="37"/>
          </reference>
          <reference field="4" count="1" selected="0">
            <x v="129"/>
          </reference>
          <reference field="5" count="1" selected="0">
            <x v="301"/>
          </reference>
          <reference field="6" count="1">
            <x v="47"/>
          </reference>
        </references>
      </pivotArea>
    </format>
    <format dxfId="2565">
      <pivotArea dataOnly="0" labelOnly="1" fieldPosition="0">
        <references count="6">
          <reference field="1" count="1" selected="0">
            <x v="48"/>
          </reference>
          <reference field="2" count="1" selected="0">
            <x v="35"/>
          </reference>
          <reference field="3" count="1" selected="0">
            <x v="1"/>
          </reference>
          <reference field="4" count="1" selected="0">
            <x v="129"/>
          </reference>
          <reference field="5" count="1" selected="0">
            <x v="213"/>
          </reference>
          <reference field="6" count="1">
            <x v="47"/>
          </reference>
        </references>
      </pivotArea>
    </format>
    <format dxfId="2564">
      <pivotArea dataOnly="0" labelOnly="1" fieldPosition="0">
        <references count="6">
          <reference field="1" count="1" selected="0">
            <x v="48"/>
          </reference>
          <reference field="2" count="1" selected="0">
            <x v="36"/>
          </reference>
          <reference field="3" count="1" selected="0">
            <x v="6"/>
          </reference>
          <reference field="4" count="1" selected="0">
            <x v="129"/>
          </reference>
          <reference field="5" count="1" selected="0">
            <x v="274"/>
          </reference>
          <reference field="6" count="1">
            <x v="47"/>
          </reference>
        </references>
      </pivotArea>
    </format>
    <format dxfId="2563">
      <pivotArea dataOnly="0" labelOnly="1" fieldPosition="0">
        <references count="6">
          <reference field="1" count="1" selected="0">
            <x v="49"/>
          </reference>
          <reference field="2" count="1" selected="0">
            <x v="0"/>
          </reference>
          <reference field="3" count="1" selected="0">
            <x v="6"/>
          </reference>
          <reference field="4" count="1" selected="0">
            <x v="130"/>
          </reference>
          <reference field="5" count="1" selected="0">
            <x v="248"/>
          </reference>
          <reference field="6" count="1">
            <x v="47"/>
          </reference>
        </references>
      </pivotArea>
    </format>
    <format dxfId="2562">
      <pivotArea dataOnly="0" labelOnly="1" fieldPosition="0">
        <references count="6">
          <reference field="1" count="1" selected="0">
            <x v="49"/>
          </reference>
          <reference field="2" count="1" selected="0">
            <x v="0"/>
          </reference>
          <reference field="3" count="1" selected="0">
            <x v="8"/>
          </reference>
          <reference field="4" count="1" selected="0">
            <x v="130"/>
          </reference>
          <reference field="5" count="1" selected="0">
            <x v="351"/>
          </reference>
          <reference field="6" count="1">
            <x v="47"/>
          </reference>
        </references>
      </pivotArea>
    </format>
    <format dxfId="2561">
      <pivotArea dataOnly="0" labelOnly="1" fieldPosition="0">
        <references count="6">
          <reference field="1" count="1" selected="0">
            <x v="49"/>
          </reference>
          <reference field="2" count="1" selected="0">
            <x v="0"/>
          </reference>
          <reference field="3" count="1" selected="0">
            <x v="8"/>
          </reference>
          <reference field="4" count="1" selected="0">
            <x v="130"/>
          </reference>
          <reference field="5" count="1" selected="0">
            <x v="809"/>
          </reference>
          <reference field="6" count="1">
            <x v="47"/>
          </reference>
        </references>
      </pivotArea>
    </format>
    <format dxfId="2560">
      <pivotArea dataOnly="0" labelOnly="1" fieldPosition="0">
        <references count="6">
          <reference field="1" count="1" selected="0">
            <x v="49"/>
          </reference>
          <reference field="2" count="1" selected="0">
            <x v="0"/>
          </reference>
          <reference field="3" count="1" selected="0">
            <x v="9"/>
          </reference>
          <reference field="4" count="1" selected="0">
            <x v="130"/>
          </reference>
          <reference field="5" count="1" selected="0">
            <x v="552"/>
          </reference>
          <reference field="6" count="1">
            <x v="47"/>
          </reference>
        </references>
      </pivotArea>
    </format>
    <format dxfId="2559">
      <pivotArea dataOnly="0" labelOnly="1" fieldPosition="0">
        <references count="6">
          <reference field="1" count="1" selected="0">
            <x v="49"/>
          </reference>
          <reference field="2" count="1" selected="0">
            <x v="0"/>
          </reference>
          <reference field="3" count="1" selected="0">
            <x v="9"/>
          </reference>
          <reference field="4" count="1" selected="0">
            <x v="130"/>
          </reference>
          <reference field="5" count="1" selected="0">
            <x v="576"/>
          </reference>
          <reference field="6" count="1">
            <x v="47"/>
          </reference>
        </references>
      </pivotArea>
    </format>
    <format dxfId="2558">
      <pivotArea dataOnly="0" labelOnly="1" fieldPosition="0">
        <references count="6">
          <reference field="1" count="1" selected="0">
            <x v="49"/>
          </reference>
          <reference field="2" count="1" selected="0">
            <x v="0"/>
          </reference>
          <reference field="3" count="1" selected="0">
            <x v="9"/>
          </reference>
          <reference field="4" count="1" selected="0">
            <x v="130"/>
          </reference>
          <reference field="5" count="1" selected="0">
            <x v="836"/>
          </reference>
          <reference field="6" count="1">
            <x v="47"/>
          </reference>
        </references>
      </pivotArea>
    </format>
    <format dxfId="2557">
      <pivotArea dataOnly="0" labelOnly="1" fieldPosition="0">
        <references count="6">
          <reference field="1" count="1" selected="0">
            <x v="49"/>
          </reference>
          <reference field="2" count="1" selected="0">
            <x v="0"/>
          </reference>
          <reference field="3" count="1" selected="0">
            <x v="9"/>
          </reference>
          <reference field="4" count="1" selected="0">
            <x v="130"/>
          </reference>
          <reference field="5" count="1" selected="0">
            <x v="1018"/>
          </reference>
          <reference field="6" count="1">
            <x v="47"/>
          </reference>
        </references>
      </pivotArea>
    </format>
    <format dxfId="2556">
      <pivotArea dataOnly="0" labelOnly="1" fieldPosition="0">
        <references count="6">
          <reference field="1" count="1" selected="0">
            <x v="49"/>
          </reference>
          <reference field="2" count="1" selected="0">
            <x v="0"/>
          </reference>
          <reference field="3" count="1" selected="0">
            <x v="12"/>
          </reference>
          <reference field="4" count="1" selected="0">
            <x v="18"/>
          </reference>
          <reference field="5" count="1" selected="0">
            <x v="20"/>
          </reference>
          <reference field="6" count="1">
            <x v="47"/>
          </reference>
        </references>
      </pivotArea>
    </format>
    <format dxfId="2555">
      <pivotArea dataOnly="0" labelOnly="1" fieldPosition="0">
        <references count="6">
          <reference field="1" count="1" selected="0">
            <x v="49"/>
          </reference>
          <reference field="2" count="1" selected="0">
            <x v="0"/>
          </reference>
          <reference field="3" count="1" selected="0">
            <x v="12"/>
          </reference>
          <reference field="4" count="1" selected="0">
            <x v="48"/>
          </reference>
          <reference field="5" count="1" selected="0">
            <x v="18"/>
          </reference>
          <reference field="6" count="1">
            <x v="47"/>
          </reference>
        </references>
      </pivotArea>
    </format>
    <format dxfId="2554">
      <pivotArea dataOnly="0" labelOnly="1" fieldPosition="0">
        <references count="6">
          <reference field="1" count="1" selected="0">
            <x v="49"/>
          </reference>
          <reference field="2" count="1" selected="0">
            <x v="0"/>
          </reference>
          <reference field="3" count="1" selected="0">
            <x v="12"/>
          </reference>
          <reference field="4" count="1" selected="0">
            <x v="58"/>
          </reference>
          <reference field="5" count="1" selected="0">
            <x v="6"/>
          </reference>
          <reference field="6" count="1">
            <x v="47"/>
          </reference>
        </references>
      </pivotArea>
    </format>
    <format dxfId="2553">
      <pivotArea dataOnly="0" labelOnly="1" fieldPosition="0">
        <references count="6">
          <reference field="1" count="1" selected="0">
            <x v="49"/>
          </reference>
          <reference field="2" count="1" selected="0">
            <x v="7"/>
          </reference>
          <reference field="3" count="1" selected="0">
            <x v="8"/>
          </reference>
          <reference field="4" count="1" selected="0">
            <x v="130"/>
          </reference>
          <reference field="5" count="1" selected="0">
            <x v="782"/>
          </reference>
          <reference field="6" count="1">
            <x v="47"/>
          </reference>
        </references>
      </pivotArea>
    </format>
    <format dxfId="2552">
      <pivotArea dataOnly="0" labelOnly="1" fieldPosition="0">
        <references count="6">
          <reference field="1" count="1" selected="0">
            <x v="49"/>
          </reference>
          <reference field="2" count="1" selected="0">
            <x v="7"/>
          </reference>
          <reference field="3" count="1" selected="0">
            <x v="10"/>
          </reference>
          <reference field="4" count="1" selected="0">
            <x v="130"/>
          </reference>
          <reference field="5" count="1" selected="0">
            <x v="607"/>
          </reference>
          <reference field="6" count="1">
            <x v="47"/>
          </reference>
        </references>
      </pivotArea>
    </format>
    <format dxfId="2551">
      <pivotArea dataOnly="0" labelOnly="1" fieldPosition="0">
        <references count="6">
          <reference field="1" count="1" selected="0">
            <x v="49"/>
          </reference>
          <reference field="2" count="1" selected="0">
            <x v="12"/>
          </reference>
          <reference field="3" count="1" selected="0">
            <x v="1"/>
          </reference>
          <reference field="4" count="1" selected="0">
            <x v="130"/>
          </reference>
          <reference field="5" count="1" selected="0">
            <x v="500"/>
          </reference>
          <reference field="6" count="1">
            <x v="47"/>
          </reference>
        </references>
      </pivotArea>
    </format>
    <format dxfId="2550">
      <pivotArea dataOnly="0" labelOnly="1" fieldPosition="0">
        <references count="6">
          <reference field="1" count="1" selected="0">
            <x v="49"/>
          </reference>
          <reference field="2" count="1" selected="0">
            <x v="12"/>
          </reference>
          <reference field="3" count="1" selected="0">
            <x v="1"/>
          </reference>
          <reference field="4" count="1" selected="0">
            <x v="130"/>
          </reference>
          <reference field="5" count="1" selected="0">
            <x v="846"/>
          </reference>
          <reference field="6" count="1">
            <x v="47"/>
          </reference>
        </references>
      </pivotArea>
    </format>
    <format dxfId="2549">
      <pivotArea dataOnly="0" labelOnly="1" fieldPosition="0">
        <references count="6">
          <reference field="1" count="1" selected="0">
            <x v="49"/>
          </reference>
          <reference field="2" count="1" selected="0">
            <x v="12"/>
          </reference>
          <reference field="3" count="1" selected="0">
            <x v="1"/>
          </reference>
          <reference field="4" count="1" selected="0">
            <x v="130"/>
          </reference>
          <reference field="5" count="1" selected="0">
            <x v="964"/>
          </reference>
          <reference field="6" count="1">
            <x v="47"/>
          </reference>
        </references>
      </pivotArea>
    </format>
    <format dxfId="2548">
      <pivotArea dataOnly="0" labelOnly="1" fieldPosition="0">
        <references count="6">
          <reference field="1" count="1" selected="0">
            <x v="49"/>
          </reference>
          <reference field="2" count="1" selected="0">
            <x v="15"/>
          </reference>
          <reference field="3" count="1" selected="0">
            <x v="37"/>
          </reference>
          <reference field="4" count="1" selected="0">
            <x v="130"/>
          </reference>
          <reference field="5" count="1" selected="0">
            <x v="1367"/>
          </reference>
          <reference field="6" count="1">
            <x v="47"/>
          </reference>
        </references>
      </pivotArea>
    </format>
    <format dxfId="2547">
      <pivotArea dataOnly="0" labelOnly="1" fieldPosition="0">
        <references count="6">
          <reference field="1" count="1" selected="0">
            <x v="49"/>
          </reference>
          <reference field="2" count="1" selected="0">
            <x v="21"/>
          </reference>
          <reference field="3" count="1" selected="0">
            <x v="37"/>
          </reference>
          <reference field="4" count="1" selected="0">
            <x v="130"/>
          </reference>
          <reference field="5" count="1" selected="0">
            <x v="755"/>
          </reference>
          <reference field="6" count="1">
            <x v="47"/>
          </reference>
        </references>
      </pivotArea>
    </format>
    <format dxfId="2546">
      <pivotArea dataOnly="0" labelOnly="1" fieldPosition="0">
        <references count="6">
          <reference field="1" count="1" selected="0">
            <x v="49"/>
          </reference>
          <reference field="2" count="1" selected="0">
            <x v="27"/>
          </reference>
          <reference field="3" count="1" selected="0">
            <x v="6"/>
          </reference>
          <reference field="4" count="1" selected="0">
            <x v="130"/>
          </reference>
          <reference field="5" count="1" selected="0">
            <x v="1442"/>
          </reference>
          <reference field="6" count="1">
            <x v="47"/>
          </reference>
        </references>
      </pivotArea>
    </format>
    <format dxfId="2545">
      <pivotArea dataOnly="0" labelOnly="1" fieldPosition="0">
        <references count="6">
          <reference field="1" count="1" selected="0">
            <x v="49"/>
          </reference>
          <reference field="2" count="1" selected="0">
            <x v="27"/>
          </reference>
          <reference field="3" count="1" selected="0">
            <x v="37"/>
          </reference>
          <reference field="4" count="1" selected="0">
            <x v="130"/>
          </reference>
          <reference field="5" count="1" selected="0">
            <x v="1335"/>
          </reference>
          <reference field="6" count="1">
            <x v="47"/>
          </reference>
        </references>
      </pivotArea>
    </format>
    <format dxfId="2544">
      <pivotArea dataOnly="0" labelOnly="1" fieldPosition="0">
        <references count="6">
          <reference field="1" count="1" selected="0">
            <x v="49"/>
          </reference>
          <reference field="2" count="1" selected="0">
            <x v="35"/>
          </reference>
          <reference field="3" count="1" selected="0">
            <x v="1"/>
          </reference>
          <reference field="4" count="1" selected="0">
            <x v="130"/>
          </reference>
          <reference field="5" count="1" selected="0">
            <x v="80"/>
          </reference>
          <reference field="6" count="1">
            <x v="47"/>
          </reference>
        </references>
      </pivotArea>
    </format>
    <format dxfId="2543">
      <pivotArea dataOnly="0" labelOnly="1" fieldPosition="0">
        <references count="6">
          <reference field="1" count="1" selected="0">
            <x v="50"/>
          </reference>
          <reference field="2" count="1" selected="0">
            <x v="0"/>
          </reference>
          <reference field="3" count="1" selected="0">
            <x v="6"/>
          </reference>
          <reference field="4" count="1" selected="0">
            <x v="131"/>
          </reference>
          <reference field="5" count="1" selected="0">
            <x v="366"/>
          </reference>
          <reference field="6" count="1">
            <x v="47"/>
          </reference>
        </references>
      </pivotArea>
    </format>
    <format dxfId="2542">
      <pivotArea dataOnly="0" labelOnly="1" fieldPosition="0">
        <references count="6">
          <reference field="1" count="1" selected="0">
            <x v="50"/>
          </reference>
          <reference field="2" count="1" selected="0">
            <x v="0"/>
          </reference>
          <reference field="3" count="1" selected="0">
            <x v="12"/>
          </reference>
          <reference field="4" count="1" selected="0">
            <x v="21"/>
          </reference>
          <reference field="5" count="1" selected="0">
            <x v="194"/>
          </reference>
          <reference field="6" count="1">
            <x v="47"/>
          </reference>
        </references>
      </pivotArea>
    </format>
    <format dxfId="2541">
      <pivotArea dataOnly="0" labelOnly="1" fieldPosition="0">
        <references count="6">
          <reference field="1" count="1" selected="0">
            <x v="50"/>
          </reference>
          <reference field="2" count="1" selected="0">
            <x v="0"/>
          </reference>
          <reference field="3" count="1" selected="0">
            <x v="12"/>
          </reference>
          <reference field="4" count="1" selected="0">
            <x v="32"/>
          </reference>
          <reference field="5" count="1" selected="0">
            <x v="391"/>
          </reference>
          <reference field="6" count="1">
            <x v="47"/>
          </reference>
        </references>
      </pivotArea>
    </format>
    <format dxfId="2540">
      <pivotArea dataOnly="0" labelOnly="1" fieldPosition="0">
        <references count="6">
          <reference field="1" count="1" selected="0">
            <x v="50"/>
          </reference>
          <reference field="2" count="1" selected="0">
            <x v="0"/>
          </reference>
          <reference field="3" count="1" selected="0">
            <x v="12"/>
          </reference>
          <reference field="4" count="1" selected="0">
            <x v="47"/>
          </reference>
          <reference field="5" count="1" selected="0">
            <x v="23"/>
          </reference>
          <reference field="6" count="1">
            <x v="47"/>
          </reference>
        </references>
      </pivotArea>
    </format>
    <format dxfId="2539">
      <pivotArea dataOnly="0" labelOnly="1" fieldPosition="0">
        <references count="6">
          <reference field="1" count="1" selected="0">
            <x v="50"/>
          </reference>
          <reference field="2" count="1" selected="0">
            <x v="0"/>
          </reference>
          <reference field="3" count="1" selected="0">
            <x v="37"/>
          </reference>
          <reference field="4" count="1" selected="0">
            <x v="131"/>
          </reference>
          <reference field="5" count="1" selected="0">
            <x v="633"/>
          </reference>
          <reference field="6" count="1">
            <x v="47"/>
          </reference>
        </references>
      </pivotArea>
    </format>
    <format dxfId="2538">
      <pivotArea dataOnly="0" labelOnly="1" fieldPosition="0">
        <references count="6">
          <reference field="1" count="1" selected="0">
            <x v="50"/>
          </reference>
          <reference field="2" count="1" selected="0">
            <x v="3"/>
          </reference>
          <reference field="3" count="1" selected="0">
            <x v="37"/>
          </reference>
          <reference field="4" count="1" selected="0">
            <x v="131"/>
          </reference>
          <reference field="5" count="1" selected="0">
            <x v="92"/>
          </reference>
          <reference field="6" count="1">
            <x v="47"/>
          </reference>
        </references>
      </pivotArea>
    </format>
    <format dxfId="2537">
      <pivotArea dataOnly="0" labelOnly="1" fieldPosition="0">
        <references count="6">
          <reference field="1" count="1" selected="0">
            <x v="50"/>
          </reference>
          <reference field="2" count="1" selected="0">
            <x v="8"/>
          </reference>
          <reference field="3" count="1" selected="0">
            <x v="37"/>
          </reference>
          <reference field="4" count="1" selected="0">
            <x v="131"/>
          </reference>
          <reference field="5" count="1" selected="0">
            <x v="1081"/>
          </reference>
          <reference field="6" count="1">
            <x v="47"/>
          </reference>
        </references>
      </pivotArea>
    </format>
    <format dxfId="2536">
      <pivotArea dataOnly="0" labelOnly="1" fieldPosition="0">
        <references count="6">
          <reference field="1" count="1" selected="0">
            <x v="50"/>
          </reference>
          <reference field="2" count="1" selected="0">
            <x v="12"/>
          </reference>
          <reference field="3" count="1" selected="0">
            <x v="1"/>
          </reference>
          <reference field="4" count="1" selected="0">
            <x v="131"/>
          </reference>
          <reference field="5" count="1" selected="0">
            <x v="213"/>
          </reference>
          <reference field="6" count="1">
            <x v="47"/>
          </reference>
        </references>
      </pivotArea>
    </format>
    <format dxfId="2535">
      <pivotArea dataOnly="0" labelOnly="1" fieldPosition="0">
        <references count="6">
          <reference field="1" count="1" selected="0">
            <x v="50"/>
          </reference>
          <reference field="2" count="1" selected="0">
            <x v="12"/>
          </reference>
          <reference field="3" count="1" selected="0">
            <x v="1"/>
          </reference>
          <reference field="4" count="1" selected="0">
            <x v="131"/>
          </reference>
          <reference field="5" count="1" selected="0">
            <x v="352"/>
          </reference>
          <reference field="6" count="1">
            <x v="47"/>
          </reference>
        </references>
      </pivotArea>
    </format>
    <format dxfId="2534">
      <pivotArea dataOnly="0" labelOnly="1" fieldPosition="0">
        <references count="6">
          <reference field="1" count="1" selected="0">
            <x v="50"/>
          </reference>
          <reference field="2" count="1" selected="0">
            <x v="12"/>
          </reference>
          <reference field="3" count="1" selected="0">
            <x v="1"/>
          </reference>
          <reference field="4" count="1" selected="0">
            <x v="131"/>
          </reference>
          <reference field="5" count="1" selected="0">
            <x v="1069"/>
          </reference>
          <reference field="6" count="1">
            <x v="47"/>
          </reference>
        </references>
      </pivotArea>
    </format>
    <format dxfId="2533">
      <pivotArea dataOnly="0" labelOnly="1" fieldPosition="0">
        <references count="6">
          <reference field="1" count="1" selected="0">
            <x v="50"/>
          </reference>
          <reference field="2" count="1" selected="0">
            <x v="14"/>
          </reference>
          <reference field="3" count="1" selected="0">
            <x v="37"/>
          </reference>
          <reference field="4" count="1" selected="0">
            <x v="131"/>
          </reference>
          <reference field="5" count="1" selected="0">
            <x v="352"/>
          </reference>
          <reference field="6" count="1">
            <x v="47"/>
          </reference>
        </references>
      </pivotArea>
    </format>
    <format dxfId="2532">
      <pivotArea dataOnly="0" labelOnly="1" fieldPosition="0">
        <references count="6">
          <reference field="1" count="1" selected="0">
            <x v="50"/>
          </reference>
          <reference field="2" count="1" selected="0">
            <x v="26"/>
          </reference>
          <reference field="3" count="1" selected="0">
            <x v="37"/>
          </reference>
          <reference field="4" count="1" selected="0">
            <x v="131"/>
          </reference>
          <reference field="5" count="1" selected="0">
            <x v="352"/>
          </reference>
          <reference field="6" count="1">
            <x v="47"/>
          </reference>
        </references>
      </pivotArea>
    </format>
    <format dxfId="2531">
      <pivotArea dataOnly="0" labelOnly="1" fieldPosition="0">
        <references count="6">
          <reference field="1" count="1" selected="0">
            <x v="50"/>
          </reference>
          <reference field="2" count="1" selected="0">
            <x v="35"/>
          </reference>
          <reference field="3" count="1" selected="0">
            <x v="1"/>
          </reference>
          <reference field="4" count="1" selected="0">
            <x v="131"/>
          </reference>
          <reference field="5" count="1" selected="0">
            <x v="213"/>
          </reference>
          <reference field="6" count="1">
            <x v="47"/>
          </reference>
        </references>
      </pivotArea>
    </format>
    <format dxfId="2530">
      <pivotArea dataOnly="0" labelOnly="1" fieldPosition="0">
        <references count="6">
          <reference field="1" count="1" selected="0">
            <x v="51"/>
          </reference>
          <reference field="2" count="1" selected="0">
            <x v="0"/>
          </reference>
          <reference field="3" count="1" selected="0">
            <x v="8"/>
          </reference>
          <reference field="4" count="1" selected="0">
            <x v="133"/>
          </reference>
          <reference field="5" count="1" selected="0">
            <x v="351"/>
          </reference>
          <reference field="6" count="1">
            <x v="47"/>
          </reference>
        </references>
      </pivotArea>
    </format>
    <format dxfId="2529">
      <pivotArea dataOnly="0" labelOnly="1" fieldPosition="0">
        <references count="6">
          <reference field="1" count="1" selected="0">
            <x v="51"/>
          </reference>
          <reference field="2" count="1" selected="0">
            <x v="0"/>
          </reference>
          <reference field="3" count="1" selected="0">
            <x v="8"/>
          </reference>
          <reference field="4" count="1" selected="0">
            <x v="133"/>
          </reference>
          <reference field="5" count="1" selected="0">
            <x v="616"/>
          </reference>
          <reference field="6" count="1">
            <x v="47"/>
          </reference>
        </references>
      </pivotArea>
    </format>
    <format dxfId="2528">
      <pivotArea dataOnly="0" labelOnly="1" fieldPosition="0">
        <references count="6">
          <reference field="1" count="1" selected="0">
            <x v="51"/>
          </reference>
          <reference field="2" count="1" selected="0">
            <x v="0"/>
          </reference>
          <reference field="3" count="1" selected="0">
            <x v="9"/>
          </reference>
          <reference field="4" count="1" selected="0">
            <x v="133"/>
          </reference>
          <reference field="5" count="1" selected="0">
            <x v="300"/>
          </reference>
          <reference field="6" count="1">
            <x v="47"/>
          </reference>
        </references>
      </pivotArea>
    </format>
    <format dxfId="2527">
      <pivotArea dataOnly="0" labelOnly="1" fieldPosition="0">
        <references count="6">
          <reference field="1" count="1" selected="0">
            <x v="51"/>
          </reference>
          <reference field="2" count="1" selected="0">
            <x v="0"/>
          </reference>
          <reference field="3" count="1" selected="0">
            <x v="9"/>
          </reference>
          <reference field="4" count="1" selected="0">
            <x v="133"/>
          </reference>
          <reference field="5" count="1" selected="0">
            <x v="502"/>
          </reference>
          <reference field="6" count="1">
            <x v="47"/>
          </reference>
        </references>
      </pivotArea>
    </format>
    <format dxfId="2526">
      <pivotArea dataOnly="0" labelOnly="1" fieldPosition="0">
        <references count="6">
          <reference field="1" count="1" selected="0">
            <x v="51"/>
          </reference>
          <reference field="2" count="1" selected="0">
            <x v="0"/>
          </reference>
          <reference field="3" count="1" selected="0">
            <x v="9"/>
          </reference>
          <reference field="4" count="1" selected="0">
            <x v="133"/>
          </reference>
          <reference field="5" count="1" selected="0">
            <x v="553"/>
          </reference>
          <reference field="6" count="1">
            <x v="47"/>
          </reference>
        </references>
      </pivotArea>
    </format>
    <format dxfId="2525">
      <pivotArea dataOnly="0" labelOnly="1" fieldPosition="0">
        <references count="6">
          <reference field="1" count="1" selected="0">
            <x v="51"/>
          </reference>
          <reference field="2" count="1" selected="0">
            <x v="0"/>
          </reference>
          <reference field="3" count="1" selected="0">
            <x v="12"/>
          </reference>
          <reference field="4" count="1" selected="0">
            <x v="50"/>
          </reference>
          <reference field="5" count="1" selected="0">
            <x v="248"/>
          </reference>
          <reference field="6" count="1">
            <x v="47"/>
          </reference>
        </references>
      </pivotArea>
    </format>
    <format dxfId="2524">
      <pivotArea dataOnly="0" labelOnly="1" fieldPosition="0">
        <references count="6">
          <reference field="1" count="1" selected="0">
            <x v="51"/>
          </reference>
          <reference field="2" count="1" selected="0">
            <x v="0"/>
          </reference>
          <reference field="3" count="1" selected="0">
            <x v="12"/>
          </reference>
          <reference field="4" count="1" selected="0">
            <x v="58"/>
          </reference>
          <reference field="5" count="1" selected="0">
            <x v="11"/>
          </reference>
          <reference field="6" count="1">
            <x v="47"/>
          </reference>
        </references>
      </pivotArea>
    </format>
    <format dxfId="2523">
      <pivotArea dataOnly="0" labelOnly="1" fieldPosition="0">
        <references count="6">
          <reference field="1" count="1" selected="0">
            <x v="51"/>
          </reference>
          <reference field="2" count="1" selected="0">
            <x v="0"/>
          </reference>
          <reference field="3" count="1" selected="0">
            <x v="18"/>
          </reference>
          <reference field="4" count="1" selected="0">
            <x v="132"/>
          </reference>
          <reference field="5" count="1" selected="0">
            <x v="302"/>
          </reference>
          <reference field="6" count="1">
            <x v="47"/>
          </reference>
        </references>
      </pivotArea>
    </format>
    <format dxfId="2522">
      <pivotArea dataOnly="0" labelOnly="1" fieldPosition="0">
        <references count="6">
          <reference field="1" count="1" selected="0">
            <x v="51"/>
          </reference>
          <reference field="2" count="1" selected="0">
            <x v="0"/>
          </reference>
          <reference field="3" count="1" selected="0">
            <x v="18"/>
          </reference>
          <reference field="4" count="1" selected="0">
            <x v="132"/>
          </reference>
          <reference field="5" count="1" selected="0">
            <x v="507"/>
          </reference>
          <reference field="6" count="1">
            <x v="47"/>
          </reference>
        </references>
      </pivotArea>
    </format>
    <format dxfId="2521">
      <pivotArea dataOnly="0" labelOnly="1" fieldPosition="0">
        <references count="6">
          <reference field="1" count="1" selected="0">
            <x v="51"/>
          </reference>
          <reference field="2" count="1" selected="0">
            <x v="0"/>
          </reference>
          <reference field="3" count="1" selected="0">
            <x v="18"/>
          </reference>
          <reference field="4" count="1" selected="0">
            <x v="132"/>
          </reference>
          <reference field="5" count="1" selected="0">
            <x v="573"/>
          </reference>
          <reference field="6" count="1">
            <x v="47"/>
          </reference>
        </references>
      </pivotArea>
    </format>
    <format dxfId="2520">
      <pivotArea dataOnly="0" labelOnly="1" fieldPosition="0">
        <references count="6">
          <reference field="1" count="1" selected="0">
            <x v="51"/>
          </reference>
          <reference field="2" count="1" selected="0">
            <x v="0"/>
          </reference>
          <reference field="3" count="1" selected="0">
            <x v="18"/>
          </reference>
          <reference field="4" count="1" selected="0">
            <x v="132"/>
          </reference>
          <reference field="5" count="1" selected="0">
            <x v="626"/>
          </reference>
          <reference field="6" count="1">
            <x v="47"/>
          </reference>
        </references>
      </pivotArea>
    </format>
    <format dxfId="2519">
      <pivotArea dataOnly="0" labelOnly="1" fieldPosition="0">
        <references count="6">
          <reference field="1" count="1" selected="0">
            <x v="51"/>
          </reference>
          <reference field="2" count="1" selected="0">
            <x v="0"/>
          </reference>
          <reference field="3" count="1" selected="0">
            <x v="18"/>
          </reference>
          <reference field="4" count="1" selected="0">
            <x v="132"/>
          </reference>
          <reference field="5" count="1" selected="0">
            <x v="637"/>
          </reference>
          <reference field="6" count="1">
            <x v="47"/>
          </reference>
        </references>
      </pivotArea>
    </format>
    <format dxfId="2518">
      <pivotArea dataOnly="0" labelOnly="1" fieldPosition="0">
        <references count="6">
          <reference field="1" count="1" selected="0">
            <x v="51"/>
          </reference>
          <reference field="2" count="1" selected="0">
            <x v="0"/>
          </reference>
          <reference field="3" count="1" selected="0">
            <x v="18"/>
          </reference>
          <reference field="4" count="1" selected="0">
            <x v="132"/>
          </reference>
          <reference field="5" count="1" selected="0">
            <x v="1030"/>
          </reference>
          <reference field="6" count="1">
            <x v="47"/>
          </reference>
        </references>
      </pivotArea>
    </format>
    <format dxfId="2517">
      <pivotArea dataOnly="0" labelOnly="1" fieldPosition="0">
        <references count="6">
          <reference field="1" count="1" selected="0">
            <x v="51"/>
          </reference>
          <reference field="2" count="1" selected="0">
            <x v="0"/>
          </reference>
          <reference field="3" count="1" selected="0">
            <x v="18"/>
          </reference>
          <reference field="4" count="1" selected="0">
            <x v="132"/>
          </reference>
          <reference field="5" count="1" selected="0">
            <x v="1196"/>
          </reference>
          <reference field="6" count="1">
            <x v="47"/>
          </reference>
        </references>
      </pivotArea>
    </format>
    <format dxfId="2516">
      <pivotArea dataOnly="0" labelOnly="1" fieldPosition="0">
        <references count="6">
          <reference field="1" count="1" selected="0">
            <x v="51"/>
          </reference>
          <reference field="2" count="1" selected="0">
            <x v="2"/>
          </reference>
          <reference field="3" count="1" selected="0">
            <x v="18"/>
          </reference>
          <reference field="4" count="1" selected="0">
            <x v="132"/>
          </reference>
          <reference field="5" count="1" selected="0">
            <x v="1821"/>
          </reference>
          <reference field="6" count="1">
            <x v="47"/>
          </reference>
        </references>
      </pivotArea>
    </format>
    <format dxfId="2515">
      <pivotArea dataOnly="0" labelOnly="1" fieldPosition="0">
        <references count="6">
          <reference field="1" count="1" selected="0">
            <x v="51"/>
          </reference>
          <reference field="2" count="1" selected="0">
            <x v="10"/>
          </reference>
          <reference field="3" count="1" selected="0">
            <x v="10"/>
          </reference>
          <reference field="4" count="1" selected="0">
            <x v="133"/>
          </reference>
          <reference field="5" count="1" selected="0">
            <x v="1758"/>
          </reference>
          <reference field="6" count="1">
            <x v="47"/>
          </reference>
        </references>
      </pivotArea>
    </format>
    <format dxfId="2514">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54"/>
          </reference>
          <reference field="6" count="1">
            <x v="47"/>
          </reference>
        </references>
      </pivotArea>
    </format>
    <format dxfId="2513">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95"/>
          </reference>
          <reference field="6" count="1">
            <x v="47"/>
          </reference>
        </references>
      </pivotArea>
    </format>
    <format dxfId="2512">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367"/>
          </reference>
          <reference field="6" count="1">
            <x v="47"/>
          </reference>
        </references>
      </pivotArea>
    </format>
    <format dxfId="2511">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468"/>
          </reference>
          <reference field="6" count="1">
            <x v="47"/>
          </reference>
        </references>
      </pivotArea>
    </format>
    <format dxfId="2510">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808"/>
          </reference>
          <reference field="6" count="1">
            <x v="47"/>
          </reference>
        </references>
      </pivotArea>
    </format>
    <format dxfId="2509">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082"/>
          </reference>
          <reference field="6" count="1">
            <x v="47"/>
          </reference>
        </references>
      </pivotArea>
    </format>
    <format dxfId="2508">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120"/>
          </reference>
          <reference field="6" count="1">
            <x v="47"/>
          </reference>
        </references>
      </pivotArea>
    </format>
    <format dxfId="2507">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215"/>
          </reference>
          <reference field="6" count="1">
            <x v="47"/>
          </reference>
        </references>
      </pivotArea>
    </format>
    <format dxfId="2506">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222"/>
          </reference>
          <reference field="6" count="1">
            <x v="47"/>
          </reference>
        </references>
      </pivotArea>
    </format>
    <format dxfId="2505">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340"/>
          </reference>
          <reference field="6" count="1">
            <x v="47"/>
          </reference>
        </references>
      </pivotArea>
    </format>
    <format dxfId="2504">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371"/>
          </reference>
          <reference field="6" count="1">
            <x v="47"/>
          </reference>
        </references>
      </pivotArea>
    </format>
    <format dxfId="2503">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431"/>
          </reference>
          <reference field="6" count="1">
            <x v="47"/>
          </reference>
        </references>
      </pivotArea>
    </format>
    <format dxfId="2502">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444"/>
          </reference>
          <reference field="6" count="1">
            <x v="47"/>
          </reference>
        </references>
      </pivotArea>
    </format>
    <format dxfId="2501">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449"/>
          </reference>
          <reference field="6" count="1">
            <x v="47"/>
          </reference>
        </references>
      </pivotArea>
    </format>
    <format dxfId="2500">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457"/>
          </reference>
          <reference field="6" count="1">
            <x v="47"/>
          </reference>
        </references>
      </pivotArea>
    </format>
    <format dxfId="2499">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475"/>
          </reference>
          <reference field="6" count="1">
            <x v="47"/>
          </reference>
        </references>
      </pivotArea>
    </format>
    <format dxfId="2498">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493"/>
          </reference>
          <reference field="6" count="1">
            <x v="47"/>
          </reference>
        </references>
      </pivotArea>
    </format>
    <format dxfId="2497">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559"/>
          </reference>
          <reference field="6" count="1">
            <x v="47"/>
          </reference>
        </references>
      </pivotArea>
    </format>
    <format dxfId="2496">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630"/>
          </reference>
          <reference field="6" count="1">
            <x v="47"/>
          </reference>
        </references>
      </pivotArea>
    </format>
    <format dxfId="2495">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637"/>
          </reference>
          <reference field="6" count="1">
            <x v="47"/>
          </reference>
        </references>
      </pivotArea>
    </format>
    <format dxfId="2494">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741"/>
          </reference>
          <reference field="6" count="1">
            <x v="47"/>
          </reference>
        </references>
      </pivotArea>
    </format>
    <format dxfId="2493">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764"/>
          </reference>
          <reference field="6" count="1">
            <x v="47"/>
          </reference>
        </references>
      </pivotArea>
    </format>
    <format dxfId="2492">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786"/>
          </reference>
          <reference field="6" count="1">
            <x v="47"/>
          </reference>
        </references>
      </pivotArea>
    </format>
    <format dxfId="2491">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808"/>
          </reference>
          <reference field="6" count="1">
            <x v="47"/>
          </reference>
        </references>
      </pivotArea>
    </format>
    <format dxfId="2490">
      <pivotArea dataOnly="0" labelOnly="1" fieldPosition="0">
        <references count="6">
          <reference field="1" count="1" selected="0">
            <x v="51"/>
          </reference>
          <reference field="2" count="1" selected="0">
            <x v="12"/>
          </reference>
          <reference field="3" count="1" selected="0">
            <x v="18"/>
          </reference>
          <reference field="4" count="1" selected="0">
            <x v="132"/>
          </reference>
          <reference field="5" count="1" selected="0">
            <x v="1816"/>
          </reference>
          <reference field="6" count="1">
            <x v="47"/>
          </reference>
        </references>
      </pivotArea>
    </format>
    <format dxfId="2489">
      <pivotArea dataOnly="0" labelOnly="1" fieldPosition="0">
        <references count="6">
          <reference field="1" count="1" selected="0">
            <x v="51"/>
          </reference>
          <reference field="2" count="1" selected="0">
            <x v="21"/>
          </reference>
          <reference field="3" count="1" selected="0">
            <x v="18"/>
          </reference>
          <reference field="4" count="1" selected="0">
            <x v="132"/>
          </reference>
          <reference field="5" count="1" selected="0">
            <x v="1501"/>
          </reference>
          <reference field="6" count="1">
            <x v="47"/>
          </reference>
        </references>
      </pivotArea>
    </format>
    <format dxfId="2488">
      <pivotArea dataOnly="0" labelOnly="1" fieldPosition="0">
        <references count="6">
          <reference field="1" count="1" selected="0">
            <x v="51"/>
          </reference>
          <reference field="2" count="1" selected="0">
            <x v="23"/>
          </reference>
          <reference field="3" count="1" selected="0">
            <x v="9"/>
          </reference>
          <reference field="4" count="1" selected="0">
            <x v="133"/>
          </reference>
          <reference field="5" count="1" selected="0">
            <x v="1318"/>
          </reference>
          <reference field="6" count="1">
            <x v="47"/>
          </reference>
        </references>
      </pivotArea>
    </format>
    <format dxfId="2487">
      <pivotArea dataOnly="0" labelOnly="1" fieldPosition="0">
        <references count="6">
          <reference field="1" count="1" selected="0">
            <x v="51"/>
          </reference>
          <reference field="2" count="1" selected="0">
            <x v="23"/>
          </reference>
          <reference field="3" count="1" selected="0">
            <x v="18"/>
          </reference>
          <reference field="4" count="1" selected="0">
            <x v="132"/>
          </reference>
          <reference field="5" count="1" selected="0">
            <x v="1613"/>
          </reference>
          <reference field="6" count="1">
            <x v="47"/>
          </reference>
        </references>
      </pivotArea>
    </format>
    <format dxfId="2486">
      <pivotArea dataOnly="0" labelOnly="1" fieldPosition="0">
        <references count="6">
          <reference field="1" count="1" selected="0">
            <x v="51"/>
          </reference>
          <reference field="2" count="1" selected="0">
            <x v="24"/>
          </reference>
          <reference field="3" count="1" selected="0">
            <x v="18"/>
          </reference>
          <reference field="4" count="1" selected="0">
            <x v="132"/>
          </reference>
          <reference field="5" count="1" selected="0">
            <x v="1451"/>
          </reference>
          <reference field="6" count="1">
            <x v="47"/>
          </reference>
        </references>
      </pivotArea>
    </format>
    <format dxfId="2485">
      <pivotArea dataOnly="0" labelOnly="1" fieldPosition="0">
        <references count="6">
          <reference field="1" count="1" selected="0">
            <x v="51"/>
          </reference>
          <reference field="2" count="1" selected="0">
            <x v="27"/>
          </reference>
          <reference field="3" count="1" selected="0">
            <x v="18"/>
          </reference>
          <reference field="4" count="1" selected="0">
            <x v="132"/>
          </reference>
          <reference field="5" count="1" selected="0">
            <x v="1020"/>
          </reference>
          <reference field="6" count="1">
            <x v="47"/>
          </reference>
        </references>
      </pivotArea>
    </format>
    <format dxfId="2484">
      <pivotArea dataOnly="0" labelOnly="1" fieldPosition="0">
        <references count="6">
          <reference field="1" count="1" selected="0">
            <x v="51"/>
          </reference>
          <reference field="2" count="1" selected="0">
            <x v="32"/>
          </reference>
          <reference field="3" count="1" selected="0">
            <x v="37"/>
          </reference>
          <reference field="4" count="1" selected="0">
            <x v="133"/>
          </reference>
          <reference field="5" count="1" selected="0">
            <x v="1274"/>
          </reference>
          <reference field="6" count="1">
            <x v="47"/>
          </reference>
        </references>
      </pivotArea>
    </format>
    <format dxfId="2483">
      <pivotArea dataOnly="0" labelOnly="1" fieldPosition="0">
        <references count="6">
          <reference field="1" count="1" selected="0">
            <x v="51"/>
          </reference>
          <reference field="2" count="1" selected="0">
            <x v="35"/>
          </reference>
          <reference field="3" count="1" selected="0">
            <x v="18"/>
          </reference>
          <reference field="4" count="1" selected="0">
            <x v="132"/>
          </reference>
          <reference field="5" count="1" selected="0">
            <x v="142"/>
          </reference>
          <reference field="6" count="1">
            <x v="47"/>
          </reference>
        </references>
      </pivotArea>
    </format>
    <format dxfId="2482">
      <pivotArea dataOnly="0" labelOnly="1" fieldPosition="0">
        <references count="6">
          <reference field="1" count="1" selected="0">
            <x v="51"/>
          </reference>
          <reference field="2" count="1" selected="0">
            <x v="35"/>
          </reference>
          <reference field="3" count="1" selected="0">
            <x v="18"/>
          </reference>
          <reference field="4" count="1" selected="0">
            <x v="132"/>
          </reference>
          <reference field="5" count="1" selected="0">
            <x v="146"/>
          </reference>
          <reference field="6" count="1">
            <x v="47"/>
          </reference>
        </references>
      </pivotArea>
    </format>
    <format dxfId="2481">
      <pivotArea dataOnly="0" labelOnly="1" fieldPosition="0">
        <references count="6">
          <reference field="1" count="1" selected="0">
            <x v="51"/>
          </reference>
          <reference field="2" count="1" selected="0">
            <x v="35"/>
          </reference>
          <reference field="3" count="1" selected="0">
            <x v="18"/>
          </reference>
          <reference field="4" count="1" selected="0">
            <x v="132"/>
          </reference>
          <reference field="5" count="1" selected="0">
            <x v="184"/>
          </reference>
          <reference field="6" count="1">
            <x v="47"/>
          </reference>
        </references>
      </pivotArea>
    </format>
    <format dxfId="2480">
      <pivotArea dataOnly="0" labelOnly="1" fieldPosition="0">
        <references count="6">
          <reference field="1" count="1" selected="0">
            <x v="51"/>
          </reference>
          <reference field="2" count="1" selected="0">
            <x v="35"/>
          </reference>
          <reference field="3" count="1" selected="0">
            <x v="18"/>
          </reference>
          <reference field="4" count="1" selected="0">
            <x v="132"/>
          </reference>
          <reference field="5" count="1" selected="0">
            <x v="211"/>
          </reference>
          <reference field="6" count="1">
            <x v="47"/>
          </reference>
        </references>
      </pivotArea>
    </format>
    <format dxfId="2479">
      <pivotArea dataOnly="0" labelOnly="1" fieldPosition="0">
        <references count="6">
          <reference field="1" count="1" selected="0">
            <x v="51"/>
          </reference>
          <reference field="2" count="1" selected="0">
            <x v="35"/>
          </reference>
          <reference field="3" count="1" selected="0">
            <x v="18"/>
          </reference>
          <reference field="4" count="1" selected="0">
            <x v="132"/>
          </reference>
          <reference field="5" count="1" selected="0">
            <x v="246"/>
          </reference>
          <reference field="6" count="1">
            <x v="47"/>
          </reference>
        </references>
      </pivotArea>
    </format>
    <format dxfId="2478">
      <pivotArea dataOnly="0" labelOnly="1" fieldPosition="0">
        <references count="6">
          <reference field="1" count="1" selected="0">
            <x v="51"/>
          </reference>
          <reference field="2" count="1" selected="0">
            <x v="35"/>
          </reference>
          <reference field="3" count="1" selected="0">
            <x v="18"/>
          </reference>
          <reference field="4" count="1" selected="0">
            <x v="132"/>
          </reference>
          <reference field="5" count="1" selected="0">
            <x v="290"/>
          </reference>
          <reference field="6" count="1">
            <x v="47"/>
          </reference>
        </references>
      </pivotArea>
    </format>
    <format dxfId="2477">
      <pivotArea dataOnly="0" labelOnly="1" fieldPosition="0">
        <references count="6">
          <reference field="1" count="1" selected="0">
            <x v="51"/>
          </reference>
          <reference field="2" count="1" selected="0">
            <x v="35"/>
          </reference>
          <reference field="3" count="1" selected="0">
            <x v="18"/>
          </reference>
          <reference field="4" count="1" selected="0">
            <x v="132"/>
          </reference>
          <reference field="5" count="1" selected="0">
            <x v="407"/>
          </reference>
          <reference field="6" count="1">
            <x v="47"/>
          </reference>
        </references>
      </pivotArea>
    </format>
    <format dxfId="2476">
      <pivotArea dataOnly="0" labelOnly="1" fieldPosition="0">
        <references count="6">
          <reference field="1" count="1" selected="0">
            <x v="51"/>
          </reference>
          <reference field="2" count="1" selected="0">
            <x v="35"/>
          </reference>
          <reference field="3" count="1" selected="0">
            <x v="18"/>
          </reference>
          <reference field="4" count="1" selected="0">
            <x v="132"/>
          </reference>
          <reference field="5" count="1" selected="0">
            <x v="436"/>
          </reference>
          <reference field="6" count="1">
            <x v="47"/>
          </reference>
        </references>
      </pivotArea>
    </format>
    <format dxfId="2475">
      <pivotArea dataOnly="0" labelOnly="1" fieldPosition="0">
        <references count="6">
          <reference field="1" count="1" selected="0">
            <x v="51"/>
          </reference>
          <reference field="2" count="1" selected="0">
            <x v="35"/>
          </reference>
          <reference field="3" count="1" selected="0">
            <x v="18"/>
          </reference>
          <reference field="4" count="1" selected="0">
            <x v="132"/>
          </reference>
          <reference field="5" count="1" selected="0">
            <x v="590"/>
          </reference>
          <reference field="6" count="1">
            <x v="47"/>
          </reference>
        </references>
      </pivotArea>
    </format>
    <format dxfId="2474">
      <pivotArea dataOnly="0" labelOnly="1" fieldPosition="0">
        <references count="6">
          <reference field="1" count="1" selected="0">
            <x v="51"/>
          </reference>
          <reference field="2" count="1" selected="0">
            <x v="35"/>
          </reference>
          <reference field="3" count="1" selected="0">
            <x v="18"/>
          </reference>
          <reference field="4" count="1" selected="0">
            <x v="132"/>
          </reference>
          <reference field="5" count="1" selected="0">
            <x v="703"/>
          </reference>
          <reference field="6" count="1">
            <x v="47"/>
          </reference>
        </references>
      </pivotArea>
    </format>
    <format dxfId="2473">
      <pivotArea dataOnly="0" labelOnly="1" fieldPosition="0">
        <references count="6">
          <reference field="1" count="1" selected="0">
            <x v="51"/>
          </reference>
          <reference field="2" count="1" selected="0">
            <x v="35"/>
          </reference>
          <reference field="3" count="1" selected="0">
            <x v="18"/>
          </reference>
          <reference field="4" count="1" selected="0">
            <x v="132"/>
          </reference>
          <reference field="5" count="1" selected="0">
            <x v="713"/>
          </reference>
          <reference field="6" count="1">
            <x v="47"/>
          </reference>
        </references>
      </pivotArea>
    </format>
    <format dxfId="2472">
      <pivotArea dataOnly="0" labelOnly="1" fieldPosition="0">
        <references count="6">
          <reference field="1" count="1" selected="0">
            <x v="51"/>
          </reference>
          <reference field="2" count="1" selected="0">
            <x v="35"/>
          </reference>
          <reference field="3" count="1" selected="0">
            <x v="18"/>
          </reference>
          <reference field="4" count="1" selected="0">
            <x v="132"/>
          </reference>
          <reference field="5" count="1" selected="0">
            <x v="822"/>
          </reference>
          <reference field="6" count="1">
            <x v="47"/>
          </reference>
        </references>
      </pivotArea>
    </format>
    <format dxfId="2471">
      <pivotArea dataOnly="0" labelOnly="1" fieldPosition="0">
        <references count="6">
          <reference field="1" count="1" selected="0">
            <x v="52"/>
          </reference>
          <reference field="2" count="1" selected="0">
            <x v="0"/>
          </reference>
          <reference field="3" count="1" selected="0">
            <x v="8"/>
          </reference>
          <reference field="4" count="1" selected="0">
            <x v="134"/>
          </reference>
          <reference field="5" count="1" selected="0">
            <x v="0"/>
          </reference>
          <reference field="6" count="1">
            <x v="14"/>
          </reference>
        </references>
      </pivotArea>
    </format>
    <format dxfId="2470">
      <pivotArea dataOnly="0" labelOnly="1" fieldPosition="0">
        <references count="6">
          <reference field="1" count="1" selected="0">
            <x v="52"/>
          </reference>
          <reference field="2" count="1" selected="0">
            <x v="0"/>
          </reference>
          <reference field="3" count="1" selected="0">
            <x v="12"/>
          </reference>
          <reference field="4" count="1" selected="0">
            <x v="17"/>
          </reference>
          <reference field="5" count="1" selected="0">
            <x v="29"/>
          </reference>
          <reference field="6" count="1">
            <x v="47"/>
          </reference>
        </references>
      </pivotArea>
    </format>
    <format dxfId="2469">
      <pivotArea dataOnly="0" labelOnly="1" fieldPosition="0">
        <references count="6">
          <reference field="1" count="1" selected="0">
            <x v="52"/>
          </reference>
          <reference field="2" count="1" selected="0">
            <x v="0"/>
          </reference>
          <reference field="3" count="1" selected="0">
            <x v="12"/>
          </reference>
          <reference field="4" count="1" selected="0">
            <x v="50"/>
          </reference>
          <reference field="5" count="1" selected="0">
            <x v="248"/>
          </reference>
          <reference field="6" count="1">
            <x v="47"/>
          </reference>
        </references>
      </pivotArea>
    </format>
    <format dxfId="2468">
      <pivotArea dataOnly="0" labelOnly="1" fieldPosition="0">
        <references count="6">
          <reference field="1" count="1" selected="0">
            <x v="52"/>
          </reference>
          <reference field="2" count="1" selected="0">
            <x v="0"/>
          </reference>
          <reference field="3" count="1" selected="0">
            <x v="12"/>
          </reference>
          <reference field="4" count="1" selected="0">
            <x v="58"/>
          </reference>
          <reference field="5" count="1" selected="0">
            <x v="6"/>
          </reference>
          <reference field="6" count="1">
            <x v="47"/>
          </reference>
        </references>
      </pivotArea>
    </format>
    <format dxfId="2467">
      <pivotArea dataOnly="0" labelOnly="1" fieldPosition="0">
        <references count="6">
          <reference field="1" count="1" selected="0">
            <x v="52"/>
          </reference>
          <reference field="2" count="1" selected="0">
            <x v="0"/>
          </reference>
          <reference field="3" count="1" selected="0">
            <x v="12"/>
          </reference>
          <reference field="4" count="1" selected="0">
            <x v="60"/>
          </reference>
          <reference field="5" count="1" selected="0">
            <x v="9"/>
          </reference>
          <reference field="6" count="1">
            <x v="47"/>
          </reference>
        </references>
      </pivotArea>
    </format>
    <format dxfId="2466">
      <pivotArea dataOnly="0" labelOnly="1" fieldPosition="0">
        <references count="6">
          <reference field="1" count="1" selected="0">
            <x v="52"/>
          </reference>
          <reference field="2" count="1" selected="0">
            <x v="3"/>
          </reference>
          <reference field="3" count="1" selected="0">
            <x v="37"/>
          </reference>
          <reference field="4" count="1" selected="0">
            <x v="134"/>
          </reference>
          <reference field="5" count="1" selected="0">
            <x v="322"/>
          </reference>
          <reference field="6" count="1">
            <x v="47"/>
          </reference>
        </references>
      </pivotArea>
    </format>
    <format dxfId="2465">
      <pivotArea dataOnly="0" labelOnly="1" fieldPosition="0">
        <references count="6">
          <reference field="1" count="1" selected="0">
            <x v="52"/>
          </reference>
          <reference field="2" count="1" selected="0">
            <x v="6"/>
          </reference>
          <reference field="3" count="1" selected="0">
            <x v="37"/>
          </reference>
          <reference field="4" count="1" selected="0">
            <x v="134"/>
          </reference>
          <reference field="5" count="1" selected="0">
            <x v="1051"/>
          </reference>
          <reference field="6" count="1">
            <x v="47"/>
          </reference>
        </references>
      </pivotArea>
    </format>
    <format dxfId="2464">
      <pivotArea dataOnly="0" labelOnly="1" fieldPosition="0">
        <references count="6">
          <reference field="1" count="1" selected="0">
            <x v="52"/>
          </reference>
          <reference field="2" count="1" selected="0">
            <x v="10"/>
          </reference>
          <reference field="3" count="1" selected="0">
            <x v="33"/>
          </reference>
          <reference field="4" count="1" selected="0">
            <x v="134"/>
          </reference>
          <reference field="5" count="1" selected="0">
            <x v="1197"/>
          </reference>
          <reference field="6" count="1">
            <x v="47"/>
          </reference>
        </references>
      </pivotArea>
    </format>
    <format dxfId="2463">
      <pivotArea dataOnly="0" labelOnly="1" fieldPosition="0">
        <references count="6">
          <reference field="1" count="1" selected="0">
            <x v="52"/>
          </reference>
          <reference field="2" count="1" selected="0">
            <x v="12"/>
          </reference>
          <reference field="3" count="1" selected="0">
            <x v="1"/>
          </reference>
          <reference field="4" count="1" selected="0">
            <x v="134"/>
          </reference>
          <reference field="5" count="1" selected="0">
            <x v="80"/>
          </reference>
          <reference field="6" count="1">
            <x v="47"/>
          </reference>
        </references>
      </pivotArea>
    </format>
    <format dxfId="2462">
      <pivotArea dataOnly="0" labelOnly="1" fieldPosition="0">
        <references count="6">
          <reference field="1" count="1" selected="0">
            <x v="52"/>
          </reference>
          <reference field="2" count="1" selected="0">
            <x v="12"/>
          </reference>
          <reference field="3" count="1" selected="0">
            <x v="1"/>
          </reference>
          <reference field="4" count="1" selected="0">
            <x v="134"/>
          </reference>
          <reference field="5" count="1" selected="0">
            <x v="213"/>
          </reference>
          <reference field="6" count="1">
            <x v="47"/>
          </reference>
        </references>
      </pivotArea>
    </format>
    <format dxfId="2461">
      <pivotArea dataOnly="0" labelOnly="1" fieldPosition="0">
        <references count="6">
          <reference field="1" count="1" selected="0">
            <x v="52"/>
          </reference>
          <reference field="2" count="1" selected="0">
            <x v="12"/>
          </reference>
          <reference field="3" count="1" selected="0">
            <x v="1"/>
          </reference>
          <reference field="4" count="1" selected="0">
            <x v="134"/>
          </reference>
          <reference field="5" count="1" selected="0">
            <x v="352"/>
          </reference>
          <reference field="6" count="1">
            <x v="47"/>
          </reference>
        </references>
      </pivotArea>
    </format>
    <format dxfId="2460">
      <pivotArea dataOnly="0" labelOnly="1" fieldPosition="0">
        <references count="6">
          <reference field="1" count="1" selected="0">
            <x v="52"/>
          </reference>
          <reference field="2" count="1" selected="0">
            <x v="12"/>
          </reference>
          <reference field="3" count="1" selected="0">
            <x v="1"/>
          </reference>
          <reference field="4" count="1" selected="0">
            <x v="134"/>
          </reference>
          <reference field="5" count="1" selected="0">
            <x v="607"/>
          </reference>
          <reference field="6" count="1">
            <x v="47"/>
          </reference>
        </references>
      </pivotArea>
    </format>
    <format dxfId="2459">
      <pivotArea dataOnly="0" labelOnly="1" fieldPosition="0">
        <references count="6">
          <reference field="1" count="1" selected="0">
            <x v="52"/>
          </reference>
          <reference field="2" count="1" selected="0">
            <x v="12"/>
          </reference>
          <reference field="3" count="1" selected="0">
            <x v="1"/>
          </reference>
          <reference field="4" count="1" selected="0">
            <x v="134"/>
          </reference>
          <reference field="5" count="1" selected="0">
            <x v="771"/>
          </reference>
          <reference field="6" count="1">
            <x v="47"/>
          </reference>
        </references>
      </pivotArea>
    </format>
    <format dxfId="2458">
      <pivotArea dataOnly="0" labelOnly="1" fieldPosition="0">
        <references count="6">
          <reference field="1" count="1" selected="0">
            <x v="52"/>
          </reference>
          <reference field="2" count="1" selected="0">
            <x v="12"/>
          </reference>
          <reference field="3" count="1" selected="0">
            <x v="1"/>
          </reference>
          <reference field="4" count="1" selected="0">
            <x v="134"/>
          </reference>
          <reference field="5" count="1" selected="0">
            <x v="964"/>
          </reference>
          <reference field="6" count="1">
            <x v="47"/>
          </reference>
        </references>
      </pivotArea>
    </format>
    <format dxfId="2457">
      <pivotArea dataOnly="0" labelOnly="1" fieldPosition="0">
        <references count="6">
          <reference field="1" count="1" selected="0">
            <x v="52"/>
          </reference>
          <reference field="2" count="1" selected="0">
            <x v="12"/>
          </reference>
          <reference field="3" count="1" selected="0">
            <x v="37"/>
          </reference>
          <reference field="4" count="1" selected="0">
            <x v="134"/>
          </reference>
          <reference field="5" count="1" selected="0">
            <x v="1244"/>
          </reference>
          <reference field="6" count="1">
            <x v="47"/>
          </reference>
        </references>
      </pivotArea>
    </format>
    <format dxfId="2456">
      <pivotArea dataOnly="0" labelOnly="1" fieldPosition="0">
        <references count="6">
          <reference field="1" count="1" selected="0">
            <x v="52"/>
          </reference>
          <reference field="2" count="1" selected="0">
            <x v="21"/>
          </reference>
          <reference field="3" count="1" selected="0">
            <x v="37"/>
          </reference>
          <reference field="4" count="1" selected="0">
            <x v="134"/>
          </reference>
          <reference field="5" count="1" selected="0">
            <x v="80"/>
          </reference>
          <reference field="6" count="1">
            <x v="47"/>
          </reference>
        </references>
      </pivotArea>
    </format>
    <format dxfId="2455">
      <pivotArea dataOnly="0" labelOnly="1" fieldPosition="0">
        <references count="6">
          <reference field="1" count="1" selected="0">
            <x v="52"/>
          </reference>
          <reference field="2" count="1" selected="0">
            <x v="23"/>
          </reference>
          <reference field="3" count="1" selected="0">
            <x v="37"/>
          </reference>
          <reference field="4" count="1" selected="0">
            <x v="134"/>
          </reference>
          <reference field="5" count="1" selected="0">
            <x v="43"/>
          </reference>
          <reference field="6" count="1">
            <x v="47"/>
          </reference>
        </references>
      </pivotArea>
    </format>
    <format dxfId="2454">
      <pivotArea dataOnly="0" labelOnly="1" fieldPosition="0">
        <references count="6">
          <reference field="1" count="1" selected="0">
            <x v="52"/>
          </reference>
          <reference field="2" count="1" selected="0">
            <x v="35"/>
          </reference>
          <reference field="3" count="1" selected="0">
            <x v="1"/>
          </reference>
          <reference field="4" count="1" selected="0">
            <x v="134"/>
          </reference>
          <reference field="5" count="1" selected="0">
            <x v="80"/>
          </reference>
          <reference field="6" count="1">
            <x v="47"/>
          </reference>
        </references>
      </pivotArea>
    </format>
    <format dxfId="2453">
      <pivotArea dataOnly="0" labelOnly="1" fieldPosition="0">
        <references count="6">
          <reference field="1" count="1" selected="0">
            <x v="52"/>
          </reference>
          <reference field="2" count="1" selected="0">
            <x v="35"/>
          </reference>
          <reference field="3" count="1" selected="0">
            <x v="37"/>
          </reference>
          <reference field="4" count="1" selected="0">
            <x v="134"/>
          </reference>
          <reference field="5" count="1" selected="0">
            <x v="51"/>
          </reference>
          <reference field="6" count="1">
            <x v="47"/>
          </reference>
        </references>
      </pivotArea>
    </format>
    <format dxfId="2452">
      <pivotArea dataOnly="0" labelOnly="1" fieldPosition="0">
        <references count="6">
          <reference field="1" count="1" selected="0">
            <x v="53"/>
          </reference>
          <reference field="2" count="1" selected="0">
            <x v="0"/>
          </reference>
          <reference field="3" count="1" selected="0">
            <x v="1"/>
          </reference>
          <reference field="4" count="1" selected="0">
            <x v="136"/>
          </reference>
          <reference field="5" count="1" selected="0">
            <x v="80"/>
          </reference>
          <reference field="6" count="1">
            <x v="47"/>
          </reference>
        </references>
      </pivotArea>
    </format>
    <format dxfId="2451">
      <pivotArea dataOnly="0" labelOnly="1" fieldPosition="0">
        <references count="6">
          <reference field="1" count="1" selected="0">
            <x v="53"/>
          </reference>
          <reference field="2" count="1" selected="0">
            <x v="0"/>
          </reference>
          <reference field="3" count="1" selected="0">
            <x v="8"/>
          </reference>
          <reference field="4" count="1" selected="0">
            <x v="136"/>
          </reference>
          <reference field="5" count="1" selected="0">
            <x v="209"/>
          </reference>
          <reference field="6" count="1">
            <x v="47"/>
          </reference>
        </references>
      </pivotArea>
    </format>
    <format dxfId="2450">
      <pivotArea dataOnly="0" labelOnly="1" fieldPosition="0">
        <references count="6">
          <reference field="1" count="1" selected="0">
            <x v="53"/>
          </reference>
          <reference field="2" count="1" selected="0">
            <x v="0"/>
          </reference>
          <reference field="3" count="1" selected="0">
            <x v="8"/>
          </reference>
          <reference field="4" count="1" selected="0">
            <x v="136"/>
          </reference>
          <reference field="5" count="1" selected="0">
            <x v="578"/>
          </reference>
          <reference field="6" count="1">
            <x v="47"/>
          </reference>
        </references>
      </pivotArea>
    </format>
    <format dxfId="2449">
      <pivotArea dataOnly="0" labelOnly="1" fieldPosition="0">
        <references count="6">
          <reference field="1" count="1" selected="0">
            <x v="53"/>
          </reference>
          <reference field="2" count="1" selected="0">
            <x v="0"/>
          </reference>
          <reference field="3" count="1" selected="0">
            <x v="8"/>
          </reference>
          <reference field="4" count="1" selected="0">
            <x v="136"/>
          </reference>
          <reference field="5" count="1" selected="0">
            <x v="694"/>
          </reference>
          <reference field="6" count="1">
            <x v="47"/>
          </reference>
        </references>
      </pivotArea>
    </format>
    <format dxfId="2448">
      <pivotArea dataOnly="0" labelOnly="1" fieldPosition="0">
        <references count="6">
          <reference field="1" count="1" selected="0">
            <x v="53"/>
          </reference>
          <reference field="2" count="1" selected="0">
            <x v="0"/>
          </reference>
          <reference field="3" count="1" selected="0">
            <x v="8"/>
          </reference>
          <reference field="4" count="1" selected="0">
            <x v="136"/>
          </reference>
          <reference field="5" count="1" selected="0">
            <x v="1289"/>
          </reference>
          <reference field="6" count="1">
            <x v="47"/>
          </reference>
        </references>
      </pivotArea>
    </format>
    <format dxfId="2447">
      <pivotArea dataOnly="0" labelOnly="1" fieldPosition="0">
        <references count="6">
          <reference field="1" count="1" selected="0">
            <x v="53"/>
          </reference>
          <reference field="2" count="1" selected="0">
            <x v="0"/>
          </reference>
          <reference field="3" count="1" selected="0">
            <x v="8"/>
          </reference>
          <reference field="4" count="1" selected="0">
            <x v="136"/>
          </reference>
          <reference field="5" count="1" selected="0">
            <x v="1470"/>
          </reference>
          <reference field="6" count="1">
            <x v="47"/>
          </reference>
        </references>
      </pivotArea>
    </format>
    <format dxfId="2446">
      <pivotArea dataOnly="0" labelOnly="1" fieldPosition="0">
        <references count="6">
          <reference field="1" count="1" selected="0">
            <x v="53"/>
          </reference>
          <reference field="2" count="1" selected="0">
            <x v="0"/>
          </reference>
          <reference field="3" count="1" selected="0">
            <x v="9"/>
          </reference>
          <reference field="4" count="1" selected="0">
            <x v="136"/>
          </reference>
          <reference field="5" count="1" selected="0">
            <x v="248"/>
          </reference>
          <reference field="6" count="1">
            <x v="47"/>
          </reference>
        </references>
      </pivotArea>
    </format>
    <format dxfId="2445">
      <pivotArea dataOnly="0" labelOnly="1" fieldPosition="0">
        <references count="6">
          <reference field="1" count="1" selected="0">
            <x v="53"/>
          </reference>
          <reference field="2" count="1" selected="0">
            <x v="0"/>
          </reference>
          <reference field="3" count="1" selected="0">
            <x v="9"/>
          </reference>
          <reference field="4" count="1" selected="0">
            <x v="136"/>
          </reference>
          <reference field="5" count="1" selected="0">
            <x v="277"/>
          </reference>
          <reference field="6" count="1">
            <x v="47"/>
          </reference>
        </references>
      </pivotArea>
    </format>
    <format dxfId="2444">
      <pivotArea dataOnly="0" labelOnly="1" fieldPosition="0">
        <references count="6">
          <reference field="1" count="1" selected="0">
            <x v="53"/>
          </reference>
          <reference field="2" count="1" selected="0">
            <x v="0"/>
          </reference>
          <reference field="3" count="1" selected="0">
            <x v="9"/>
          </reference>
          <reference field="4" count="1" selected="0">
            <x v="136"/>
          </reference>
          <reference field="5" count="1" selected="0">
            <x v="404"/>
          </reference>
          <reference field="6" count="1">
            <x v="47"/>
          </reference>
        </references>
      </pivotArea>
    </format>
    <format dxfId="2443">
      <pivotArea dataOnly="0" labelOnly="1" fieldPosition="0">
        <references count="6">
          <reference field="1" count="1" selected="0">
            <x v="53"/>
          </reference>
          <reference field="2" count="1" selected="0">
            <x v="0"/>
          </reference>
          <reference field="3" count="1" selected="0">
            <x v="9"/>
          </reference>
          <reference field="4" count="1" selected="0">
            <x v="136"/>
          </reference>
          <reference field="5" count="1" selected="0">
            <x v="726"/>
          </reference>
          <reference field="6" count="1">
            <x v="47"/>
          </reference>
        </references>
      </pivotArea>
    </format>
    <format dxfId="2442">
      <pivotArea dataOnly="0" labelOnly="1" fieldPosition="0">
        <references count="6">
          <reference field="1" count="1" selected="0">
            <x v="53"/>
          </reference>
          <reference field="2" count="1" selected="0">
            <x v="0"/>
          </reference>
          <reference field="3" count="1" selected="0">
            <x v="9"/>
          </reference>
          <reference field="4" count="1" selected="0">
            <x v="136"/>
          </reference>
          <reference field="5" count="1" selected="0">
            <x v="1145"/>
          </reference>
          <reference field="6" count="1">
            <x v="47"/>
          </reference>
        </references>
      </pivotArea>
    </format>
    <format dxfId="2441">
      <pivotArea dataOnly="0" labelOnly="1" fieldPosition="0">
        <references count="6">
          <reference field="1" count="1" selected="0">
            <x v="53"/>
          </reference>
          <reference field="2" count="1" selected="0">
            <x v="0"/>
          </reference>
          <reference field="3" count="1" selected="0">
            <x v="12"/>
          </reference>
          <reference field="4" count="1" selected="0">
            <x v="48"/>
          </reference>
          <reference field="5" count="1" selected="0">
            <x v="6"/>
          </reference>
          <reference field="6" count="1">
            <x v="47"/>
          </reference>
        </references>
      </pivotArea>
    </format>
    <format dxfId="2440">
      <pivotArea dataOnly="0" labelOnly="1" fieldPosition="0">
        <references count="6">
          <reference field="1" count="1" selected="0">
            <x v="53"/>
          </reference>
          <reference field="2" count="1" selected="0">
            <x v="0"/>
          </reference>
          <reference field="3" count="1" selected="0">
            <x v="12"/>
          </reference>
          <reference field="4" count="1" selected="0">
            <x v="55"/>
          </reference>
          <reference field="5" count="1" selected="0">
            <x v="8"/>
          </reference>
          <reference field="6" count="1">
            <x v="47"/>
          </reference>
        </references>
      </pivotArea>
    </format>
    <format dxfId="2439">
      <pivotArea dataOnly="0" labelOnly="1" fieldPosition="0">
        <references count="6">
          <reference field="1" count="1" selected="0">
            <x v="53"/>
          </reference>
          <reference field="2" count="1" selected="0">
            <x v="0"/>
          </reference>
          <reference field="3" count="1" selected="0">
            <x v="12"/>
          </reference>
          <reference field="4" count="1" selected="0">
            <x v="62"/>
          </reference>
          <reference field="5" count="1" selected="0">
            <x v="20"/>
          </reference>
          <reference field="6" count="1">
            <x v="47"/>
          </reference>
        </references>
      </pivotArea>
    </format>
    <format dxfId="2438">
      <pivotArea dataOnly="0" labelOnly="1" fieldPosition="0">
        <references count="6">
          <reference field="1" count="1" selected="0">
            <x v="53"/>
          </reference>
          <reference field="2" count="1" selected="0">
            <x v="0"/>
          </reference>
          <reference field="3" count="1" selected="0">
            <x v="12"/>
          </reference>
          <reference field="4" count="1" selected="0">
            <x v="68"/>
          </reference>
          <reference field="5" count="1" selected="0">
            <x v="18"/>
          </reference>
          <reference field="6" count="1">
            <x v="47"/>
          </reference>
        </references>
      </pivotArea>
    </format>
    <format dxfId="2437">
      <pivotArea dataOnly="0" labelOnly="1" fieldPosition="0">
        <references count="6">
          <reference field="1" count="1" selected="0">
            <x v="53"/>
          </reference>
          <reference field="2" count="1" selected="0">
            <x v="0"/>
          </reference>
          <reference field="3" count="1" selected="0">
            <x v="12"/>
          </reference>
          <reference field="4" count="1" selected="0">
            <x v="71"/>
          </reference>
          <reference field="5" count="1" selected="0">
            <x v="18"/>
          </reference>
          <reference field="6" count="1">
            <x v="47"/>
          </reference>
        </references>
      </pivotArea>
    </format>
    <format dxfId="2436">
      <pivotArea dataOnly="0" labelOnly="1" fieldPosition="0">
        <references count="6">
          <reference field="1" count="1" selected="0">
            <x v="53"/>
          </reference>
          <reference field="2" count="1" selected="0">
            <x v="2"/>
          </reference>
          <reference field="3" count="1" selected="0">
            <x v="1"/>
          </reference>
          <reference field="4" count="1" selected="0">
            <x v="136"/>
          </reference>
          <reference field="5" count="1" selected="0">
            <x v="621"/>
          </reference>
          <reference field="6" count="1">
            <x v="47"/>
          </reference>
        </references>
      </pivotArea>
    </format>
    <format dxfId="2435">
      <pivotArea dataOnly="0" labelOnly="1" fieldPosition="0">
        <references count="6">
          <reference field="1" count="1" selected="0">
            <x v="53"/>
          </reference>
          <reference field="2" count="1" selected="0">
            <x v="2"/>
          </reference>
          <reference field="3" count="1" selected="0">
            <x v="6"/>
          </reference>
          <reference field="4" count="1" selected="0">
            <x v="136"/>
          </reference>
          <reference field="5" count="1" selected="0">
            <x v="632"/>
          </reference>
          <reference field="6" count="1">
            <x v="47"/>
          </reference>
        </references>
      </pivotArea>
    </format>
    <format dxfId="2434">
      <pivotArea dataOnly="0" labelOnly="1" fieldPosition="0">
        <references count="6">
          <reference field="1" count="1" selected="0">
            <x v="53"/>
          </reference>
          <reference field="2" count="1" selected="0">
            <x v="2"/>
          </reference>
          <reference field="3" count="1" selected="0">
            <x v="8"/>
          </reference>
          <reference field="4" count="1" selected="0">
            <x v="136"/>
          </reference>
          <reference field="5" count="1" selected="0">
            <x v="1294"/>
          </reference>
          <reference field="6" count="1">
            <x v="47"/>
          </reference>
        </references>
      </pivotArea>
    </format>
    <format dxfId="2433">
      <pivotArea dataOnly="0" labelOnly="1" fieldPosition="0">
        <references count="6">
          <reference field="1" count="1" selected="0">
            <x v="53"/>
          </reference>
          <reference field="2" count="1" selected="0">
            <x v="5"/>
          </reference>
          <reference field="3" count="1" selected="0">
            <x v="1"/>
          </reference>
          <reference field="4" count="1" selected="0">
            <x v="136"/>
          </reference>
          <reference field="5" count="1" selected="0">
            <x v="1176"/>
          </reference>
          <reference field="6" count="1">
            <x v="47"/>
          </reference>
        </references>
      </pivotArea>
    </format>
    <format dxfId="2432">
      <pivotArea dataOnly="0" labelOnly="1" fieldPosition="0">
        <references count="6">
          <reference field="1" count="1" selected="0">
            <x v="53"/>
          </reference>
          <reference field="2" count="1" selected="0">
            <x v="6"/>
          </reference>
          <reference field="3" count="1" selected="0">
            <x v="37"/>
          </reference>
          <reference field="4" count="1" selected="0">
            <x v="136"/>
          </reference>
          <reference field="5" count="1" selected="0">
            <x v="500"/>
          </reference>
          <reference field="6" count="1">
            <x v="47"/>
          </reference>
        </references>
      </pivotArea>
    </format>
    <format dxfId="2431">
      <pivotArea dataOnly="0" labelOnly="1" fieldPosition="0">
        <references count="6">
          <reference field="1" count="1" selected="0">
            <x v="53"/>
          </reference>
          <reference field="2" count="1" selected="0">
            <x v="7"/>
          </reference>
          <reference field="3" count="1" selected="0">
            <x v="10"/>
          </reference>
          <reference field="4" count="1" selected="0">
            <x v="136"/>
          </reference>
          <reference field="5" count="1" selected="0">
            <x v="1715"/>
          </reference>
          <reference field="6" count="1">
            <x v="47"/>
          </reference>
        </references>
      </pivotArea>
    </format>
    <format dxfId="2430">
      <pivotArea dataOnly="0" labelOnly="1" fieldPosition="0">
        <references count="6">
          <reference field="1" count="1" selected="0">
            <x v="53"/>
          </reference>
          <reference field="2" count="1" selected="0">
            <x v="10"/>
          </reference>
          <reference field="3" count="1" selected="0">
            <x v="37"/>
          </reference>
          <reference field="4" count="1" selected="0">
            <x v="136"/>
          </reference>
          <reference field="5" count="1" selected="0">
            <x v="1563"/>
          </reference>
          <reference field="6" count="1">
            <x v="47"/>
          </reference>
        </references>
      </pivotArea>
    </format>
    <format dxfId="2429">
      <pivotArea dataOnly="0" labelOnly="1" fieldPosition="0">
        <references count="6">
          <reference field="1" count="1" selected="0">
            <x v="53"/>
          </reference>
          <reference field="2" count="1" selected="0">
            <x v="12"/>
          </reference>
          <reference field="3" count="1" selected="0">
            <x v="1"/>
          </reference>
          <reference field="4" count="1" selected="0">
            <x v="136"/>
          </reference>
          <reference field="5" count="1" selected="0">
            <x v="80"/>
          </reference>
          <reference field="6" count="1">
            <x v="47"/>
          </reference>
        </references>
      </pivotArea>
    </format>
    <format dxfId="2428">
      <pivotArea dataOnly="0" labelOnly="1" fieldPosition="0">
        <references count="6">
          <reference field="1" count="1" selected="0">
            <x v="53"/>
          </reference>
          <reference field="2" count="1" selected="0">
            <x v="12"/>
          </reference>
          <reference field="3" count="1" selected="0">
            <x v="1"/>
          </reference>
          <reference field="4" count="1" selected="0">
            <x v="136"/>
          </reference>
          <reference field="5" count="1" selected="0">
            <x v="213"/>
          </reference>
          <reference field="6" count="1">
            <x v="47"/>
          </reference>
        </references>
      </pivotArea>
    </format>
    <format dxfId="2427">
      <pivotArea dataOnly="0" labelOnly="1" fieldPosition="0">
        <references count="6">
          <reference field="1" count="1" selected="0">
            <x v="53"/>
          </reference>
          <reference field="2" count="1" selected="0">
            <x v="12"/>
          </reference>
          <reference field="3" count="1" selected="0">
            <x v="1"/>
          </reference>
          <reference field="4" count="1" selected="0">
            <x v="136"/>
          </reference>
          <reference field="5" count="1" selected="0">
            <x v="352"/>
          </reference>
          <reference field="6" count="1">
            <x v="47"/>
          </reference>
        </references>
      </pivotArea>
    </format>
    <format dxfId="2426">
      <pivotArea dataOnly="0" labelOnly="1" fieldPosition="0">
        <references count="6">
          <reference field="1" count="1" selected="0">
            <x v="53"/>
          </reference>
          <reference field="2" count="1" selected="0">
            <x v="12"/>
          </reference>
          <reference field="3" count="1" selected="0">
            <x v="1"/>
          </reference>
          <reference field="4" count="1" selected="0">
            <x v="136"/>
          </reference>
          <reference field="5" count="1" selected="0">
            <x v="500"/>
          </reference>
          <reference field="6" count="1">
            <x v="47"/>
          </reference>
        </references>
      </pivotArea>
    </format>
    <format dxfId="2425">
      <pivotArea dataOnly="0" labelOnly="1" fieldPosition="0">
        <references count="6">
          <reference field="1" count="1" selected="0">
            <x v="53"/>
          </reference>
          <reference field="2" count="1" selected="0">
            <x v="12"/>
          </reference>
          <reference field="3" count="1" selected="0">
            <x v="1"/>
          </reference>
          <reference field="4" count="1" selected="0">
            <x v="136"/>
          </reference>
          <reference field="5" count="1" selected="0">
            <x v="771"/>
          </reference>
          <reference field="6" count="1">
            <x v="47"/>
          </reference>
        </references>
      </pivotArea>
    </format>
    <format dxfId="2424">
      <pivotArea dataOnly="0" labelOnly="1" fieldPosition="0">
        <references count="6">
          <reference field="1" count="1" selected="0">
            <x v="53"/>
          </reference>
          <reference field="2" count="1" selected="0">
            <x v="15"/>
          </reference>
          <reference field="3" count="1" selected="0">
            <x v="1"/>
          </reference>
          <reference field="4" count="1" selected="0">
            <x v="136"/>
          </reference>
          <reference field="5" count="1" selected="0">
            <x v="607"/>
          </reference>
          <reference field="6" count="1">
            <x v="47"/>
          </reference>
        </references>
      </pivotArea>
    </format>
    <format dxfId="2423">
      <pivotArea dataOnly="0" labelOnly="1" fieldPosition="0">
        <references count="6">
          <reference field="1" count="1" selected="0">
            <x v="53"/>
          </reference>
          <reference field="2" count="1" selected="0">
            <x v="19"/>
          </reference>
          <reference field="3" count="1" selected="0">
            <x v="37"/>
          </reference>
          <reference field="4" count="1" selected="0">
            <x v="136"/>
          </reference>
          <reference field="5" count="1" selected="0">
            <x v="1609"/>
          </reference>
          <reference field="6" count="1">
            <x v="47"/>
          </reference>
        </references>
      </pivotArea>
    </format>
    <format dxfId="2422">
      <pivotArea dataOnly="0" labelOnly="1" fieldPosition="0">
        <references count="6">
          <reference field="1" count="1" selected="0">
            <x v="53"/>
          </reference>
          <reference field="2" count="1" selected="0">
            <x v="21"/>
          </reference>
          <reference field="3" count="1" selected="0">
            <x v="30"/>
          </reference>
          <reference field="4" count="1" selected="0">
            <x v="135"/>
          </reference>
          <reference field="5" count="1" selected="0">
            <x v="1296"/>
          </reference>
          <reference field="6" count="1">
            <x v="47"/>
          </reference>
        </references>
      </pivotArea>
    </format>
    <format dxfId="2421">
      <pivotArea dataOnly="0" labelOnly="1" fieldPosition="0">
        <references count="6">
          <reference field="1" count="1" selected="0">
            <x v="53"/>
          </reference>
          <reference field="2" count="1" selected="0">
            <x v="23"/>
          </reference>
          <reference field="3" count="1" selected="0">
            <x v="6"/>
          </reference>
          <reference field="4" count="1" selected="0">
            <x v="136"/>
          </reference>
          <reference field="5" count="1" selected="0">
            <x v="158"/>
          </reference>
          <reference field="6" count="1">
            <x v="47"/>
          </reference>
        </references>
      </pivotArea>
    </format>
    <format dxfId="2420">
      <pivotArea dataOnly="0" labelOnly="1" fieldPosition="0">
        <references count="6">
          <reference field="1" count="1" selected="0">
            <x v="53"/>
          </reference>
          <reference field="2" count="1" selected="0">
            <x v="26"/>
          </reference>
          <reference field="3" count="1" selected="0">
            <x v="1"/>
          </reference>
          <reference field="4" count="1" selected="0">
            <x v="136"/>
          </reference>
          <reference field="5" count="1" selected="0">
            <x v="109"/>
          </reference>
          <reference field="6" count="1">
            <x v="47"/>
          </reference>
        </references>
      </pivotArea>
    </format>
    <format dxfId="2419">
      <pivotArea dataOnly="0" labelOnly="1" fieldPosition="0">
        <references count="6">
          <reference field="1" count="1" selected="0">
            <x v="53"/>
          </reference>
          <reference field="2" count="1" selected="0">
            <x v="35"/>
          </reference>
          <reference field="3" count="1" selected="0">
            <x v="1"/>
          </reference>
          <reference field="4" count="1" selected="0">
            <x v="136"/>
          </reference>
          <reference field="5" count="1" selected="0">
            <x v="80"/>
          </reference>
          <reference field="6" count="1">
            <x v="47"/>
          </reference>
        </references>
      </pivotArea>
    </format>
    <format dxfId="2418">
      <pivotArea dataOnly="0" labelOnly="1" fieldPosition="0">
        <references count="6">
          <reference field="1" count="1" selected="0">
            <x v="54"/>
          </reference>
          <reference field="2" count="1" selected="0">
            <x v="0"/>
          </reference>
          <reference field="3" count="1" selected="0">
            <x v="8"/>
          </reference>
          <reference field="4" count="1" selected="0">
            <x v="137"/>
          </reference>
          <reference field="5" count="1" selected="0">
            <x v="878"/>
          </reference>
          <reference field="6" count="1">
            <x v="47"/>
          </reference>
        </references>
      </pivotArea>
    </format>
    <format dxfId="2417">
      <pivotArea dataOnly="0" labelOnly="1" fieldPosition="0">
        <references count="6">
          <reference field="1" count="1" selected="0">
            <x v="54"/>
          </reference>
          <reference field="2" count="1" selected="0">
            <x v="0"/>
          </reference>
          <reference field="3" count="1" selected="0">
            <x v="9"/>
          </reference>
          <reference field="4" count="1" selected="0">
            <x v="137"/>
          </reference>
          <reference field="5" count="1" selected="0">
            <x v="513"/>
          </reference>
          <reference field="6" count="1">
            <x v="47"/>
          </reference>
        </references>
      </pivotArea>
    </format>
    <format dxfId="2416">
      <pivotArea dataOnly="0" labelOnly="1" fieldPosition="0">
        <references count="6">
          <reference field="1" count="1" selected="0">
            <x v="54"/>
          </reference>
          <reference field="2" count="1" selected="0">
            <x v="0"/>
          </reference>
          <reference field="3" count="1" selected="0">
            <x v="9"/>
          </reference>
          <reference field="4" count="1" selected="0">
            <x v="137"/>
          </reference>
          <reference field="5" count="1" selected="0">
            <x v="1151"/>
          </reference>
          <reference field="6" count="1">
            <x v="47"/>
          </reference>
        </references>
      </pivotArea>
    </format>
    <format dxfId="2415">
      <pivotArea dataOnly="0" labelOnly="1" fieldPosition="0">
        <references count="6">
          <reference field="1" count="1" selected="0">
            <x v="54"/>
          </reference>
          <reference field="2" count="1" selected="0">
            <x v="0"/>
          </reference>
          <reference field="3" count="1" selected="0">
            <x v="12"/>
          </reference>
          <reference field="4" count="1" selected="0">
            <x v="35"/>
          </reference>
          <reference field="5" count="1" selected="0">
            <x v="9"/>
          </reference>
          <reference field="6" count="1">
            <x v="47"/>
          </reference>
        </references>
      </pivotArea>
    </format>
    <format dxfId="2414">
      <pivotArea dataOnly="0" labelOnly="1" fieldPosition="0">
        <references count="6">
          <reference field="1" count="1" selected="0">
            <x v="54"/>
          </reference>
          <reference field="2" count="1" selected="0">
            <x v="0"/>
          </reference>
          <reference field="3" count="1" selected="0">
            <x v="12"/>
          </reference>
          <reference field="4" count="1" selected="0">
            <x v="47"/>
          </reference>
          <reference field="5" count="1" selected="0">
            <x v="61"/>
          </reference>
          <reference field="6" count="1">
            <x v="47"/>
          </reference>
        </references>
      </pivotArea>
    </format>
    <format dxfId="2413">
      <pivotArea dataOnly="0" labelOnly="1" fieldPosition="0">
        <references count="6">
          <reference field="1" count="1" selected="0">
            <x v="54"/>
          </reference>
          <reference field="2" count="1" selected="0">
            <x v="0"/>
          </reference>
          <reference field="3" count="1" selected="0">
            <x v="12"/>
          </reference>
          <reference field="4" count="1" selected="0">
            <x v="49"/>
          </reference>
          <reference field="5" count="1" selected="0">
            <x v="20"/>
          </reference>
          <reference field="6" count="1">
            <x v="47"/>
          </reference>
        </references>
      </pivotArea>
    </format>
    <format dxfId="2412">
      <pivotArea dataOnly="0" labelOnly="1" fieldPosition="0">
        <references count="6">
          <reference field="1" count="1" selected="0">
            <x v="54"/>
          </reference>
          <reference field="2" count="1" selected="0">
            <x v="0"/>
          </reference>
          <reference field="3" count="1" selected="0">
            <x v="12"/>
          </reference>
          <reference field="4" count="1" selected="0">
            <x v="60"/>
          </reference>
          <reference field="5" count="1" selected="0">
            <x v="138"/>
          </reference>
          <reference field="6" count="1">
            <x v="47"/>
          </reference>
        </references>
      </pivotArea>
    </format>
    <format dxfId="2411">
      <pivotArea dataOnly="0" labelOnly="1" fieldPosition="0">
        <references count="6">
          <reference field="1" count="1" selected="0">
            <x v="54"/>
          </reference>
          <reference field="2" count="1" selected="0">
            <x v="0"/>
          </reference>
          <reference field="3" count="1" selected="0">
            <x v="12"/>
          </reference>
          <reference field="4" count="1" selected="0">
            <x v="68"/>
          </reference>
          <reference field="5" count="1" selected="0">
            <x v="18"/>
          </reference>
          <reference field="6" count="1">
            <x v="47"/>
          </reference>
        </references>
      </pivotArea>
    </format>
    <format dxfId="2410">
      <pivotArea dataOnly="0" labelOnly="1" fieldPosition="0">
        <references count="6">
          <reference field="1" count="1" selected="0">
            <x v="54"/>
          </reference>
          <reference field="2" count="1" selected="0">
            <x v="0"/>
          </reference>
          <reference field="3" count="1" selected="0">
            <x v="38"/>
          </reference>
          <reference field="4" count="1" selected="0">
            <x v="137"/>
          </reference>
          <reference field="5" count="1" selected="0">
            <x v="1170"/>
          </reference>
          <reference field="6" count="1">
            <x v="47"/>
          </reference>
        </references>
      </pivotArea>
    </format>
    <format dxfId="2409">
      <pivotArea dataOnly="0" labelOnly="1" fieldPosition="0">
        <references count="6">
          <reference field="1" count="1" selected="0">
            <x v="54"/>
          </reference>
          <reference field="2" count="1" selected="0">
            <x v="0"/>
          </reference>
          <reference field="3" count="1" selected="0">
            <x v="38"/>
          </reference>
          <reference field="4" count="1" selected="0">
            <x v="137"/>
          </reference>
          <reference field="5" count="1" selected="0">
            <x v="1216"/>
          </reference>
          <reference field="6" count="1">
            <x v="47"/>
          </reference>
        </references>
      </pivotArea>
    </format>
    <format dxfId="2408">
      <pivotArea dataOnly="0" labelOnly="1" fieldPosition="0">
        <references count="6">
          <reference field="1" count="1" selected="0">
            <x v="54"/>
          </reference>
          <reference field="2" count="1" selected="0">
            <x v="6"/>
          </reference>
          <reference field="3" count="1" selected="0">
            <x v="37"/>
          </reference>
          <reference field="4" count="1" selected="0">
            <x v="137"/>
          </reference>
          <reference field="5" count="1" selected="0">
            <x v="817"/>
          </reference>
          <reference field="6" count="1">
            <x v="47"/>
          </reference>
        </references>
      </pivotArea>
    </format>
    <format dxfId="2407">
      <pivotArea dataOnly="0" labelOnly="1" fieldPosition="0">
        <references count="6">
          <reference field="1" count="1" selected="0">
            <x v="54"/>
          </reference>
          <reference field="2" count="1" selected="0">
            <x v="8"/>
          </reference>
          <reference field="3" count="1" selected="0">
            <x v="37"/>
          </reference>
          <reference field="4" count="1" selected="0">
            <x v="137"/>
          </reference>
          <reference field="5" count="1" selected="0">
            <x v="1094"/>
          </reference>
          <reference field="6" count="1">
            <x v="47"/>
          </reference>
        </references>
      </pivotArea>
    </format>
    <format dxfId="2406">
      <pivotArea dataOnly="0" labelOnly="1" fieldPosition="0">
        <references count="6">
          <reference field="1" count="1" selected="0">
            <x v="54"/>
          </reference>
          <reference field="2" count="1" selected="0">
            <x v="12"/>
          </reference>
          <reference field="3" count="1" selected="0">
            <x v="1"/>
          </reference>
          <reference field="4" count="1" selected="0">
            <x v="137"/>
          </reference>
          <reference field="5" count="1" selected="0">
            <x v="213"/>
          </reference>
          <reference field="6" count="1">
            <x v="47"/>
          </reference>
        </references>
      </pivotArea>
    </format>
    <format dxfId="2405">
      <pivotArea dataOnly="0" labelOnly="1" fieldPosition="0">
        <references count="6">
          <reference field="1" count="1" selected="0">
            <x v="54"/>
          </reference>
          <reference field="2" count="1" selected="0">
            <x v="17"/>
          </reference>
          <reference field="3" count="1" selected="0">
            <x v="8"/>
          </reference>
          <reference field="4" count="1" selected="0">
            <x v="137"/>
          </reference>
          <reference field="5" count="1" selected="0">
            <x v="1530"/>
          </reference>
          <reference field="6" count="1">
            <x v="47"/>
          </reference>
        </references>
      </pivotArea>
    </format>
    <format dxfId="2404">
      <pivotArea dataOnly="0" labelOnly="1" fieldPosition="0">
        <references count="6">
          <reference field="1" count="1" selected="0">
            <x v="54"/>
          </reference>
          <reference field="2" count="1" selected="0">
            <x v="17"/>
          </reference>
          <reference field="3" count="1" selected="0">
            <x v="9"/>
          </reference>
          <reference field="4" count="1" selected="0">
            <x v="137"/>
          </reference>
          <reference field="5" count="1" selected="0">
            <x v="526"/>
          </reference>
          <reference field="6" count="1">
            <x v="47"/>
          </reference>
        </references>
      </pivotArea>
    </format>
    <format dxfId="2403">
      <pivotArea dataOnly="0" labelOnly="1" fieldPosition="0">
        <references count="6">
          <reference field="1" count="1" selected="0">
            <x v="54"/>
          </reference>
          <reference field="2" count="1" selected="0">
            <x v="19"/>
          </reference>
          <reference field="3" count="1" selected="0">
            <x v="7"/>
          </reference>
          <reference field="4" count="1" selected="0">
            <x v="137"/>
          </reference>
          <reference field="5" count="1" selected="0">
            <x v="1872"/>
          </reference>
          <reference field="6" count="1">
            <x v="47"/>
          </reference>
        </references>
      </pivotArea>
    </format>
    <format dxfId="2402">
      <pivotArea dataOnly="0" labelOnly="1" fieldPosition="0">
        <references count="6">
          <reference field="1" count="1" selected="0">
            <x v="54"/>
          </reference>
          <reference field="2" count="1" selected="0">
            <x v="22"/>
          </reference>
          <reference field="3" count="1" selected="0">
            <x v="38"/>
          </reference>
          <reference field="4" count="1" selected="0">
            <x v="137"/>
          </reference>
          <reference field="5" count="1" selected="0">
            <x v="1825"/>
          </reference>
          <reference field="6" count="1">
            <x v="47"/>
          </reference>
        </references>
      </pivotArea>
    </format>
    <format dxfId="2401">
      <pivotArea dataOnly="0" labelOnly="1" fieldPosition="0">
        <references count="6">
          <reference field="1" count="1" selected="0">
            <x v="54"/>
          </reference>
          <reference field="2" count="1" selected="0">
            <x v="27"/>
          </reference>
          <reference field="3" count="1" selected="0">
            <x v="37"/>
          </reference>
          <reference field="4" count="1" selected="0">
            <x v="137"/>
          </reference>
          <reference field="5" count="1" selected="0">
            <x v="903"/>
          </reference>
          <reference field="6" count="1">
            <x v="47"/>
          </reference>
        </references>
      </pivotArea>
    </format>
    <format dxfId="2400">
      <pivotArea dataOnly="0" labelOnly="1" fieldPosition="0">
        <references count="6">
          <reference field="1" count="1" selected="0">
            <x v="54"/>
          </reference>
          <reference field="2" count="1" selected="0">
            <x v="35"/>
          </reference>
          <reference field="3" count="1" selected="0">
            <x v="1"/>
          </reference>
          <reference field="4" count="1" selected="0">
            <x v="137"/>
          </reference>
          <reference field="5" count="1" selected="0">
            <x v="80"/>
          </reference>
          <reference field="6" count="1">
            <x v="47"/>
          </reference>
        </references>
      </pivotArea>
    </format>
    <format dxfId="2399">
      <pivotArea dataOnly="0" labelOnly="1" fieldPosition="0">
        <references count="6">
          <reference field="1" count="1" selected="0">
            <x v="54"/>
          </reference>
          <reference field="2" count="1" selected="0">
            <x v="35"/>
          </reference>
          <reference field="3" count="1" selected="0">
            <x v="38"/>
          </reference>
          <reference field="4" count="1" selected="0">
            <x v="137"/>
          </reference>
          <reference field="5" count="1" selected="0">
            <x v="1069"/>
          </reference>
          <reference field="6" count="1">
            <x v="47"/>
          </reference>
        </references>
      </pivotArea>
    </format>
    <format dxfId="2398">
      <pivotArea dataOnly="0" labelOnly="1" fieldPosition="0">
        <references count="6">
          <reference field="1" count="1" selected="0">
            <x v="54"/>
          </reference>
          <reference field="2" count="1" selected="0">
            <x v="35"/>
          </reference>
          <reference field="3" count="1" selected="0">
            <x v="38"/>
          </reference>
          <reference field="4" count="1" selected="0">
            <x v="137"/>
          </reference>
          <reference field="5" count="1" selected="0">
            <x v="1656"/>
          </reference>
          <reference field="6" count="1">
            <x v="47"/>
          </reference>
        </references>
      </pivotArea>
    </format>
    <format dxfId="2397">
      <pivotArea dataOnly="0" labelOnly="1" fieldPosition="0">
        <references count="6">
          <reference field="1" count="1" selected="0">
            <x v="55"/>
          </reference>
          <reference field="2" count="1" selected="0">
            <x v="0"/>
          </reference>
          <reference field="3" count="1" selected="0">
            <x v="12"/>
          </reference>
          <reference field="4" count="1" selected="0">
            <x v="32"/>
          </reference>
          <reference field="5" count="1" selected="0">
            <x v="391"/>
          </reference>
          <reference field="6" count="1">
            <x v="47"/>
          </reference>
        </references>
      </pivotArea>
    </format>
    <format dxfId="2396">
      <pivotArea dataOnly="0" labelOnly="1" fieldPosition="0">
        <references count="6">
          <reference field="1" count="1" selected="0">
            <x v="55"/>
          </reference>
          <reference field="2" count="1" selected="0">
            <x v="0"/>
          </reference>
          <reference field="3" count="1" selected="0">
            <x v="12"/>
          </reference>
          <reference field="4" count="1" selected="0">
            <x v="39"/>
          </reference>
          <reference field="5" count="1" selected="0">
            <x v="180"/>
          </reference>
          <reference field="6" count="1">
            <x v="47"/>
          </reference>
        </references>
      </pivotArea>
    </format>
    <format dxfId="2395">
      <pivotArea dataOnly="0" labelOnly="1" fieldPosition="0">
        <references count="6">
          <reference field="1" count="1" selected="0">
            <x v="55"/>
          </reference>
          <reference field="2" count="1" selected="0">
            <x v="0"/>
          </reference>
          <reference field="3" count="1" selected="0">
            <x v="12"/>
          </reference>
          <reference field="4" count="1" selected="0">
            <x v="42"/>
          </reference>
          <reference field="5" count="1" selected="0">
            <x v="69"/>
          </reference>
          <reference field="6" count="1">
            <x v="47"/>
          </reference>
        </references>
      </pivotArea>
    </format>
    <format dxfId="2394">
      <pivotArea dataOnly="0" labelOnly="1" fieldPosition="0">
        <references count="6">
          <reference field="1" count="1" selected="0">
            <x v="55"/>
          </reference>
          <reference field="2" count="1" selected="0">
            <x v="0"/>
          </reference>
          <reference field="3" count="1" selected="0">
            <x v="12"/>
          </reference>
          <reference field="4" count="1" selected="0">
            <x v="46"/>
          </reference>
          <reference field="5" count="1" selected="0">
            <x v="325"/>
          </reference>
          <reference field="6" count="1">
            <x v="47"/>
          </reference>
        </references>
      </pivotArea>
    </format>
    <format dxfId="2393">
      <pivotArea dataOnly="0" labelOnly="1" fieldPosition="0">
        <references count="6">
          <reference field="1" count="1" selected="0">
            <x v="55"/>
          </reference>
          <reference field="2" count="1" selected="0">
            <x v="12"/>
          </reference>
          <reference field="3" count="1" selected="0">
            <x v="1"/>
          </reference>
          <reference field="4" count="1" selected="0">
            <x v="138"/>
          </reference>
          <reference field="5" count="1" selected="0">
            <x v="213"/>
          </reference>
          <reference field="6" count="1">
            <x v="47"/>
          </reference>
        </references>
      </pivotArea>
    </format>
    <format dxfId="2392">
      <pivotArea dataOnly="0" labelOnly="1" fieldPosition="0">
        <references count="6">
          <reference field="1" count="1" selected="0">
            <x v="55"/>
          </reference>
          <reference field="2" count="1" selected="0">
            <x v="15"/>
          </reference>
          <reference field="3" count="1" selected="0">
            <x v="6"/>
          </reference>
          <reference field="4" count="1" selected="0">
            <x v="138"/>
          </reference>
          <reference field="5" count="1" selected="0">
            <x v="22"/>
          </reference>
          <reference field="6" count="1">
            <x v="47"/>
          </reference>
        </references>
      </pivotArea>
    </format>
    <format dxfId="2391">
      <pivotArea dataOnly="0" labelOnly="1" fieldPosition="0">
        <references count="6">
          <reference field="1" count="1" selected="0">
            <x v="55"/>
          </reference>
          <reference field="2" count="1" selected="0">
            <x v="26"/>
          </reference>
          <reference field="3" count="1" selected="0">
            <x v="38"/>
          </reference>
          <reference field="4" count="1" selected="0">
            <x v="138"/>
          </reference>
          <reference field="5" count="1" selected="0">
            <x v="539"/>
          </reference>
          <reference field="6" count="1">
            <x v="47"/>
          </reference>
        </references>
      </pivotArea>
    </format>
    <format dxfId="2390">
      <pivotArea dataOnly="0" labelOnly="1" fieldPosition="0">
        <references count="6">
          <reference field="1" count="1" selected="0">
            <x v="55"/>
          </reference>
          <reference field="2" count="1" selected="0">
            <x v="27"/>
          </reference>
          <reference field="3" count="1" selected="0">
            <x v="37"/>
          </reference>
          <reference field="4" count="1" selected="0">
            <x v="138"/>
          </reference>
          <reference field="5" count="1" selected="0">
            <x v="1098"/>
          </reference>
          <reference field="6" count="1">
            <x v="47"/>
          </reference>
        </references>
      </pivotArea>
    </format>
    <format dxfId="2389">
      <pivotArea dataOnly="0" labelOnly="1" fieldPosition="0">
        <references count="6">
          <reference field="1" count="1" selected="0">
            <x v="55"/>
          </reference>
          <reference field="2" count="1" selected="0">
            <x v="32"/>
          </reference>
          <reference field="3" count="1" selected="0">
            <x v="9"/>
          </reference>
          <reference field="4" count="1" selected="0">
            <x v="138"/>
          </reference>
          <reference field="5" count="1" selected="0">
            <x v="1793"/>
          </reference>
          <reference field="6" count="1">
            <x v="47"/>
          </reference>
        </references>
      </pivotArea>
    </format>
    <format dxfId="2388">
      <pivotArea dataOnly="0" labelOnly="1" fieldPosition="0">
        <references count="6">
          <reference field="1" count="1" selected="0">
            <x v="55"/>
          </reference>
          <reference field="2" count="1" selected="0">
            <x v="35"/>
          </reference>
          <reference field="3" count="1" selected="0">
            <x v="37"/>
          </reference>
          <reference field="4" count="1" selected="0">
            <x v="138"/>
          </reference>
          <reference field="5" count="1" selected="0">
            <x v="1319"/>
          </reference>
          <reference field="6" count="1">
            <x v="47"/>
          </reference>
        </references>
      </pivotArea>
    </format>
    <format dxfId="2387">
      <pivotArea dataOnly="0" labelOnly="1" fieldPosition="0">
        <references count="6">
          <reference field="1" count="1" selected="0">
            <x v="55"/>
          </reference>
          <reference field="2" count="1" selected="0">
            <x v="35"/>
          </reference>
          <reference field="3" count="1" selected="0">
            <x v="37"/>
          </reference>
          <reference field="4" count="1" selected="0">
            <x v="138"/>
          </reference>
          <reference field="5" count="1" selected="0">
            <x v="1354"/>
          </reference>
          <reference field="6" count="1">
            <x v="47"/>
          </reference>
        </references>
      </pivotArea>
    </format>
    <format dxfId="2386">
      <pivotArea dataOnly="0" labelOnly="1" fieldPosition="0">
        <references count="6">
          <reference field="1" count="1" selected="0">
            <x v="55"/>
          </reference>
          <reference field="2" count="1" selected="0">
            <x v="36"/>
          </reference>
          <reference field="3" count="1" selected="0">
            <x v="6"/>
          </reference>
          <reference field="4" count="1" selected="0">
            <x v="138"/>
          </reference>
          <reference field="5" count="1" selected="0">
            <x v="890"/>
          </reference>
          <reference field="6" count="1">
            <x v="47"/>
          </reference>
        </references>
      </pivotArea>
    </format>
    <format dxfId="2385">
      <pivotArea dataOnly="0" labelOnly="1" fieldPosition="0">
        <references count="6">
          <reference field="1" count="1" selected="0">
            <x v="55"/>
          </reference>
          <reference field="2" count="1" selected="0">
            <x v="38"/>
          </reference>
          <reference field="3" count="1" selected="0">
            <x v="37"/>
          </reference>
          <reference field="4" count="1" selected="0">
            <x v="138"/>
          </reference>
          <reference field="5" count="1" selected="0">
            <x v="33"/>
          </reference>
          <reference field="6" count="1">
            <x v="47"/>
          </reference>
        </references>
      </pivotArea>
    </format>
    <format dxfId="2384">
      <pivotArea dataOnly="0" labelOnly="1" fieldPosition="0">
        <references count="6">
          <reference field="1" count="1" selected="0">
            <x v="56"/>
          </reference>
          <reference field="2" count="1" selected="0">
            <x v="0"/>
          </reference>
          <reference field="3" count="1" selected="0">
            <x v="8"/>
          </reference>
          <reference field="4" count="1" selected="0">
            <x v="139"/>
          </reference>
          <reference field="5" count="1" selected="0">
            <x v="37"/>
          </reference>
          <reference field="6" count="1">
            <x v="47"/>
          </reference>
        </references>
      </pivotArea>
    </format>
    <format dxfId="2383">
      <pivotArea dataOnly="0" labelOnly="1" fieldPosition="0">
        <references count="6">
          <reference field="1" count="1" selected="0">
            <x v="56"/>
          </reference>
          <reference field="2" count="1" selected="0">
            <x v="0"/>
          </reference>
          <reference field="3" count="1" selected="0">
            <x v="8"/>
          </reference>
          <reference field="4" count="1" selected="0">
            <x v="139"/>
          </reference>
          <reference field="5" count="1" selected="0">
            <x v="95"/>
          </reference>
          <reference field="6" count="1">
            <x v="47"/>
          </reference>
        </references>
      </pivotArea>
    </format>
    <format dxfId="2382">
      <pivotArea dataOnly="0" labelOnly="1" fieldPosition="0">
        <references count="6">
          <reference field="1" count="1" selected="0">
            <x v="56"/>
          </reference>
          <reference field="2" count="1" selected="0">
            <x v="0"/>
          </reference>
          <reference field="3" count="1" selected="0">
            <x v="8"/>
          </reference>
          <reference field="4" count="1" selected="0">
            <x v="139"/>
          </reference>
          <reference field="5" count="1" selected="0">
            <x v="215"/>
          </reference>
          <reference field="6" count="1">
            <x v="47"/>
          </reference>
        </references>
      </pivotArea>
    </format>
    <format dxfId="2381">
      <pivotArea dataOnly="0" labelOnly="1" fieldPosition="0">
        <references count="6">
          <reference field="1" count="1" selected="0">
            <x v="56"/>
          </reference>
          <reference field="2" count="1" selected="0">
            <x v="0"/>
          </reference>
          <reference field="3" count="1" selected="0">
            <x v="8"/>
          </reference>
          <reference field="4" count="1" selected="0">
            <x v="139"/>
          </reference>
          <reference field="5" count="1" selected="0">
            <x v="760"/>
          </reference>
          <reference field="6" count="1">
            <x v="47"/>
          </reference>
        </references>
      </pivotArea>
    </format>
    <format dxfId="2380">
      <pivotArea dataOnly="0" labelOnly="1" fieldPosition="0">
        <references count="6">
          <reference field="1" count="1" selected="0">
            <x v="56"/>
          </reference>
          <reference field="2" count="1" selected="0">
            <x v="0"/>
          </reference>
          <reference field="3" count="1" selected="0">
            <x v="9"/>
          </reference>
          <reference field="4" count="1" selected="0">
            <x v="139"/>
          </reference>
          <reference field="5" count="1" selected="0">
            <x v="523"/>
          </reference>
          <reference field="6" count="1">
            <x v="47"/>
          </reference>
        </references>
      </pivotArea>
    </format>
    <format dxfId="2379">
      <pivotArea dataOnly="0" labelOnly="1" fieldPosition="0">
        <references count="6">
          <reference field="1" count="1" selected="0">
            <x v="56"/>
          </reference>
          <reference field="2" count="1" selected="0">
            <x v="0"/>
          </reference>
          <reference field="3" count="1" selected="0">
            <x v="9"/>
          </reference>
          <reference field="4" count="1" selected="0">
            <x v="139"/>
          </reference>
          <reference field="5" count="1" selected="0">
            <x v="544"/>
          </reference>
          <reference field="6" count="1">
            <x v="47"/>
          </reference>
        </references>
      </pivotArea>
    </format>
    <format dxfId="2378">
      <pivotArea dataOnly="0" labelOnly="1" fieldPosition="0">
        <references count="6">
          <reference field="1" count="1" selected="0">
            <x v="56"/>
          </reference>
          <reference field="2" count="1" selected="0">
            <x v="0"/>
          </reference>
          <reference field="3" count="1" selected="0">
            <x v="12"/>
          </reference>
          <reference field="4" count="1" selected="0">
            <x v="18"/>
          </reference>
          <reference field="5" count="1" selected="0">
            <x v="35"/>
          </reference>
          <reference field="6" count="1">
            <x v="47"/>
          </reference>
        </references>
      </pivotArea>
    </format>
    <format dxfId="2377">
      <pivotArea dataOnly="0" labelOnly="1" fieldPosition="0">
        <references count="6">
          <reference field="1" count="1" selected="0">
            <x v="56"/>
          </reference>
          <reference field="2" count="1" selected="0">
            <x v="0"/>
          </reference>
          <reference field="3" count="1" selected="0">
            <x v="12"/>
          </reference>
          <reference field="4" count="1" selected="0">
            <x v="56"/>
          </reference>
          <reference field="5" count="1" selected="0">
            <x v="26"/>
          </reference>
          <reference field="6" count="1">
            <x v="47"/>
          </reference>
        </references>
      </pivotArea>
    </format>
    <format dxfId="2376">
      <pivotArea dataOnly="0" labelOnly="1" fieldPosition="0">
        <references count="6">
          <reference field="1" count="1" selected="0">
            <x v="56"/>
          </reference>
          <reference field="2" count="1" selected="0">
            <x v="0"/>
          </reference>
          <reference field="3" count="1" selected="0">
            <x v="12"/>
          </reference>
          <reference field="4" count="1" selected="0">
            <x v="60"/>
          </reference>
          <reference field="5" count="1" selected="0">
            <x v="119"/>
          </reference>
          <reference field="6" count="1">
            <x v="47"/>
          </reference>
        </references>
      </pivotArea>
    </format>
    <format dxfId="2375">
      <pivotArea dataOnly="0" labelOnly="1" fieldPosition="0">
        <references count="6">
          <reference field="1" count="1" selected="0">
            <x v="56"/>
          </reference>
          <reference field="2" count="1" selected="0">
            <x v="3"/>
          </reference>
          <reference field="3" count="1" selected="0">
            <x v="37"/>
          </reference>
          <reference field="4" count="1" selected="0">
            <x v="139"/>
          </reference>
          <reference field="5" count="1" selected="0">
            <x v="199"/>
          </reference>
          <reference field="6" count="1">
            <x v="47"/>
          </reference>
        </references>
      </pivotArea>
    </format>
    <format dxfId="2374">
      <pivotArea dataOnly="0" labelOnly="1" fieldPosition="0">
        <references count="6">
          <reference field="1" count="1" selected="0">
            <x v="56"/>
          </reference>
          <reference field="2" count="1" selected="0">
            <x v="12"/>
          </reference>
          <reference field="3" count="1" selected="0">
            <x v="1"/>
          </reference>
          <reference field="4" count="1" selected="0">
            <x v="139"/>
          </reference>
          <reference field="5" count="1" selected="0">
            <x v="213"/>
          </reference>
          <reference field="6" count="1">
            <x v="47"/>
          </reference>
        </references>
      </pivotArea>
    </format>
    <format dxfId="2373">
      <pivotArea dataOnly="0" labelOnly="1" fieldPosition="0">
        <references count="6">
          <reference field="1" count="1" selected="0">
            <x v="56"/>
          </reference>
          <reference field="2" count="1" selected="0">
            <x v="14"/>
          </reference>
          <reference field="3" count="1" selected="0">
            <x v="37"/>
          </reference>
          <reference field="4" count="1" selected="0">
            <x v="139"/>
          </reference>
          <reference field="5" count="1" selected="0">
            <x v="1455"/>
          </reference>
          <reference field="6" count="1">
            <x v="47"/>
          </reference>
        </references>
      </pivotArea>
    </format>
    <format dxfId="2372">
      <pivotArea dataOnly="0" labelOnly="1" fieldPosition="0">
        <references count="6">
          <reference field="1" count="1" selected="0">
            <x v="56"/>
          </reference>
          <reference field="2" count="1" selected="0">
            <x v="15"/>
          </reference>
          <reference field="3" count="1" selected="0">
            <x v="37"/>
          </reference>
          <reference field="4" count="1" selected="0">
            <x v="139"/>
          </reference>
          <reference field="5" count="1" selected="0">
            <x v="1216"/>
          </reference>
          <reference field="6" count="1">
            <x v="47"/>
          </reference>
        </references>
      </pivotArea>
    </format>
    <format dxfId="2371">
      <pivotArea dataOnly="0" labelOnly="1" fieldPosition="0">
        <references count="6">
          <reference field="1" count="1" selected="0">
            <x v="56"/>
          </reference>
          <reference field="2" count="1" selected="0">
            <x v="23"/>
          </reference>
          <reference field="3" count="1" selected="0">
            <x v="37"/>
          </reference>
          <reference field="4" count="1" selected="0">
            <x v="139"/>
          </reference>
          <reference field="5" count="1" selected="0">
            <x v="234"/>
          </reference>
          <reference field="6" count="1">
            <x v="47"/>
          </reference>
        </references>
      </pivotArea>
    </format>
    <format dxfId="2370">
      <pivotArea dataOnly="0" labelOnly="1" fieldPosition="0">
        <references count="6">
          <reference field="1" count="1" selected="0">
            <x v="56"/>
          </reference>
          <reference field="2" count="1" selected="0">
            <x v="26"/>
          </reference>
          <reference field="3" count="1" selected="0">
            <x v="37"/>
          </reference>
          <reference field="4" count="1" selected="0">
            <x v="139"/>
          </reference>
          <reference field="5" count="1" selected="0">
            <x v="391"/>
          </reference>
          <reference field="6" count="1">
            <x v="47"/>
          </reference>
        </references>
      </pivotArea>
    </format>
    <format dxfId="2369">
      <pivotArea dataOnly="0" labelOnly="1" fieldPosition="0">
        <references count="6">
          <reference field="1" count="1" selected="0">
            <x v="56"/>
          </reference>
          <reference field="2" count="1" selected="0">
            <x v="35"/>
          </reference>
          <reference field="3" count="1" selected="0">
            <x v="1"/>
          </reference>
          <reference field="4" count="1" selected="0">
            <x v="139"/>
          </reference>
          <reference field="5" count="1" selected="0">
            <x v="352"/>
          </reference>
          <reference field="6" count="1">
            <x v="47"/>
          </reference>
        </references>
      </pivotArea>
    </format>
    <format dxfId="2368">
      <pivotArea dataOnly="0" labelOnly="1" fieldPosition="0">
        <references count="6">
          <reference field="1" count="1" selected="0">
            <x v="57"/>
          </reference>
          <reference field="2" count="1" selected="0">
            <x v="0"/>
          </reference>
          <reference field="3" count="1" selected="0">
            <x v="8"/>
          </reference>
          <reference field="4" count="1" selected="0">
            <x v="140"/>
          </reference>
          <reference field="5" count="1" selected="0">
            <x v="1114"/>
          </reference>
          <reference field="6" count="1">
            <x v="47"/>
          </reference>
        </references>
      </pivotArea>
    </format>
    <format dxfId="2367">
      <pivotArea dataOnly="0" labelOnly="1" fieldPosition="0">
        <references count="6">
          <reference field="1" count="1" selected="0">
            <x v="57"/>
          </reference>
          <reference field="2" count="1" selected="0">
            <x v="0"/>
          </reference>
          <reference field="3" count="1" selected="0">
            <x v="12"/>
          </reference>
          <reference field="4" count="1" selected="0">
            <x v="6"/>
          </reference>
          <reference field="5" count="1" selected="0">
            <x v="32"/>
          </reference>
          <reference field="6" count="1">
            <x v="47"/>
          </reference>
        </references>
      </pivotArea>
    </format>
    <format dxfId="2366">
      <pivotArea dataOnly="0" labelOnly="1" fieldPosition="0">
        <references count="6">
          <reference field="1" count="1" selected="0">
            <x v="57"/>
          </reference>
          <reference field="2" count="1" selected="0">
            <x v="6"/>
          </reference>
          <reference field="3" count="1" selected="0">
            <x v="37"/>
          </reference>
          <reference field="4" count="1" selected="0">
            <x v="140"/>
          </reference>
          <reference field="5" count="1" selected="0">
            <x v="991"/>
          </reference>
          <reference field="6" count="1">
            <x v="47"/>
          </reference>
        </references>
      </pivotArea>
    </format>
    <format dxfId="2365">
      <pivotArea dataOnly="0" labelOnly="1" fieldPosition="0">
        <references count="6">
          <reference field="1" count="1" selected="0">
            <x v="57"/>
          </reference>
          <reference field="2" count="1" selected="0">
            <x v="12"/>
          </reference>
          <reference field="3" count="1" selected="0">
            <x v="1"/>
          </reference>
          <reference field="4" count="1" selected="0">
            <x v="140"/>
          </reference>
          <reference field="5" count="1" selected="0">
            <x v="352"/>
          </reference>
          <reference field="6" count="1">
            <x v="47"/>
          </reference>
        </references>
      </pivotArea>
    </format>
    <format dxfId="2364">
      <pivotArea dataOnly="0" labelOnly="1" fieldPosition="0">
        <references count="6">
          <reference field="1" count="1" selected="0">
            <x v="57"/>
          </reference>
          <reference field="2" count="1" selected="0">
            <x v="15"/>
          </reference>
          <reference field="3" count="1" selected="0">
            <x v="37"/>
          </reference>
          <reference field="4" count="1" selected="0">
            <x v="140"/>
          </reference>
          <reference field="5" count="1" selected="0">
            <x v="1225"/>
          </reference>
          <reference field="6" count="1">
            <x v="47"/>
          </reference>
        </references>
      </pivotArea>
    </format>
    <format dxfId="2363">
      <pivotArea dataOnly="0" labelOnly="1" fieldPosition="0">
        <references count="6">
          <reference field="1" count="1" selected="0">
            <x v="57"/>
          </reference>
          <reference field="2" count="1" selected="0">
            <x v="26"/>
          </reference>
          <reference field="3" count="1" selected="0">
            <x v="1"/>
          </reference>
          <reference field="4" count="1" selected="0">
            <x v="140"/>
          </reference>
          <reference field="5" count="1" selected="0">
            <x v="352"/>
          </reference>
          <reference field="6" count="1">
            <x v="47"/>
          </reference>
        </references>
      </pivotArea>
    </format>
    <format dxfId="2362">
      <pivotArea dataOnly="0" labelOnly="1" fieldPosition="0">
        <references count="6">
          <reference field="1" count="1" selected="0">
            <x v="58"/>
          </reference>
          <reference field="2" count="1" selected="0">
            <x v="0"/>
          </reference>
          <reference field="3" count="1" selected="0">
            <x v="12"/>
          </reference>
          <reference field="4" count="1" selected="0">
            <x v="2"/>
          </reference>
          <reference field="5" count="1" selected="0">
            <x v="39"/>
          </reference>
          <reference field="6" count="1">
            <x v="47"/>
          </reference>
        </references>
      </pivotArea>
    </format>
    <format dxfId="2361">
      <pivotArea dataOnly="0" labelOnly="1" fieldPosition="0">
        <references count="6">
          <reference field="1" count="1" selected="0">
            <x v="58"/>
          </reference>
          <reference field="2" count="1" selected="0">
            <x v="0"/>
          </reference>
          <reference field="3" count="1" selected="0">
            <x v="12"/>
          </reference>
          <reference field="4" count="1" selected="0">
            <x v="18"/>
          </reference>
          <reference field="5" count="1" selected="0">
            <x v="18"/>
          </reference>
          <reference field="6" count="1">
            <x v="47"/>
          </reference>
        </references>
      </pivotArea>
    </format>
    <format dxfId="2360">
      <pivotArea dataOnly="0" labelOnly="1" fieldPosition="0">
        <references count="6">
          <reference field="1" count="1" selected="0">
            <x v="58"/>
          </reference>
          <reference field="2" count="1" selected="0">
            <x v="0"/>
          </reference>
          <reference field="3" count="1" selected="0">
            <x v="12"/>
          </reference>
          <reference field="4" count="1" selected="0">
            <x v="56"/>
          </reference>
          <reference field="5" count="1" selected="0">
            <x v="26"/>
          </reference>
          <reference field="6" count="1">
            <x v="47"/>
          </reference>
        </references>
      </pivotArea>
    </format>
    <format dxfId="2359">
      <pivotArea dataOnly="0" labelOnly="1" fieldPosition="0">
        <references count="6">
          <reference field="1" count="1" selected="0">
            <x v="58"/>
          </reference>
          <reference field="2" count="1" selected="0">
            <x v="0"/>
          </reference>
          <reference field="3" count="1" selected="0">
            <x v="12"/>
          </reference>
          <reference field="4" count="1" selected="0">
            <x v="58"/>
          </reference>
          <reference field="5" count="1" selected="0">
            <x v="6"/>
          </reference>
          <reference field="6" count="1">
            <x v="47"/>
          </reference>
        </references>
      </pivotArea>
    </format>
    <format dxfId="2358">
      <pivotArea dataOnly="0" labelOnly="1" fieldPosition="0">
        <references count="6">
          <reference field="1" count="1" selected="0">
            <x v="58"/>
          </reference>
          <reference field="2" count="1" selected="0">
            <x v="0"/>
          </reference>
          <reference field="3" count="1" selected="0">
            <x v="12"/>
          </reference>
          <reference field="4" count="1" selected="0">
            <x v="71"/>
          </reference>
          <reference field="5" count="1" selected="0">
            <x v="18"/>
          </reference>
          <reference field="6" count="1">
            <x v="47"/>
          </reference>
        </references>
      </pivotArea>
    </format>
    <format dxfId="2357">
      <pivotArea dataOnly="0" labelOnly="1" fieldPosition="0">
        <references count="6">
          <reference field="1" count="1" selected="0">
            <x v="58"/>
          </reference>
          <reference field="2" count="1" selected="0">
            <x v="12"/>
          </reference>
          <reference field="3" count="1" selected="0">
            <x v="1"/>
          </reference>
          <reference field="4" count="1" selected="0">
            <x v="141"/>
          </reference>
          <reference field="5" count="1" selected="0">
            <x v="80"/>
          </reference>
          <reference field="6" count="1">
            <x v="47"/>
          </reference>
        </references>
      </pivotArea>
    </format>
    <format dxfId="2356">
      <pivotArea dataOnly="0" labelOnly="1" fieldPosition="0">
        <references count="6">
          <reference field="1" count="1" selected="0">
            <x v="58"/>
          </reference>
          <reference field="2" count="1" selected="0">
            <x v="12"/>
          </reference>
          <reference field="3" count="1" selected="0">
            <x v="1"/>
          </reference>
          <reference field="4" count="1" selected="0">
            <x v="141"/>
          </reference>
          <reference field="5" count="1" selected="0">
            <x v="213"/>
          </reference>
          <reference field="6" count="1">
            <x v="47"/>
          </reference>
        </references>
      </pivotArea>
    </format>
    <format dxfId="2355">
      <pivotArea dataOnly="0" labelOnly="1" fieldPosition="0">
        <references count="6">
          <reference field="1" count="1" selected="0">
            <x v="58"/>
          </reference>
          <reference field="2" count="1" selected="0">
            <x v="12"/>
          </reference>
          <reference field="3" count="1" selected="0">
            <x v="1"/>
          </reference>
          <reference field="4" count="1" selected="0">
            <x v="141"/>
          </reference>
          <reference field="5" count="1" selected="0">
            <x v="352"/>
          </reference>
          <reference field="6" count="1">
            <x v="47"/>
          </reference>
        </references>
      </pivotArea>
    </format>
    <format dxfId="2354">
      <pivotArea dataOnly="0" labelOnly="1" fieldPosition="0">
        <references count="6">
          <reference field="1" count="1" selected="0">
            <x v="58"/>
          </reference>
          <reference field="2" count="1" selected="0">
            <x v="12"/>
          </reference>
          <reference field="3" count="1" selected="0">
            <x v="1"/>
          </reference>
          <reference field="4" count="1" selected="0">
            <x v="141"/>
          </reference>
          <reference field="5" count="1" selected="0">
            <x v="607"/>
          </reference>
          <reference field="6" count="1">
            <x v="47"/>
          </reference>
        </references>
      </pivotArea>
    </format>
    <format dxfId="2353">
      <pivotArea dataOnly="0" labelOnly="1" fieldPosition="0">
        <references count="6">
          <reference field="1" count="1" selected="0">
            <x v="58"/>
          </reference>
          <reference field="2" count="1" selected="0">
            <x v="12"/>
          </reference>
          <reference field="3" count="1" selected="0">
            <x v="1"/>
          </reference>
          <reference field="4" count="1" selected="0">
            <x v="141"/>
          </reference>
          <reference field="5" count="1" selected="0">
            <x v="771"/>
          </reference>
          <reference field="6" count="1">
            <x v="47"/>
          </reference>
        </references>
      </pivotArea>
    </format>
    <format dxfId="2352">
      <pivotArea dataOnly="0" labelOnly="1" fieldPosition="0">
        <references count="6">
          <reference field="1" count="1" selected="0">
            <x v="58"/>
          </reference>
          <reference field="2" count="1" selected="0">
            <x v="12"/>
          </reference>
          <reference field="3" count="1" selected="0">
            <x v="1"/>
          </reference>
          <reference field="4" count="1" selected="0">
            <x v="141"/>
          </reference>
          <reference field="5" count="1" selected="0">
            <x v="911"/>
          </reference>
          <reference field="6" count="1">
            <x v="47"/>
          </reference>
        </references>
      </pivotArea>
    </format>
    <format dxfId="2351">
      <pivotArea dataOnly="0" labelOnly="1" fieldPosition="0">
        <references count="6">
          <reference field="1" count="1" selected="0">
            <x v="58"/>
          </reference>
          <reference field="2" count="1" selected="0">
            <x v="21"/>
          </reference>
          <reference field="3" count="1" selected="0">
            <x v="37"/>
          </reference>
          <reference field="4" count="1" selected="0">
            <x v="141"/>
          </reference>
          <reference field="5" count="1" selected="0">
            <x v="702"/>
          </reference>
          <reference field="6" count="1">
            <x v="47"/>
          </reference>
        </references>
      </pivotArea>
    </format>
    <format dxfId="2350">
      <pivotArea dataOnly="0" labelOnly="1" fieldPosition="0">
        <references count="6">
          <reference field="1" count="1" selected="0">
            <x v="58"/>
          </reference>
          <reference field="2" count="1" selected="0">
            <x v="23"/>
          </reference>
          <reference field="3" count="1" selected="0">
            <x v="37"/>
          </reference>
          <reference field="4" count="1" selected="0">
            <x v="141"/>
          </reference>
          <reference field="5" count="1" selected="0">
            <x v="135"/>
          </reference>
          <reference field="6" count="1">
            <x v="47"/>
          </reference>
        </references>
      </pivotArea>
    </format>
    <format dxfId="2349">
      <pivotArea dataOnly="0" labelOnly="1" fieldPosition="0">
        <references count="6">
          <reference field="1" count="1" selected="0">
            <x v="58"/>
          </reference>
          <reference field="2" count="1" selected="0">
            <x v="35"/>
          </reference>
          <reference field="3" count="1" selected="0">
            <x v="1"/>
          </reference>
          <reference field="4" count="1" selected="0">
            <x v="141"/>
          </reference>
          <reference field="5" count="1" selected="0">
            <x v="80"/>
          </reference>
          <reference field="6" count="1">
            <x v="47"/>
          </reference>
        </references>
      </pivotArea>
    </format>
    <format dxfId="2348">
      <pivotArea dataOnly="0" labelOnly="1" fieldPosition="0">
        <references count="6">
          <reference field="1" count="1" selected="0">
            <x v="58"/>
          </reference>
          <reference field="2" count="1" selected="0">
            <x v="35"/>
          </reference>
          <reference field="3" count="1" selected="0">
            <x v="1"/>
          </reference>
          <reference field="4" count="1" selected="0">
            <x v="141"/>
          </reference>
          <reference field="5" count="1" selected="0">
            <x v="213"/>
          </reference>
          <reference field="6" count="1">
            <x v="47"/>
          </reference>
        </references>
      </pivotArea>
    </format>
    <format dxfId="2347">
      <pivotArea dataOnly="0" labelOnly="1" fieldPosition="0">
        <references count="6">
          <reference field="1" count="1" selected="0">
            <x v="59"/>
          </reference>
          <reference field="2" count="1" selected="0">
            <x v="0"/>
          </reference>
          <reference field="3" count="1" selected="0">
            <x v="1"/>
          </reference>
          <reference field="4" count="1" selected="0">
            <x v="142"/>
          </reference>
          <reference field="5" count="1" selected="0">
            <x v="80"/>
          </reference>
          <reference field="6" count="1">
            <x v="47"/>
          </reference>
        </references>
      </pivotArea>
    </format>
    <format dxfId="2346">
      <pivotArea dataOnly="0" labelOnly="1" fieldPosition="0">
        <references count="6">
          <reference field="1" count="1" selected="0">
            <x v="59"/>
          </reference>
          <reference field="2" count="1" selected="0">
            <x v="0"/>
          </reference>
          <reference field="3" count="1" selected="0">
            <x v="6"/>
          </reference>
          <reference field="4" count="1" selected="0">
            <x v="142"/>
          </reference>
          <reference field="5" count="1" selected="0">
            <x v="212"/>
          </reference>
          <reference field="6" count="1">
            <x v="47"/>
          </reference>
        </references>
      </pivotArea>
    </format>
    <format dxfId="2345">
      <pivotArea dataOnly="0" labelOnly="1" fieldPosition="0">
        <references count="6">
          <reference field="1" count="1" selected="0">
            <x v="59"/>
          </reference>
          <reference field="2" count="1" selected="0">
            <x v="0"/>
          </reference>
          <reference field="3" count="1" selected="0">
            <x v="8"/>
          </reference>
          <reference field="4" count="1" selected="0">
            <x v="142"/>
          </reference>
          <reference field="5" count="1" selected="0">
            <x v="159"/>
          </reference>
          <reference field="6" count="1">
            <x v="47"/>
          </reference>
        </references>
      </pivotArea>
    </format>
    <format dxfId="2344">
      <pivotArea dataOnly="0" labelOnly="1" fieldPosition="0">
        <references count="6">
          <reference field="1" count="1" selected="0">
            <x v="59"/>
          </reference>
          <reference field="2" count="1" selected="0">
            <x v="0"/>
          </reference>
          <reference field="3" count="1" selected="0">
            <x v="8"/>
          </reference>
          <reference field="4" count="1" selected="0">
            <x v="142"/>
          </reference>
          <reference field="5" count="1" selected="0">
            <x v="200"/>
          </reference>
          <reference field="6" count="1">
            <x v="47"/>
          </reference>
        </references>
      </pivotArea>
    </format>
    <format dxfId="2343">
      <pivotArea dataOnly="0" labelOnly="1" fieldPosition="0">
        <references count="6">
          <reference field="1" count="1" selected="0">
            <x v="59"/>
          </reference>
          <reference field="2" count="1" selected="0">
            <x v="0"/>
          </reference>
          <reference field="3" count="1" selected="0">
            <x v="8"/>
          </reference>
          <reference field="4" count="1" selected="0">
            <x v="142"/>
          </reference>
          <reference field="5" count="1" selected="0">
            <x v="549"/>
          </reference>
          <reference field="6" count="1">
            <x v="47"/>
          </reference>
        </references>
      </pivotArea>
    </format>
    <format dxfId="2342">
      <pivotArea dataOnly="0" labelOnly="1" fieldPosition="0">
        <references count="6">
          <reference field="1" count="1" selected="0">
            <x v="59"/>
          </reference>
          <reference field="2" count="1" selected="0">
            <x v="0"/>
          </reference>
          <reference field="3" count="1" selected="0">
            <x v="8"/>
          </reference>
          <reference field="4" count="1" selected="0">
            <x v="142"/>
          </reference>
          <reference field="5" count="1" selected="0">
            <x v="613"/>
          </reference>
          <reference field="6" count="1">
            <x v="47"/>
          </reference>
        </references>
      </pivotArea>
    </format>
    <format dxfId="2341">
      <pivotArea dataOnly="0" labelOnly="1" fieldPosition="0">
        <references count="6">
          <reference field="1" count="1" selected="0">
            <x v="59"/>
          </reference>
          <reference field="2" count="1" selected="0">
            <x v="0"/>
          </reference>
          <reference field="3" count="1" selected="0">
            <x v="8"/>
          </reference>
          <reference field="4" count="1" selected="0">
            <x v="142"/>
          </reference>
          <reference field="5" count="1" selected="0">
            <x v="1264"/>
          </reference>
          <reference field="6" count="1">
            <x v="47"/>
          </reference>
        </references>
      </pivotArea>
    </format>
    <format dxfId="2340">
      <pivotArea dataOnly="0" labelOnly="1" fieldPosition="0">
        <references count="6">
          <reference field="1" count="1" selected="0">
            <x v="59"/>
          </reference>
          <reference field="2" count="1" selected="0">
            <x v="0"/>
          </reference>
          <reference field="3" count="1" selected="0">
            <x v="9"/>
          </reference>
          <reference field="4" count="1" selected="0">
            <x v="142"/>
          </reference>
          <reference field="5" count="1" selected="0">
            <x v="17"/>
          </reference>
          <reference field="6" count="1">
            <x v="47"/>
          </reference>
        </references>
      </pivotArea>
    </format>
    <format dxfId="2339">
      <pivotArea dataOnly="0" labelOnly="1" fieldPosition="0">
        <references count="6">
          <reference field="1" count="1" selected="0">
            <x v="59"/>
          </reference>
          <reference field="2" count="1" selected="0">
            <x v="0"/>
          </reference>
          <reference field="3" count="1" selected="0">
            <x v="9"/>
          </reference>
          <reference field="4" count="1" selected="0">
            <x v="142"/>
          </reference>
          <reference field="5" count="1" selected="0">
            <x v="537"/>
          </reference>
          <reference field="6" count="1">
            <x v="47"/>
          </reference>
        </references>
      </pivotArea>
    </format>
    <format dxfId="2338">
      <pivotArea dataOnly="0" labelOnly="1" fieldPosition="0">
        <references count="6">
          <reference field="1" count="1" selected="0">
            <x v="59"/>
          </reference>
          <reference field="2" count="1" selected="0">
            <x v="0"/>
          </reference>
          <reference field="3" count="1" selected="0">
            <x v="9"/>
          </reference>
          <reference field="4" count="1" selected="0">
            <x v="142"/>
          </reference>
          <reference field="5" count="1" selected="0">
            <x v="582"/>
          </reference>
          <reference field="6" count="1">
            <x v="47"/>
          </reference>
        </references>
      </pivotArea>
    </format>
    <format dxfId="2337">
      <pivotArea dataOnly="0" labelOnly="1" fieldPosition="0">
        <references count="6">
          <reference field="1" count="1" selected="0">
            <x v="59"/>
          </reference>
          <reference field="2" count="1" selected="0">
            <x v="0"/>
          </reference>
          <reference field="3" count="1" selected="0">
            <x v="9"/>
          </reference>
          <reference field="4" count="1" selected="0">
            <x v="142"/>
          </reference>
          <reference field="5" count="1" selected="0">
            <x v="627"/>
          </reference>
          <reference field="6" count="1">
            <x v="47"/>
          </reference>
        </references>
      </pivotArea>
    </format>
    <format dxfId="2336">
      <pivotArea dataOnly="0" labelOnly="1" fieldPosition="0">
        <references count="6">
          <reference field="1" count="1" selected="0">
            <x v="59"/>
          </reference>
          <reference field="2" count="1" selected="0">
            <x v="0"/>
          </reference>
          <reference field="3" count="1" selected="0">
            <x v="9"/>
          </reference>
          <reference field="4" count="1" selected="0">
            <x v="142"/>
          </reference>
          <reference field="5" count="1" selected="0">
            <x v="702"/>
          </reference>
          <reference field="6" count="1">
            <x v="47"/>
          </reference>
        </references>
      </pivotArea>
    </format>
    <format dxfId="2335">
      <pivotArea dataOnly="0" labelOnly="1" fieldPosition="0">
        <references count="6">
          <reference field="1" count="1" selected="0">
            <x v="59"/>
          </reference>
          <reference field="2" count="1" selected="0">
            <x v="0"/>
          </reference>
          <reference field="3" count="1" selected="0">
            <x v="9"/>
          </reference>
          <reference field="4" count="1" selected="0">
            <x v="142"/>
          </reference>
          <reference field="5" count="1" selected="0">
            <x v="750"/>
          </reference>
          <reference field="6" count="1">
            <x v="47"/>
          </reference>
        </references>
      </pivotArea>
    </format>
    <format dxfId="2334">
      <pivotArea dataOnly="0" labelOnly="1" fieldPosition="0">
        <references count="6">
          <reference field="1" count="1" selected="0">
            <x v="59"/>
          </reference>
          <reference field="2" count="1" selected="0">
            <x v="0"/>
          </reference>
          <reference field="3" count="1" selected="0">
            <x v="9"/>
          </reference>
          <reference field="4" count="1" selected="0">
            <x v="142"/>
          </reference>
          <reference field="5" count="1" selected="0">
            <x v="905"/>
          </reference>
          <reference field="6" count="1">
            <x v="47"/>
          </reference>
        </references>
      </pivotArea>
    </format>
    <format dxfId="2333">
      <pivotArea dataOnly="0" labelOnly="1" fieldPosition="0">
        <references count="6">
          <reference field="1" count="1" selected="0">
            <x v="59"/>
          </reference>
          <reference field="2" count="1" selected="0">
            <x v="0"/>
          </reference>
          <reference field="3" count="1" selected="0">
            <x v="9"/>
          </reference>
          <reference field="4" count="1" selected="0">
            <x v="142"/>
          </reference>
          <reference field="5" count="1" selected="0">
            <x v="1134"/>
          </reference>
          <reference field="6" count="1">
            <x v="47"/>
          </reference>
        </references>
      </pivotArea>
    </format>
    <format dxfId="2332">
      <pivotArea dataOnly="0" labelOnly="1" fieldPosition="0">
        <references count="6">
          <reference field="1" count="1" selected="0">
            <x v="59"/>
          </reference>
          <reference field="2" count="1" selected="0">
            <x v="0"/>
          </reference>
          <reference field="3" count="1" selected="0">
            <x v="12"/>
          </reference>
          <reference field="4" count="1" selected="0">
            <x v="18"/>
          </reference>
          <reference field="5" count="1" selected="0">
            <x v="18"/>
          </reference>
          <reference field="6" count="1">
            <x v="47"/>
          </reference>
        </references>
      </pivotArea>
    </format>
    <format dxfId="2331">
      <pivotArea dataOnly="0" labelOnly="1" fieldPosition="0">
        <references count="6">
          <reference field="1" count="1" selected="0">
            <x v="59"/>
          </reference>
          <reference field="2" count="1" selected="0">
            <x v="0"/>
          </reference>
          <reference field="3" count="1" selected="0">
            <x v="12"/>
          </reference>
          <reference field="4" count="1" selected="0">
            <x v="21"/>
          </reference>
          <reference field="5" count="1" selected="0">
            <x v="11"/>
          </reference>
          <reference field="6" count="1">
            <x v="47"/>
          </reference>
        </references>
      </pivotArea>
    </format>
    <format dxfId="2330">
      <pivotArea dataOnly="0" labelOnly="1" fieldPosition="0">
        <references count="6">
          <reference field="1" count="1" selected="0">
            <x v="59"/>
          </reference>
          <reference field="2" count="1" selected="0">
            <x v="0"/>
          </reference>
          <reference field="3" count="1" selected="0">
            <x v="12"/>
          </reference>
          <reference field="4" count="1" selected="0">
            <x v="66"/>
          </reference>
          <reference field="5" count="1" selected="0">
            <x v="69"/>
          </reference>
          <reference field="6" count="1">
            <x v="47"/>
          </reference>
        </references>
      </pivotArea>
    </format>
    <format dxfId="2329">
      <pivotArea dataOnly="0" labelOnly="1" fieldPosition="0">
        <references count="6">
          <reference field="1" count="1" selected="0">
            <x v="59"/>
          </reference>
          <reference field="2" count="1" selected="0">
            <x v="0"/>
          </reference>
          <reference field="3" count="1" selected="0">
            <x v="38"/>
          </reference>
          <reference field="4" count="1" selected="0">
            <x v="142"/>
          </reference>
          <reference field="5" count="1" selected="0">
            <x v="964"/>
          </reference>
          <reference field="6" count="1">
            <x v="47"/>
          </reference>
        </references>
      </pivotArea>
    </format>
    <format dxfId="2328">
      <pivotArea dataOnly="0" labelOnly="1" fieldPosition="0">
        <references count="6">
          <reference field="1" count="1" selected="0">
            <x v="59"/>
          </reference>
          <reference field="2" count="1" selected="0">
            <x v="5"/>
          </reference>
          <reference field="3" count="1" selected="0">
            <x v="37"/>
          </reference>
          <reference field="4" count="1" selected="0">
            <x v="142"/>
          </reference>
          <reference field="5" count="1" selected="0">
            <x v="524"/>
          </reference>
          <reference field="6" count="1">
            <x v="47"/>
          </reference>
        </references>
      </pivotArea>
    </format>
    <format dxfId="2327">
      <pivotArea dataOnly="0" labelOnly="1" fieldPosition="0">
        <references count="6">
          <reference field="1" count="1" selected="0">
            <x v="59"/>
          </reference>
          <reference field="2" count="1" selected="0">
            <x v="8"/>
          </reference>
          <reference field="3" count="1" selected="0">
            <x v="1"/>
          </reference>
          <reference field="4" count="1" selected="0">
            <x v="142"/>
          </reference>
          <reference field="5" count="1" selected="0">
            <x v="1093"/>
          </reference>
          <reference field="6" count="1">
            <x v="47"/>
          </reference>
        </references>
      </pivotArea>
    </format>
    <format dxfId="2326">
      <pivotArea dataOnly="0" labelOnly="1" fieldPosition="0">
        <references count="6">
          <reference field="1" count="1" selected="0">
            <x v="59"/>
          </reference>
          <reference field="2" count="1" selected="0">
            <x v="8"/>
          </reference>
          <reference field="3" count="1" selected="0">
            <x v="8"/>
          </reference>
          <reference field="4" count="1" selected="0">
            <x v="142"/>
          </reference>
          <reference field="5" count="1" selected="0">
            <x v="1024"/>
          </reference>
          <reference field="6" count="1">
            <x v="47"/>
          </reference>
        </references>
      </pivotArea>
    </format>
    <format dxfId="2325">
      <pivotArea dataOnly="0" labelOnly="1" fieldPosition="0">
        <references count="6">
          <reference field="1" count="1" selected="0">
            <x v="59"/>
          </reference>
          <reference field="2" count="1" selected="0">
            <x v="12"/>
          </reference>
          <reference field="3" count="1" selected="0">
            <x v="1"/>
          </reference>
          <reference field="4" count="1" selected="0">
            <x v="142"/>
          </reference>
          <reference field="5" count="1" selected="0">
            <x v="80"/>
          </reference>
          <reference field="6" count="1">
            <x v="47"/>
          </reference>
        </references>
      </pivotArea>
    </format>
    <format dxfId="2324">
      <pivotArea dataOnly="0" labelOnly="1" fieldPosition="0">
        <references count="6">
          <reference field="1" count="1" selected="0">
            <x v="59"/>
          </reference>
          <reference field="2" count="1" selected="0">
            <x v="12"/>
          </reference>
          <reference field="3" count="1" selected="0">
            <x v="1"/>
          </reference>
          <reference field="4" count="1" selected="0">
            <x v="142"/>
          </reference>
          <reference field="5" count="1" selected="0">
            <x v="213"/>
          </reference>
          <reference field="6" count="1">
            <x v="47"/>
          </reference>
        </references>
      </pivotArea>
    </format>
    <format dxfId="2323">
      <pivotArea dataOnly="0" labelOnly="1" fieldPosition="0">
        <references count="6">
          <reference field="1" count="1" selected="0">
            <x v="59"/>
          </reference>
          <reference field="2" count="1" selected="0">
            <x v="12"/>
          </reference>
          <reference field="3" count="1" selected="0">
            <x v="1"/>
          </reference>
          <reference field="4" count="1" selected="0">
            <x v="142"/>
          </reference>
          <reference field="5" count="1" selected="0">
            <x v="500"/>
          </reference>
          <reference field="6" count="1">
            <x v="47"/>
          </reference>
        </references>
      </pivotArea>
    </format>
    <format dxfId="2322">
      <pivotArea dataOnly="0" labelOnly="1" fieldPosition="0">
        <references count="6">
          <reference field="1" count="1" selected="0">
            <x v="59"/>
          </reference>
          <reference field="2" count="1" selected="0">
            <x v="12"/>
          </reference>
          <reference field="3" count="1" selected="0">
            <x v="1"/>
          </reference>
          <reference field="4" count="1" selected="0">
            <x v="142"/>
          </reference>
          <reference field="5" count="1" selected="0">
            <x v="702"/>
          </reference>
          <reference field="6" count="1">
            <x v="47"/>
          </reference>
        </references>
      </pivotArea>
    </format>
    <format dxfId="2321">
      <pivotArea dataOnly="0" labelOnly="1" fieldPosition="0">
        <references count="6">
          <reference field="1" count="1" selected="0">
            <x v="59"/>
          </reference>
          <reference field="2" count="1" selected="0">
            <x v="12"/>
          </reference>
          <reference field="3" count="1" selected="0">
            <x v="1"/>
          </reference>
          <reference field="4" count="1" selected="0">
            <x v="142"/>
          </reference>
          <reference field="5" count="1" selected="0">
            <x v="1069"/>
          </reference>
          <reference field="6" count="1">
            <x v="47"/>
          </reference>
        </references>
      </pivotArea>
    </format>
    <format dxfId="2320">
      <pivotArea dataOnly="0" labelOnly="1" fieldPosition="0">
        <references count="6">
          <reference field="1" count="1" selected="0">
            <x v="59"/>
          </reference>
          <reference field="2" count="1" selected="0">
            <x v="15"/>
          </reference>
          <reference field="3" count="1" selected="0">
            <x v="1"/>
          </reference>
          <reference field="4" count="1" selected="0">
            <x v="142"/>
          </reference>
          <reference field="5" count="1" selected="0">
            <x v="1243"/>
          </reference>
          <reference field="6" count="1">
            <x v="47"/>
          </reference>
        </references>
      </pivotArea>
    </format>
    <format dxfId="2319">
      <pivotArea dataOnly="0" labelOnly="1" fieldPosition="0">
        <references count="6">
          <reference field="1" count="1" selected="0">
            <x v="59"/>
          </reference>
          <reference field="2" count="1" selected="0">
            <x v="35"/>
          </reference>
          <reference field="3" count="1" selected="0">
            <x v="1"/>
          </reference>
          <reference field="4" count="1" selected="0">
            <x v="142"/>
          </reference>
          <reference field="5" count="1" selected="0">
            <x v="80"/>
          </reference>
          <reference field="6" count="1">
            <x v="47"/>
          </reference>
        </references>
      </pivotArea>
    </format>
    <format dxfId="2318">
      <pivotArea dataOnly="0" labelOnly="1" fieldPosition="0">
        <references count="6">
          <reference field="1" count="1" selected="0">
            <x v="60"/>
          </reference>
          <reference field="2" count="1" selected="0">
            <x v="0"/>
          </reference>
          <reference field="3" count="1" selected="0">
            <x v="12"/>
          </reference>
          <reference field="4" count="1" selected="0">
            <x v="30"/>
          </reference>
          <reference field="5" count="1" selected="0">
            <x v="59"/>
          </reference>
          <reference field="6" count="1">
            <x v="47"/>
          </reference>
        </references>
      </pivotArea>
    </format>
    <format dxfId="2317">
      <pivotArea dataOnly="0" labelOnly="1" fieldPosition="0">
        <references count="6">
          <reference field="1" count="1" selected="0">
            <x v="60"/>
          </reference>
          <reference field="2" count="1" selected="0">
            <x v="0"/>
          </reference>
          <reference field="3" count="1" selected="0">
            <x v="38"/>
          </reference>
          <reference field="4" count="1" selected="0">
            <x v="143"/>
          </reference>
          <reference field="5" count="1" selected="0">
            <x v="1206"/>
          </reference>
          <reference field="6" count="1">
            <x v="47"/>
          </reference>
        </references>
      </pivotArea>
    </format>
    <format dxfId="2316">
      <pivotArea dataOnly="0" labelOnly="1" fieldPosition="0">
        <references count="6">
          <reference field="1" count="1" selected="0">
            <x v="60"/>
          </reference>
          <reference field="2" count="1" selected="0">
            <x v="0"/>
          </reference>
          <reference field="3" count="1" selected="0">
            <x v="38"/>
          </reference>
          <reference field="4" count="1" selected="0">
            <x v="143"/>
          </reference>
          <reference field="5" count="1" selected="0">
            <x v="1364"/>
          </reference>
          <reference field="6" count="1">
            <x v="47"/>
          </reference>
        </references>
      </pivotArea>
    </format>
    <format dxfId="2315">
      <pivotArea dataOnly="0" labelOnly="1" fieldPosition="0">
        <references count="6">
          <reference field="1" count="1" selected="0">
            <x v="60"/>
          </reference>
          <reference field="2" count="1" selected="0">
            <x v="5"/>
          </reference>
          <reference field="3" count="1" selected="0">
            <x v="38"/>
          </reference>
          <reference field="4" count="1" selected="0">
            <x v="143"/>
          </reference>
          <reference field="5" count="1" selected="0">
            <x v="1842"/>
          </reference>
          <reference field="6" count="1">
            <x v="47"/>
          </reference>
        </references>
      </pivotArea>
    </format>
    <format dxfId="2314">
      <pivotArea dataOnly="0" labelOnly="1" fieldPosition="0">
        <references count="6">
          <reference field="1" count="1" selected="0">
            <x v="60"/>
          </reference>
          <reference field="2" count="1" selected="0">
            <x v="6"/>
          </reference>
          <reference field="3" count="1" selected="0">
            <x v="37"/>
          </reference>
          <reference field="4" count="1" selected="0">
            <x v="143"/>
          </reference>
          <reference field="5" count="1" selected="0">
            <x v="898"/>
          </reference>
          <reference field="6" count="1">
            <x v="47"/>
          </reference>
        </references>
      </pivotArea>
    </format>
    <format dxfId="2313">
      <pivotArea dataOnly="0" labelOnly="1" fieldPosition="0">
        <references count="6">
          <reference field="1" count="1" selected="0">
            <x v="60"/>
          </reference>
          <reference field="2" count="1" selected="0">
            <x v="8"/>
          </reference>
          <reference field="3" count="1" selected="0">
            <x v="37"/>
          </reference>
          <reference field="4" count="1" selected="0">
            <x v="143"/>
          </reference>
          <reference field="5" count="1" selected="0">
            <x v="1155"/>
          </reference>
          <reference field="6" count="1">
            <x v="47"/>
          </reference>
        </references>
      </pivotArea>
    </format>
    <format dxfId="2312">
      <pivotArea dataOnly="0" labelOnly="1" fieldPosition="0">
        <references count="6">
          <reference field="1" count="1" selected="0">
            <x v="60"/>
          </reference>
          <reference field="2" count="1" selected="0">
            <x v="10"/>
          </reference>
          <reference field="3" count="1" selected="0">
            <x v="38"/>
          </reference>
          <reference field="4" count="1" selected="0">
            <x v="143"/>
          </reference>
          <reference field="5" count="1" selected="0">
            <x v="1172"/>
          </reference>
          <reference field="6" count="1">
            <x v="47"/>
          </reference>
        </references>
      </pivotArea>
    </format>
    <format dxfId="2311">
      <pivotArea dataOnly="0" labelOnly="1" fieldPosition="0">
        <references count="6">
          <reference field="1" count="1" selected="0">
            <x v="60"/>
          </reference>
          <reference field="2" count="1" selected="0">
            <x v="12"/>
          </reference>
          <reference field="3" count="1" selected="0">
            <x v="1"/>
          </reference>
          <reference field="4" count="1" selected="0">
            <x v="143"/>
          </reference>
          <reference field="5" count="1" selected="0">
            <x v="80"/>
          </reference>
          <reference field="6" count="1">
            <x v="47"/>
          </reference>
        </references>
      </pivotArea>
    </format>
    <format dxfId="2310">
      <pivotArea dataOnly="0" labelOnly="1" fieldPosition="0">
        <references count="6">
          <reference field="1" count="1" selected="0">
            <x v="60"/>
          </reference>
          <reference field="2" count="1" selected="0">
            <x v="12"/>
          </reference>
          <reference field="3" count="1" selected="0">
            <x v="1"/>
          </reference>
          <reference field="4" count="1" selected="0">
            <x v="143"/>
          </reference>
          <reference field="5" count="1" selected="0">
            <x v="500"/>
          </reference>
          <reference field="6" count="1">
            <x v="47"/>
          </reference>
        </references>
      </pivotArea>
    </format>
    <format dxfId="2309">
      <pivotArea dataOnly="0" labelOnly="1" fieldPosition="0">
        <references count="6">
          <reference field="1" count="1" selected="0">
            <x v="60"/>
          </reference>
          <reference field="2" count="1" selected="0">
            <x v="14"/>
          </reference>
          <reference field="3" count="1" selected="0">
            <x v="38"/>
          </reference>
          <reference field="4" count="1" selected="0">
            <x v="143"/>
          </reference>
          <reference field="5" count="1" selected="0">
            <x v="1327"/>
          </reference>
          <reference field="6" count="1">
            <x v="47"/>
          </reference>
        </references>
      </pivotArea>
    </format>
    <format dxfId="2308">
      <pivotArea dataOnly="0" labelOnly="1" fieldPosition="0">
        <references count="6">
          <reference field="1" count="1" selected="0">
            <x v="60"/>
          </reference>
          <reference field="2" count="1" selected="0">
            <x v="15"/>
          </reference>
          <reference field="3" count="1" selected="0">
            <x v="38"/>
          </reference>
          <reference field="4" count="1" selected="0">
            <x v="143"/>
          </reference>
          <reference field="5" count="1" selected="0">
            <x v="1484"/>
          </reference>
          <reference field="6" count="1">
            <x v="47"/>
          </reference>
        </references>
      </pivotArea>
    </format>
    <format dxfId="2307">
      <pivotArea dataOnly="0" labelOnly="1" fieldPosition="0">
        <references count="6">
          <reference field="1" count="1" selected="0">
            <x v="60"/>
          </reference>
          <reference field="2" count="1" selected="0">
            <x v="23"/>
          </reference>
          <reference field="3" count="1" selected="0">
            <x v="38"/>
          </reference>
          <reference field="4" count="1" selected="0">
            <x v="143"/>
          </reference>
          <reference field="5" count="1" selected="0">
            <x v="120"/>
          </reference>
          <reference field="6" count="1">
            <x v="47"/>
          </reference>
        </references>
      </pivotArea>
    </format>
    <format dxfId="2306">
      <pivotArea dataOnly="0" labelOnly="1" fieldPosition="0">
        <references count="6">
          <reference field="1" count="1" selected="0">
            <x v="60"/>
          </reference>
          <reference field="2" count="1" selected="0">
            <x v="26"/>
          </reference>
          <reference field="3" count="1" selected="0">
            <x v="1"/>
          </reference>
          <reference field="4" count="1" selected="0">
            <x v="143"/>
          </reference>
          <reference field="5" count="1" selected="0">
            <x v="39"/>
          </reference>
          <reference field="6" count="1">
            <x v="47"/>
          </reference>
        </references>
      </pivotArea>
    </format>
    <format dxfId="2305">
      <pivotArea dataOnly="0" labelOnly="1" fieldPosition="0">
        <references count="6">
          <reference field="1" count="1" selected="0">
            <x v="60"/>
          </reference>
          <reference field="2" count="1" selected="0">
            <x v="36"/>
          </reference>
          <reference field="3" count="1" selected="0">
            <x v="38"/>
          </reference>
          <reference field="4" count="1" selected="0">
            <x v="143"/>
          </reference>
          <reference field="5" count="1" selected="0">
            <x v="252"/>
          </reference>
          <reference field="6" count="1">
            <x v="47"/>
          </reference>
        </references>
      </pivotArea>
    </format>
    <format dxfId="2304">
      <pivotArea dataOnly="0" labelOnly="1" fieldPosition="0">
        <references count="6">
          <reference field="1" count="1" selected="0">
            <x v="61"/>
          </reference>
          <reference field="2" count="1" selected="0">
            <x v="0"/>
          </reference>
          <reference field="3" count="1" selected="0">
            <x v="12"/>
          </reference>
          <reference field="4" count="1" selected="0">
            <x v="21"/>
          </reference>
          <reference field="5" count="1" selected="0">
            <x v="69"/>
          </reference>
          <reference field="6" count="1">
            <x v="47"/>
          </reference>
        </references>
      </pivotArea>
    </format>
    <format dxfId="2303">
      <pivotArea dataOnly="0" labelOnly="1" fieldPosition="0">
        <references count="6">
          <reference field="1" count="1" selected="0">
            <x v="61"/>
          </reference>
          <reference field="2" count="1" selected="0">
            <x v="7"/>
          </reference>
          <reference field="3" count="1" selected="0">
            <x v="38"/>
          </reference>
          <reference field="4" count="1" selected="0">
            <x v="144"/>
          </reference>
          <reference field="5" count="1" selected="0">
            <x v="1377"/>
          </reference>
          <reference field="6" count="1">
            <x v="47"/>
          </reference>
        </references>
      </pivotArea>
    </format>
    <format dxfId="2302">
      <pivotArea dataOnly="0" labelOnly="1" fieldPosition="0">
        <references count="6">
          <reference field="1" count="1" selected="0">
            <x v="61"/>
          </reference>
          <reference field="2" count="1" selected="0">
            <x v="10"/>
          </reference>
          <reference field="3" count="1" selected="0">
            <x v="33"/>
          </reference>
          <reference field="4" count="1" selected="0">
            <x v="144"/>
          </reference>
          <reference field="5" count="1" selected="0">
            <x v="1835"/>
          </reference>
          <reference field="6" count="1">
            <x v="47"/>
          </reference>
        </references>
      </pivotArea>
    </format>
    <format dxfId="2301">
      <pivotArea dataOnly="0" labelOnly="1" fieldPosition="0">
        <references count="6">
          <reference field="1" count="1" selected="0">
            <x v="61"/>
          </reference>
          <reference field="2" count="1" selected="0">
            <x v="12"/>
          </reference>
          <reference field="3" count="1" selected="0">
            <x v="1"/>
          </reference>
          <reference field="4" count="1" selected="0">
            <x v="144"/>
          </reference>
          <reference field="5" count="1" selected="0">
            <x v="80"/>
          </reference>
          <reference field="6" count="1">
            <x v="47"/>
          </reference>
        </references>
      </pivotArea>
    </format>
    <format dxfId="2300">
      <pivotArea dataOnly="0" labelOnly="1" fieldPosition="0">
        <references count="6">
          <reference field="1" count="1" selected="0">
            <x v="61"/>
          </reference>
          <reference field="2" count="1" selected="0">
            <x v="12"/>
          </reference>
          <reference field="3" count="1" selected="0">
            <x v="1"/>
          </reference>
          <reference field="4" count="1" selected="0">
            <x v="144"/>
          </reference>
          <reference field="5" count="1" selected="0">
            <x v="213"/>
          </reference>
          <reference field="6" count="1">
            <x v="47"/>
          </reference>
        </references>
      </pivotArea>
    </format>
    <format dxfId="2299">
      <pivotArea dataOnly="0" labelOnly="1" fieldPosition="0">
        <references count="6">
          <reference field="1" count="1" selected="0">
            <x v="61"/>
          </reference>
          <reference field="2" count="1" selected="0">
            <x v="19"/>
          </reference>
          <reference field="3" count="1" selected="0">
            <x v="38"/>
          </reference>
          <reference field="4" count="1" selected="0">
            <x v="144"/>
          </reference>
          <reference field="5" count="1" selected="0">
            <x v="520"/>
          </reference>
          <reference field="6" count="1">
            <x v="47"/>
          </reference>
        </references>
      </pivotArea>
    </format>
    <format dxfId="2298">
      <pivotArea dataOnly="0" labelOnly="1" fieldPosition="0">
        <references count="6">
          <reference field="1" count="1" selected="0">
            <x v="61"/>
          </reference>
          <reference field="2" count="1" selected="0">
            <x v="23"/>
          </reference>
          <reference field="3" count="1" selected="0">
            <x v="1"/>
          </reference>
          <reference field="4" count="1" selected="0">
            <x v="144"/>
          </reference>
          <reference field="5" count="1" selected="0">
            <x v="606"/>
          </reference>
          <reference field="6" count="1">
            <x v="47"/>
          </reference>
        </references>
      </pivotArea>
    </format>
    <format dxfId="2297">
      <pivotArea dataOnly="0" labelOnly="1" fieldPosition="0">
        <references count="6">
          <reference field="1" count="1" selected="0">
            <x v="62"/>
          </reference>
          <reference field="2" count="1" selected="0">
            <x v="0"/>
          </reference>
          <reference field="3" count="1" selected="0">
            <x v="5"/>
          </reference>
          <reference field="4" count="1" selected="0">
            <x v="1"/>
          </reference>
          <reference field="5" count="1" selected="0">
            <x v="134"/>
          </reference>
          <reference field="6" count="1">
            <x v="47"/>
          </reference>
        </references>
      </pivotArea>
    </format>
    <format dxfId="2296">
      <pivotArea dataOnly="0" labelOnly="1" fieldPosition="0">
        <references count="6">
          <reference field="1" count="1" selected="0">
            <x v="62"/>
          </reference>
          <reference field="2" count="1" selected="0">
            <x v="0"/>
          </reference>
          <reference field="3" count="1" selected="0">
            <x v="8"/>
          </reference>
          <reference field="4" count="1" selected="0">
            <x v="145"/>
          </reference>
          <reference field="5" count="1" selected="0">
            <x v="187"/>
          </reference>
          <reference field="6" count="1">
            <x v="47"/>
          </reference>
        </references>
      </pivotArea>
    </format>
    <format dxfId="2295">
      <pivotArea dataOnly="0" labelOnly="1" fieldPosition="0">
        <references count="6">
          <reference field="1" count="1" selected="0">
            <x v="62"/>
          </reference>
          <reference field="2" count="1" selected="0">
            <x v="0"/>
          </reference>
          <reference field="3" count="1" selected="0">
            <x v="9"/>
          </reference>
          <reference field="4" count="1" selected="0">
            <x v="145"/>
          </reference>
          <reference field="5" count="1" selected="0">
            <x v="431"/>
          </reference>
          <reference field="6" count="1">
            <x v="47"/>
          </reference>
        </references>
      </pivotArea>
    </format>
    <format dxfId="2294">
      <pivotArea dataOnly="0" labelOnly="1" fieldPosition="0">
        <references count="6">
          <reference field="1" count="1" selected="0">
            <x v="62"/>
          </reference>
          <reference field="2" count="1" selected="0">
            <x v="0"/>
          </reference>
          <reference field="3" count="1" selected="0">
            <x v="9"/>
          </reference>
          <reference field="4" count="1" selected="0">
            <x v="145"/>
          </reference>
          <reference field="5" count="1" selected="0">
            <x v="657"/>
          </reference>
          <reference field="6" count="1">
            <x v="47"/>
          </reference>
        </references>
      </pivotArea>
    </format>
    <format dxfId="2293">
      <pivotArea dataOnly="0" labelOnly="1" fieldPosition="0">
        <references count="6">
          <reference field="1" count="1" selected="0">
            <x v="62"/>
          </reference>
          <reference field="2" count="1" selected="0">
            <x v="0"/>
          </reference>
          <reference field="3" count="1" selected="0">
            <x v="12"/>
          </reference>
          <reference field="4" count="1" selected="0">
            <x v="18"/>
          </reference>
          <reference field="5" count="1" selected="0">
            <x v="59"/>
          </reference>
          <reference field="6" count="1">
            <x v="47"/>
          </reference>
        </references>
      </pivotArea>
    </format>
    <format dxfId="2292">
      <pivotArea dataOnly="0" labelOnly="1" fieldPosition="0">
        <references count="6">
          <reference field="1" count="1" selected="0">
            <x v="62"/>
          </reference>
          <reference field="2" count="1" selected="0">
            <x v="0"/>
          </reference>
          <reference field="3" count="1" selected="0">
            <x v="12"/>
          </reference>
          <reference field="4" count="1" selected="0">
            <x v="26"/>
          </reference>
          <reference field="5" count="1" selected="0">
            <x v="53"/>
          </reference>
          <reference field="6" count="1">
            <x v="47"/>
          </reference>
        </references>
      </pivotArea>
    </format>
    <format dxfId="2291">
      <pivotArea dataOnly="0" labelOnly="1" fieldPosition="0">
        <references count="6">
          <reference field="1" count="1" selected="0">
            <x v="62"/>
          </reference>
          <reference field="2" count="1" selected="0">
            <x v="0"/>
          </reference>
          <reference field="3" count="1" selected="0">
            <x v="12"/>
          </reference>
          <reference field="4" count="1" selected="0">
            <x v="32"/>
          </reference>
          <reference field="5" count="1" selected="0">
            <x v="391"/>
          </reference>
          <reference field="6" count="1">
            <x v="47"/>
          </reference>
        </references>
      </pivotArea>
    </format>
    <format dxfId="2290">
      <pivotArea dataOnly="0" labelOnly="1" fieldPosition="0">
        <references count="6">
          <reference field="1" count="1" selected="0">
            <x v="62"/>
          </reference>
          <reference field="2" count="1" selected="0">
            <x v="2"/>
          </reference>
          <reference field="3" count="1" selected="0">
            <x v="10"/>
          </reference>
          <reference field="4" count="1" selected="0">
            <x v="145"/>
          </reference>
          <reference field="5" count="1" selected="0">
            <x v="1685"/>
          </reference>
          <reference field="6" count="1">
            <x v="47"/>
          </reference>
        </references>
      </pivotArea>
    </format>
    <format dxfId="2289">
      <pivotArea dataOnly="0" labelOnly="1" fieldPosition="0">
        <references count="6">
          <reference field="1" count="1" selected="0">
            <x v="62"/>
          </reference>
          <reference field="2" count="1" selected="0">
            <x v="3"/>
          </reference>
          <reference field="3" count="1" selected="0">
            <x v="10"/>
          </reference>
          <reference field="4" count="1" selected="0">
            <x v="145"/>
          </reference>
          <reference field="5" count="1" selected="0">
            <x v="1261"/>
          </reference>
          <reference field="6" count="1">
            <x v="47"/>
          </reference>
        </references>
      </pivotArea>
    </format>
    <format dxfId="2288">
      <pivotArea dataOnly="0" labelOnly="1" fieldPosition="0">
        <references count="6">
          <reference field="1" count="1" selected="0">
            <x v="62"/>
          </reference>
          <reference field="2" count="1" selected="0">
            <x v="9"/>
          </reference>
          <reference field="3" count="1" selected="0">
            <x v="10"/>
          </reference>
          <reference field="4" count="1" selected="0">
            <x v="145"/>
          </reference>
          <reference field="5" count="1" selected="0">
            <x v="505"/>
          </reference>
          <reference field="6" count="1">
            <x v="47"/>
          </reference>
        </references>
      </pivotArea>
    </format>
    <format dxfId="2287">
      <pivotArea dataOnly="0" labelOnly="1" fieldPosition="0">
        <references count="6">
          <reference field="1" count="1" selected="0">
            <x v="62"/>
          </reference>
          <reference field="2" count="1" selected="0">
            <x v="11"/>
          </reference>
          <reference field="3" count="1" selected="0">
            <x v="10"/>
          </reference>
          <reference field="4" count="1" selected="0">
            <x v="145"/>
          </reference>
          <reference field="5" count="1" selected="0">
            <x v="761"/>
          </reference>
          <reference field="6" count="1">
            <x v="47"/>
          </reference>
        </references>
      </pivotArea>
    </format>
    <format dxfId="2286">
      <pivotArea dataOnly="0" labelOnly="1" fieldPosition="0">
        <references count="6">
          <reference field="1" count="1" selected="0">
            <x v="62"/>
          </reference>
          <reference field="2" count="1" selected="0">
            <x v="12"/>
          </reference>
          <reference field="3" count="1" selected="0">
            <x v="1"/>
          </reference>
          <reference field="4" count="1" selected="0">
            <x v="145"/>
          </reference>
          <reference field="5" count="1" selected="0">
            <x v="213"/>
          </reference>
          <reference field="6" count="1">
            <x v="47"/>
          </reference>
        </references>
      </pivotArea>
    </format>
    <format dxfId="2285">
      <pivotArea dataOnly="0" labelOnly="1" fieldPosition="0">
        <references count="6">
          <reference field="1" count="1" selected="0">
            <x v="62"/>
          </reference>
          <reference field="2" count="1" selected="0">
            <x v="26"/>
          </reference>
          <reference field="3" count="1" selected="0">
            <x v="37"/>
          </reference>
          <reference field="4" count="1" selected="0">
            <x v="145"/>
          </reference>
          <reference field="5" count="1" selected="0">
            <x v="469"/>
          </reference>
          <reference field="6" count="1">
            <x v="47"/>
          </reference>
        </references>
      </pivotArea>
    </format>
    <format dxfId="2284">
      <pivotArea dataOnly="0" labelOnly="1" fieldPosition="0">
        <references count="6">
          <reference field="1" count="1" selected="0">
            <x v="62"/>
          </reference>
          <reference field="2" count="1" selected="0">
            <x v="29"/>
          </reference>
          <reference field="3" count="1" selected="0">
            <x v="10"/>
          </reference>
          <reference field="4" count="1" selected="0">
            <x v="145"/>
          </reference>
          <reference field="5" count="1" selected="0">
            <x v="1091"/>
          </reference>
          <reference field="6" count="1">
            <x v="47"/>
          </reference>
        </references>
      </pivotArea>
    </format>
    <format dxfId="2283">
      <pivotArea dataOnly="0" labelOnly="1" fieldPosition="0">
        <references count="6">
          <reference field="1" count="1" selected="0">
            <x v="62"/>
          </reference>
          <reference field="2" count="1" selected="0">
            <x v="36"/>
          </reference>
          <reference field="3" count="1" selected="0">
            <x v="10"/>
          </reference>
          <reference field="4" count="1" selected="0">
            <x v="145"/>
          </reference>
          <reference field="5" count="1" selected="0">
            <x v="1614"/>
          </reference>
          <reference field="6" count="1">
            <x v="47"/>
          </reference>
        </references>
      </pivotArea>
    </format>
    <format dxfId="2282">
      <pivotArea dataOnly="0" labelOnly="1" fieldPosition="0">
        <references count="6">
          <reference field="1" count="1" selected="0">
            <x v="62"/>
          </reference>
          <reference field="2" count="1" selected="0">
            <x v="37"/>
          </reference>
          <reference field="3" count="1" selected="0">
            <x v="10"/>
          </reference>
          <reference field="4" count="1" selected="0">
            <x v="145"/>
          </reference>
          <reference field="5" count="1" selected="0">
            <x v="1568"/>
          </reference>
          <reference field="6" count="1">
            <x v="47"/>
          </reference>
        </references>
      </pivotArea>
    </format>
    <format dxfId="2281">
      <pivotArea dataOnly="0" labelOnly="1" fieldPosition="0">
        <references count="6">
          <reference field="1" count="1" selected="0">
            <x v="62"/>
          </reference>
          <reference field="2" count="1" selected="0">
            <x v="38"/>
          </reference>
          <reference field="3" count="1" selected="0">
            <x v="10"/>
          </reference>
          <reference field="4" count="1" selected="0">
            <x v="145"/>
          </reference>
          <reference field="5" count="1" selected="0">
            <x v="1107"/>
          </reference>
          <reference field="6" count="1">
            <x v="47"/>
          </reference>
        </references>
      </pivotArea>
    </format>
    <format dxfId="2280">
      <pivotArea dataOnly="0" labelOnly="1" fieldPosition="0">
        <references count="6">
          <reference field="1" count="1" selected="0">
            <x v="63"/>
          </reference>
          <reference field="2" count="1" selected="0">
            <x v="0"/>
          </reference>
          <reference field="3" count="1" selected="0">
            <x v="1"/>
          </reference>
          <reference field="4" count="1" selected="0">
            <x v="146"/>
          </reference>
          <reference field="5" count="1" selected="0">
            <x v="80"/>
          </reference>
          <reference field="6" count="1">
            <x v="47"/>
          </reference>
        </references>
      </pivotArea>
    </format>
    <format dxfId="2279">
      <pivotArea dataOnly="0" labelOnly="1" fieldPosition="0">
        <references count="6">
          <reference field="1" count="1" selected="0">
            <x v="63"/>
          </reference>
          <reference field="2" count="1" selected="0">
            <x v="0"/>
          </reference>
          <reference field="3" count="1" selected="0">
            <x v="6"/>
          </reference>
          <reference field="4" count="1" selected="0">
            <x v="146"/>
          </reference>
          <reference field="5" count="1" selected="0">
            <x v="469"/>
          </reference>
          <reference field="6" count="1">
            <x v="47"/>
          </reference>
        </references>
      </pivotArea>
    </format>
    <format dxfId="2278">
      <pivotArea dataOnly="0" labelOnly="1" fieldPosition="0">
        <references count="6">
          <reference field="1" count="1" selected="0">
            <x v="63"/>
          </reference>
          <reference field="2" count="1" selected="0">
            <x v="0"/>
          </reference>
          <reference field="3" count="1" selected="0">
            <x v="12"/>
          </reference>
          <reference field="4" count="1" selected="0">
            <x v="8"/>
          </reference>
          <reference field="5" count="1" selected="0">
            <x v="37"/>
          </reference>
          <reference field="6" count="1">
            <x v="47"/>
          </reference>
        </references>
      </pivotArea>
    </format>
    <format dxfId="2277">
      <pivotArea dataOnly="0" labelOnly="1" fieldPosition="0">
        <references count="6">
          <reference field="1" count="1" selected="0">
            <x v="63"/>
          </reference>
          <reference field="2" count="1" selected="0">
            <x v="0"/>
          </reference>
          <reference field="3" count="1" selected="0">
            <x v="12"/>
          </reference>
          <reference field="4" count="1" selected="0">
            <x v="38"/>
          </reference>
          <reference field="5" count="1" selected="0">
            <x v="46"/>
          </reference>
          <reference field="6" count="1">
            <x v="47"/>
          </reference>
        </references>
      </pivotArea>
    </format>
    <format dxfId="2276">
      <pivotArea dataOnly="0" labelOnly="1" fieldPosition="0">
        <references count="6">
          <reference field="1" count="1" selected="0">
            <x v="63"/>
          </reference>
          <reference field="2" count="1" selected="0">
            <x v="0"/>
          </reference>
          <reference field="3" count="1" selected="0">
            <x v="38"/>
          </reference>
          <reference field="4" count="1" selected="0">
            <x v="146"/>
          </reference>
          <reference field="5" count="1" selected="0">
            <x v="524"/>
          </reference>
          <reference field="6" count="1">
            <x v="47"/>
          </reference>
        </references>
      </pivotArea>
    </format>
    <format dxfId="2275">
      <pivotArea dataOnly="0" labelOnly="1" fieldPosition="0">
        <references count="6">
          <reference field="1" count="1" selected="0">
            <x v="63"/>
          </reference>
          <reference field="2" count="1" selected="0">
            <x v="8"/>
          </reference>
          <reference field="3" count="1" selected="0">
            <x v="38"/>
          </reference>
          <reference field="4" count="1" selected="0">
            <x v="146"/>
          </reference>
          <reference field="5" count="1" selected="0">
            <x v="846"/>
          </reference>
          <reference field="6" count="1">
            <x v="47"/>
          </reference>
        </references>
      </pivotArea>
    </format>
    <format dxfId="2274">
      <pivotArea dataOnly="0" labelOnly="1" fieldPosition="0">
        <references count="6">
          <reference field="1" count="1" selected="0">
            <x v="63"/>
          </reference>
          <reference field="2" count="1" selected="0">
            <x v="9"/>
          </reference>
          <reference field="3" count="1" selected="0">
            <x v="38"/>
          </reference>
          <reference field="4" count="1" selected="0">
            <x v="146"/>
          </reference>
          <reference field="5" count="1" selected="0">
            <x v="198"/>
          </reference>
          <reference field="6" count="1">
            <x v="47"/>
          </reference>
        </references>
      </pivotArea>
    </format>
    <format dxfId="2273">
      <pivotArea dataOnly="0" labelOnly="1" fieldPosition="0">
        <references count="6">
          <reference field="1" count="1" selected="0">
            <x v="63"/>
          </reference>
          <reference field="2" count="1" selected="0">
            <x v="12"/>
          </reference>
          <reference field="3" count="1" selected="0">
            <x v="1"/>
          </reference>
          <reference field="4" count="1" selected="0">
            <x v="146"/>
          </reference>
          <reference field="5" count="1" selected="0">
            <x v="80"/>
          </reference>
          <reference field="6" count="1">
            <x v="47"/>
          </reference>
        </references>
      </pivotArea>
    </format>
    <format dxfId="2272">
      <pivotArea dataOnly="0" labelOnly="1" fieldPosition="0">
        <references count="6">
          <reference field="1" count="1" selected="0">
            <x v="63"/>
          </reference>
          <reference field="2" count="1" selected="0">
            <x v="12"/>
          </reference>
          <reference field="3" count="1" selected="0">
            <x v="1"/>
          </reference>
          <reference field="4" count="1" selected="0">
            <x v="146"/>
          </reference>
          <reference field="5" count="1" selected="0">
            <x v="352"/>
          </reference>
          <reference field="6" count="1">
            <x v="47"/>
          </reference>
        </references>
      </pivotArea>
    </format>
    <format dxfId="2271">
      <pivotArea dataOnly="0" labelOnly="1" fieldPosition="0">
        <references count="6">
          <reference field="1" count="1" selected="0">
            <x v="63"/>
          </reference>
          <reference field="2" count="1" selected="0">
            <x v="15"/>
          </reference>
          <reference field="3" count="1" selected="0">
            <x v="1"/>
          </reference>
          <reference field="4" count="1" selected="0">
            <x v="146"/>
          </reference>
          <reference field="5" count="1" selected="0">
            <x v="383"/>
          </reference>
          <reference field="6" count="1">
            <x v="47"/>
          </reference>
        </references>
      </pivotArea>
    </format>
    <format dxfId="2270">
      <pivotArea dataOnly="0" labelOnly="1" fieldPosition="0">
        <references count="6">
          <reference field="1" count="1" selected="0">
            <x v="63"/>
          </reference>
          <reference field="2" count="1" selected="0">
            <x v="30"/>
          </reference>
          <reference field="3" count="1" selected="0">
            <x v="6"/>
          </reference>
          <reference field="4" count="1" selected="0">
            <x v="146"/>
          </reference>
          <reference field="5" count="1" selected="0">
            <x v="1795"/>
          </reference>
          <reference field="6" count="1">
            <x v="47"/>
          </reference>
        </references>
      </pivotArea>
    </format>
    <format dxfId="2269">
      <pivotArea dataOnly="0" labelOnly="1" fieldPosition="0">
        <references count="6">
          <reference field="1" count="1" selected="0">
            <x v="64"/>
          </reference>
          <reference field="2" count="1" selected="0">
            <x v="0"/>
          </reference>
          <reference field="3" count="1" selected="0">
            <x v="1"/>
          </reference>
          <reference field="4" count="1" selected="0">
            <x v="148"/>
          </reference>
          <reference field="5" count="1" selected="0">
            <x v="80"/>
          </reference>
          <reference field="6" count="1">
            <x v="47"/>
          </reference>
        </references>
      </pivotArea>
    </format>
    <format dxfId="2268">
      <pivotArea dataOnly="0" labelOnly="1" fieldPosition="0">
        <references count="6">
          <reference field="1" count="1" selected="0">
            <x v="64"/>
          </reference>
          <reference field="2" count="1" selected="0">
            <x v="0"/>
          </reference>
          <reference field="3" count="1" selected="0">
            <x v="11"/>
          </reference>
          <reference field="4" count="1" selected="0">
            <x v="51"/>
          </reference>
          <reference field="5" count="1" selected="0">
            <x v="39"/>
          </reference>
          <reference field="6" count="1">
            <x v="47"/>
          </reference>
        </references>
      </pivotArea>
    </format>
    <format dxfId="2267">
      <pivotArea dataOnly="0" labelOnly="1" fieldPosition="0">
        <references count="6">
          <reference field="1" count="1" selected="0">
            <x v="64"/>
          </reference>
          <reference field="2" count="1" selected="0">
            <x v="0"/>
          </reference>
          <reference field="3" count="1" selected="0">
            <x v="12"/>
          </reference>
          <reference field="4" count="1" selected="0">
            <x v="10"/>
          </reference>
          <reference field="5" count="1" selected="0">
            <x v="9"/>
          </reference>
          <reference field="6" count="1">
            <x v="47"/>
          </reference>
        </references>
      </pivotArea>
    </format>
    <format dxfId="2266">
      <pivotArea dataOnly="0" labelOnly="1" fieldPosition="0">
        <references count="6">
          <reference field="1" count="1" selected="0">
            <x v="64"/>
          </reference>
          <reference field="2" count="1" selected="0">
            <x v="0"/>
          </reference>
          <reference field="3" count="1" selected="0">
            <x v="12"/>
          </reference>
          <reference field="4" count="1" selected="0">
            <x v="50"/>
          </reference>
          <reference field="5" count="1" selected="0">
            <x v="469"/>
          </reference>
          <reference field="6" count="1">
            <x v="47"/>
          </reference>
        </references>
      </pivotArea>
    </format>
    <format dxfId="2265">
      <pivotArea dataOnly="0" labelOnly="1" fieldPosition="0">
        <references count="6">
          <reference field="1" count="1" selected="0">
            <x v="64"/>
          </reference>
          <reference field="2" count="1" selected="0">
            <x v="0"/>
          </reference>
          <reference field="3" count="1" selected="0">
            <x v="25"/>
          </reference>
          <reference field="4" count="1" selected="0">
            <x v="147"/>
          </reference>
          <reference field="5" count="1" selected="0">
            <x v="454"/>
          </reference>
          <reference field="6" count="1">
            <x v="47"/>
          </reference>
        </references>
      </pivotArea>
    </format>
    <format dxfId="2264">
      <pivotArea dataOnly="0" labelOnly="1" fieldPosition="0">
        <references count="6">
          <reference field="1" count="1" selected="0">
            <x v="64"/>
          </reference>
          <reference field="2" count="1" selected="0">
            <x v="0"/>
          </reference>
          <reference field="3" count="1" selected="0">
            <x v="25"/>
          </reference>
          <reference field="4" count="1" selected="0">
            <x v="147"/>
          </reference>
          <reference field="5" count="1" selected="0">
            <x v="727"/>
          </reference>
          <reference field="6" count="1">
            <x v="47"/>
          </reference>
        </references>
      </pivotArea>
    </format>
    <format dxfId="2263">
      <pivotArea dataOnly="0" labelOnly="1" fieldPosition="0">
        <references count="6">
          <reference field="1" count="1" selected="0">
            <x v="64"/>
          </reference>
          <reference field="2" count="1" selected="0">
            <x v="0"/>
          </reference>
          <reference field="3" count="1" selected="0">
            <x v="25"/>
          </reference>
          <reference field="4" count="1" selected="0">
            <x v="147"/>
          </reference>
          <reference field="5" count="1" selected="0">
            <x v="1042"/>
          </reference>
          <reference field="6" count="1">
            <x v="47"/>
          </reference>
        </references>
      </pivotArea>
    </format>
    <format dxfId="2262">
      <pivotArea dataOnly="0" labelOnly="1" fieldPosition="0">
        <references count="6">
          <reference field="1" count="1" selected="0">
            <x v="64"/>
          </reference>
          <reference field="2" count="1" selected="0">
            <x v="0"/>
          </reference>
          <reference field="3" count="1" selected="0">
            <x v="25"/>
          </reference>
          <reference field="4" count="1" selected="0">
            <x v="147"/>
          </reference>
          <reference field="5" count="1" selected="0">
            <x v="1615"/>
          </reference>
          <reference field="6" count="1">
            <x v="47"/>
          </reference>
        </references>
      </pivotArea>
    </format>
    <format dxfId="2261">
      <pivotArea dataOnly="0" labelOnly="1" fieldPosition="0">
        <references count="6">
          <reference field="1" count="1" selected="0">
            <x v="64"/>
          </reference>
          <reference field="2" count="1" selected="0">
            <x v="0"/>
          </reference>
          <reference field="3" count="1" selected="0">
            <x v="38"/>
          </reference>
          <reference field="4" count="1" selected="0">
            <x v="148"/>
          </reference>
          <reference field="5" count="1" selected="0">
            <x v="592"/>
          </reference>
          <reference field="6" count="1">
            <x v="47"/>
          </reference>
        </references>
      </pivotArea>
    </format>
    <format dxfId="2260">
      <pivotArea dataOnly="0" labelOnly="1" fieldPosition="0">
        <references count="6">
          <reference field="1" count="1" selected="0">
            <x v="64"/>
          </reference>
          <reference field="2" count="1" selected="0">
            <x v="2"/>
          </reference>
          <reference field="3" count="1" selected="0">
            <x v="25"/>
          </reference>
          <reference field="4" count="1" selected="0">
            <x v="147"/>
          </reference>
          <reference field="5" count="1" selected="0">
            <x v="1822"/>
          </reference>
          <reference field="6" count="1">
            <x v="47"/>
          </reference>
        </references>
      </pivotArea>
    </format>
    <format dxfId="2259">
      <pivotArea dataOnly="0" labelOnly="1" fieldPosition="0">
        <references count="6">
          <reference field="1" count="1" selected="0">
            <x v="64"/>
          </reference>
          <reference field="2" count="1" selected="0">
            <x v="12"/>
          </reference>
          <reference field="3" count="1" selected="0">
            <x v="1"/>
          </reference>
          <reference field="4" count="1" selected="0">
            <x v="148"/>
          </reference>
          <reference field="5" count="1" selected="0">
            <x v="213"/>
          </reference>
          <reference field="6" count="1">
            <x v="47"/>
          </reference>
        </references>
      </pivotArea>
    </format>
    <format dxfId="2258">
      <pivotArea dataOnly="0" labelOnly="1" fieldPosition="0">
        <references count="6">
          <reference field="1" count="1" selected="0">
            <x v="64"/>
          </reference>
          <reference field="2" count="1" selected="0">
            <x v="12"/>
          </reference>
          <reference field="3" count="1" selected="0">
            <x v="1"/>
          </reference>
          <reference field="4" count="1" selected="0">
            <x v="148"/>
          </reference>
          <reference field="5" count="1" selected="0">
            <x v="352"/>
          </reference>
          <reference field="6" count="1">
            <x v="47"/>
          </reference>
        </references>
      </pivotArea>
    </format>
    <format dxfId="2257">
      <pivotArea dataOnly="0" labelOnly="1" fieldPosition="0">
        <references count="6">
          <reference field="1" count="1" selected="0">
            <x v="64"/>
          </reference>
          <reference field="2" count="1" selected="0">
            <x v="12"/>
          </reference>
          <reference field="3" count="1" selected="0">
            <x v="1"/>
          </reference>
          <reference field="4" count="1" selected="0">
            <x v="148"/>
          </reference>
          <reference field="5" count="1" selected="0">
            <x v="607"/>
          </reference>
          <reference field="6" count="1">
            <x v="47"/>
          </reference>
        </references>
      </pivotArea>
    </format>
    <format dxfId="2256">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476"/>
          </reference>
          <reference field="6" count="1">
            <x v="47"/>
          </reference>
        </references>
      </pivotArea>
    </format>
    <format dxfId="2255">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961"/>
          </reference>
          <reference field="6" count="1">
            <x v="47"/>
          </reference>
        </references>
      </pivotArea>
    </format>
    <format dxfId="2254">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987"/>
          </reference>
          <reference field="6" count="1">
            <x v="47"/>
          </reference>
        </references>
      </pivotArea>
    </format>
    <format dxfId="2253">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026"/>
          </reference>
          <reference field="6" count="1">
            <x v="47"/>
          </reference>
        </references>
      </pivotArea>
    </format>
    <format dxfId="2252">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117"/>
          </reference>
          <reference field="6" count="1">
            <x v="47"/>
          </reference>
        </references>
      </pivotArea>
    </format>
    <format dxfId="2251">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250"/>
          </reference>
          <reference field="6" count="1">
            <x v="47"/>
          </reference>
        </references>
      </pivotArea>
    </format>
    <format dxfId="2250">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287"/>
          </reference>
          <reference field="6" count="1">
            <x v="47"/>
          </reference>
        </references>
      </pivotArea>
    </format>
    <format dxfId="2249">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314"/>
          </reference>
          <reference field="6" count="1">
            <x v="47"/>
          </reference>
        </references>
      </pivotArea>
    </format>
    <format dxfId="2248">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411"/>
          </reference>
          <reference field="6" count="1">
            <x v="47"/>
          </reference>
        </references>
      </pivotArea>
    </format>
    <format dxfId="2247">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419"/>
          </reference>
          <reference field="6" count="1">
            <x v="47"/>
          </reference>
        </references>
      </pivotArea>
    </format>
    <format dxfId="2246">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422"/>
          </reference>
          <reference field="6" count="1">
            <x v="47"/>
          </reference>
        </references>
      </pivotArea>
    </format>
    <format dxfId="2245">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454"/>
          </reference>
          <reference field="6" count="1">
            <x v="47"/>
          </reference>
        </references>
      </pivotArea>
    </format>
    <format dxfId="2244">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486"/>
          </reference>
          <reference field="6" count="1">
            <x v="47"/>
          </reference>
        </references>
      </pivotArea>
    </format>
    <format dxfId="2243">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557"/>
          </reference>
          <reference field="6" count="1">
            <x v="47"/>
          </reference>
        </references>
      </pivotArea>
    </format>
    <format dxfId="2242">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580"/>
          </reference>
          <reference field="6" count="1">
            <x v="47"/>
          </reference>
        </references>
      </pivotArea>
    </format>
    <format dxfId="2241">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624"/>
          </reference>
          <reference field="6" count="1">
            <x v="47"/>
          </reference>
        </references>
      </pivotArea>
    </format>
    <format dxfId="2240">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628"/>
          </reference>
          <reference field="6" count="1">
            <x v="47"/>
          </reference>
        </references>
      </pivotArea>
    </format>
    <format dxfId="2239">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645"/>
          </reference>
          <reference field="6" count="1">
            <x v="47"/>
          </reference>
        </references>
      </pivotArea>
    </format>
    <format dxfId="2238">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657"/>
          </reference>
          <reference field="6" count="1">
            <x v="47"/>
          </reference>
        </references>
      </pivotArea>
    </format>
    <format dxfId="2237">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667"/>
          </reference>
          <reference field="6" count="1">
            <x v="47"/>
          </reference>
        </references>
      </pivotArea>
    </format>
    <format dxfId="2236">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668"/>
          </reference>
          <reference field="6" count="1">
            <x v="47"/>
          </reference>
        </references>
      </pivotArea>
    </format>
    <format dxfId="2235">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691"/>
          </reference>
          <reference field="6" count="1">
            <x v="47"/>
          </reference>
        </references>
      </pivotArea>
    </format>
    <format dxfId="2234">
      <pivotArea dataOnly="0" labelOnly="1" fieldPosition="0">
        <references count="6">
          <reference field="1" count="1" selected="0">
            <x v="64"/>
          </reference>
          <reference field="2" count="1" selected="0">
            <x v="12"/>
          </reference>
          <reference field="3" count="1" selected="0">
            <x v="25"/>
          </reference>
          <reference field="4" count="1" selected="0">
            <x v="147"/>
          </reference>
          <reference field="5" count="1" selected="0">
            <x v="1778"/>
          </reference>
          <reference field="6" count="1">
            <x v="47"/>
          </reference>
        </references>
      </pivotArea>
    </format>
    <format dxfId="2233">
      <pivotArea dataOnly="0" labelOnly="1" fieldPosition="0">
        <references count="6">
          <reference field="1" count="1" selected="0">
            <x v="64"/>
          </reference>
          <reference field="2" count="1" selected="0">
            <x v="15"/>
          </reference>
          <reference field="3" count="1" selected="0">
            <x v="25"/>
          </reference>
          <reference field="4" count="1" selected="0">
            <x v="147"/>
          </reference>
          <reference field="5" count="1" selected="0">
            <x v="67"/>
          </reference>
          <reference field="6" count="1">
            <x v="47"/>
          </reference>
        </references>
      </pivotArea>
    </format>
    <format dxfId="2232">
      <pivotArea dataOnly="0" labelOnly="1" fieldPosition="0">
        <references count="6">
          <reference field="1" count="1" selected="0">
            <x v="64"/>
          </reference>
          <reference field="2" count="1" selected="0">
            <x v="19"/>
          </reference>
          <reference field="3" count="1" selected="0">
            <x v="6"/>
          </reference>
          <reference field="4" count="1" selected="0">
            <x v="148"/>
          </reference>
          <reference field="5" count="1" selected="0">
            <x v="480"/>
          </reference>
          <reference field="6" count="1">
            <x v="47"/>
          </reference>
        </references>
      </pivotArea>
    </format>
    <format dxfId="2231">
      <pivotArea dataOnly="0" labelOnly="1" fieldPosition="0">
        <references count="6">
          <reference field="1" count="1" selected="0">
            <x v="64"/>
          </reference>
          <reference field="2" count="1" selected="0">
            <x v="23"/>
          </reference>
          <reference field="3" count="1" selected="0">
            <x v="25"/>
          </reference>
          <reference field="4" count="1" selected="0">
            <x v="147"/>
          </reference>
          <reference field="5" count="1" selected="0">
            <x v="1880"/>
          </reference>
          <reference field="6" count="1">
            <x v="47"/>
          </reference>
        </references>
      </pivotArea>
    </format>
    <format dxfId="2230">
      <pivotArea dataOnly="0" labelOnly="1" fieldPosition="0">
        <references count="6">
          <reference field="1" count="1" selected="0">
            <x v="64"/>
          </reference>
          <reference field="2" count="1" selected="0">
            <x v="24"/>
          </reference>
          <reference field="3" count="1" selected="0">
            <x v="25"/>
          </reference>
          <reference field="4" count="1" selected="0">
            <x v="147"/>
          </reference>
          <reference field="5" count="1" selected="0">
            <x v="1817"/>
          </reference>
          <reference field="6" count="1">
            <x v="47"/>
          </reference>
        </references>
      </pivotArea>
    </format>
    <format dxfId="2229">
      <pivotArea dataOnly="0" labelOnly="1" fieldPosition="0">
        <references count="6">
          <reference field="1" count="1" selected="0">
            <x v="64"/>
          </reference>
          <reference field="2" count="1" selected="0">
            <x v="27"/>
          </reference>
          <reference field="3" count="1" selected="0">
            <x v="25"/>
          </reference>
          <reference field="4" count="1" selected="0">
            <x v="147"/>
          </reference>
          <reference field="5" count="1" selected="0">
            <x v="570"/>
          </reference>
          <reference field="6" count="1">
            <x v="47"/>
          </reference>
        </references>
      </pivotArea>
    </format>
    <format dxfId="2228">
      <pivotArea dataOnly="0" labelOnly="1" fieldPosition="0">
        <references count="6">
          <reference field="1" count="1" selected="0">
            <x v="64"/>
          </reference>
          <reference field="2" count="1" selected="0">
            <x v="35"/>
          </reference>
          <reference field="3" count="1" selected="0">
            <x v="25"/>
          </reference>
          <reference field="4" count="1" selected="0">
            <x v="147"/>
          </reference>
          <reference field="5" count="1" selected="0">
            <x v="207"/>
          </reference>
          <reference field="6" count="1">
            <x v="47"/>
          </reference>
        </references>
      </pivotArea>
    </format>
    <format dxfId="2227">
      <pivotArea dataOnly="0" labelOnly="1" fieldPosition="0">
        <references count="6">
          <reference field="1" count="1" selected="0">
            <x v="64"/>
          </reference>
          <reference field="2" count="1" selected="0">
            <x v="35"/>
          </reference>
          <reference field="3" count="1" selected="0">
            <x v="25"/>
          </reference>
          <reference field="4" count="1" selected="0">
            <x v="147"/>
          </reference>
          <reference field="5" count="1" selected="0">
            <x v="244"/>
          </reference>
          <reference field="6" count="1">
            <x v="47"/>
          </reference>
        </references>
      </pivotArea>
    </format>
    <format dxfId="2226">
      <pivotArea dataOnly="0" labelOnly="1" fieldPosition="0">
        <references count="6">
          <reference field="1" count="1" selected="0">
            <x v="64"/>
          </reference>
          <reference field="2" count="1" selected="0">
            <x v="35"/>
          </reference>
          <reference field="3" count="1" selected="0">
            <x v="25"/>
          </reference>
          <reference field="4" count="1" selected="0">
            <x v="147"/>
          </reference>
          <reference field="5" count="1" selected="0">
            <x v="361"/>
          </reference>
          <reference field="6" count="1">
            <x v="47"/>
          </reference>
        </references>
      </pivotArea>
    </format>
    <format dxfId="2225">
      <pivotArea dataOnly="0" labelOnly="1" fieldPosition="0">
        <references count="6">
          <reference field="1" count="1" selected="0">
            <x v="64"/>
          </reference>
          <reference field="2" count="1" selected="0">
            <x v="35"/>
          </reference>
          <reference field="3" count="1" selected="0">
            <x v="25"/>
          </reference>
          <reference field="4" count="1" selected="0">
            <x v="147"/>
          </reference>
          <reference field="5" count="1" selected="0">
            <x v="406"/>
          </reference>
          <reference field="6" count="1">
            <x v="47"/>
          </reference>
        </references>
      </pivotArea>
    </format>
    <format dxfId="2224">
      <pivotArea dataOnly="0" labelOnly="1" fieldPosition="0">
        <references count="6">
          <reference field="1" count="1" selected="0">
            <x v="64"/>
          </reference>
          <reference field="2" count="1" selected="0">
            <x v="35"/>
          </reference>
          <reference field="3" count="1" selected="0">
            <x v="25"/>
          </reference>
          <reference field="4" count="1" selected="0">
            <x v="147"/>
          </reference>
          <reference field="5" count="1" selected="0">
            <x v="598"/>
          </reference>
          <reference field="6" count="1">
            <x v="47"/>
          </reference>
        </references>
      </pivotArea>
    </format>
    <format dxfId="2223">
      <pivotArea dataOnly="0" labelOnly="1" fieldPosition="0">
        <references count="6">
          <reference field="1" count="1" selected="0">
            <x v="64"/>
          </reference>
          <reference field="2" count="1" selected="0">
            <x v="35"/>
          </reference>
          <reference field="3" count="1" selected="0">
            <x v="25"/>
          </reference>
          <reference field="4" count="1" selected="0">
            <x v="147"/>
          </reference>
          <reference field="5" count="1" selected="0">
            <x v="916"/>
          </reference>
          <reference field="6" count="1">
            <x v="47"/>
          </reference>
        </references>
      </pivotArea>
    </format>
    <format dxfId="2222">
      <pivotArea dataOnly="0" labelOnly="1" fieldPosition="0">
        <references count="6">
          <reference field="1" count="1" selected="0">
            <x v="64"/>
          </reference>
          <reference field="2" count="1" selected="0">
            <x v="35"/>
          </reference>
          <reference field="3" count="1" selected="0">
            <x v="25"/>
          </reference>
          <reference field="4" count="1" selected="0">
            <x v="147"/>
          </reference>
          <reference field="5" count="1" selected="0">
            <x v="953"/>
          </reference>
          <reference field="6" count="1">
            <x v="47"/>
          </reference>
        </references>
      </pivotArea>
    </format>
    <format dxfId="2221">
      <pivotArea dataOnly="0" labelOnly="1" fieldPosition="0">
        <references count="6">
          <reference field="1" count="1" selected="0">
            <x v="64"/>
          </reference>
          <reference field="2" count="1" selected="0">
            <x v="35"/>
          </reference>
          <reference field="3" count="1" selected="0">
            <x v="25"/>
          </reference>
          <reference field="4" count="1" selected="0">
            <x v="147"/>
          </reference>
          <reference field="5" count="1" selected="0">
            <x v="990"/>
          </reference>
          <reference field="6" count="1">
            <x v="47"/>
          </reference>
        </references>
      </pivotArea>
    </format>
    <format dxfId="2220">
      <pivotArea dataOnly="0" labelOnly="1" fieldPosition="0">
        <references count="6">
          <reference field="1" count="1" selected="0">
            <x v="64"/>
          </reference>
          <reference field="2" count="1" selected="0">
            <x v="37"/>
          </reference>
          <reference field="3" count="1" selected="0">
            <x v="25"/>
          </reference>
          <reference field="4" count="1" selected="0">
            <x v="147"/>
          </reference>
          <reference field="5" count="1" selected="0">
            <x v="1823"/>
          </reference>
          <reference field="6" count="1">
            <x v="47"/>
          </reference>
        </references>
      </pivotArea>
    </format>
    <format dxfId="2219">
      <pivotArea dataOnly="0" labelOnly="1" fieldPosition="0">
        <references count="6">
          <reference field="1" count="1" selected="0">
            <x v="65"/>
          </reference>
          <reference field="2" count="1" selected="0">
            <x v="0"/>
          </reference>
          <reference field="3" count="1" selected="0">
            <x v="9"/>
          </reference>
          <reference field="4" count="1" selected="0">
            <x v="149"/>
          </reference>
          <reference field="5" count="1" selected="0">
            <x v="542"/>
          </reference>
          <reference field="6" count="1">
            <x v="47"/>
          </reference>
        </references>
      </pivotArea>
    </format>
    <format dxfId="2218">
      <pivotArea dataOnly="0" labelOnly="1" fieldPosition="0">
        <references count="6">
          <reference field="1" count="1" selected="0">
            <x v="65"/>
          </reference>
          <reference field="2" count="1" selected="0">
            <x v="0"/>
          </reference>
          <reference field="3" count="1" selected="0">
            <x v="9"/>
          </reference>
          <reference field="4" count="1" selected="0">
            <x v="149"/>
          </reference>
          <reference field="5" count="1" selected="0">
            <x v="603"/>
          </reference>
          <reference field="6" count="1">
            <x v="47"/>
          </reference>
        </references>
      </pivotArea>
    </format>
    <format dxfId="2217">
      <pivotArea dataOnly="0" labelOnly="1" fieldPosition="0">
        <references count="6">
          <reference field="1" count="1" selected="0">
            <x v="65"/>
          </reference>
          <reference field="2" count="1" selected="0">
            <x v="0"/>
          </reference>
          <reference field="3" count="1" selected="0">
            <x v="9"/>
          </reference>
          <reference field="4" count="1" selected="0">
            <x v="149"/>
          </reference>
          <reference field="5" count="1" selected="0">
            <x v="1230"/>
          </reference>
          <reference field="6" count="1">
            <x v="47"/>
          </reference>
        </references>
      </pivotArea>
    </format>
    <format dxfId="2216">
      <pivotArea dataOnly="0" labelOnly="1" fieldPosition="0">
        <references count="6">
          <reference field="1" count="1" selected="0">
            <x v="65"/>
          </reference>
          <reference field="2" count="1" selected="0">
            <x v="0"/>
          </reference>
          <reference field="3" count="1" selected="0">
            <x v="9"/>
          </reference>
          <reference field="4" count="1" selected="0">
            <x v="149"/>
          </reference>
          <reference field="5" count="1" selected="0">
            <x v="1388"/>
          </reference>
          <reference field="6" count="1">
            <x v="47"/>
          </reference>
        </references>
      </pivotArea>
    </format>
    <format dxfId="2215">
      <pivotArea dataOnly="0" labelOnly="1" fieldPosition="0">
        <references count="6">
          <reference field="1" count="1" selected="0">
            <x v="65"/>
          </reference>
          <reference field="2" count="1" selected="0">
            <x v="0"/>
          </reference>
          <reference field="3" count="1" selected="0">
            <x v="38"/>
          </reference>
          <reference field="4" count="1" selected="0">
            <x v="149"/>
          </reference>
          <reference field="5" count="1" selected="0">
            <x v="262"/>
          </reference>
          <reference field="6" count="1">
            <x v="47"/>
          </reference>
        </references>
      </pivotArea>
    </format>
    <format dxfId="2214">
      <pivotArea dataOnly="0" labelOnly="1" fieldPosition="0">
        <references count="6">
          <reference field="1" count="1" selected="0">
            <x v="65"/>
          </reference>
          <reference field="2" count="1" selected="0">
            <x v="0"/>
          </reference>
          <reference field="3" count="1" selected="0">
            <x v="38"/>
          </reference>
          <reference field="4" count="1" selected="0">
            <x v="149"/>
          </reference>
          <reference field="5" count="1" selected="0">
            <x v="469"/>
          </reference>
          <reference field="6" count="1">
            <x v="47"/>
          </reference>
        </references>
      </pivotArea>
    </format>
    <format dxfId="2213">
      <pivotArea dataOnly="0" labelOnly="1" fieldPosition="0">
        <references count="6">
          <reference field="1" count="1" selected="0">
            <x v="65"/>
          </reference>
          <reference field="2" count="1" selected="0">
            <x v="3"/>
          </reference>
          <reference field="3" count="1" selected="0">
            <x v="38"/>
          </reference>
          <reference field="4" count="1" selected="0">
            <x v="149"/>
          </reference>
          <reference field="5" count="1" selected="0">
            <x v="109"/>
          </reference>
          <reference field="6" count="1">
            <x v="47"/>
          </reference>
        </references>
      </pivotArea>
    </format>
    <format dxfId="2212">
      <pivotArea dataOnly="0" labelOnly="1" fieldPosition="0">
        <references count="6">
          <reference field="1" count="1" selected="0">
            <x v="65"/>
          </reference>
          <reference field="2" count="1" selected="0">
            <x v="5"/>
          </reference>
          <reference field="3" count="1" selected="0">
            <x v="38"/>
          </reference>
          <reference field="4" count="1" selected="0">
            <x v="149"/>
          </reference>
          <reference field="5" count="1" selected="0">
            <x v="1801"/>
          </reference>
          <reference field="6" count="1">
            <x v="47"/>
          </reference>
        </references>
      </pivotArea>
    </format>
    <format dxfId="2211">
      <pivotArea dataOnly="0" labelOnly="1" fieldPosition="0">
        <references count="6">
          <reference field="1" count="1" selected="0">
            <x v="65"/>
          </reference>
          <reference field="2" count="1" selected="0">
            <x v="6"/>
          </reference>
          <reference field="3" count="1" selected="0">
            <x v="38"/>
          </reference>
          <reference field="4" count="1" selected="0">
            <x v="149"/>
          </reference>
          <reference field="5" count="1" selected="0">
            <x v="678"/>
          </reference>
          <reference field="6" count="1">
            <x v="47"/>
          </reference>
        </references>
      </pivotArea>
    </format>
    <format dxfId="2210">
      <pivotArea dataOnly="0" labelOnly="1" fieldPosition="0">
        <references count="6">
          <reference field="1" count="1" selected="0">
            <x v="65"/>
          </reference>
          <reference field="2" count="1" selected="0">
            <x v="8"/>
          </reference>
          <reference field="3" count="1" selected="0">
            <x v="10"/>
          </reference>
          <reference field="4" count="1" selected="0">
            <x v="149"/>
          </reference>
          <reference field="5" count="1" selected="0">
            <x v="1315"/>
          </reference>
          <reference field="6" count="1">
            <x v="47"/>
          </reference>
        </references>
      </pivotArea>
    </format>
    <format dxfId="2209">
      <pivotArea dataOnly="0" labelOnly="1" fieldPosition="0">
        <references count="6">
          <reference field="1" count="1" selected="0">
            <x v="65"/>
          </reference>
          <reference field="2" count="1" selected="0">
            <x v="8"/>
          </reference>
          <reference field="3" count="1" selected="0">
            <x v="38"/>
          </reference>
          <reference field="4" count="1" selected="0">
            <x v="149"/>
          </reference>
          <reference field="5" count="1" selected="0">
            <x v="828"/>
          </reference>
          <reference field="6" count="1">
            <x v="47"/>
          </reference>
        </references>
      </pivotArea>
    </format>
    <format dxfId="2208">
      <pivotArea dataOnly="0" labelOnly="1" fieldPosition="0">
        <references count="6">
          <reference field="1" count="1" selected="0">
            <x v="65"/>
          </reference>
          <reference field="2" count="1" selected="0">
            <x v="10"/>
          </reference>
          <reference field="3" count="1" selected="0">
            <x v="38"/>
          </reference>
          <reference field="4" count="1" selected="0">
            <x v="149"/>
          </reference>
          <reference field="5" count="1" selected="0">
            <x v="1729"/>
          </reference>
          <reference field="6" count="1">
            <x v="47"/>
          </reference>
        </references>
      </pivotArea>
    </format>
    <format dxfId="2207">
      <pivotArea dataOnly="0" labelOnly="1" fieldPosition="0">
        <references count="6">
          <reference field="1" count="1" selected="0">
            <x v="65"/>
          </reference>
          <reference field="2" count="1" selected="0">
            <x v="12"/>
          </reference>
          <reference field="3" count="1" selected="0">
            <x v="1"/>
          </reference>
          <reference field="4" count="1" selected="0">
            <x v="149"/>
          </reference>
          <reference field="5" count="1" selected="0">
            <x v="80"/>
          </reference>
          <reference field="6" count="1">
            <x v="47"/>
          </reference>
        </references>
      </pivotArea>
    </format>
    <format dxfId="2206">
      <pivotArea dataOnly="0" labelOnly="1" fieldPosition="0">
        <references count="6">
          <reference field="1" count="1" selected="0">
            <x v="65"/>
          </reference>
          <reference field="2" count="1" selected="0">
            <x v="12"/>
          </reference>
          <reference field="3" count="1" selected="0">
            <x v="1"/>
          </reference>
          <reference field="4" count="1" selected="0">
            <x v="149"/>
          </reference>
          <reference field="5" count="1" selected="0">
            <x v="213"/>
          </reference>
          <reference field="6" count="1">
            <x v="47"/>
          </reference>
        </references>
      </pivotArea>
    </format>
    <format dxfId="2205">
      <pivotArea dataOnly="0" labelOnly="1" fieldPosition="0">
        <references count="6">
          <reference field="1" count="1" selected="0">
            <x v="65"/>
          </reference>
          <reference field="2" count="1" selected="0">
            <x v="15"/>
          </reference>
          <reference field="3" count="1" selected="0">
            <x v="8"/>
          </reference>
          <reference field="4" count="1" selected="0">
            <x v="149"/>
          </reference>
          <reference field="5" count="1" selected="0">
            <x v="622"/>
          </reference>
          <reference field="6" count="1">
            <x v="47"/>
          </reference>
        </references>
      </pivotArea>
    </format>
    <format dxfId="2204">
      <pivotArea dataOnly="0" labelOnly="1" fieldPosition="0">
        <references count="6">
          <reference field="1" count="1" selected="0">
            <x v="65"/>
          </reference>
          <reference field="2" count="1" selected="0">
            <x v="15"/>
          </reference>
          <reference field="3" count="1" selected="0">
            <x v="9"/>
          </reference>
          <reference field="4" count="1" selected="0">
            <x v="149"/>
          </reference>
          <reference field="5" count="1" selected="0">
            <x v="333"/>
          </reference>
          <reference field="6" count="1">
            <x v="47"/>
          </reference>
        </references>
      </pivotArea>
    </format>
    <format dxfId="2203">
      <pivotArea dataOnly="0" labelOnly="1" fieldPosition="0">
        <references count="6">
          <reference field="1" count="1" selected="0">
            <x v="65"/>
          </reference>
          <reference field="2" count="1" selected="0">
            <x v="15"/>
          </reference>
          <reference field="3" count="1" selected="0">
            <x v="10"/>
          </reference>
          <reference field="4" count="1" selected="0">
            <x v="149"/>
          </reference>
          <reference field="5" count="1" selected="0">
            <x v="1416"/>
          </reference>
          <reference field="6" count="1">
            <x v="47"/>
          </reference>
        </references>
      </pivotArea>
    </format>
    <format dxfId="2202">
      <pivotArea dataOnly="0" labelOnly="1" fieldPosition="0">
        <references count="6">
          <reference field="1" count="1" selected="0">
            <x v="65"/>
          </reference>
          <reference field="2" count="1" selected="0">
            <x v="15"/>
          </reference>
          <reference field="3" count="1" selected="0">
            <x v="38"/>
          </reference>
          <reference field="4" count="1" selected="0">
            <x v="149"/>
          </reference>
          <reference field="5" count="1" selected="0">
            <x v="1037"/>
          </reference>
          <reference field="6" count="1">
            <x v="47"/>
          </reference>
        </references>
      </pivotArea>
    </format>
    <format dxfId="2201">
      <pivotArea dataOnly="0" labelOnly="1" fieldPosition="0">
        <references count="6">
          <reference field="1" count="1" selected="0">
            <x v="65"/>
          </reference>
          <reference field="2" count="1" selected="0">
            <x v="23"/>
          </reference>
          <reference field="3" count="1" selected="0">
            <x v="7"/>
          </reference>
          <reference field="4" count="1" selected="0">
            <x v="149"/>
          </reference>
          <reference field="5" count="1" selected="0">
            <x v="1274"/>
          </reference>
          <reference field="6" count="1">
            <x v="47"/>
          </reference>
        </references>
      </pivotArea>
    </format>
    <format dxfId="2200">
      <pivotArea dataOnly="0" labelOnly="1" fieldPosition="0">
        <references count="6">
          <reference field="1" count="1" selected="0">
            <x v="66"/>
          </reference>
          <reference field="2" count="1" selected="0">
            <x v="0"/>
          </reference>
          <reference field="3" count="1" selected="0">
            <x v="1"/>
          </reference>
          <reference field="4" count="1" selected="0">
            <x v="150"/>
          </reference>
          <reference field="5" count="1" selected="0">
            <x v="80"/>
          </reference>
          <reference field="6" count="1">
            <x v="47"/>
          </reference>
        </references>
      </pivotArea>
    </format>
    <format dxfId="2199">
      <pivotArea dataOnly="0" labelOnly="1" fieldPosition="0">
        <references count="6">
          <reference field="1" count="1" selected="0">
            <x v="66"/>
          </reference>
          <reference field="2" count="1" selected="0">
            <x v="0"/>
          </reference>
          <reference field="3" count="1" selected="0">
            <x v="9"/>
          </reference>
          <reference field="4" count="1" selected="0">
            <x v="150"/>
          </reference>
          <reference field="5" count="1" selected="0">
            <x v="491"/>
          </reference>
          <reference field="6" count="1">
            <x v="47"/>
          </reference>
        </references>
      </pivotArea>
    </format>
    <format dxfId="2198">
      <pivotArea dataOnly="0" labelOnly="1" fieldPosition="0">
        <references count="6">
          <reference field="1" count="1" selected="0">
            <x v="66"/>
          </reference>
          <reference field="2" count="1" selected="0">
            <x v="0"/>
          </reference>
          <reference field="3" count="1" selected="0">
            <x v="9"/>
          </reference>
          <reference field="4" count="1" selected="0">
            <x v="150"/>
          </reference>
          <reference field="5" count="1" selected="0">
            <x v="813"/>
          </reference>
          <reference field="6" count="1">
            <x v="47"/>
          </reference>
        </references>
      </pivotArea>
    </format>
    <format dxfId="2197">
      <pivotArea dataOnly="0" labelOnly="1" fieldPosition="0">
        <references count="6">
          <reference field="1" count="1" selected="0">
            <x v="66"/>
          </reference>
          <reference field="2" count="1" selected="0">
            <x v="0"/>
          </reference>
          <reference field="3" count="1" selected="0">
            <x v="9"/>
          </reference>
          <reference field="4" count="1" selected="0">
            <x v="150"/>
          </reference>
          <reference field="5" count="1" selected="0">
            <x v="1007"/>
          </reference>
          <reference field="6" count="1">
            <x v="47"/>
          </reference>
        </references>
      </pivotArea>
    </format>
    <format dxfId="2196">
      <pivotArea dataOnly="0" labelOnly="1" fieldPosition="0">
        <references count="6">
          <reference field="1" count="1" selected="0">
            <x v="66"/>
          </reference>
          <reference field="2" count="1" selected="0">
            <x v="0"/>
          </reference>
          <reference field="3" count="1" selected="0">
            <x v="9"/>
          </reference>
          <reference field="4" count="1" selected="0">
            <x v="150"/>
          </reference>
          <reference field="5" count="1" selected="0">
            <x v="1076"/>
          </reference>
          <reference field="6" count="1">
            <x v="47"/>
          </reference>
        </references>
      </pivotArea>
    </format>
    <format dxfId="2195">
      <pivotArea dataOnly="0" labelOnly="1" fieldPosition="0">
        <references count="6">
          <reference field="1" count="1" selected="0">
            <x v="66"/>
          </reference>
          <reference field="2" count="1" selected="0">
            <x v="0"/>
          </reference>
          <reference field="3" count="1" selected="0">
            <x v="12"/>
          </reference>
          <reference field="4" count="1" selected="0">
            <x v="18"/>
          </reference>
          <reference field="5" count="1" selected="0">
            <x v="20"/>
          </reference>
          <reference field="6" count="1">
            <x v="47"/>
          </reference>
        </references>
      </pivotArea>
    </format>
    <format dxfId="2194">
      <pivotArea dataOnly="0" labelOnly="1" fieldPosition="0">
        <references count="6">
          <reference field="1" count="1" selected="0">
            <x v="66"/>
          </reference>
          <reference field="2" count="1" selected="0">
            <x v="0"/>
          </reference>
          <reference field="3" count="1" selected="0">
            <x v="12"/>
          </reference>
          <reference field="4" count="1" selected="0">
            <x v="23"/>
          </reference>
          <reference field="5" count="1" selected="0">
            <x v="9"/>
          </reference>
          <reference field="6" count="1">
            <x v="47"/>
          </reference>
        </references>
      </pivotArea>
    </format>
    <format dxfId="2193">
      <pivotArea dataOnly="0" labelOnly="1" fieldPosition="0">
        <references count="6">
          <reference field="1" count="1" selected="0">
            <x v="66"/>
          </reference>
          <reference field="2" count="1" selected="0">
            <x v="0"/>
          </reference>
          <reference field="3" count="1" selected="0">
            <x v="12"/>
          </reference>
          <reference field="4" count="1" selected="0">
            <x v="32"/>
          </reference>
          <reference field="5" count="1" selected="0">
            <x v="391"/>
          </reference>
          <reference field="6" count="1">
            <x v="47"/>
          </reference>
        </references>
      </pivotArea>
    </format>
    <format dxfId="2192">
      <pivotArea dataOnly="0" labelOnly="1" fieldPosition="0">
        <references count="6">
          <reference field="1" count="1" selected="0">
            <x v="66"/>
          </reference>
          <reference field="2" count="1" selected="0">
            <x v="0"/>
          </reference>
          <reference field="3" count="1" selected="0">
            <x v="12"/>
          </reference>
          <reference field="4" count="1" selected="0">
            <x v="36"/>
          </reference>
          <reference field="5" count="1" selected="0">
            <x v="236"/>
          </reference>
          <reference field="6" count="1">
            <x v="47"/>
          </reference>
        </references>
      </pivotArea>
    </format>
    <format dxfId="2191">
      <pivotArea dataOnly="0" labelOnly="1" fieldPosition="0">
        <references count="6">
          <reference field="1" count="1" selected="0">
            <x v="66"/>
          </reference>
          <reference field="2" count="1" selected="0">
            <x v="0"/>
          </reference>
          <reference field="3" count="1" selected="0">
            <x v="38"/>
          </reference>
          <reference field="4" count="1" selected="0">
            <x v="150"/>
          </reference>
          <reference field="5" count="1" selected="0">
            <x v="262"/>
          </reference>
          <reference field="6" count="1">
            <x v="47"/>
          </reference>
        </references>
      </pivotArea>
    </format>
    <format dxfId="2190">
      <pivotArea dataOnly="0" labelOnly="1" fieldPosition="0">
        <references count="6">
          <reference field="1" count="1" selected="0">
            <x v="66"/>
          </reference>
          <reference field="2" count="1" selected="0">
            <x v="0"/>
          </reference>
          <reference field="3" count="1" selected="0">
            <x v="38"/>
          </reference>
          <reference field="4" count="1" selected="0">
            <x v="150"/>
          </reference>
          <reference field="5" count="1" selected="0">
            <x v="1041"/>
          </reference>
          <reference field="6" count="1">
            <x v="47"/>
          </reference>
        </references>
      </pivotArea>
    </format>
    <format dxfId="2189">
      <pivotArea dataOnly="0" labelOnly="1" fieldPosition="0">
        <references count="6">
          <reference field="1" count="1" selected="0">
            <x v="66"/>
          </reference>
          <reference field="2" count="1" selected="0">
            <x v="0"/>
          </reference>
          <reference field="3" count="1" selected="0">
            <x v="38"/>
          </reference>
          <reference field="4" count="1" selected="0">
            <x v="150"/>
          </reference>
          <reference field="5" count="1" selected="0">
            <x v="1254"/>
          </reference>
          <reference field="6" count="1">
            <x v="47"/>
          </reference>
        </references>
      </pivotArea>
    </format>
    <format dxfId="2188">
      <pivotArea dataOnly="0" labelOnly="1" fieldPosition="0">
        <references count="6">
          <reference field="1" count="1" selected="0">
            <x v="66"/>
          </reference>
          <reference field="2" count="1" selected="0">
            <x v="0"/>
          </reference>
          <reference field="3" count="1" selected="0">
            <x v="38"/>
          </reference>
          <reference field="4" count="1" selected="0">
            <x v="150"/>
          </reference>
          <reference field="5" count="1" selected="0">
            <x v="1308"/>
          </reference>
          <reference field="6" count="1">
            <x v="47"/>
          </reference>
        </references>
      </pivotArea>
    </format>
    <format dxfId="2187">
      <pivotArea dataOnly="0" labelOnly="1" fieldPosition="0">
        <references count="6">
          <reference field="1" count="1" selected="0">
            <x v="66"/>
          </reference>
          <reference field="2" count="1" selected="0">
            <x v="2"/>
          </reference>
          <reference field="3" count="1" selected="0">
            <x v="1"/>
          </reference>
          <reference field="4" count="1" selected="0">
            <x v="150"/>
          </reference>
          <reference field="5" count="1" selected="0">
            <x v="199"/>
          </reference>
          <reference field="6" count="1">
            <x v="47"/>
          </reference>
        </references>
      </pivotArea>
    </format>
    <format dxfId="2186">
      <pivotArea dataOnly="0" labelOnly="1" fieldPosition="0">
        <references count="6">
          <reference field="1" count="1" selected="0">
            <x v="66"/>
          </reference>
          <reference field="2" count="1" selected="0">
            <x v="2"/>
          </reference>
          <reference field="3" count="1" selected="0">
            <x v="6"/>
          </reference>
          <reference field="4" count="1" selected="0">
            <x v="150"/>
          </reference>
          <reference field="5" count="1" selected="0">
            <x v="1193"/>
          </reference>
          <reference field="6" count="1">
            <x v="47"/>
          </reference>
        </references>
      </pivotArea>
    </format>
    <format dxfId="2185">
      <pivotArea dataOnly="0" labelOnly="1" fieldPosition="0">
        <references count="6">
          <reference field="1" count="1" selected="0">
            <x v="66"/>
          </reference>
          <reference field="2" count="1" selected="0">
            <x v="3"/>
          </reference>
          <reference field="3" count="1" selected="0">
            <x v="38"/>
          </reference>
          <reference field="4" count="1" selected="0">
            <x v="150"/>
          </reference>
          <reference field="5" count="1" selected="0">
            <x v="530"/>
          </reference>
          <reference field="6" count="1">
            <x v="47"/>
          </reference>
        </references>
      </pivotArea>
    </format>
    <format dxfId="2184">
      <pivotArea dataOnly="0" labelOnly="1" fieldPosition="0">
        <references count="6">
          <reference field="1" count="1" selected="0">
            <x v="66"/>
          </reference>
          <reference field="2" count="1" selected="0">
            <x v="4"/>
          </reference>
          <reference field="3" count="1" selected="0">
            <x v="1"/>
          </reference>
          <reference field="4" count="1" selected="0">
            <x v="150"/>
          </reference>
          <reference field="5" count="1" selected="0">
            <x v="112"/>
          </reference>
          <reference field="6" count="1">
            <x v="47"/>
          </reference>
        </references>
      </pivotArea>
    </format>
    <format dxfId="2183">
      <pivotArea dataOnly="0" labelOnly="1" fieldPosition="0">
        <references count="6">
          <reference field="1" count="1" selected="0">
            <x v="66"/>
          </reference>
          <reference field="2" count="1" selected="0">
            <x v="9"/>
          </reference>
          <reference field="3" count="1" selected="0">
            <x v="38"/>
          </reference>
          <reference field="4" count="1" selected="0">
            <x v="150"/>
          </reference>
          <reference field="5" count="1" selected="0">
            <x v="1565"/>
          </reference>
          <reference field="6" count="1">
            <x v="47"/>
          </reference>
        </references>
      </pivotArea>
    </format>
    <format dxfId="2182">
      <pivotArea dataOnly="0" labelOnly="1" fieldPosition="0">
        <references count="6">
          <reference field="1" count="1" selected="0">
            <x v="66"/>
          </reference>
          <reference field="2" count="1" selected="0">
            <x v="10"/>
          </reference>
          <reference field="3" count="1" selected="0">
            <x v="37"/>
          </reference>
          <reference field="4" count="1" selected="0">
            <x v="150"/>
          </reference>
          <reference field="5" count="1" selected="0">
            <x v="1248"/>
          </reference>
          <reference field="6" count="1">
            <x v="47"/>
          </reference>
        </references>
      </pivotArea>
    </format>
    <format dxfId="2181">
      <pivotArea dataOnly="0" labelOnly="1" fieldPosition="0">
        <references count="6">
          <reference field="1" count="1" selected="0">
            <x v="66"/>
          </reference>
          <reference field="2" count="1" selected="0">
            <x v="12"/>
          </reference>
          <reference field="3" count="1" selected="0">
            <x v="1"/>
          </reference>
          <reference field="4" count="1" selected="0">
            <x v="150"/>
          </reference>
          <reference field="5" count="1" selected="0">
            <x v="80"/>
          </reference>
          <reference field="6" count="1">
            <x v="47"/>
          </reference>
        </references>
      </pivotArea>
    </format>
    <format dxfId="2180">
      <pivotArea dataOnly="0" labelOnly="1" fieldPosition="0">
        <references count="6">
          <reference field="1" count="1" selected="0">
            <x v="66"/>
          </reference>
          <reference field="2" count="1" selected="0">
            <x v="12"/>
          </reference>
          <reference field="3" count="1" selected="0">
            <x v="1"/>
          </reference>
          <reference field="4" count="1" selected="0">
            <x v="150"/>
          </reference>
          <reference field="5" count="1" selected="0">
            <x v="213"/>
          </reference>
          <reference field="6" count="1">
            <x v="47"/>
          </reference>
        </references>
      </pivotArea>
    </format>
    <format dxfId="2179">
      <pivotArea dataOnly="0" labelOnly="1" fieldPosition="0">
        <references count="6">
          <reference field="1" count="1" selected="0">
            <x v="66"/>
          </reference>
          <reference field="2" count="1" selected="0">
            <x v="12"/>
          </reference>
          <reference field="3" count="1" selected="0">
            <x v="38"/>
          </reference>
          <reference field="4" count="1" selected="0">
            <x v="150"/>
          </reference>
          <reference field="5" count="1" selected="0">
            <x v="1414"/>
          </reference>
          <reference field="6" count="1">
            <x v="47"/>
          </reference>
        </references>
      </pivotArea>
    </format>
    <format dxfId="2178">
      <pivotArea dataOnly="0" labelOnly="1" fieldPosition="0">
        <references count="6">
          <reference field="1" count="1" selected="0">
            <x v="66"/>
          </reference>
          <reference field="2" count="1" selected="0">
            <x v="15"/>
          </reference>
          <reference field="3" count="1" selected="0">
            <x v="9"/>
          </reference>
          <reference field="4" count="1" selected="0">
            <x v="150"/>
          </reference>
          <reference field="5" count="1" selected="0">
            <x v="248"/>
          </reference>
          <reference field="6" count="1">
            <x v="47"/>
          </reference>
        </references>
      </pivotArea>
    </format>
    <format dxfId="2177">
      <pivotArea dataOnly="0" labelOnly="1" fieldPosition="0">
        <references count="6">
          <reference field="1" count="1" selected="0">
            <x v="66"/>
          </reference>
          <reference field="2" count="1" selected="0">
            <x v="15"/>
          </reference>
          <reference field="3" count="1" selected="0">
            <x v="37"/>
          </reference>
          <reference field="4" count="1" selected="0">
            <x v="150"/>
          </reference>
          <reference field="5" count="1" selected="0">
            <x v="897"/>
          </reference>
          <reference field="6" count="1">
            <x v="47"/>
          </reference>
        </references>
      </pivotArea>
    </format>
    <format dxfId="2176">
      <pivotArea dataOnly="0" labelOnly="1" fieldPosition="0">
        <references count="6">
          <reference field="1" count="1" selected="0">
            <x v="66"/>
          </reference>
          <reference field="2" count="1" selected="0">
            <x v="15"/>
          </reference>
          <reference field="3" count="1" selected="0">
            <x v="38"/>
          </reference>
          <reference field="4" count="1" selected="0">
            <x v="150"/>
          </reference>
          <reference field="5" count="1" selected="0">
            <x v="1806"/>
          </reference>
          <reference field="6" count="1">
            <x v="47"/>
          </reference>
        </references>
      </pivotArea>
    </format>
    <format dxfId="2175">
      <pivotArea dataOnly="0" labelOnly="1" fieldPosition="0">
        <references count="6">
          <reference field="1" count="1" selected="0">
            <x v="66"/>
          </reference>
          <reference field="2" count="1" selected="0">
            <x v="19"/>
          </reference>
          <reference field="3" count="1" selected="0">
            <x v="10"/>
          </reference>
          <reference field="4" count="1" selected="0">
            <x v="150"/>
          </reference>
          <reference field="5" count="1" selected="0">
            <x v="511"/>
          </reference>
          <reference field="6" count="1">
            <x v="47"/>
          </reference>
        </references>
      </pivotArea>
    </format>
    <format dxfId="2174">
      <pivotArea dataOnly="0" labelOnly="1" fieldPosition="0">
        <references count="6">
          <reference field="1" count="1" selected="0">
            <x v="66"/>
          </reference>
          <reference field="2" count="1" selected="0">
            <x v="23"/>
          </reference>
          <reference field="3" count="1" selected="0">
            <x v="9"/>
          </reference>
          <reference field="4" count="1" selected="0">
            <x v="150"/>
          </reference>
          <reference field="5" count="1" selected="0">
            <x v="1485"/>
          </reference>
          <reference field="6" count="1">
            <x v="47"/>
          </reference>
        </references>
      </pivotArea>
    </format>
    <format dxfId="2173">
      <pivotArea dataOnly="0" labelOnly="1" fieldPosition="0">
        <references count="6">
          <reference field="1" count="1" selected="0">
            <x v="66"/>
          </reference>
          <reference field="2" count="1" selected="0">
            <x v="26"/>
          </reference>
          <reference field="3" count="1" selected="0">
            <x v="1"/>
          </reference>
          <reference field="4" count="1" selected="0">
            <x v="150"/>
          </reference>
          <reference field="5" count="1" selected="0">
            <x v="68"/>
          </reference>
          <reference field="6" count="1">
            <x v="47"/>
          </reference>
        </references>
      </pivotArea>
    </format>
    <format dxfId="2172">
      <pivotArea dataOnly="0" labelOnly="1" fieldPosition="0">
        <references count="6">
          <reference field="1" count="1" selected="0">
            <x v="66"/>
          </reference>
          <reference field="2" count="1" selected="0">
            <x v="29"/>
          </reference>
          <reference field="3" count="1" selected="0">
            <x v="10"/>
          </reference>
          <reference field="4" count="1" selected="0">
            <x v="150"/>
          </reference>
          <reference field="5" count="1" selected="0">
            <x v="1533"/>
          </reference>
          <reference field="6" count="1">
            <x v="47"/>
          </reference>
        </references>
      </pivotArea>
    </format>
    <format dxfId="2171">
      <pivotArea dataOnly="0" labelOnly="1" fieldPosition="0">
        <references count="6">
          <reference field="1" count="1" selected="0">
            <x v="66"/>
          </reference>
          <reference field="2" count="1" selected="0">
            <x v="29"/>
          </reference>
          <reference field="3" count="1" selected="0">
            <x v="38"/>
          </reference>
          <reference field="4" count="1" selected="0">
            <x v="150"/>
          </reference>
          <reference field="5" count="1" selected="0">
            <x v="352"/>
          </reference>
          <reference field="6" count="1">
            <x v="47"/>
          </reference>
        </references>
      </pivotArea>
    </format>
    <format dxfId="2170">
      <pivotArea dataOnly="0" labelOnly="1" fieldPosition="0">
        <references count="6">
          <reference field="1" count="1" selected="0">
            <x v="66"/>
          </reference>
          <reference field="2" count="1" selected="0">
            <x v="35"/>
          </reference>
          <reference field="3" count="1" selected="0">
            <x v="38"/>
          </reference>
          <reference field="4" count="1" selected="0">
            <x v="150"/>
          </reference>
          <reference field="5" count="1" selected="0">
            <x v="1160"/>
          </reference>
          <reference field="6" count="1">
            <x v="47"/>
          </reference>
        </references>
      </pivotArea>
    </format>
    <format dxfId="2169">
      <pivotArea dataOnly="0" labelOnly="1" fieldPosition="0">
        <references count="6">
          <reference field="1" count="1" selected="0">
            <x v="66"/>
          </reference>
          <reference field="2" count="1" selected="0">
            <x v="35"/>
          </reference>
          <reference field="3" count="1" selected="0">
            <x v="38"/>
          </reference>
          <reference field="4" count="1" selected="0">
            <x v="150"/>
          </reference>
          <reference field="5" count="1" selected="0">
            <x v="1254"/>
          </reference>
          <reference field="6" count="1">
            <x v="47"/>
          </reference>
        </references>
      </pivotArea>
    </format>
    <format dxfId="2168">
      <pivotArea dataOnly="0" labelOnly="1" fieldPosition="0">
        <references count="6">
          <reference field="1" count="1" selected="0">
            <x v="66"/>
          </reference>
          <reference field="2" count="1" selected="0">
            <x v="35"/>
          </reference>
          <reference field="3" count="1" selected="0">
            <x v="38"/>
          </reference>
          <reference field="4" count="1" selected="0">
            <x v="150"/>
          </reference>
          <reference field="5" count="1" selected="0">
            <x v="1414"/>
          </reference>
          <reference field="6" count="1">
            <x v="47"/>
          </reference>
        </references>
      </pivotArea>
    </format>
    <format dxfId="2167">
      <pivotArea dataOnly="0" labelOnly="1" fieldPosition="0">
        <references count="6">
          <reference field="1" count="1" selected="0">
            <x v="66"/>
          </reference>
          <reference field="2" count="1" selected="0">
            <x v="36"/>
          </reference>
          <reference field="3" count="1" selected="0">
            <x v="38"/>
          </reference>
          <reference field="4" count="1" selected="0">
            <x v="150"/>
          </reference>
          <reference field="5" count="1" selected="0">
            <x v="232"/>
          </reference>
          <reference field="6" count="1">
            <x v="47"/>
          </reference>
        </references>
      </pivotArea>
    </format>
    <format dxfId="2166">
      <pivotArea dataOnly="0" labelOnly="1" fieldPosition="0">
        <references count="6">
          <reference field="1" count="1" selected="0">
            <x v="67"/>
          </reference>
          <reference field="2" count="1" selected="0">
            <x v="0"/>
          </reference>
          <reference field="3" count="1" selected="0">
            <x v="9"/>
          </reference>
          <reference field="4" count="1" selected="0">
            <x v="151"/>
          </reference>
          <reference field="5" count="1" selected="0">
            <x v="1400"/>
          </reference>
          <reference field="6" count="1">
            <x v="47"/>
          </reference>
        </references>
      </pivotArea>
    </format>
    <format dxfId="2165">
      <pivotArea dataOnly="0" labelOnly="1" fieldPosition="0">
        <references count="6">
          <reference field="1" count="1" selected="0">
            <x v="67"/>
          </reference>
          <reference field="2" count="1" selected="0">
            <x v="0"/>
          </reference>
          <reference field="3" count="1" selected="0">
            <x v="38"/>
          </reference>
          <reference field="4" count="1" selected="0">
            <x v="151"/>
          </reference>
          <reference field="5" count="1" selected="0">
            <x v="522"/>
          </reference>
          <reference field="6" count="1">
            <x v="47"/>
          </reference>
        </references>
      </pivotArea>
    </format>
    <format dxfId="2164">
      <pivotArea dataOnly="0" labelOnly="1" fieldPosition="0">
        <references count="6">
          <reference field="1" count="1" selected="0">
            <x v="67"/>
          </reference>
          <reference field="2" count="1" selected="0">
            <x v="2"/>
          </reference>
          <reference field="3" count="1" selected="0">
            <x v="6"/>
          </reference>
          <reference field="4" count="1" selected="0">
            <x v="151"/>
          </reference>
          <reference field="5" count="1" selected="0">
            <x v="443"/>
          </reference>
          <reference field="6" count="1">
            <x v="47"/>
          </reference>
        </references>
      </pivotArea>
    </format>
    <format dxfId="2163">
      <pivotArea dataOnly="0" labelOnly="1" fieldPosition="0">
        <references count="6">
          <reference field="1" count="1" selected="0">
            <x v="67"/>
          </reference>
          <reference field="2" count="1" selected="0">
            <x v="3"/>
          </reference>
          <reference field="3" count="1" selected="0">
            <x v="6"/>
          </reference>
          <reference field="4" count="1" selected="0">
            <x v="151"/>
          </reference>
          <reference field="5" count="1" selected="0">
            <x v="1074"/>
          </reference>
          <reference field="6" count="1">
            <x v="47"/>
          </reference>
        </references>
      </pivotArea>
    </format>
    <format dxfId="2162">
      <pivotArea dataOnly="0" labelOnly="1" fieldPosition="0">
        <references count="6">
          <reference field="1" count="1" selected="0">
            <x v="67"/>
          </reference>
          <reference field="2" count="1" selected="0">
            <x v="12"/>
          </reference>
          <reference field="3" count="1" selected="0">
            <x v="1"/>
          </reference>
          <reference field="4" count="1" selected="0">
            <x v="151"/>
          </reference>
          <reference field="5" count="1" selected="0">
            <x v="80"/>
          </reference>
          <reference field="6" count="1">
            <x v="47"/>
          </reference>
        </references>
      </pivotArea>
    </format>
    <format dxfId="2161">
      <pivotArea dataOnly="0" labelOnly="1" fieldPosition="0">
        <references count="6">
          <reference field="1" count="1" selected="0">
            <x v="67"/>
          </reference>
          <reference field="2" count="1" selected="0">
            <x v="12"/>
          </reference>
          <reference field="3" count="1" selected="0">
            <x v="1"/>
          </reference>
          <reference field="4" count="1" selected="0">
            <x v="151"/>
          </reference>
          <reference field="5" count="1" selected="0">
            <x v="213"/>
          </reference>
          <reference field="6" count="1">
            <x v="47"/>
          </reference>
        </references>
      </pivotArea>
    </format>
    <format dxfId="2160">
      <pivotArea dataOnly="0" labelOnly="1" fieldPosition="0">
        <references count="6">
          <reference field="1" count="1" selected="0">
            <x v="67"/>
          </reference>
          <reference field="2" count="1" selected="0">
            <x v="24"/>
          </reference>
          <reference field="3" count="1" selected="0">
            <x v="38"/>
          </reference>
          <reference field="4" count="1" selected="0">
            <x v="151"/>
          </reference>
          <reference field="5" count="1" selected="0">
            <x v="129"/>
          </reference>
          <reference field="6" count="1">
            <x v="47"/>
          </reference>
        </references>
      </pivotArea>
    </format>
    <format dxfId="2159">
      <pivotArea dataOnly="0" labelOnly="1" fieldPosition="0">
        <references count="6">
          <reference field="1" count="1" selected="0">
            <x v="67"/>
          </reference>
          <reference field="2" count="1" selected="0">
            <x v="35"/>
          </reference>
          <reference field="3" count="1" selected="0">
            <x v="1"/>
          </reference>
          <reference field="4" count="1" selected="0">
            <x v="151"/>
          </reference>
          <reference field="5" count="1" selected="0">
            <x v="80"/>
          </reference>
          <reference field="6" count="1">
            <x v="47"/>
          </reference>
        </references>
      </pivotArea>
    </format>
    <format dxfId="2158">
      <pivotArea dataOnly="0" labelOnly="1" fieldPosition="0">
        <references count="6">
          <reference field="1" count="1" selected="0">
            <x v="67"/>
          </reference>
          <reference field="2" count="1" selected="0">
            <x v="35"/>
          </reference>
          <reference field="3" count="1" selected="0">
            <x v="1"/>
          </reference>
          <reference field="4" count="1" selected="0">
            <x v="151"/>
          </reference>
          <reference field="5" count="1" selected="0">
            <x v="500"/>
          </reference>
          <reference field="6" count="1">
            <x v="47"/>
          </reference>
        </references>
      </pivotArea>
    </format>
    <format dxfId="2157">
      <pivotArea dataOnly="0" labelOnly="1" fieldPosition="0">
        <references count="6">
          <reference field="1" count="1" selected="0">
            <x v="68"/>
          </reference>
          <reference field="2" count="1" selected="0">
            <x v="0"/>
          </reference>
          <reference field="3" count="1" selected="0">
            <x v="1"/>
          </reference>
          <reference field="4" count="1" selected="0">
            <x v="152"/>
          </reference>
          <reference field="5" count="1" selected="0">
            <x v="80"/>
          </reference>
          <reference field="6" count="1">
            <x v="47"/>
          </reference>
        </references>
      </pivotArea>
    </format>
    <format dxfId="2156">
      <pivotArea dataOnly="0" labelOnly="1" fieldPosition="0">
        <references count="6">
          <reference field="1" count="1" selected="0">
            <x v="68"/>
          </reference>
          <reference field="2" count="1" selected="0">
            <x v="0"/>
          </reference>
          <reference field="3" count="1" selected="0">
            <x v="1"/>
          </reference>
          <reference field="4" count="1" selected="0">
            <x v="152"/>
          </reference>
          <reference field="5" count="1" selected="0">
            <x v="895"/>
          </reference>
          <reference field="6" count="1">
            <x v="47"/>
          </reference>
        </references>
      </pivotArea>
    </format>
    <format dxfId="2155">
      <pivotArea dataOnly="0" labelOnly="1" fieldPosition="0">
        <references count="6">
          <reference field="1" count="1" selected="0">
            <x v="68"/>
          </reference>
          <reference field="2" count="1" selected="0">
            <x v="0"/>
          </reference>
          <reference field="3" count="1" selected="0">
            <x v="9"/>
          </reference>
          <reference field="4" count="1" selected="0">
            <x v="152"/>
          </reference>
          <reference field="5" count="1" selected="0">
            <x v="124"/>
          </reference>
          <reference field="6" count="1">
            <x v="47"/>
          </reference>
        </references>
      </pivotArea>
    </format>
    <format dxfId="2154">
      <pivotArea dataOnly="0" labelOnly="1" fieldPosition="0">
        <references count="6">
          <reference field="1" count="1" selected="0">
            <x v="68"/>
          </reference>
          <reference field="2" count="1" selected="0">
            <x v="0"/>
          </reference>
          <reference field="3" count="1" selected="0">
            <x v="12"/>
          </reference>
          <reference field="4" count="1" selected="0">
            <x v="50"/>
          </reference>
          <reference field="5" count="1" selected="0">
            <x v="80"/>
          </reference>
          <reference field="6" count="1">
            <x v="47"/>
          </reference>
        </references>
      </pivotArea>
    </format>
    <format dxfId="2153">
      <pivotArea dataOnly="0" labelOnly="1" fieldPosition="0">
        <references count="6">
          <reference field="1" count="1" selected="0">
            <x v="68"/>
          </reference>
          <reference field="2" count="1" selected="0">
            <x v="0"/>
          </reference>
          <reference field="3" count="1" selected="0">
            <x v="38"/>
          </reference>
          <reference field="4" count="1" selected="0">
            <x v="152"/>
          </reference>
          <reference field="5" count="1" selected="0">
            <x v="633"/>
          </reference>
          <reference field="6" count="1">
            <x v="47"/>
          </reference>
        </references>
      </pivotArea>
    </format>
    <format dxfId="2152">
      <pivotArea dataOnly="0" labelOnly="1" fieldPosition="0">
        <references count="6">
          <reference field="1" count="1" selected="0">
            <x v="68"/>
          </reference>
          <reference field="2" count="1" selected="0">
            <x v="3"/>
          </reference>
          <reference field="3" count="1" selected="0">
            <x v="1"/>
          </reference>
          <reference field="4" count="1" selected="0">
            <x v="152"/>
          </reference>
          <reference field="5" count="1" selected="0">
            <x v="272"/>
          </reference>
          <reference field="6" count="1">
            <x v="47"/>
          </reference>
        </references>
      </pivotArea>
    </format>
    <format dxfId="2151">
      <pivotArea dataOnly="0" labelOnly="1" fieldPosition="0">
        <references count="6">
          <reference field="1" count="1" selected="0">
            <x v="68"/>
          </reference>
          <reference field="2" count="1" selected="0">
            <x v="6"/>
          </reference>
          <reference field="3" count="1" selected="0">
            <x v="38"/>
          </reference>
          <reference field="4" count="1" selected="0">
            <x v="152"/>
          </reference>
          <reference field="5" count="1" selected="0">
            <x v="524"/>
          </reference>
          <reference field="6" count="1">
            <x v="47"/>
          </reference>
        </references>
      </pivotArea>
    </format>
    <format dxfId="2150">
      <pivotArea dataOnly="0" labelOnly="1" fieldPosition="0">
        <references count="6">
          <reference field="1" count="1" selected="0">
            <x v="68"/>
          </reference>
          <reference field="2" count="1" selected="0">
            <x v="12"/>
          </reference>
          <reference field="3" count="1" selected="0">
            <x v="1"/>
          </reference>
          <reference field="4" count="1" selected="0">
            <x v="152"/>
          </reference>
          <reference field="5" count="1" selected="0">
            <x v="80"/>
          </reference>
          <reference field="6" count="1">
            <x v="47"/>
          </reference>
        </references>
      </pivotArea>
    </format>
    <format dxfId="2149">
      <pivotArea dataOnly="0" labelOnly="1" fieldPosition="0">
        <references count="6">
          <reference field="1" count="1" selected="0">
            <x v="68"/>
          </reference>
          <reference field="2" count="1" selected="0">
            <x v="15"/>
          </reference>
          <reference field="3" count="1" selected="0">
            <x v="38"/>
          </reference>
          <reference field="4" count="1" selected="0">
            <x v="152"/>
          </reference>
          <reference field="5" count="1" selected="0">
            <x v="1125"/>
          </reference>
          <reference field="6" count="1">
            <x v="47"/>
          </reference>
        </references>
      </pivotArea>
    </format>
    <format dxfId="2148">
      <pivotArea dataOnly="0" labelOnly="1" fieldPosition="0">
        <references count="6">
          <reference field="1" count="1" selected="0">
            <x v="68"/>
          </reference>
          <reference field="2" count="1" selected="0">
            <x v="26"/>
          </reference>
          <reference field="3" count="1" selected="0">
            <x v="1"/>
          </reference>
          <reference field="4" count="1" selected="0">
            <x v="152"/>
          </reference>
          <reference field="5" count="1" selected="0">
            <x v="539"/>
          </reference>
          <reference field="6" count="1">
            <x v="47"/>
          </reference>
        </references>
      </pivotArea>
    </format>
    <format dxfId="2147">
      <pivotArea dataOnly="0" labelOnly="1" fieldPosition="0">
        <references count="6">
          <reference field="1" count="1" selected="0">
            <x v="68"/>
          </reference>
          <reference field="2" count="1" selected="0">
            <x v="27"/>
          </reference>
          <reference field="3" count="1" selected="0">
            <x v="10"/>
          </reference>
          <reference field="4" count="1" selected="0">
            <x v="152"/>
          </reference>
          <reference field="5" count="1" selected="0">
            <x v="1172"/>
          </reference>
          <reference field="6" count="1">
            <x v="47"/>
          </reference>
        </references>
      </pivotArea>
    </format>
    <format dxfId="2146">
      <pivotArea dataOnly="0" labelOnly="1" fieldPosition="0">
        <references count="6">
          <reference field="1" count="1" selected="0">
            <x v="68"/>
          </reference>
          <reference field="2" count="1" selected="0">
            <x v="35"/>
          </reference>
          <reference field="3" count="1" selected="0">
            <x v="1"/>
          </reference>
          <reference field="4" count="1" selected="0">
            <x v="152"/>
          </reference>
          <reference field="5" count="1" selected="0">
            <x v="80"/>
          </reference>
          <reference field="6" count="1">
            <x v="47"/>
          </reference>
        </references>
      </pivotArea>
    </format>
    <format dxfId="2145">
      <pivotArea dataOnly="0" labelOnly="1" fieldPosition="0">
        <references count="6">
          <reference field="1" count="1" selected="0">
            <x v="68"/>
          </reference>
          <reference field="2" count="1" selected="0">
            <x v="35"/>
          </reference>
          <reference field="3" count="1" selected="0">
            <x v="38"/>
          </reference>
          <reference field="4" count="1" selected="0">
            <x v="152"/>
          </reference>
          <reference field="5" count="1" selected="0">
            <x v="92"/>
          </reference>
          <reference field="6" count="1">
            <x v="47"/>
          </reference>
        </references>
      </pivotArea>
    </format>
    <format dxfId="2144">
      <pivotArea dataOnly="0" labelOnly="1" fieldPosition="0">
        <references count="6">
          <reference field="1" count="1" selected="0">
            <x v="69"/>
          </reference>
          <reference field="2" count="1" selected="0">
            <x v="0"/>
          </reference>
          <reference field="3" count="1" selected="0">
            <x v="12"/>
          </reference>
          <reference field="4" count="1" selected="0">
            <x v="48"/>
          </reference>
          <reference field="5" count="1" selected="0">
            <x v="11"/>
          </reference>
          <reference field="6" count="1">
            <x v="47"/>
          </reference>
        </references>
      </pivotArea>
    </format>
    <format dxfId="2143">
      <pivotArea dataOnly="0" labelOnly="1" fieldPosition="0">
        <references count="6">
          <reference field="1" count="1" selected="0">
            <x v="69"/>
          </reference>
          <reference field="2" count="1" selected="0">
            <x v="0"/>
          </reference>
          <reference field="3" count="1" selected="0">
            <x v="12"/>
          </reference>
          <reference field="4" count="1" selected="0">
            <x v="58"/>
          </reference>
          <reference field="5" count="1" selected="0">
            <x v="6"/>
          </reference>
          <reference field="6" count="1">
            <x v="47"/>
          </reference>
        </references>
      </pivotArea>
    </format>
    <format dxfId="2142">
      <pivotArea dataOnly="0" labelOnly="1" fieldPosition="0">
        <references count="6">
          <reference field="1" count="1" selected="0">
            <x v="70"/>
          </reference>
          <reference field="2" count="1" selected="0">
            <x v="0"/>
          </reference>
          <reference field="3" count="1" selected="0">
            <x v="6"/>
          </reference>
          <reference field="4" count="1" selected="0">
            <x v="153"/>
          </reference>
          <reference field="5" count="1" selected="0">
            <x v="248"/>
          </reference>
          <reference field="6" count="1">
            <x v="47"/>
          </reference>
        </references>
      </pivotArea>
    </format>
    <format dxfId="2141">
      <pivotArea dataOnly="0" labelOnly="1" fieldPosition="0">
        <references count="6">
          <reference field="1" count="1" selected="0">
            <x v="70"/>
          </reference>
          <reference field="2" count="1" selected="0">
            <x v="0"/>
          </reference>
          <reference field="3" count="1" selected="0">
            <x v="8"/>
          </reference>
          <reference field="4" count="1" selected="0">
            <x v="153"/>
          </reference>
          <reference field="5" count="1" selected="0">
            <x v="1114"/>
          </reference>
          <reference field="6" count="1">
            <x v="47"/>
          </reference>
        </references>
      </pivotArea>
    </format>
    <format dxfId="2140">
      <pivotArea dataOnly="0" labelOnly="1" fieldPosition="0">
        <references count="6">
          <reference field="1" count="1" selected="0">
            <x v="70"/>
          </reference>
          <reference field="2" count="1" selected="0">
            <x v="0"/>
          </reference>
          <reference field="3" count="1" selected="0">
            <x v="12"/>
          </reference>
          <reference field="4" count="1" selected="0">
            <x v="2"/>
          </reference>
          <reference field="5" count="1" selected="0">
            <x v="109"/>
          </reference>
          <reference field="6" count="1">
            <x v="47"/>
          </reference>
        </references>
      </pivotArea>
    </format>
    <format dxfId="2139">
      <pivotArea dataOnly="0" labelOnly="1" fieldPosition="0">
        <references count="6">
          <reference field="1" count="1" selected="0">
            <x v="70"/>
          </reference>
          <reference field="2" count="1" selected="0">
            <x v="0"/>
          </reference>
          <reference field="3" count="1" selected="0">
            <x v="12"/>
          </reference>
          <reference field="4" count="1" selected="0">
            <x v="27"/>
          </reference>
          <reference field="5" count="1" selected="0">
            <x v="11"/>
          </reference>
          <reference field="6" count="1">
            <x v="47"/>
          </reference>
        </references>
      </pivotArea>
    </format>
    <format dxfId="2138">
      <pivotArea dataOnly="0" labelOnly="1" fieldPosition="0">
        <references count="6">
          <reference field="1" count="1" selected="0">
            <x v="70"/>
          </reference>
          <reference field="2" count="1" selected="0">
            <x v="0"/>
          </reference>
          <reference field="3" count="1" selected="0">
            <x v="12"/>
          </reference>
          <reference field="4" count="1" selected="0">
            <x v="37"/>
          </reference>
          <reference field="5" count="1" selected="0">
            <x v="90"/>
          </reference>
          <reference field="6" count="1">
            <x v="47"/>
          </reference>
        </references>
      </pivotArea>
    </format>
    <format dxfId="2137">
      <pivotArea dataOnly="0" labelOnly="1" fieldPosition="0">
        <references count="6">
          <reference field="1" count="1" selected="0">
            <x v="70"/>
          </reference>
          <reference field="2" count="1" selected="0">
            <x v="0"/>
          </reference>
          <reference field="3" count="1" selected="0">
            <x v="12"/>
          </reference>
          <reference field="4" count="1" selected="0">
            <x v="52"/>
          </reference>
          <reference field="5" count="1" selected="0">
            <x v="14"/>
          </reference>
          <reference field="6" count="1">
            <x v="47"/>
          </reference>
        </references>
      </pivotArea>
    </format>
    <format dxfId="2136">
      <pivotArea dataOnly="0" labelOnly="1" fieldPosition="0">
        <references count="6">
          <reference field="1" count="1" selected="0">
            <x v="70"/>
          </reference>
          <reference field="2" count="1" selected="0">
            <x v="2"/>
          </reference>
          <reference field="3" count="1" selected="0">
            <x v="6"/>
          </reference>
          <reference field="4" count="1" selected="0">
            <x v="153"/>
          </reference>
          <reference field="5" count="1" selected="0">
            <x v="790"/>
          </reference>
          <reference field="6" count="1">
            <x v="47"/>
          </reference>
        </references>
      </pivotArea>
    </format>
    <format dxfId="2135">
      <pivotArea dataOnly="0" labelOnly="1" fieldPosition="0">
        <references count="6">
          <reference field="1" count="1" selected="0">
            <x v="70"/>
          </reference>
          <reference field="2" count="1" selected="0">
            <x v="12"/>
          </reference>
          <reference field="3" count="1" selected="0">
            <x v="1"/>
          </reference>
          <reference field="4" count="1" selected="0">
            <x v="153"/>
          </reference>
          <reference field="5" count="1" selected="0">
            <x v="80"/>
          </reference>
          <reference field="6" count="1">
            <x v="47"/>
          </reference>
        </references>
      </pivotArea>
    </format>
    <format dxfId="2134">
      <pivotArea dataOnly="0" labelOnly="1" fieldPosition="0">
        <references count="6">
          <reference field="1" count="1" selected="0">
            <x v="70"/>
          </reference>
          <reference field="2" count="1" selected="0">
            <x v="12"/>
          </reference>
          <reference field="3" count="1" selected="0">
            <x v="1"/>
          </reference>
          <reference field="4" count="1" selected="0">
            <x v="153"/>
          </reference>
          <reference field="5" count="1" selected="0">
            <x v="352"/>
          </reference>
          <reference field="6" count="1">
            <x v="47"/>
          </reference>
        </references>
      </pivotArea>
    </format>
    <format dxfId="2133">
      <pivotArea dataOnly="0" labelOnly="1" fieldPosition="0">
        <references count="6">
          <reference field="1" count="1" selected="0">
            <x v="70"/>
          </reference>
          <reference field="2" count="1" selected="0">
            <x v="12"/>
          </reference>
          <reference field="3" count="1" selected="0">
            <x v="1"/>
          </reference>
          <reference field="4" count="1" selected="0">
            <x v="153"/>
          </reference>
          <reference field="5" count="1" selected="0">
            <x v="500"/>
          </reference>
          <reference field="6" count="1">
            <x v="47"/>
          </reference>
        </references>
      </pivotArea>
    </format>
    <format dxfId="2132">
      <pivotArea dataOnly="0" labelOnly="1" fieldPosition="0">
        <references count="6">
          <reference field="1" count="1" selected="0">
            <x v="70"/>
          </reference>
          <reference field="2" count="1" selected="0">
            <x v="14"/>
          </reference>
          <reference field="3" count="1" selected="0">
            <x v="38"/>
          </reference>
          <reference field="4" count="1" selected="0">
            <x v="153"/>
          </reference>
          <reference field="5" count="1" selected="0">
            <x v="569"/>
          </reference>
          <reference field="6" count="1">
            <x v="47"/>
          </reference>
        </references>
      </pivotArea>
    </format>
    <format dxfId="2131">
      <pivotArea dataOnly="0" labelOnly="1" fieldPosition="0">
        <references count="6">
          <reference field="1" count="1" selected="0">
            <x v="70"/>
          </reference>
          <reference field="2" count="1" selected="0">
            <x v="15"/>
          </reference>
          <reference field="3" count="1" selected="0">
            <x v="1"/>
          </reference>
          <reference field="4" count="1" selected="0">
            <x v="153"/>
          </reference>
          <reference field="5" count="1" selected="0">
            <x v="895"/>
          </reference>
          <reference field="6" count="1">
            <x v="47"/>
          </reference>
        </references>
      </pivotArea>
    </format>
    <format dxfId="2130">
      <pivotArea dataOnly="0" labelOnly="1" fieldPosition="0">
        <references count="6">
          <reference field="1" count="1" selected="0">
            <x v="70"/>
          </reference>
          <reference field="2" count="1" selected="0">
            <x v="15"/>
          </reference>
          <reference field="3" count="1" selected="0">
            <x v="6"/>
          </reference>
          <reference field="4" count="1" selected="0">
            <x v="153"/>
          </reference>
          <reference field="5" count="1" selected="0">
            <x v="410"/>
          </reference>
          <reference field="6" count="1">
            <x v="47"/>
          </reference>
        </references>
      </pivotArea>
    </format>
    <format dxfId="2129">
      <pivotArea dataOnly="0" labelOnly="1" fieldPosition="0">
        <references count="6">
          <reference field="1" count="1" selected="0">
            <x v="70"/>
          </reference>
          <reference field="2" count="1" selected="0">
            <x v="17"/>
          </reference>
          <reference field="3" count="1" selected="0">
            <x v="6"/>
          </reference>
          <reference field="4" count="1" selected="0">
            <x v="153"/>
          </reference>
          <reference field="5" count="1" selected="0">
            <x v="1477"/>
          </reference>
          <reference field="6" count="1">
            <x v="47"/>
          </reference>
        </references>
      </pivotArea>
    </format>
    <format dxfId="2128">
      <pivotArea dataOnly="0" labelOnly="1" fieldPosition="0">
        <references count="6">
          <reference field="1" count="1" selected="0">
            <x v="70"/>
          </reference>
          <reference field="2" count="1" selected="0">
            <x v="28"/>
          </reference>
          <reference field="3" count="1" selected="0">
            <x v="1"/>
          </reference>
          <reference field="4" count="1" selected="0">
            <x v="153"/>
          </reference>
          <reference field="5" count="1" selected="0">
            <x v="811"/>
          </reference>
          <reference field="6" count="1">
            <x v="47"/>
          </reference>
        </references>
      </pivotArea>
    </format>
    <format dxfId="2127">
      <pivotArea dataOnly="0" labelOnly="1" fieldPosition="0">
        <references count="6">
          <reference field="1" count="1" selected="0">
            <x v="70"/>
          </reference>
          <reference field="2" count="1" selected="0">
            <x v="35"/>
          </reference>
          <reference field="3" count="1" selected="0">
            <x v="1"/>
          </reference>
          <reference field="4" count="1" selected="0">
            <x v="153"/>
          </reference>
          <reference field="5" count="1" selected="0">
            <x v="80"/>
          </reference>
          <reference field="6" count="1">
            <x v="47"/>
          </reference>
        </references>
      </pivotArea>
    </format>
    <format dxfId="2126">
      <pivotArea dataOnly="0" labelOnly="1" fieldPosition="0">
        <references count="6">
          <reference field="1" count="1" selected="0">
            <x v="70"/>
          </reference>
          <reference field="2" count="1" selected="0">
            <x v="35"/>
          </reference>
          <reference field="3" count="1" selected="0">
            <x v="38"/>
          </reference>
          <reference field="4" count="1" selected="0">
            <x v="153"/>
          </reference>
          <reference field="5" count="1" selected="0">
            <x v="1041"/>
          </reference>
          <reference field="6" count="1">
            <x v="47"/>
          </reference>
        </references>
      </pivotArea>
    </format>
    <format dxfId="2125">
      <pivotArea dataOnly="0" labelOnly="1" fieldPosition="0">
        <references count="6">
          <reference field="1" count="1" selected="0">
            <x v="71"/>
          </reference>
          <reference field="2" count="1" selected="0">
            <x v="0"/>
          </reference>
          <reference field="3" count="1" selected="0">
            <x v="6"/>
          </reference>
          <reference field="4" count="1" selected="0">
            <x v="154"/>
          </reference>
          <reference field="5" count="1" selected="0">
            <x v="689"/>
          </reference>
          <reference field="6" count="1">
            <x v="47"/>
          </reference>
        </references>
      </pivotArea>
    </format>
    <format dxfId="2124">
      <pivotArea dataOnly="0" labelOnly="1" fieldPosition="0">
        <references count="6">
          <reference field="1" count="1" selected="0">
            <x v="71"/>
          </reference>
          <reference field="2" count="1" selected="0">
            <x v="0"/>
          </reference>
          <reference field="3" count="1" selected="0">
            <x v="38"/>
          </reference>
          <reference field="4" count="1" selected="0">
            <x v="154"/>
          </reference>
          <reference field="5" count="1" selected="0">
            <x v="628"/>
          </reference>
          <reference field="6" count="1">
            <x v="47"/>
          </reference>
        </references>
      </pivotArea>
    </format>
    <format dxfId="2123">
      <pivotArea dataOnly="0" labelOnly="1" fieldPosition="0">
        <references count="6">
          <reference field="1" count="1" selected="0">
            <x v="71"/>
          </reference>
          <reference field="2" count="1" selected="0">
            <x v="6"/>
          </reference>
          <reference field="3" count="1" selected="0">
            <x v="38"/>
          </reference>
          <reference field="4" count="1" selected="0">
            <x v="154"/>
          </reference>
          <reference field="5" count="1" selected="0">
            <x v="911"/>
          </reference>
          <reference field="6" count="1">
            <x v="47"/>
          </reference>
        </references>
      </pivotArea>
    </format>
    <format dxfId="2122">
      <pivotArea dataOnly="0" labelOnly="1" fieldPosition="0">
        <references count="6">
          <reference field="1" count="1" selected="0">
            <x v="71"/>
          </reference>
          <reference field="2" count="1" selected="0">
            <x v="7"/>
          </reference>
          <reference field="3" count="1" selected="0">
            <x v="38"/>
          </reference>
          <reference field="4" count="1" selected="0">
            <x v="154"/>
          </reference>
          <reference field="5" count="1" selected="0">
            <x v="564"/>
          </reference>
          <reference field="6" count="1">
            <x v="47"/>
          </reference>
        </references>
      </pivotArea>
    </format>
    <format dxfId="2121">
      <pivotArea dataOnly="0" labelOnly="1" fieldPosition="0">
        <references count="6">
          <reference field="1" count="1" selected="0">
            <x v="71"/>
          </reference>
          <reference field="2" count="1" selected="0">
            <x v="8"/>
          </reference>
          <reference field="3" count="1" selected="0">
            <x v="38"/>
          </reference>
          <reference field="4" count="1" selected="0">
            <x v="154"/>
          </reference>
          <reference field="5" count="1" selected="0">
            <x v="691"/>
          </reference>
          <reference field="6" count="1">
            <x v="47"/>
          </reference>
        </references>
      </pivotArea>
    </format>
    <format dxfId="2120">
      <pivotArea dataOnly="0" labelOnly="1" fieldPosition="0">
        <references count="6">
          <reference field="1" count="1" selected="0">
            <x v="71"/>
          </reference>
          <reference field="2" count="1" selected="0">
            <x v="12"/>
          </reference>
          <reference field="3" count="1" selected="0">
            <x v="1"/>
          </reference>
          <reference field="4" count="1" selected="0">
            <x v="154"/>
          </reference>
          <reference field="5" count="1" selected="0">
            <x v="213"/>
          </reference>
          <reference field="6" count="1">
            <x v="47"/>
          </reference>
        </references>
      </pivotArea>
    </format>
    <format dxfId="2119">
      <pivotArea dataOnly="0" labelOnly="1" fieldPosition="0">
        <references count="6">
          <reference field="1" count="1" selected="0">
            <x v="71"/>
          </reference>
          <reference field="2" count="1" selected="0">
            <x v="12"/>
          </reference>
          <reference field="3" count="1" selected="0">
            <x v="1"/>
          </reference>
          <reference field="4" count="1" selected="0">
            <x v="154"/>
          </reference>
          <reference field="5" count="1" selected="0">
            <x v="352"/>
          </reference>
          <reference field="6" count="1">
            <x v="47"/>
          </reference>
        </references>
      </pivotArea>
    </format>
    <format dxfId="2118">
      <pivotArea dataOnly="0" labelOnly="1" fieldPosition="0">
        <references count="6">
          <reference field="1" count="1" selected="0">
            <x v="71"/>
          </reference>
          <reference field="2" count="1" selected="0">
            <x v="12"/>
          </reference>
          <reference field="3" count="1" selected="0">
            <x v="1"/>
          </reference>
          <reference field="4" count="1" selected="0">
            <x v="154"/>
          </reference>
          <reference field="5" count="1" selected="0">
            <x v="702"/>
          </reference>
          <reference field="6" count="1">
            <x v="47"/>
          </reference>
        </references>
      </pivotArea>
    </format>
    <format dxfId="2117">
      <pivotArea dataOnly="0" labelOnly="1" fieldPosition="0">
        <references count="6">
          <reference field="1" count="1" selected="0">
            <x v="71"/>
          </reference>
          <reference field="2" count="1" selected="0">
            <x v="12"/>
          </reference>
          <reference field="3" count="1" selected="0">
            <x v="1"/>
          </reference>
          <reference field="4" count="1" selected="0">
            <x v="154"/>
          </reference>
          <reference field="5" count="1" selected="0">
            <x v="846"/>
          </reference>
          <reference field="6" count="1">
            <x v="47"/>
          </reference>
        </references>
      </pivotArea>
    </format>
    <format dxfId="2116">
      <pivotArea dataOnly="0" labelOnly="1" fieldPosition="0">
        <references count="6">
          <reference field="1" count="1" selected="0">
            <x v="71"/>
          </reference>
          <reference field="2" count="1" selected="0">
            <x v="15"/>
          </reference>
          <reference field="3" count="1" selected="0">
            <x v="38"/>
          </reference>
          <reference field="4" count="1" selected="0">
            <x v="154"/>
          </reference>
          <reference field="5" count="1" selected="0">
            <x v="1274"/>
          </reference>
          <reference field="6" count="1">
            <x v="47"/>
          </reference>
        </references>
      </pivotArea>
    </format>
    <format dxfId="2115">
      <pivotArea dataOnly="0" labelOnly="1" fieldPosition="0">
        <references count="6">
          <reference field="1" count="1" selected="0">
            <x v="71"/>
          </reference>
          <reference field="2" count="1" selected="0">
            <x v="19"/>
          </reference>
          <reference field="3" count="1" selected="0">
            <x v="6"/>
          </reference>
          <reference field="4" count="1" selected="0">
            <x v="154"/>
          </reference>
          <reference field="5" count="1" selected="0">
            <x v="539"/>
          </reference>
          <reference field="6" count="1">
            <x v="47"/>
          </reference>
        </references>
      </pivotArea>
    </format>
    <format dxfId="2114">
      <pivotArea dataOnly="0" labelOnly="1" fieldPosition="0">
        <references count="6">
          <reference field="1" count="1" selected="0">
            <x v="71"/>
          </reference>
          <reference field="2" count="1" selected="0">
            <x v="21"/>
          </reference>
          <reference field="3" count="1" selected="0">
            <x v="38"/>
          </reference>
          <reference field="4" count="1" selected="0">
            <x v="154"/>
          </reference>
          <reference field="5" count="1" selected="0">
            <x v="1274"/>
          </reference>
          <reference field="6" count="1">
            <x v="47"/>
          </reference>
        </references>
      </pivotArea>
    </format>
    <format dxfId="2113">
      <pivotArea dataOnly="0" labelOnly="1" fieldPosition="0">
        <references count="6">
          <reference field="1" count="1" selected="0">
            <x v="71"/>
          </reference>
          <reference field="2" count="1" selected="0">
            <x v="23"/>
          </reference>
          <reference field="3" count="1" selected="0">
            <x v="38"/>
          </reference>
          <reference field="4" count="1" selected="0">
            <x v="154"/>
          </reference>
          <reference field="5" count="1" selected="0">
            <x v="1857"/>
          </reference>
          <reference field="6" count="1">
            <x v="47"/>
          </reference>
        </references>
      </pivotArea>
    </format>
    <format dxfId="2112">
      <pivotArea dataOnly="0" labelOnly="1" fieldPosition="0">
        <references count="6">
          <reference field="1" count="1" selected="0">
            <x v="71"/>
          </reference>
          <reference field="2" count="1" selected="0">
            <x v="34"/>
          </reference>
          <reference field="3" count="1" selected="0">
            <x v="38"/>
          </reference>
          <reference field="4" count="1" selected="0">
            <x v="154"/>
          </reference>
          <reference field="5" count="1" selected="0">
            <x v="872"/>
          </reference>
          <reference field="6" count="1">
            <x v="47"/>
          </reference>
        </references>
      </pivotArea>
    </format>
    <format dxfId="2111">
      <pivotArea dataOnly="0" labelOnly="1" fieldPosition="0">
        <references count="6">
          <reference field="1" count="1" selected="0">
            <x v="71"/>
          </reference>
          <reference field="2" count="1" selected="0">
            <x v="35"/>
          </reference>
          <reference field="3" count="1" selected="0">
            <x v="1"/>
          </reference>
          <reference field="4" count="1" selected="0">
            <x v="154"/>
          </reference>
          <reference field="5" count="1" selected="0">
            <x v="80"/>
          </reference>
          <reference field="6" count="1">
            <x v="47"/>
          </reference>
        </references>
      </pivotArea>
    </format>
    <format dxfId="2110">
      <pivotArea dataOnly="0" labelOnly="1" fieldPosition="0">
        <references count="6">
          <reference field="1" count="1" selected="0">
            <x v="71"/>
          </reference>
          <reference field="2" count="1" selected="0">
            <x v="35"/>
          </reference>
          <reference field="3" count="1" selected="0">
            <x v="1"/>
          </reference>
          <reference field="4" count="1" selected="0">
            <x v="154"/>
          </reference>
          <reference field="5" count="1" selected="0">
            <x v="213"/>
          </reference>
          <reference field="6" count="1">
            <x v="47"/>
          </reference>
        </references>
      </pivotArea>
    </format>
    <format dxfId="2109">
      <pivotArea dataOnly="0" labelOnly="1" fieldPosition="0">
        <references count="6">
          <reference field="1" count="1" selected="0">
            <x v="72"/>
          </reference>
          <reference field="2" count="1" selected="0">
            <x v="0"/>
          </reference>
          <reference field="3" count="1" selected="0">
            <x v="8"/>
          </reference>
          <reference field="4" count="1" selected="0">
            <x v="155"/>
          </reference>
          <reference field="5" count="1" selected="0">
            <x v="148"/>
          </reference>
          <reference field="6" count="1">
            <x v="47"/>
          </reference>
        </references>
      </pivotArea>
    </format>
    <format dxfId="2108">
      <pivotArea dataOnly="0" labelOnly="1" fieldPosition="0">
        <references count="6">
          <reference field="1" count="1" selected="0">
            <x v="72"/>
          </reference>
          <reference field="2" count="1" selected="0">
            <x v="0"/>
          </reference>
          <reference field="3" count="1" selected="0">
            <x v="8"/>
          </reference>
          <reference field="4" count="1" selected="0">
            <x v="155"/>
          </reference>
          <reference field="5" count="1" selected="0">
            <x v="358"/>
          </reference>
          <reference field="6" count="1">
            <x v="47"/>
          </reference>
        </references>
      </pivotArea>
    </format>
    <format dxfId="2107">
      <pivotArea dataOnly="0" labelOnly="1" fieldPosition="0">
        <references count="6">
          <reference field="1" count="1" selected="0">
            <x v="72"/>
          </reference>
          <reference field="2" count="1" selected="0">
            <x v="0"/>
          </reference>
          <reference field="3" count="1" selected="0">
            <x v="8"/>
          </reference>
          <reference field="4" count="1" selected="0">
            <x v="155"/>
          </reference>
          <reference field="5" count="1" selected="0">
            <x v="390"/>
          </reference>
          <reference field="6" count="1">
            <x v="47"/>
          </reference>
        </references>
      </pivotArea>
    </format>
    <format dxfId="2106">
      <pivotArea dataOnly="0" labelOnly="1" fieldPosition="0">
        <references count="6">
          <reference field="1" count="1" selected="0">
            <x v="72"/>
          </reference>
          <reference field="2" count="1" selected="0">
            <x v="0"/>
          </reference>
          <reference field="3" count="1" selected="0">
            <x v="8"/>
          </reference>
          <reference field="4" count="1" selected="0">
            <x v="155"/>
          </reference>
          <reference field="5" count="1" selected="0">
            <x v="482"/>
          </reference>
          <reference field="6" count="1">
            <x v="47"/>
          </reference>
        </references>
      </pivotArea>
    </format>
    <format dxfId="2105">
      <pivotArea dataOnly="0" labelOnly="1" fieldPosition="0">
        <references count="6">
          <reference field="1" count="1" selected="0">
            <x v="72"/>
          </reference>
          <reference field="2" count="1" selected="0">
            <x v="0"/>
          </reference>
          <reference field="3" count="1" selected="0">
            <x v="8"/>
          </reference>
          <reference field="4" count="1" selected="0">
            <x v="155"/>
          </reference>
          <reference field="5" count="1" selected="0">
            <x v="549"/>
          </reference>
          <reference field="6" count="1">
            <x v="47"/>
          </reference>
        </references>
      </pivotArea>
    </format>
    <format dxfId="2104">
      <pivotArea dataOnly="0" labelOnly="1" fieldPosition="0">
        <references count="6">
          <reference field="1" count="1" selected="0">
            <x v="72"/>
          </reference>
          <reference field="2" count="1" selected="0">
            <x v="0"/>
          </reference>
          <reference field="3" count="1" selected="0">
            <x v="8"/>
          </reference>
          <reference field="4" count="1" selected="0">
            <x v="155"/>
          </reference>
          <reference field="5" count="1" selected="0">
            <x v="578"/>
          </reference>
          <reference field="6" count="1">
            <x v="47"/>
          </reference>
        </references>
      </pivotArea>
    </format>
    <format dxfId="2103">
      <pivotArea dataOnly="0" labelOnly="1" fieldPosition="0">
        <references count="6">
          <reference field="1" count="1" selected="0">
            <x v="72"/>
          </reference>
          <reference field="2" count="1" selected="0">
            <x v="0"/>
          </reference>
          <reference field="3" count="1" selected="0">
            <x v="8"/>
          </reference>
          <reference field="4" count="1" selected="0">
            <x v="155"/>
          </reference>
          <reference field="5" count="1" selected="0">
            <x v="610"/>
          </reference>
          <reference field="6" count="1">
            <x v="47"/>
          </reference>
        </references>
      </pivotArea>
    </format>
    <format dxfId="2102">
      <pivotArea dataOnly="0" labelOnly="1" fieldPosition="0">
        <references count="6">
          <reference field="1" count="1" selected="0">
            <x v="72"/>
          </reference>
          <reference field="2" count="1" selected="0">
            <x v="0"/>
          </reference>
          <reference field="3" count="1" selected="0">
            <x v="8"/>
          </reference>
          <reference field="4" count="1" selected="0">
            <x v="155"/>
          </reference>
          <reference field="5" count="1" selected="0">
            <x v="1272"/>
          </reference>
          <reference field="6" count="1">
            <x v="47"/>
          </reference>
        </references>
      </pivotArea>
    </format>
    <format dxfId="2101">
      <pivotArea dataOnly="0" labelOnly="1" fieldPosition="0">
        <references count="6">
          <reference field="1" count="1" selected="0">
            <x v="72"/>
          </reference>
          <reference field="2" count="1" selected="0">
            <x v="0"/>
          </reference>
          <reference field="3" count="1" selected="0">
            <x v="9"/>
          </reference>
          <reference field="4" count="1" selected="0">
            <x v="155"/>
          </reference>
          <reference field="5" count="1" selected="0">
            <x v="81"/>
          </reference>
          <reference field="6" count="1">
            <x v="47"/>
          </reference>
        </references>
      </pivotArea>
    </format>
    <format dxfId="2100">
      <pivotArea dataOnly="0" labelOnly="1" fieldPosition="0">
        <references count="6">
          <reference field="1" count="1" selected="0">
            <x v="72"/>
          </reference>
          <reference field="2" count="1" selected="0">
            <x v="0"/>
          </reference>
          <reference field="3" count="1" selected="0">
            <x v="9"/>
          </reference>
          <reference field="4" count="1" selected="0">
            <x v="155"/>
          </reference>
          <reference field="5" count="1" selected="0">
            <x v="163"/>
          </reference>
          <reference field="6" count="1">
            <x v="47"/>
          </reference>
        </references>
      </pivotArea>
    </format>
    <format dxfId="2099">
      <pivotArea dataOnly="0" labelOnly="1" fieldPosition="0">
        <references count="6">
          <reference field="1" count="1" selected="0">
            <x v="72"/>
          </reference>
          <reference field="2" count="1" selected="0">
            <x v="0"/>
          </reference>
          <reference field="3" count="1" selected="0">
            <x v="9"/>
          </reference>
          <reference field="4" count="1" selected="0">
            <x v="155"/>
          </reference>
          <reference field="5" count="1" selected="0">
            <x v="213"/>
          </reference>
          <reference field="6" count="1">
            <x v="47"/>
          </reference>
        </references>
      </pivotArea>
    </format>
    <format dxfId="2098">
      <pivotArea dataOnly="0" labelOnly="1" fieldPosition="0">
        <references count="6">
          <reference field="1" count="1" selected="0">
            <x v="72"/>
          </reference>
          <reference field="2" count="1" selected="0">
            <x v="0"/>
          </reference>
          <reference field="3" count="1" selected="0">
            <x v="9"/>
          </reference>
          <reference field="4" count="1" selected="0">
            <x v="155"/>
          </reference>
          <reference field="5" count="1" selected="0">
            <x v="424"/>
          </reference>
          <reference field="6" count="1">
            <x v="47"/>
          </reference>
        </references>
      </pivotArea>
    </format>
    <format dxfId="2097">
      <pivotArea dataOnly="0" labelOnly="1" fieldPosition="0">
        <references count="6">
          <reference field="1" count="1" selected="0">
            <x v="72"/>
          </reference>
          <reference field="2" count="1" selected="0">
            <x v="0"/>
          </reference>
          <reference field="3" count="1" selected="0">
            <x v="9"/>
          </reference>
          <reference field="4" count="1" selected="0">
            <x v="155"/>
          </reference>
          <reference field="5" count="1" selected="0">
            <x v="499"/>
          </reference>
          <reference field="6" count="1">
            <x v="47"/>
          </reference>
        </references>
      </pivotArea>
    </format>
    <format dxfId="2096">
      <pivotArea dataOnly="0" labelOnly="1" fieldPosition="0">
        <references count="6">
          <reference field="1" count="1" selected="0">
            <x v="72"/>
          </reference>
          <reference field="2" count="1" selected="0">
            <x v="0"/>
          </reference>
          <reference field="3" count="1" selected="0">
            <x v="9"/>
          </reference>
          <reference field="4" count="1" selected="0">
            <x v="155"/>
          </reference>
          <reference field="5" count="1" selected="0">
            <x v="830"/>
          </reference>
          <reference field="6" count="1">
            <x v="47"/>
          </reference>
        </references>
      </pivotArea>
    </format>
    <format dxfId="2095">
      <pivotArea dataOnly="0" labelOnly="1" fieldPosition="0">
        <references count="6">
          <reference field="1" count="1" selected="0">
            <x v="72"/>
          </reference>
          <reference field="2" count="1" selected="0">
            <x v="0"/>
          </reference>
          <reference field="3" count="1" selected="0">
            <x v="9"/>
          </reference>
          <reference field="4" count="1" selected="0">
            <x v="155"/>
          </reference>
          <reference field="5" count="1" selected="0">
            <x v="856"/>
          </reference>
          <reference field="6" count="1">
            <x v="47"/>
          </reference>
        </references>
      </pivotArea>
    </format>
    <format dxfId="2094">
      <pivotArea dataOnly="0" labelOnly="1" fieldPosition="0">
        <references count="6">
          <reference field="1" count="1" selected="0">
            <x v="72"/>
          </reference>
          <reference field="2" count="1" selected="0">
            <x v="0"/>
          </reference>
          <reference field="3" count="1" selected="0">
            <x v="9"/>
          </reference>
          <reference field="4" count="1" selected="0">
            <x v="155"/>
          </reference>
          <reference field="5" count="1" selected="0">
            <x v="908"/>
          </reference>
          <reference field="6" count="1">
            <x v="47"/>
          </reference>
        </references>
      </pivotArea>
    </format>
    <format dxfId="2093">
      <pivotArea dataOnly="0" labelOnly="1" fieldPosition="0">
        <references count="6">
          <reference field="1" count="1" selected="0">
            <x v="72"/>
          </reference>
          <reference field="2" count="1" selected="0">
            <x v="0"/>
          </reference>
          <reference field="3" count="1" selected="0">
            <x v="9"/>
          </reference>
          <reference field="4" count="1" selected="0">
            <x v="155"/>
          </reference>
          <reference field="5" count="1" selected="0">
            <x v="942"/>
          </reference>
          <reference field="6" count="1">
            <x v="47"/>
          </reference>
        </references>
      </pivotArea>
    </format>
    <format dxfId="2092">
      <pivotArea dataOnly="0" labelOnly="1" fieldPosition="0">
        <references count="6">
          <reference field="1" count="1" selected="0">
            <x v="72"/>
          </reference>
          <reference field="2" count="1" selected="0">
            <x v="0"/>
          </reference>
          <reference field="3" count="1" selected="0">
            <x v="9"/>
          </reference>
          <reference field="4" count="1" selected="0">
            <x v="155"/>
          </reference>
          <reference field="5" count="1" selected="0">
            <x v="1034"/>
          </reference>
          <reference field="6" count="1">
            <x v="47"/>
          </reference>
        </references>
      </pivotArea>
    </format>
    <format dxfId="2091">
      <pivotArea dataOnly="0" labelOnly="1" fieldPosition="0">
        <references count="6">
          <reference field="1" count="1" selected="0">
            <x v="72"/>
          </reference>
          <reference field="2" count="1" selected="0">
            <x v="0"/>
          </reference>
          <reference field="3" count="1" selected="0">
            <x v="9"/>
          </reference>
          <reference field="4" count="1" selected="0">
            <x v="155"/>
          </reference>
          <reference field="5" count="1" selected="0">
            <x v="1036"/>
          </reference>
          <reference field="6" count="1">
            <x v="47"/>
          </reference>
        </references>
      </pivotArea>
    </format>
    <format dxfId="2090">
      <pivotArea dataOnly="0" labelOnly="1" fieldPosition="0">
        <references count="6">
          <reference field="1" count="1" selected="0">
            <x v="72"/>
          </reference>
          <reference field="2" count="1" selected="0">
            <x v="0"/>
          </reference>
          <reference field="3" count="1" selected="0">
            <x v="9"/>
          </reference>
          <reference field="4" count="1" selected="0">
            <x v="155"/>
          </reference>
          <reference field="5" count="1" selected="0">
            <x v="1062"/>
          </reference>
          <reference field="6" count="1">
            <x v="47"/>
          </reference>
        </references>
      </pivotArea>
    </format>
    <format dxfId="2089">
      <pivotArea dataOnly="0" labelOnly="1" fieldPosition="0">
        <references count="6">
          <reference field="1" count="1" selected="0">
            <x v="72"/>
          </reference>
          <reference field="2" count="1" selected="0">
            <x v="0"/>
          </reference>
          <reference field="3" count="1" selected="0">
            <x v="9"/>
          </reference>
          <reference field="4" count="1" selected="0">
            <x v="155"/>
          </reference>
          <reference field="5" count="1" selected="0">
            <x v="1084"/>
          </reference>
          <reference field="6" count="1">
            <x v="47"/>
          </reference>
        </references>
      </pivotArea>
    </format>
    <format dxfId="2088">
      <pivotArea dataOnly="0" labelOnly="1" fieldPosition="0">
        <references count="6">
          <reference field="1" count="1" selected="0">
            <x v="72"/>
          </reference>
          <reference field="2" count="1" selected="0">
            <x v="0"/>
          </reference>
          <reference field="3" count="1" selected="0">
            <x v="9"/>
          </reference>
          <reference field="4" count="1" selected="0">
            <x v="155"/>
          </reference>
          <reference field="5" count="1" selected="0">
            <x v="1374"/>
          </reference>
          <reference field="6" count="1">
            <x v="47"/>
          </reference>
        </references>
      </pivotArea>
    </format>
    <format dxfId="2087">
      <pivotArea dataOnly="0" labelOnly="1" fieldPosition="0">
        <references count="6">
          <reference field="1" count="1" selected="0">
            <x v="72"/>
          </reference>
          <reference field="2" count="1" selected="0">
            <x v="0"/>
          </reference>
          <reference field="3" count="1" selected="0">
            <x v="9"/>
          </reference>
          <reference field="4" count="1" selected="0">
            <x v="155"/>
          </reference>
          <reference field="5" count="1" selected="0">
            <x v="1418"/>
          </reference>
          <reference field="6" count="1">
            <x v="47"/>
          </reference>
        </references>
      </pivotArea>
    </format>
    <format dxfId="2086">
      <pivotArea dataOnly="0" labelOnly="1" fieldPosition="0">
        <references count="6">
          <reference field="1" count="1" selected="0">
            <x v="72"/>
          </reference>
          <reference field="2" count="1" selected="0">
            <x v="0"/>
          </reference>
          <reference field="3" count="1" selected="0">
            <x v="12"/>
          </reference>
          <reference field="4" count="1" selected="0">
            <x v="19"/>
          </reference>
          <reference field="5" count="1" selected="0">
            <x v="188"/>
          </reference>
          <reference field="6" count="1">
            <x v="47"/>
          </reference>
        </references>
      </pivotArea>
    </format>
    <format dxfId="2085">
      <pivotArea dataOnly="0" labelOnly="1" fieldPosition="0">
        <references count="6">
          <reference field="1" count="1" selected="0">
            <x v="72"/>
          </reference>
          <reference field="2" count="1" selected="0">
            <x v="0"/>
          </reference>
          <reference field="3" count="1" selected="0">
            <x v="12"/>
          </reference>
          <reference field="4" count="1" selected="0">
            <x v="26"/>
          </reference>
          <reference field="5" count="1" selected="0">
            <x v="52"/>
          </reference>
          <reference field="6" count="1">
            <x v="47"/>
          </reference>
        </references>
      </pivotArea>
    </format>
    <format dxfId="2084">
      <pivotArea dataOnly="0" labelOnly="1" fieldPosition="0">
        <references count="6">
          <reference field="1" count="1" selected="0">
            <x v="72"/>
          </reference>
          <reference field="2" count="1" selected="0">
            <x v="0"/>
          </reference>
          <reference field="3" count="1" selected="0">
            <x v="12"/>
          </reference>
          <reference field="4" count="1" selected="0">
            <x v="50"/>
          </reference>
          <reference field="5" count="1" selected="0">
            <x v="90"/>
          </reference>
          <reference field="6" count="1">
            <x v="47"/>
          </reference>
        </references>
      </pivotArea>
    </format>
    <format dxfId="2083">
      <pivotArea dataOnly="0" labelOnly="1" fieldPosition="0">
        <references count="6">
          <reference field="1" count="1" selected="0">
            <x v="72"/>
          </reference>
          <reference field="2" count="1" selected="0">
            <x v="0"/>
          </reference>
          <reference field="3" count="1" selected="0">
            <x v="12"/>
          </reference>
          <reference field="4" count="1" selected="0">
            <x v="70"/>
          </reference>
          <reference field="5" count="1" selected="0">
            <x v="11"/>
          </reference>
          <reference field="6" count="1">
            <x v="47"/>
          </reference>
        </references>
      </pivotArea>
    </format>
    <format dxfId="2082">
      <pivotArea dataOnly="0" labelOnly="1" fieldPosition="0">
        <references count="6">
          <reference field="1" count="1" selected="0">
            <x v="72"/>
          </reference>
          <reference field="2" count="1" selected="0">
            <x v="5"/>
          </reference>
          <reference field="3" count="1" selected="0">
            <x v="38"/>
          </reference>
          <reference field="4" count="1" selected="0">
            <x v="155"/>
          </reference>
          <reference field="5" count="1" selected="0">
            <x v="213"/>
          </reference>
          <reference field="6" count="1">
            <x v="47"/>
          </reference>
        </references>
      </pivotArea>
    </format>
    <format dxfId="2081">
      <pivotArea dataOnly="0" labelOnly="1" fieldPosition="0">
        <references count="6">
          <reference field="1" count="1" selected="0">
            <x v="72"/>
          </reference>
          <reference field="2" count="1" selected="0">
            <x v="7"/>
          </reference>
          <reference field="3" count="1" selected="0">
            <x v="10"/>
          </reference>
          <reference field="4" count="1" selected="0">
            <x v="155"/>
          </reference>
          <reference field="5" count="1" selected="0">
            <x v="1640"/>
          </reference>
          <reference field="6" count="1">
            <x v="47"/>
          </reference>
        </references>
      </pivotArea>
    </format>
    <format dxfId="2080">
      <pivotArea dataOnly="0" labelOnly="1" fieldPosition="0">
        <references count="6">
          <reference field="1" count="1" selected="0">
            <x v="72"/>
          </reference>
          <reference field="2" count="1" selected="0">
            <x v="8"/>
          </reference>
          <reference field="3" count="1" selected="0">
            <x v="10"/>
          </reference>
          <reference field="4" count="1" selected="0">
            <x v="155"/>
          </reference>
          <reference field="5" count="1" selected="0">
            <x v="647"/>
          </reference>
          <reference field="6" count="1">
            <x v="47"/>
          </reference>
        </references>
      </pivotArea>
    </format>
    <format dxfId="2079">
      <pivotArea dataOnly="0" labelOnly="1" fieldPosition="0">
        <references count="6">
          <reference field="1" count="1" selected="0">
            <x v="72"/>
          </reference>
          <reference field="2" count="1" selected="0">
            <x v="8"/>
          </reference>
          <reference field="3" count="1" selected="0">
            <x v="38"/>
          </reference>
          <reference field="4" count="1" selected="0">
            <x v="155"/>
          </reference>
          <reference field="5" count="1" selected="0">
            <x v="1259"/>
          </reference>
          <reference field="6" count="1">
            <x v="47"/>
          </reference>
        </references>
      </pivotArea>
    </format>
    <format dxfId="2078">
      <pivotArea dataOnly="0" labelOnly="1" fieldPosition="0">
        <references count="6">
          <reference field="1" count="1" selected="0">
            <x v="72"/>
          </reference>
          <reference field="2" count="1" selected="0">
            <x v="9"/>
          </reference>
          <reference field="3" count="1" selected="0">
            <x v="8"/>
          </reference>
          <reference field="4" count="1" selected="0">
            <x v="155"/>
          </reference>
          <reference field="5" count="1" selected="0">
            <x v="290"/>
          </reference>
          <reference field="6" count="1">
            <x v="47"/>
          </reference>
        </references>
      </pivotArea>
    </format>
    <format dxfId="2077">
      <pivotArea dataOnly="0" labelOnly="1" fieldPosition="0">
        <references count="6">
          <reference field="1" count="1" selected="0">
            <x v="72"/>
          </reference>
          <reference field="2" count="1" selected="0">
            <x v="12"/>
          </reference>
          <reference field="3" count="1" selected="0">
            <x v="1"/>
          </reference>
          <reference field="4" count="1" selected="0">
            <x v="155"/>
          </reference>
          <reference field="5" count="1" selected="0">
            <x v="80"/>
          </reference>
          <reference field="6" count="1">
            <x v="47"/>
          </reference>
        </references>
      </pivotArea>
    </format>
    <format dxfId="2076">
      <pivotArea dataOnly="0" labelOnly="1" fieldPosition="0">
        <references count="6">
          <reference field="1" count="1" selected="0">
            <x v="72"/>
          </reference>
          <reference field="2" count="1" selected="0">
            <x v="12"/>
          </reference>
          <reference field="3" count="1" selected="0">
            <x v="1"/>
          </reference>
          <reference field="4" count="1" selected="0">
            <x v="155"/>
          </reference>
          <reference field="5" count="1" selected="0">
            <x v="352"/>
          </reference>
          <reference field="6" count="1">
            <x v="47"/>
          </reference>
        </references>
      </pivotArea>
    </format>
    <format dxfId="2075">
      <pivotArea dataOnly="0" labelOnly="1" fieldPosition="0">
        <references count="6">
          <reference field="1" count="1" selected="0">
            <x v="72"/>
          </reference>
          <reference field="2" count="1" selected="0">
            <x v="12"/>
          </reference>
          <reference field="3" count="1" selected="0">
            <x v="1"/>
          </reference>
          <reference field="4" count="1" selected="0">
            <x v="155"/>
          </reference>
          <reference field="5" count="1" selected="0">
            <x v="607"/>
          </reference>
          <reference field="6" count="1">
            <x v="47"/>
          </reference>
        </references>
      </pivotArea>
    </format>
    <format dxfId="2074">
      <pivotArea dataOnly="0" labelOnly="1" fieldPosition="0">
        <references count="6">
          <reference field="1" count="1" selected="0">
            <x v="72"/>
          </reference>
          <reference field="2" count="1" selected="0">
            <x v="12"/>
          </reference>
          <reference field="3" count="1" selected="0">
            <x v="1"/>
          </reference>
          <reference field="4" count="1" selected="0">
            <x v="155"/>
          </reference>
          <reference field="5" count="1" selected="0">
            <x v="702"/>
          </reference>
          <reference field="6" count="1">
            <x v="47"/>
          </reference>
        </references>
      </pivotArea>
    </format>
    <format dxfId="2073">
      <pivotArea dataOnly="0" labelOnly="1" fieldPosition="0">
        <references count="6">
          <reference field="1" count="1" selected="0">
            <x v="72"/>
          </reference>
          <reference field="2" count="1" selected="0">
            <x v="12"/>
          </reference>
          <reference field="3" count="1" selected="0">
            <x v="1"/>
          </reference>
          <reference field="4" count="1" selected="0">
            <x v="155"/>
          </reference>
          <reference field="5" count="1" selected="0">
            <x v="846"/>
          </reference>
          <reference field="6" count="1">
            <x v="47"/>
          </reference>
        </references>
      </pivotArea>
    </format>
    <format dxfId="2072">
      <pivotArea dataOnly="0" labelOnly="1" fieldPosition="0">
        <references count="6">
          <reference field="1" count="1" selected="0">
            <x v="72"/>
          </reference>
          <reference field="2" count="1" selected="0">
            <x v="15"/>
          </reference>
          <reference field="3" count="1" selected="0">
            <x v="8"/>
          </reference>
          <reference field="4" count="1" selected="0">
            <x v="155"/>
          </reference>
          <reference field="5" count="1" selected="0">
            <x v="340"/>
          </reference>
          <reference field="6" count="1">
            <x v="47"/>
          </reference>
        </references>
      </pivotArea>
    </format>
    <format dxfId="2071">
      <pivotArea dataOnly="0" labelOnly="1" fieldPosition="0">
        <references count="6">
          <reference field="1" count="1" selected="0">
            <x v="72"/>
          </reference>
          <reference field="2" count="1" selected="0">
            <x v="17"/>
          </reference>
          <reference field="3" count="1" selected="0">
            <x v="6"/>
          </reference>
          <reference field="4" count="1" selected="0">
            <x v="155"/>
          </reference>
          <reference field="5" count="1" selected="0">
            <x v="1863"/>
          </reference>
          <reference field="6" count="1">
            <x v="47"/>
          </reference>
        </references>
      </pivotArea>
    </format>
    <format dxfId="2070">
      <pivotArea dataOnly="0" labelOnly="1" fieldPosition="0">
        <references count="6">
          <reference field="1" count="1" selected="0">
            <x v="72"/>
          </reference>
          <reference field="2" count="1" selected="0">
            <x v="23"/>
          </reference>
          <reference field="3" count="1" selected="0">
            <x v="9"/>
          </reference>
          <reference field="4" count="1" selected="0">
            <x v="155"/>
          </reference>
          <reference field="5" count="1" selected="0">
            <x v="558"/>
          </reference>
          <reference field="6" count="1">
            <x v="47"/>
          </reference>
        </references>
      </pivotArea>
    </format>
    <format dxfId="2069">
      <pivotArea dataOnly="0" labelOnly="1" fieldPosition="0">
        <references count="6">
          <reference field="1" count="1" selected="0">
            <x v="72"/>
          </reference>
          <reference field="2" count="1" selected="0">
            <x v="25"/>
          </reference>
          <reference field="3" count="1" selected="0">
            <x v="9"/>
          </reference>
          <reference field="4" count="1" selected="0">
            <x v="155"/>
          </reference>
          <reference field="5" count="1" selected="0">
            <x v="932"/>
          </reference>
          <reference field="6" count="1">
            <x v="47"/>
          </reference>
        </references>
      </pivotArea>
    </format>
    <format dxfId="2068">
      <pivotArea dataOnly="0" labelOnly="1" fieldPosition="0">
        <references count="6">
          <reference field="1" count="1" selected="0">
            <x v="72"/>
          </reference>
          <reference field="2" count="1" selected="0">
            <x v="27"/>
          </reference>
          <reference field="3" count="1" selected="0">
            <x v="1"/>
          </reference>
          <reference field="4" count="1" selected="0">
            <x v="155"/>
          </reference>
          <reference field="5" count="1" selected="0">
            <x v="195"/>
          </reference>
          <reference field="6" count="1">
            <x v="47"/>
          </reference>
        </references>
      </pivotArea>
    </format>
    <format dxfId="2067">
      <pivotArea dataOnly="0" labelOnly="1" fieldPosition="0">
        <references count="6">
          <reference field="1" count="1" selected="0">
            <x v="72"/>
          </reference>
          <reference field="2" count="1" selected="0">
            <x v="27"/>
          </reference>
          <reference field="3" count="1" selected="0">
            <x v="38"/>
          </reference>
          <reference field="4" count="1" selected="0">
            <x v="155"/>
          </reference>
          <reference field="5" count="1" selected="0">
            <x v="413"/>
          </reference>
          <reference field="6" count="1">
            <x v="47"/>
          </reference>
        </references>
      </pivotArea>
    </format>
    <format dxfId="2066">
      <pivotArea dataOnly="0" labelOnly="1" fieldPosition="0">
        <references count="6">
          <reference field="1" count="1" selected="0">
            <x v="72"/>
          </reference>
          <reference field="2" count="1" selected="0">
            <x v="29"/>
          </reference>
          <reference field="3" count="1" selected="0">
            <x v="10"/>
          </reference>
          <reference field="4" count="1" selected="0">
            <x v="155"/>
          </reference>
          <reference field="5" count="1" selected="0">
            <x v="3"/>
          </reference>
          <reference field="6" count="1">
            <x v="47"/>
          </reference>
        </references>
      </pivotArea>
    </format>
    <format dxfId="2065">
      <pivotArea dataOnly="0" labelOnly="1" fieldPosition="0">
        <references count="6">
          <reference field="1" count="1" selected="0">
            <x v="72"/>
          </reference>
          <reference field="2" count="1" selected="0">
            <x v="35"/>
          </reference>
          <reference field="3" count="1" selected="0">
            <x v="1"/>
          </reference>
          <reference field="4" count="1" selected="0">
            <x v="155"/>
          </reference>
          <reference field="5" count="1" selected="0">
            <x v="80"/>
          </reference>
          <reference field="6" count="1">
            <x v="47"/>
          </reference>
        </references>
      </pivotArea>
    </format>
    <format dxfId="2064">
      <pivotArea dataOnly="0" labelOnly="1" fieldPosition="0">
        <references count="6">
          <reference field="1" count="1" selected="0">
            <x v="72"/>
          </reference>
          <reference field="2" count="1" selected="0">
            <x v="37"/>
          </reference>
          <reference field="3" count="1" selected="0">
            <x v="8"/>
          </reference>
          <reference field="4" count="1" selected="0">
            <x v="155"/>
          </reference>
          <reference field="5" count="1" selected="0">
            <x v="1492"/>
          </reference>
          <reference field="6" count="1">
            <x v="47"/>
          </reference>
        </references>
      </pivotArea>
    </format>
    <format dxfId="2063">
      <pivotArea dataOnly="0" labelOnly="1" fieldPosition="0">
        <references count="6">
          <reference field="1" count="1" selected="0">
            <x v="72"/>
          </reference>
          <reference field="2" count="1" selected="0">
            <x v="37"/>
          </reference>
          <reference field="3" count="1" selected="0">
            <x v="9"/>
          </reference>
          <reference field="4" count="1" selected="0">
            <x v="155"/>
          </reference>
          <reference field="5" count="1" selected="0">
            <x v="1404"/>
          </reference>
          <reference field="6" count="1">
            <x v="47"/>
          </reference>
        </references>
      </pivotArea>
    </format>
    <format dxfId="2062">
      <pivotArea dataOnly="0" labelOnly="1" fieldPosition="0">
        <references count="6">
          <reference field="1" count="1" selected="0">
            <x v="73"/>
          </reference>
          <reference field="2" count="1" selected="0">
            <x v="0"/>
          </reference>
          <reference field="3" count="1" selected="0">
            <x v="6"/>
          </reference>
          <reference field="4" count="1" selected="0">
            <x v="156"/>
          </reference>
          <reference field="5" count="1" selected="0">
            <x v="1173"/>
          </reference>
          <reference field="6" count="1">
            <x v="47"/>
          </reference>
        </references>
      </pivotArea>
    </format>
    <format dxfId="2061">
      <pivotArea dataOnly="0" labelOnly="1" fieldPosition="0">
        <references count="6">
          <reference field="1" count="1" selected="0">
            <x v="73"/>
          </reference>
          <reference field="2" count="1" selected="0">
            <x v="0"/>
          </reference>
          <reference field="3" count="1" selected="0">
            <x v="12"/>
          </reference>
          <reference field="4" count="1" selected="0">
            <x v="30"/>
          </reference>
          <reference field="5" count="1" selected="0">
            <x v="35"/>
          </reference>
          <reference field="6" count="1">
            <x v="47"/>
          </reference>
        </references>
      </pivotArea>
    </format>
    <format dxfId="2060">
      <pivotArea dataOnly="0" labelOnly="1" fieldPosition="0">
        <references count="6">
          <reference field="1" count="1" selected="0">
            <x v="73"/>
          </reference>
          <reference field="2" count="1" selected="0">
            <x v="12"/>
          </reference>
          <reference field="3" count="1" selected="0">
            <x v="1"/>
          </reference>
          <reference field="4" count="1" selected="0">
            <x v="156"/>
          </reference>
          <reference field="5" count="1" selected="0">
            <x v="80"/>
          </reference>
          <reference field="6" count="1">
            <x v="47"/>
          </reference>
        </references>
      </pivotArea>
    </format>
    <format dxfId="2059">
      <pivotArea dataOnly="0" labelOnly="1" fieldPosition="0">
        <references count="6">
          <reference field="1" count="1" selected="0">
            <x v="73"/>
          </reference>
          <reference field="2" count="1" selected="0">
            <x v="12"/>
          </reference>
          <reference field="3" count="1" selected="0">
            <x v="1"/>
          </reference>
          <reference field="4" count="1" selected="0">
            <x v="156"/>
          </reference>
          <reference field="5" count="1" selected="0">
            <x v="213"/>
          </reference>
          <reference field="6" count="1">
            <x v="47"/>
          </reference>
        </references>
      </pivotArea>
    </format>
    <format dxfId="2058">
      <pivotArea dataOnly="0" labelOnly="1" fieldPosition="0">
        <references count="6">
          <reference field="1" count="1" selected="0">
            <x v="73"/>
          </reference>
          <reference field="2" count="1" selected="0">
            <x v="21"/>
          </reference>
          <reference field="3" count="1" selected="0">
            <x v="38"/>
          </reference>
          <reference field="4" count="1" selected="0">
            <x v="156"/>
          </reference>
          <reference field="5" count="1" selected="0">
            <x v="1652"/>
          </reference>
          <reference field="6" count="1">
            <x v="47"/>
          </reference>
        </references>
      </pivotArea>
    </format>
    <format dxfId="2057">
      <pivotArea dataOnly="0" labelOnly="1" fieldPosition="0">
        <references count="6">
          <reference field="1" count="1" selected="0">
            <x v="73"/>
          </reference>
          <reference field="2" count="1" selected="0">
            <x v="23"/>
          </reference>
          <reference field="3" count="1" selected="0">
            <x v="38"/>
          </reference>
          <reference field="4" count="1" selected="0">
            <x v="156"/>
          </reference>
          <reference field="5" count="1" selected="0">
            <x v="352"/>
          </reference>
          <reference field="6" count="1">
            <x v="47"/>
          </reference>
        </references>
      </pivotArea>
    </format>
    <format dxfId="2056">
      <pivotArea dataOnly="0" labelOnly="1" fieldPosition="0">
        <references count="6">
          <reference field="1" count="1" selected="0">
            <x v="73"/>
          </reference>
          <reference field="2" count="1" selected="0">
            <x v="35"/>
          </reference>
          <reference field="3" count="1" selected="0">
            <x v="1"/>
          </reference>
          <reference field="4" count="1" selected="0">
            <x v="156"/>
          </reference>
          <reference field="5" count="1" selected="0">
            <x v="213"/>
          </reference>
          <reference field="6" count="1">
            <x v="47"/>
          </reference>
        </references>
      </pivotArea>
    </format>
    <format dxfId="2055">
      <pivotArea dataOnly="0" labelOnly="1" fieldPosition="0">
        <references count="6">
          <reference field="1" count="1" selected="0">
            <x v="73"/>
          </reference>
          <reference field="2" count="1" selected="0">
            <x v="35"/>
          </reference>
          <reference field="3" count="1" selected="0">
            <x v="38"/>
          </reference>
          <reference field="4" count="1" selected="0">
            <x v="156"/>
          </reference>
          <reference field="5" count="1" selected="0">
            <x v="1399"/>
          </reference>
          <reference field="6" count="1">
            <x v="47"/>
          </reference>
        </references>
      </pivotArea>
    </format>
    <format dxfId="2054">
      <pivotArea dataOnly="0" labelOnly="1" fieldPosition="0">
        <references count="6">
          <reference field="1" count="1" selected="0">
            <x v="74"/>
          </reference>
          <reference field="2" count="1" selected="0">
            <x v="0"/>
          </reference>
          <reference field="3" count="1" selected="0">
            <x v="8"/>
          </reference>
          <reference field="4" count="1" selected="0">
            <x v="157"/>
          </reference>
          <reference field="5" count="1" selected="0">
            <x v="389"/>
          </reference>
          <reference field="6" count="1">
            <x v="47"/>
          </reference>
        </references>
      </pivotArea>
    </format>
    <format dxfId="2053">
      <pivotArea dataOnly="0" labelOnly="1" fieldPosition="0">
        <references count="6">
          <reference field="1" count="1" selected="0">
            <x v="74"/>
          </reference>
          <reference field="2" count="1" selected="0">
            <x v="0"/>
          </reference>
          <reference field="3" count="1" selected="0">
            <x v="8"/>
          </reference>
          <reference field="4" count="1" selected="0">
            <x v="157"/>
          </reference>
          <reference field="5" count="1" selected="0">
            <x v="785"/>
          </reference>
          <reference field="6" count="1">
            <x v="47"/>
          </reference>
        </references>
      </pivotArea>
    </format>
    <format dxfId="2052">
      <pivotArea dataOnly="0" labelOnly="1" fieldPosition="0">
        <references count="6">
          <reference field="1" count="1" selected="0">
            <x v="74"/>
          </reference>
          <reference field="2" count="1" selected="0">
            <x v="0"/>
          </reference>
          <reference field="3" count="1" selected="0">
            <x v="8"/>
          </reference>
          <reference field="4" count="1" selected="0">
            <x v="157"/>
          </reference>
          <reference field="5" count="1" selected="0">
            <x v="1187"/>
          </reference>
          <reference field="6" count="1">
            <x v="47"/>
          </reference>
        </references>
      </pivotArea>
    </format>
    <format dxfId="2051">
      <pivotArea dataOnly="0" labelOnly="1" fieldPosition="0">
        <references count="6">
          <reference field="1" count="1" selected="0">
            <x v="74"/>
          </reference>
          <reference field="2" count="1" selected="0">
            <x v="0"/>
          </reference>
          <reference field="3" count="1" selected="0">
            <x v="9"/>
          </reference>
          <reference field="4" count="1" selected="0">
            <x v="157"/>
          </reference>
          <reference field="5" count="1" selected="0">
            <x v="261"/>
          </reference>
          <reference field="6" count="1">
            <x v="47"/>
          </reference>
        </references>
      </pivotArea>
    </format>
    <format dxfId="2050">
      <pivotArea dataOnly="0" labelOnly="1" fieldPosition="0">
        <references count="6">
          <reference field="1" count="1" selected="0">
            <x v="74"/>
          </reference>
          <reference field="2" count="1" selected="0">
            <x v="0"/>
          </reference>
          <reference field="3" count="1" selected="0">
            <x v="9"/>
          </reference>
          <reference field="4" count="1" selected="0">
            <x v="157"/>
          </reference>
          <reference field="5" count="1" selected="0">
            <x v="312"/>
          </reference>
          <reference field="6" count="1">
            <x v="47"/>
          </reference>
        </references>
      </pivotArea>
    </format>
    <format dxfId="2049">
      <pivotArea dataOnly="0" labelOnly="1" fieldPosition="0">
        <references count="6">
          <reference field="1" count="1" selected="0">
            <x v="74"/>
          </reference>
          <reference field="2" count="1" selected="0">
            <x v="0"/>
          </reference>
          <reference field="3" count="1" selected="0">
            <x v="9"/>
          </reference>
          <reference field="4" count="1" selected="0">
            <x v="157"/>
          </reference>
          <reference field="5" count="1" selected="0">
            <x v="394"/>
          </reference>
          <reference field="6" count="1">
            <x v="47"/>
          </reference>
        </references>
      </pivotArea>
    </format>
    <format dxfId="2048">
      <pivotArea dataOnly="0" labelOnly="1" fieldPosition="0">
        <references count="6">
          <reference field="1" count="1" selected="0">
            <x v="74"/>
          </reference>
          <reference field="2" count="1" selected="0">
            <x v="0"/>
          </reference>
          <reference field="3" count="1" selected="0">
            <x v="9"/>
          </reference>
          <reference field="4" count="1" selected="0">
            <x v="157"/>
          </reference>
          <reference field="5" count="1" selected="0">
            <x v="563"/>
          </reference>
          <reference field="6" count="1">
            <x v="47"/>
          </reference>
        </references>
      </pivotArea>
    </format>
    <format dxfId="2047">
      <pivotArea dataOnly="0" labelOnly="1" fieldPosition="0">
        <references count="6">
          <reference field="1" count="1" selected="0">
            <x v="74"/>
          </reference>
          <reference field="2" count="1" selected="0">
            <x v="0"/>
          </reference>
          <reference field="3" count="1" selected="0">
            <x v="9"/>
          </reference>
          <reference field="4" count="1" selected="0">
            <x v="157"/>
          </reference>
          <reference field="5" count="1" selected="0">
            <x v="736"/>
          </reference>
          <reference field="6" count="1">
            <x v="47"/>
          </reference>
        </references>
      </pivotArea>
    </format>
    <format dxfId="2046">
      <pivotArea dataOnly="0" labelOnly="1" fieldPosition="0">
        <references count="6">
          <reference field="1" count="1" selected="0">
            <x v="74"/>
          </reference>
          <reference field="2" count="1" selected="0">
            <x v="0"/>
          </reference>
          <reference field="3" count="1" selected="0">
            <x v="9"/>
          </reference>
          <reference field="4" count="1" selected="0">
            <x v="157"/>
          </reference>
          <reference field="5" count="1" selected="0">
            <x v="759"/>
          </reference>
          <reference field="6" count="1">
            <x v="47"/>
          </reference>
        </references>
      </pivotArea>
    </format>
    <format dxfId="2045">
      <pivotArea dataOnly="0" labelOnly="1" fieldPosition="0">
        <references count="6">
          <reference field="1" count="1" selected="0">
            <x v="74"/>
          </reference>
          <reference field="2" count="1" selected="0">
            <x v="0"/>
          </reference>
          <reference field="3" count="1" selected="0">
            <x v="9"/>
          </reference>
          <reference field="4" count="1" selected="0">
            <x v="157"/>
          </reference>
          <reference field="5" count="1" selected="0">
            <x v="874"/>
          </reference>
          <reference field="6" count="1">
            <x v="47"/>
          </reference>
        </references>
      </pivotArea>
    </format>
    <format dxfId="2044">
      <pivotArea dataOnly="0" labelOnly="1" fieldPosition="0">
        <references count="6">
          <reference field="1" count="1" selected="0">
            <x v="74"/>
          </reference>
          <reference field="2" count="1" selected="0">
            <x v="0"/>
          </reference>
          <reference field="3" count="1" selected="0">
            <x v="9"/>
          </reference>
          <reference field="4" count="1" selected="0">
            <x v="157"/>
          </reference>
          <reference field="5" count="1" selected="0">
            <x v="1282"/>
          </reference>
          <reference field="6" count="1">
            <x v="47"/>
          </reference>
        </references>
      </pivotArea>
    </format>
    <format dxfId="2043">
      <pivotArea dataOnly="0" labelOnly="1" fieldPosition="0">
        <references count="6">
          <reference field="1" count="1" selected="0">
            <x v="74"/>
          </reference>
          <reference field="2" count="1" selected="0">
            <x v="5"/>
          </reference>
          <reference field="3" count="1" selected="0">
            <x v="38"/>
          </reference>
          <reference field="4" count="1" selected="0">
            <x v="157"/>
          </reference>
          <reference field="5" count="1" selected="0">
            <x v="1358"/>
          </reference>
          <reference field="6" count="1">
            <x v="47"/>
          </reference>
        </references>
      </pivotArea>
    </format>
    <format dxfId="2042">
      <pivotArea dataOnly="0" labelOnly="1" fieldPosition="0">
        <references count="6">
          <reference field="1" count="1" selected="0">
            <x v="74"/>
          </reference>
          <reference field="2" count="1" selected="0">
            <x v="8"/>
          </reference>
          <reference field="3" count="1" selected="0">
            <x v="38"/>
          </reference>
          <reference field="4" count="1" selected="0">
            <x v="157"/>
          </reference>
          <reference field="5" count="1" selected="0">
            <x v="517"/>
          </reference>
          <reference field="6" count="1">
            <x v="47"/>
          </reference>
        </references>
      </pivotArea>
    </format>
    <format dxfId="2041">
      <pivotArea dataOnly="0" labelOnly="1" fieldPosition="0">
        <references count="6">
          <reference field="1" count="1" selected="0">
            <x v="74"/>
          </reference>
          <reference field="2" count="1" selected="0">
            <x v="12"/>
          </reference>
          <reference field="3" count="1" selected="0">
            <x v="1"/>
          </reference>
          <reference field="4" count="1" selected="0">
            <x v="157"/>
          </reference>
          <reference field="5" count="1" selected="0">
            <x v="213"/>
          </reference>
          <reference field="6" count="1">
            <x v="47"/>
          </reference>
        </references>
      </pivotArea>
    </format>
    <format dxfId="2040">
      <pivotArea dataOnly="0" labelOnly="1" fieldPosition="0">
        <references count="6">
          <reference field="1" count="1" selected="0">
            <x v="74"/>
          </reference>
          <reference field="2" count="1" selected="0">
            <x v="12"/>
          </reference>
          <reference field="3" count="1" selected="0">
            <x v="1"/>
          </reference>
          <reference field="4" count="1" selected="0">
            <x v="157"/>
          </reference>
          <reference field="5" count="1" selected="0">
            <x v="352"/>
          </reference>
          <reference field="6" count="1">
            <x v="47"/>
          </reference>
        </references>
      </pivotArea>
    </format>
    <format dxfId="2039">
      <pivotArea dataOnly="0" labelOnly="1" fieldPosition="0">
        <references count="6">
          <reference field="1" count="1" selected="0">
            <x v="74"/>
          </reference>
          <reference field="2" count="1" selected="0">
            <x v="12"/>
          </reference>
          <reference field="3" count="1" selected="0">
            <x v="38"/>
          </reference>
          <reference field="4" count="1" selected="0">
            <x v="157"/>
          </reference>
          <reference field="5" count="1" selected="0">
            <x v="1001"/>
          </reference>
          <reference field="6" count="1">
            <x v="47"/>
          </reference>
        </references>
      </pivotArea>
    </format>
    <format dxfId="2038">
      <pivotArea dataOnly="0" labelOnly="1" fieldPosition="0">
        <references count="6">
          <reference field="1" count="1" selected="0">
            <x v="74"/>
          </reference>
          <reference field="2" count="1" selected="0">
            <x v="12"/>
          </reference>
          <reference field="3" count="1" selected="0">
            <x v="38"/>
          </reference>
          <reference field="4" count="1" selected="0">
            <x v="157"/>
          </reference>
          <reference field="5" count="1" selected="0">
            <x v="1265"/>
          </reference>
          <reference field="6" count="1">
            <x v="47"/>
          </reference>
        </references>
      </pivotArea>
    </format>
    <format dxfId="2037">
      <pivotArea dataOnly="0" labelOnly="1" fieldPosition="0">
        <references count="6">
          <reference field="1" count="1" selected="0">
            <x v="74"/>
          </reference>
          <reference field="2" count="1" selected="0">
            <x v="15"/>
          </reference>
          <reference field="3" count="1" selected="0">
            <x v="8"/>
          </reference>
          <reference field="4" count="1" selected="0">
            <x v="157"/>
          </reference>
          <reference field="5" count="1" selected="0">
            <x v="869"/>
          </reference>
          <reference field="6" count="1">
            <x v="47"/>
          </reference>
        </references>
      </pivotArea>
    </format>
    <format dxfId="2036">
      <pivotArea dataOnly="0" labelOnly="1" fieldPosition="0">
        <references count="6">
          <reference field="1" count="1" selected="0">
            <x v="74"/>
          </reference>
          <reference field="2" count="1" selected="0">
            <x v="15"/>
          </reference>
          <reference field="3" count="1" selected="0">
            <x v="10"/>
          </reference>
          <reference field="4" count="1" selected="0">
            <x v="157"/>
          </reference>
          <reference field="5" count="1" selected="0">
            <x v="314"/>
          </reference>
          <reference field="6" count="1">
            <x v="47"/>
          </reference>
        </references>
      </pivotArea>
    </format>
    <format dxfId="2035">
      <pivotArea dataOnly="0" labelOnly="1" fieldPosition="0">
        <references count="6">
          <reference field="1" count="1" selected="0">
            <x v="74"/>
          </reference>
          <reference field="2" count="1" selected="0">
            <x v="17"/>
          </reference>
          <reference field="3" count="1" selected="0">
            <x v="8"/>
          </reference>
          <reference field="4" count="1" selected="0">
            <x v="157"/>
          </reference>
          <reference field="5" count="1" selected="0">
            <x v="1214"/>
          </reference>
          <reference field="6" count="1">
            <x v="47"/>
          </reference>
        </references>
      </pivotArea>
    </format>
    <format dxfId="2034">
      <pivotArea dataOnly="0" labelOnly="1" fieldPosition="0">
        <references count="6">
          <reference field="1" count="1" selected="0">
            <x v="74"/>
          </reference>
          <reference field="2" count="1" selected="0">
            <x v="23"/>
          </reference>
          <reference field="3" count="1" selected="0">
            <x v="6"/>
          </reference>
          <reference field="4" count="1" selected="0">
            <x v="157"/>
          </reference>
          <reference field="5" count="1" selected="0">
            <x v="1146"/>
          </reference>
          <reference field="6" count="1">
            <x v="47"/>
          </reference>
        </references>
      </pivotArea>
    </format>
    <format dxfId="2033">
      <pivotArea dataOnly="0" labelOnly="1" fieldPosition="0">
        <references count="6">
          <reference field="1" count="1" selected="0">
            <x v="74"/>
          </reference>
          <reference field="2" count="1" selected="0">
            <x v="23"/>
          </reference>
          <reference field="3" count="1" selected="0">
            <x v="38"/>
          </reference>
          <reference field="4" count="1" selected="0">
            <x v="157"/>
          </reference>
          <reference field="5" count="1" selected="0">
            <x v="369"/>
          </reference>
          <reference field="6" count="1">
            <x v="47"/>
          </reference>
        </references>
      </pivotArea>
    </format>
    <format dxfId="2032">
      <pivotArea dataOnly="0" labelOnly="1" fieldPosition="0">
        <references count="6">
          <reference field="1" count="1" selected="0">
            <x v="74"/>
          </reference>
          <reference field="2" count="1" selected="0">
            <x v="26"/>
          </reference>
          <reference field="3" count="1" selected="0">
            <x v="38"/>
          </reference>
          <reference field="4" count="1" selected="0">
            <x v="157"/>
          </reference>
          <reference field="5" count="1" selected="0">
            <x v="371"/>
          </reference>
          <reference field="6" count="1">
            <x v="47"/>
          </reference>
        </references>
      </pivotArea>
    </format>
    <format dxfId="2031">
      <pivotArea dataOnly="0" labelOnly="1" fieldPosition="0">
        <references count="6">
          <reference field="1" count="1" selected="0">
            <x v="74"/>
          </reference>
          <reference field="2" count="1" selected="0">
            <x v="27"/>
          </reference>
          <reference field="3" count="1" selected="0">
            <x v="6"/>
          </reference>
          <reference field="4" count="1" selected="0">
            <x v="157"/>
          </reference>
          <reference field="5" count="1" selected="0">
            <x v="1536"/>
          </reference>
          <reference field="6" count="1">
            <x v="47"/>
          </reference>
        </references>
      </pivotArea>
    </format>
    <format dxfId="2030">
      <pivotArea dataOnly="0" labelOnly="1" fieldPosition="0">
        <references count="6">
          <reference field="1" count="1" selected="0">
            <x v="74"/>
          </reference>
          <reference field="2" count="1" selected="0">
            <x v="35"/>
          </reference>
          <reference field="3" count="1" selected="0">
            <x v="1"/>
          </reference>
          <reference field="4" count="1" selected="0">
            <x v="157"/>
          </reference>
          <reference field="5" count="1" selected="0">
            <x v="80"/>
          </reference>
          <reference field="6" count="1">
            <x v="47"/>
          </reference>
        </references>
      </pivotArea>
    </format>
    <format dxfId="2029">
      <pivotArea dataOnly="0" labelOnly="1" fieldPosition="0">
        <references count="6">
          <reference field="1" count="1" selected="0">
            <x v="74"/>
          </reference>
          <reference field="2" count="1" selected="0">
            <x v="36"/>
          </reference>
          <reference field="3" count="1" selected="0">
            <x v="9"/>
          </reference>
          <reference field="4" count="1" selected="0">
            <x v="157"/>
          </reference>
          <reference field="5" count="1" selected="0">
            <x v="1351"/>
          </reference>
          <reference field="6" count="1">
            <x v="47"/>
          </reference>
        </references>
      </pivotArea>
    </format>
    <format dxfId="2028">
      <pivotArea dataOnly="0" labelOnly="1" fieldPosition="0">
        <references count="6">
          <reference field="1" count="1" selected="0">
            <x v="74"/>
          </reference>
          <reference field="2" count="1" selected="0">
            <x v="36"/>
          </reference>
          <reference field="3" count="1" selected="0">
            <x v="38"/>
          </reference>
          <reference field="4" count="1" selected="0">
            <x v="157"/>
          </reference>
          <reference field="5" count="1" selected="0">
            <x v="743"/>
          </reference>
          <reference field="6" count="1">
            <x v="47"/>
          </reference>
        </references>
      </pivotArea>
    </format>
    <format dxfId="2027">
      <pivotArea dataOnly="0" labelOnly="1" fieldPosition="0">
        <references count="6">
          <reference field="1" count="1" selected="0">
            <x v="75"/>
          </reference>
          <reference field="2" count="1" selected="0">
            <x v="0"/>
          </reference>
          <reference field="3" count="1" selected="0">
            <x v="1"/>
          </reference>
          <reference field="4" count="1" selected="0">
            <x v="158"/>
          </reference>
          <reference field="5" count="1" selected="0">
            <x v="213"/>
          </reference>
          <reference field="6" count="1">
            <x v="47"/>
          </reference>
        </references>
      </pivotArea>
    </format>
    <format dxfId="2026">
      <pivotArea dataOnly="0" labelOnly="1" fieldPosition="0">
        <references count="6">
          <reference field="1" count="1" selected="0">
            <x v="75"/>
          </reference>
          <reference field="2" count="1" selected="0">
            <x v="0"/>
          </reference>
          <reference field="3" count="1" selected="0">
            <x v="6"/>
          </reference>
          <reference field="4" count="1" selected="0">
            <x v="158"/>
          </reference>
          <reference field="5" count="1" selected="0">
            <x v="1286"/>
          </reference>
          <reference field="6" count="1">
            <x v="47"/>
          </reference>
        </references>
      </pivotArea>
    </format>
    <format dxfId="2025">
      <pivotArea dataOnly="0" labelOnly="1" fieldPosition="0">
        <references count="6">
          <reference field="1" count="1" selected="0">
            <x v="75"/>
          </reference>
          <reference field="2" count="1" selected="0">
            <x v="0"/>
          </reference>
          <reference field="3" count="1" selected="0">
            <x v="12"/>
          </reference>
          <reference field="4" count="1" selected="0">
            <x v="46"/>
          </reference>
          <reference field="5" count="1" selected="0">
            <x v="325"/>
          </reference>
          <reference field="6" count="1">
            <x v="47"/>
          </reference>
        </references>
      </pivotArea>
    </format>
    <format dxfId="2024">
      <pivotArea dataOnly="0" labelOnly="1" fieldPosition="0">
        <references count="6">
          <reference field="1" count="1" selected="0">
            <x v="75"/>
          </reference>
          <reference field="2" count="1" selected="0">
            <x v="2"/>
          </reference>
          <reference field="3" count="1" selected="0">
            <x v="6"/>
          </reference>
          <reference field="4" count="1" selected="0">
            <x v="158"/>
          </reference>
          <reference field="5" count="1" selected="0">
            <x v="631"/>
          </reference>
          <reference field="6" count="1">
            <x v="47"/>
          </reference>
        </references>
      </pivotArea>
    </format>
    <format dxfId="2023">
      <pivotArea dataOnly="0" labelOnly="1" fieldPosition="0">
        <references count="6">
          <reference field="1" count="1" selected="0">
            <x v="75"/>
          </reference>
          <reference field="2" count="1" selected="0">
            <x v="3"/>
          </reference>
          <reference field="3" count="1" selected="0">
            <x v="6"/>
          </reference>
          <reference field="4" count="1" selected="0">
            <x v="158"/>
          </reference>
          <reference field="5" count="1" selected="0">
            <x v="1227"/>
          </reference>
          <reference field="6" count="1">
            <x v="47"/>
          </reference>
        </references>
      </pivotArea>
    </format>
    <format dxfId="2022">
      <pivotArea dataOnly="0" labelOnly="1" fieldPosition="0">
        <references count="6">
          <reference field="1" count="1" selected="0">
            <x v="75"/>
          </reference>
          <reference field="2" count="1" selected="0">
            <x v="3"/>
          </reference>
          <reference field="3" count="1" selected="0">
            <x v="38"/>
          </reference>
          <reference field="4" count="1" selected="0">
            <x v="158"/>
          </reference>
          <reference field="5" count="1" selected="0">
            <x v="109"/>
          </reference>
          <reference field="6" count="1">
            <x v="47"/>
          </reference>
        </references>
      </pivotArea>
    </format>
    <format dxfId="2021">
      <pivotArea dataOnly="0" labelOnly="1" fieldPosition="0">
        <references count="6">
          <reference field="1" count="1" selected="0">
            <x v="75"/>
          </reference>
          <reference field="2" count="1" selected="0">
            <x v="7"/>
          </reference>
          <reference field="3" count="1" selected="0">
            <x v="37"/>
          </reference>
          <reference field="4" count="1" selected="0">
            <x v="158"/>
          </reference>
          <reference field="5" count="1" selected="0">
            <x v="1022"/>
          </reference>
          <reference field="6" count="1">
            <x v="47"/>
          </reference>
        </references>
      </pivotArea>
    </format>
    <format dxfId="2020">
      <pivotArea dataOnly="0" labelOnly="1" fieldPosition="0">
        <references count="6">
          <reference field="1" count="1" selected="0">
            <x v="75"/>
          </reference>
          <reference field="2" count="1" selected="0">
            <x v="12"/>
          </reference>
          <reference field="3" count="1" selected="0">
            <x v="1"/>
          </reference>
          <reference field="4" count="1" selected="0">
            <x v="158"/>
          </reference>
          <reference field="5" count="1" selected="0">
            <x v="80"/>
          </reference>
          <reference field="6" count="1">
            <x v="47"/>
          </reference>
        </references>
      </pivotArea>
    </format>
    <format dxfId="2019">
      <pivotArea dataOnly="0" labelOnly="1" fieldPosition="0">
        <references count="6">
          <reference field="1" count="1" selected="0">
            <x v="75"/>
          </reference>
          <reference field="2" count="1" selected="0">
            <x v="12"/>
          </reference>
          <reference field="3" count="1" selected="0">
            <x v="1"/>
          </reference>
          <reference field="4" count="1" selected="0">
            <x v="158"/>
          </reference>
          <reference field="5" count="1" selected="0">
            <x v="213"/>
          </reference>
          <reference field="6" count="1">
            <x v="47"/>
          </reference>
        </references>
      </pivotArea>
    </format>
    <format dxfId="2018">
      <pivotArea dataOnly="0" labelOnly="1" fieldPosition="0">
        <references count="6">
          <reference field="1" count="1" selected="0">
            <x v="75"/>
          </reference>
          <reference field="2" count="1" selected="0">
            <x v="12"/>
          </reference>
          <reference field="3" count="1" selected="0">
            <x v="1"/>
          </reference>
          <reference field="4" count="1" selected="0">
            <x v="158"/>
          </reference>
          <reference field="5" count="1" selected="0">
            <x v="352"/>
          </reference>
          <reference field="6" count="1">
            <x v="47"/>
          </reference>
        </references>
      </pivotArea>
    </format>
    <format dxfId="2017">
      <pivotArea dataOnly="0" labelOnly="1" fieldPosition="0">
        <references count="6">
          <reference field="1" count="1" selected="0">
            <x v="75"/>
          </reference>
          <reference field="2" count="1" selected="0">
            <x v="12"/>
          </reference>
          <reference field="3" count="1" selected="0">
            <x v="1"/>
          </reference>
          <reference field="4" count="1" selected="0">
            <x v="158"/>
          </reference>
          <reference field="5" count="1" selected="0">
            <x v="607"/>
          </reference>
          <reference field="6" count="1">
            <x v="47"/>
          </reference>
        </references>
      </pivotArea>
    </format>
    <format dxfId="2016">
      <pivotArea dataOnly="0" labelOnly="1" fieldPosition="0">
        <references count="6">
          <reference field="1" count="1" selected="0">
            <x v="75"/>
          </reference>
          <reference field="2" count="1" selected="0">
            <x v="15"/>
          </reference>
          <reference field="3" count="1" selected="0">
            <x v="38"/>
          </reference>
          <reference field="4" count="1" selected="0">
            <x v="158"/>
          </reference>
          <reference field="5" count="1" selected="0">
            <x v="270"/>
          </reference>
          <reference field="6" count="1">
            <x v="47"/>
          </reference>
        </references>
      </pivotArea>
    </format>
    <format dxfId="2015">
      <pivotArea dataOnly="0" labelOnly="1" fieldPosition="0">
        <references count="6">
          <reference field="1" count="1" selected="0">
            <x v="75"/>
          </reference>
          <reference field="2" count="1" selected="0">
            <x v="23"/>
          </reference>
          <reference field="3" count="1" selected="0">
            <x v="38"/>
          </reference>
          <reference field="4" count="1" selected="0">
            <x v="158"/>
          </reference>
          <reference field="5" count="1" selected="0">
            <x v="756"/>
          </reference>
          <reference field="6" count="1">
            <x v="47"/>
          </reference>
        </references>
      </pivotArea>
    </format>
    <format dxfId="2014">
      <pivotArea dataOnly="0" labelOnly="1" fieldPosition="0">
        <references count="6">
          <reference field="1" count="1" selected="0">
            <x v="75"/>
          </reference>
          <reference field="2" count="1" selected="0">
            <x v="35"/>
          </reference>
          <reference field="3" count="1" selected="0">
            <x v="1"/>
          </reference>
          <reference field="4" count="1" selected="0">
            <x v="158"/>
          </reference>
          <reference field="5" count="1" selected="0">
            <x v="80"/>
          </reference>
          <reference field="6" count="1">
            <x v="47"/>
          </reference>
        </references>
      </pivotArea>
    </format>
    <format dxfId="2013">
      <pivotArea dataOnly="0" labelOnly="1" fieldPosition="0">
        <references count="6">
          <reference field="1" count="1" selected="0">
            <x v="76"/>
          </reference>
          <reference field="2" count="1" selected="0">
            <x v="0"/>
          </reference>
          <reference field="3" count="1" selected="0">
            <x v="12"/>
          </reference>
          <reference field="4" count="1" selected="0">
            <x v="21"/>
          </reference>
          <reference field="5" count="1" selected="0">
            <x v="6"/>
          </reference>
          <reference field="6" count="1">
            <x v="47"/>
          </reference>
        </references>
      </pivotArea>
    </format>
    <format dxfId="2012">
      <pivotArea dataOnly="0" labelOnly="1" fieldPosition="0">
        <references count="6">
          <reference field="1" count="1" selected="0">
            <x v="76"/>
          </reference>
          <reference field="2" count="1" selected="0">
            <x v="0"/>
          </reference>
          <reference field="3" count="1" selected="0">
            <x v="12"/>
          </reference>
          <reference field="4" count="1" selected="0">
            <x v="23"/>
          </reference>
          <reference field="5" count="1" selected="0">
            <x v="11"/>
          </reference>
          <reference field="6" count="1">
            <x v="47"/>
          </reference>
        </references>
      </pivotArea>
    </format>
    <format dxfId="2011">
      <pivotArea dataOnly="0" labelOnly="1" fieldPosition="0">
        <references count="6">
          <reference field="1" count="1" selected="0">
            <x v="76"/>
          </reference>
          <reference field="2" count="1" selected="0">
            <x v="0"/>
          </reference>
          <reference field="3" count="1" selected="0">
            <x v="12"/>
          </reference>
          <reference field="4" count="1" selected="0">
            <x v="39"/>
          </reference>
          <reference field="5" count="1" selected="0">
            <x v="180"/>
          </reference>
          <reference field="6" count="1">
            <x v="47"/>
          </reference>
        </references>
      </pivotArea>
    </format>
    <format dxfId="2010">
      <pivotArea dataOnly="0" labelOnly="1" fieldPosition="0">
        <references count="6">
          <reference field="1" count="1" selected="0">
            <x v="76"/>
          </reference>
          <reference field="2" count="1" selected="0">
            <x v="0"/>
          </reference>
          <reference field="3" count="1" selected="0">
            <x v="12"/>
          </reference>
          <reference field="4" count="1" selected="0">
            <x v="52"/>
          </reference>
          <reference field="5" count="1" selected="0">
            <x v="37"/>
          </reference>
          <reference field="6" count="1">
            <x v="47"/>
          </reference>
        </references>
      </pivotArea>
    </format>
    <format dxfId="2009">
      <pivotArea dataOnly="0" labelOnly="1" fieldPosition="0">
        <references count="6">
          <reference field="1" count="1" selected="0">
            <x v="76"/>
          </reference>
          <reference field="2" count="1" selected="0">
            <x v="8"/>
          </reference>
          <reference field="3" count="1" selected="0">
            <x v="38"/>
          </reference>
          <reference field="4" count="1" selected="0">
            <x v="159"/>
          </reference>
          <reference field="5" count="1" selected="0">
            <x v="498"/>
          </reference>
          <reference field="6" count="1">
            <x v="47"/>
          </reference>
        </references>
      </pivotArea>
    </format>
    <format dxfId="2008">
      <pivotArea dataOnly="0" labelOnly="1" fieldPosition="0">
        <references count="6">
          <reference field="1" count="1" selected="0">
            <x v="76"/>
          </reference>
          <reference field="2" count="1" selected="0">
            <x v="12"/>
          </reference>
          <reference field="3" count="1" selected="0">
            <x v="1"/>
          </reference>
          <reference field="4" count="1" selected="0">
            <x v="159"/>
          </reference>
          <reference field="5" count="1" selected="0">
            <x v="80"/>
          </reference>
          <reference field="6" count="1">
            <x v="47"/>
          </reference>
        </references>
      </pivotArea>
    </format>
    <format dxfId="2007">
      <pivotArea dataOnly="0" labelOnly="1" fieldPosition="0">
        <references count="6">
          <reference field="1" count="1" selected="0">
            <x v="76"/>
          </reference>
          <reference field="2" count="1" selected="0">
            <x v="15"/>
          </reference>
          <reference field="3" count="1" selected="0">
            <x v="37"/>
          </reference>
          <reference field="4" count="1" selected="0">
            <x v="159"/>
          </reference>
          <reference field="5" count="1" selected="0">
            <x v="1780"/>
          </reference>
          <reference field="6" count="1">
            <x v="47"/>
          </reference>
        </references>
      </pivotArea>
    </format>
    <format dxfId="2006">
      <pivotArea dataOnly="0" labelOnly="1" fieldPosition="0">
        <references count="6">
          <reference field="1" count="1" selected="0">
            <x v="76"/>
          </reference>
          <reference field="2" count="1" selected="0">
            <x v="19"/>
          </reference>
          <reference field="3" count="1" selected="0">
            <x v="38"/>
          </reference>
          <reference field="4" count="1" selected="0">
            <x v="159"/>
          </reference>
          <reference field="5" count="1" selected="0">
            <x v="217"/>
          </reference>
          <reference field="6" count="1">
            <x v="47"/>
          </reference>
        </references>
      </pivotArea>
    </format>
    <format dxfId="2005">
      <pivotArea dataOnly="0" labelOnly="1" fieldPosition="0">
        <references count="6">
          <reference field="1" count="1" selected="0">
            <x v="77"/>
          </reference>
          <reference field="2" count="1" selected="0">
            <x v="0"/>
          </reference>
          <reference field="3" count="1" selected="0">
            <x v="12"/>
          </reference>
          <reference field="4" count="1" selected="0">
            <x v="16"/>
          </reference>
          <reference field="5" count="1" selected="0">
            <x v="32"/>
          </reference>
          <reference field="6" count="1">
            <x v="47"/>
          </reference>
        </references>
      </pivotArea>
    </format>
    <format dxfId="2004">
      <pivotArea dataOnly="0" labelOnly="1" fieldPosition="0">
        <references count="6">
          <reference field="1" count="1" selected="0">
            <x v="77"/>
          </reference>
          <reference field="2" count="1" selected="0">
            <x v="0"/>
          </reference>
          <reference field="3" count="1" selected="0">
            <x v="12"/>
          </reference>
          <reference field="4" count="1" selected="0">
            <x v="54"/>
          </reference>
          <reference field="5" count="1" selected="0">
            <x v="35"/>
          </reference>
          <reference field="6" count="1">
            <x v="47"/>
          </reference>
        </references>
      </pivotArea>
    </format>
    <format dxfId="2003">
      <pivotArea dataOnly="0" labelOnly="1" fieldPosition="0">
        <references count="6">
          <reference field="1" count="1" selected="0">
            <x v="77"/>
          </reference>
          <reference field="2" count="1" selected="0">
            <x v="0"/>
          </reference>
          <reference field="3" count="1" selected="0">
            <x v="12"/>
          </reference>
          <reference field="4" count="1" selected="0">
            <x v="56"/>
          </reference>
          <reference field="5" count="1" selected="0">
            <x v="18"/>
          </reference>
          <reference field="6" count="1">
            <x v="47"/>
          </reference>
        </references>
      </pivotArea>
    </format>
    <format dxfId="2002">
      <pivotArea dataOnly="0" labelOnly="1" fieldPosition="0">
        <references count="6">
          <reference field="1" count="1" selected="0">
            <x v="77"/>
          </reference>
          <reference field="2" count="1" selected="0">
            <x v="3"/>
          </reference>
          <reference field="3" count="1" selected="0">
            <x v="6"/>
          </reference>
          <reference field="4" count="1" selected="0">
            <x v="160"/>
          </reference>
          <reference field="5" count="1" selected="0">
            <x v="1124"/>
          </reference>
          <reference field="6" count="1">
            <x v="47"/>
          </reference>
        </references>
      </pivotArea>
    </format>
    <format dxfId="2001">
      <pivotArea dataOnly="0" labelOnly="1" fieldPosition="0">
        <references count="6">
          <reference field="1" count="1" selected="0">
            <x v="77"/>
          </reference>
          <reference field="2" count="1" selected="0">
            <x v="3"/>
          </reference>
          <reference field="3" count="1" selected="0">
            <x v="38"/>
          </reference>
          <reference field="4" count="1" selected="0">
            <x v="160"/>
          </reference>
          <reference field="5" count="1" selected="0">
            <x v="371"/>
          </reference>
          <reference field="6" count="1">
            <x v="47"/>
          </reference>
        </references>
      </pivotArea>
    </format>
    <format dxfId="2000">
      <pivotArea dataOnly="0" labelOnly="1" fieldPosition="0">
        <references count="6">
          <reference field="1" count="1" selected="0">
            <x v="77"/>
          </reference>
          <reference field="2" count="1" selected="0">
            <x v="5"/>
          </reference>
          <reference field="3" count="1" selected="0">
            <x v="38"/>
          </reference>
          <reference field="4" count="1" selected="0">
            <x v="160"/>
          </reference>
          <reference field="5" count="1" selected="0">
            <x v="619"/>
          </reference>
          <reference field="6" count="1">
            <x v="47"/>
          </reference>
        </references>
      </pivotArea>
    </format>
    <format dxfId="1999">
      <pivotArea dataOnly="0" labelOnly="1" fieldPosition="0">
        <references count="6">
          <reference field="1" count="1" selected="0">
            <x v="77"/>
          </reference>
          <reference field="2" count="1" selected="0">
            <x v="12"/>
          </reference>
          <reference field="3" count="1" selected="0">
            <x v="1"/>
          </reference>
          <reference field="4" count="1" selected="0">
            <x v="160"/>
          </reference>
          <reference field="5" count="1" selected="0">
            <x v="80"/>
          </reference>
          <reference field="6" count="1">
            <x v="47"/>
          </reference>
        </references>
      </pivotArea>
    </format>
    <format dxfId="1998">
      <pivotArea dataOnly="0" labelOnly="1" fieldPosition="0">
        <references count="6">
          <reference field="1" count="1" selected="0">
            <x v="77"/>
          </reference>
          <reference field="2" count="1" selected="0">
            <x v="12"/>
          </reference>
          <reference field="3" count="1" selected="0">
            <x v="1"/>
          </reference>
          <reference field="4" count="1" selected="0">
            <x v="160"/>
          </reference>
          <reference field="5" count="1" selected="0">
            <x v="213"/>
          </reference>
          <reference field="6" count="1">
            <x v="47"/>
          </reference>
        </references>
      </pivotArea>
    </format>
    <format dxfId="1997">
      <pivotArea dataOnly="0" labelOnly="1" fieldPosition="0">
        <references count="6">
          <reference field="1" count="1" selected="0">
            <x v="77"/>
          </reference>
          <reference field="2" count="1" selected="0">
            <x v="23"/>
          </reference>
          <reference field="3" count="1" selected="0">
            <x v="1"/>
          </reference>
          <reference field="4" count="1" selected="0">
            <x v="160"/>
          </reference>
          <reference field="5" count="1" selected="0">
            <x v="213"/>
          </reference>
          <reference field="6" count="1">
            <x v="47"/>
          </reference>
        </references>
      </pivotArea>
    </format>
    <format dxfId="1996">
      <pivotArea dataOnly="0" labelOnly="1" fieldPosition="0">
        <references count="6">
          <reference field="1" count="1" selected="0">
            <x v="77"/>
          </reference>
          <reference field="2" count="1" selected="0">
            <x v="35"/>
          </reference>
          <reference field="3" count="1" selected="0">
            <x v="1"/>
          </reference>
          <reference field="4" count="1" selected="0">
            <x v="160"/>
          </reference>
          <reference field="5" count="1" selected="0">
            <x v="80"/>
          </reference>
          <reference field="6" count="1">
            <x v="47"/>
          </reference>
        </references>
      </pivotArea>
    </format>
    <format dxfId="1995">
      <pivotArea dataOnly="0" labelOnly="1" fieldPosition="0">
        <references count="6">
          <reference field="1" count="1" selected="0">
            <x v="78"/>
          </reference>
          <reference field="2" count="1" selected="0">
            <x v="0"/>
          </reference>
          <reference field="3" count="1" selected="0">
            <x v="12"/>
          </reference>
          <reference field="4" count="1" selected="0">
            <x v="19"/>
          </reference>
          <reference field="5" count="1" selected="0">
            <x v="8"/>
          </reference>
          <reference field="6" count="1">
            <x v="47"/>
          </reference>
        </references>
      </pivotArea>
    </format>
    <format dxfId="1994">
      <pivotArea dataOnly="0" labelOnly="1" fieldPosition="0">
        <references count="6">
          <reference field="1" count="1" selected="0">
            <x v="78"/>
          </reference>
          <reference field="2" count="1" selected="0">
            <x v="0"/>
          </reference>
          <reference field="3" count="1" selected="0">
            <x v="12"/>
          </reference>
          <reference field="4" count="1" selected="0">
            <x v="23"/>
          </reference>
          <reference field="5" count="1" selected="0">
            <x v="11"/>
          </reference>
          <reference field="6" count="1">
            <x v="47"/>
          </reference>
        </references>
      </pivotArea>
    </format>
    <format dxfId="1993">
      <pivotArea dataOnly="0" labelOnly="1" fieldPosition="0">
        <references count="6">
          <reference field="1" count="1" selected="0">
            <x v="78"/>
          </reference>
          <reference field="2" count="1" selected="0">
            <x v="0"/>
          </reference>
          <reference field="3" count="1" selected="0">
            <x v="12"/>
          </reference>
          <reference field="4" count="1" selected="0">
            <x v="42"/>
          </reference>
          <reference field="5" count="1" selected="0">
            <x v="59"/>
          </reference>
          <reference field="6" count="1">
            <x v="47"/>
          </reference>
        </references>
      </pivotArea>
    </format>
    <format dxfId="1992">
      <pivotArea dataOnly="0" labelOnly="1" fieldPosition="0">
        <references count="6">
          <reference field="1" count="1" selected="0">
            <x v="78"/>
          </reference>
          <reference field="2" count="1" selected="0">
            <x v="0"/>
          </reference>
          <reference field="3" count="1" selected="0">
            <x v="12"/>
          </reference>
          <reference field="4" count="1" selected="0">
            <x v="47"/>
          </reference>
          <reference field="5" count="1" selected="0">
            <x v="654"/>
          </reference>
          <reference field="6" count="1">
            <x v="47"/>
          </reference>
        </references>
      </pivotArea>
    </format>
    <format dxfId="1991">
      <pivotArea dataOnly="0" labelOnly="1" fieldPosition="0">
        <references count="6">
          <reference field="1" count="1" selected="0">
            <x v="78"/>
          </reference>
          <reference field="2" count="1" selected="0">
            <x v="0"/>
          </reference>
          <reference field="3" count="1" selected="0">
            <x v="13"/>
          </reference>
          <reference field="4" count="1" selected="0">
            <x v="161"/>
          </reference>
          <reference field="5" count="1" selected="0">
            <x v="172"/>
          </reference>
          <reference field="6" count="1">
            <x v="47"/>
          </reference>
        </references>
      </pivotArea>
    </format>
    <format dxfId="1990">
      <pivotArea dataOnly="0" labelOnly="1" fieldPosition="0">
        <references count="6">
          <reference field="1" count="1" selected="0">
            <x v="78"/>
          </reference>
          <reference field="2" count="1" selected="0">
            <x v="0"/>
          </reference>
          <reference field="3" count="1" selected="0">
            <x v="13"/>
          </reference>
          <reference field="4" count="1" selected="0">
            <x v="161"/>
          </reference>
          <reference field="5" count="1" selected="0">
            <x v="534"/>
          </reference>
          <reference field="6" count="1">
            <x v="47"/>
          </reference>
        </references>
      </pivotArea>
    </format>
    <format dxfId="1989">
      <pivotArea dataOnly="0" labelOnly="1" fieldPosition="0">
        <references count="6">
          <reference field="1" count="1" selected="0">
            <x v="78"/>
          </reference>
          <reference field="2" count="1" selected="0">
            <x v="0"/>
          </reference>
          <reference field="3" count="1" selected="0">
            <x v="13"/>
          </reference>
          <reference field="4" count="1" selected="0">
            <x v="161"/>
          </reference>
          <reference field="5" count="1" selected="0">
            <x v="889"/>
          </reference>
          <reference field="6" count="1">
            <x v="47"/>
          </reference>
        </references>
      </pivotArea>
    </format>
    <format dxfId="1988">
      <pivotArea dataOnly="0" labelOnly="1" fieldPosition="0">
        <references count="6">
          <reference field="1" count="1" selected="0">
            <x v="78"/>
          </reference>
          <reference field="2" count="1" selected="0">
            <x v="0"/>
          </reference>
          <reference field="3" count="1" selected="0">
            <x v="13"/>
          </reference>
          <reference field="4" count="1" selected="0">
            <x v="161"/>
          </reference>
          <reference field="5" count="1" selected="0">
            <x v="899"/>
          </reference>
          <reference field="6" count="1">
            <x v="47"/>
          </reference>
        </references>
      </pivotArea>
    </format>
    <format dxfId="1987">
      <pivotArea dataOnly="0" labelOnly="1" fieldPosition="0">
        <references count="6">
          <reference field="1" count="1" selected="0">
            <x v="78"/>
          </reference>
          <reference field="2" count="1" selected="0">
            <x v="0"/>
          </reference>
          <reference field="3" count="1" selected="0">
            <x v="13"/>
          </reference>
          <reference field="4" count="1" selected="0">
            <x v="161"/>
          </reference>
          <reference field="5" count="1" selected="0">
            <x v="975"/>
          </reference>
          <reference field="6" count="1">
            <x v="47"/>
          </reference>
        </references>
      </pivotArea>
    </format>
    <format dxfId="1986">
      <pivotArea dataOnly="0" labelOnly="1" fieldPosition="0">
        <references count="6">
          <reference field="1" count="1" selected="0">
            <x v="78"/>
          </reference>
          <reference field="2" count="1" selected="0">
            <x v="0"/>
          </reference>
          <reference field="3" count="1" selected="0">
            <x v="13"/>
          </reference>
          <reference field="4" count="1" selected="0">
            <x v="161"/>
          </reference>
          <reference field="5" count="1" selected="0">
            <x v="997"/>
          </reference>
          <reference field="6" count="1">
            <x v="47"/>
          </reference>
        </references>
      </pivotArea>
    </format>
    <format dxfId="1985">
      <pivotArea dataOnly="0" labelOnly="1" fieldPosition="0">
        <references count="6">
          <reference field="1" count="1" selected="0">
            <x v="78"/>
          </reference>
          <reference field="2" count="1" selected="0">
            <x v="2"/>
          </reference>
          <reference field="3" count="1" selected="0">
            <x v="13"/>
          </reference>
          <reference field="4" count="1" selected="0">
            <x v="161"/>
          </reference>
          <reference field="5" count="1" selected="0">
            <x v="1868"/>
          </reference>
          <reference field="6" count="1">
            <x v="47"/>
          </reference>
        </references>
      </pivotArea>
    </format>
    <format dxfId="1984">
      <pivotArea dataOnly="0" labelOnly="1" fieldPosition="0">
        <references count="6">
          <reference field="1" count="1" selected="0">
            <x v="78"/>
          </reference>
          <reference field="2" count="1" selected="0">
            <x v="3"/>
          </reference>
          <reference field="3" count="1" selected="0">
            <x v="13"/>
          </reference>
          <reference field="4" count="1" selected="0">
            <x v="161"/>
          </reference>
          <reference field="5" count="1" selected="0">
            <x v="666"/>
          </reference>
          <reference field="6" count="1">
            <x v="47"/>
          </reference>
        </references>
      </pivotArea>
    </format>
    <format dxfId="1983">
      <pivotArea dataOnly="0" labelOnly="1" fieldPosition="0">
        <references count="6">
          <reference field="1" count="1" selected="0">
            <x v="78"/>
          </reference>
          <reference field="2" count="1" selected="0">
            <x v="12"/>
          </reference>
          <reference field="3" count="1" selected="0">
            <x v="1"/>
          </reference>
          <reference field="4" count="1" selected="0">
            <x v="162"/>
          </reference>
          <reference field="5" count="1" selected="0">
            <x v="213"/>
          </reference>
          <reference field="6" count="1">
            <x v="47"/>
          </reference>
        </references>
      </pivotArea>
    </format>
    <format dxfId="1982">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571"/>
          </reference>
          <reference field="6" count="1">
            <x v="47"/>
          </reference>
        </references>
      </pivotArea>
    </format>
    <format dxfId="1981">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575"/>
          </reference>
          <reference field="6" count="1">
            <x v="47"/>
          </reference>
        </references>
      </pivotArea>
    </format>
    <format dxfId="1980">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593"/>
          </reference>
          <reference field="6" count="1">
            <x v="47"/>
          </reference>
        </references>
      </pivotArea>
    </format>
    <format dxfId="1979">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671"/>
          </reference>
          <reference field="6" count="1">
            <x v="47"/>
          </reference>
        </references>
      </pivotArea>
    </format>
    <format dxfId="1978">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880"/>
          </reference>
          <reference field="6" count="1">
            <x v="47"/>
          </reference>
        </references>
      </pivotArea>
    </format>
    <format dxfId="1977">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904"/>
          </reference>
          <reference field="6" count="1">
            <x v="47"/>
          </reference>
        </references>
      </pivotArea>
    </format>
    <format dxfId="1976">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978"/>
          </reference>
          <reference field="6" count="1">
            <x v="47"/>
          </reference>
        </references>
      </pivotArea>
    </format>
    <format dxfId="1975">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012"/>
          </reference>
          <reference field="6" count="1">
            <x v="47"/>
          </reference>
        </references>
      </pivotArea>
    </format>
    <format dxfId="1974">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054"/>
          </reference>
          <reference field="6" count="1">
            <x v="47"/>
          </reference>
        </references>
      </pivotArea>
    </format>
    <format dxfId="1973">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224"/>
          </reference>
          <reference field="6" count="1">
            <x v="47"/>
          </reference>
        </references>
      </pivotArea>
    </format>
    <format dxfId="1972">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281"/>
          </reference>
          <reference field="6" count="1">
            <x v="47"/>
          </reference>
        </references>
      </pivotArea>
    </format>
    <format dxfId="1971">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310"/>
          </reference>
          <reference field="6" count="1">
            <x v="47"/>
          </reference>
        </references>
      </pivotArea>
    </format>
    <format dxfId="1970">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316"/>
          </reference>
          <reference field="6" count="1">
            <x v="47"/>
          </reference>
        </references>
      </pivotArea>
    </format>
    <format dxfId="1969">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381"/>
          </reference>
          <reference field="6" count="1">
            <x v="47"/>
          </reference>
        </references>
      </pivotArea>
    </format>
    <format dxfId="1968">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391"/>
          </reference>
          <reference field="6" count="1">
            <x v="47"/>
          </reference>
        </references>
      </pivotArea>
    </format>
    <format dxfId="1967">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405"/>
          </reference>
          <reference field="6" count="1">
            <x v="47"/>
          </reference>
        </references>
      </pivotArea>
    </format>
    <format dxfId="1966">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409"/>
          </reference>
          <reference field="6" count="1">
            <x v="47"/>
          </reference>
        </references>
      </pivotArea>
    </format>
    <format dxfId="1965">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430"/>
          </reference>
          <reference field="6" count="1">
            <x v="47"/>
          </reference>
        </references>
      </pivotArea>
    </format>
    <format dxfId="1964">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473"/>
          </reference>
          <reference field="6" count="1">
            <x v="47"/>
          </reference>
        </references>
      </pivotArea>
    </format>
    <format dxfId="1963">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496"/>
          </reference>
          <reference field="6" count="1">
            <x v="47"/>
          </reference>
        </references>
      </pivotArea>
    </format>
    <format dxfId="1962">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516"/>
          </reference>
          <reference field="6" count="1">
            <x v="47"/>
          </reference>
        </references>
      </pivotArea>
    </format>
    <format dxfId="1961">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538"/>
          </reference>
          <reference field="6" count="1">
            <x v="47"/>
          </reference>
        </references>
      </pivotArea>
    </format>
    <format dxfId="1960">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589"/>
          </reference>
          <reference field="6" count="1">
            <x v="47"/>
          </reference>
        </references>
      </pivotArea>
    </format>
    <format dxfId="1959">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594"/>
          </reference>
          <reference field="6" count="1">
            <x v="47"/>
          </reference>
        </references>
      </pivotArea>
    </format>
    <format dxfId="1958">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612"/>
          </reference>
          <reference field="6" count="1">
            <x v="47"/>
          </reference>
        </references>
      </pivotArea>
    </format>
    <format dxfId="1957">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621"/>
          </reference>
          <reference field="6" count="1">
            <x v="47"/>
          </reference>
        </references>
      </pivotArea>
    </format>
    <format dxfId="1956">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641"/>
          </reference>
          <reference field="6" count="1">
            <x v="47"/>
          </reference>
        </references>
      </pivotArea>
    </format>
    <format dxfId="1955">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687"/>
          </reference>
          <reference field="6" count="1">
            <x v="47"/>
          </reference>
        </references>
      </pivotArea>
    </format>
    <format dxfId="1954">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689"/>
          </reference>
          <reference field="6" count="1">
            <x v="47"/>
          </reference>
        </references>
      </pivotArea>
    </format>
    <format dxfId="1953">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736"/>
          </reference>
          <reference field="6" count="1">
            <x v="47"/>
          </reference>
        </references>
      </pivotArea>
    </format>
    <format dxfId="1952">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751"/>
          </reference>
          <reference field="6" count="1">
            <x v="47"/>
          </reference>
        </references>
      </pivotArea>
    </format>
    <format dxfId="1951">
      <pivotArea dataOnly="0" labelOnly="1" fieldPosition="0">
        <references count="6">
          <reference field="1" count="1" selected="0">
            <x v="78"/>
          </reference>
          <reference field="2" count="1" selected="0">
            <x v="12"/>
          </reference>
          <reference field="3" count="1" selected="0">
            <x v="13"/>
          </reference>
          <reference field="4" count="1" selected="0">
            <x v="161"/>
          </reference>
          <reference field="5" count="1" selected="0">
            <x v="1752"/>
          </reference>
          <reference field="6" count="1">
            <x v="47"/>
          </reference>
        </references>
      </pivotArea>
    </format>
    <format dxfId="1950">
      <pivotArea dataOnly="0" labelOnly="1" fieldPosition="0">
        <references count="6">
          <reference field="1" count="1" selected="0">
            <x v="78"/>
          </reference>
          <reference field="2" count="1" selected="0">
            <x v="14"/>
          </reference>
          <reference field="3" count="1" selected="0">
            <x v="13"/>
          </reference>
          <reference field="4" count="1" selected="0">
            <x v="161"/>
          </reference>
          <reference field="5" count="1" selected="0">
            <x v="1055"/>
          </reference>
          <reference field="6" count="1">
            <x v="47"/>
          </reference>
        </references>
      </pivotArea>
    </format>
    <format dxfId="1949">
      <pivotArea dataOnly="0" labelOnly="1" fieldPosition="0">
        <references count="6">
          <reference field="1" count="1" selected="0">
            <x v="78"/>
          </reference>
          <reference field="2" count="1" selected="0">
            <x v="15"/>
          </reference>
          <reference field="3" count="1" selected="0">
            <x v="13"/>
          </reference>
          <reference field="4" count="1" selected="0">
            <x v="161"/>
          </reference>
          <reference field="5" count="1" selected="0">
            <x v="1755"/>
          </reference>
          <reference field="6" count="1">
            <x v="47"/>
          </reference>
        </references>
      </pivotArea>
    </format>
    <format dxfId="1948">
      <pivotArea dataOnly="0" labelOnly="1" fieldPosition="0">
        <references count="6">
          <reference field="1" count="1" selected="0">
            <x v="78"/>
          </reference>
          <reference field="2" count="1" selected="0">
            <x v="17"/>
          </reference>
          <reference field="3" count="1" selected="0">
            <x v="13"/>
          </reference>
          <reference field="4" count="1" selected="0">
            <x v="161"/>
          </reference>
          <reference field="5" count="1" selected="0">
            <x v="1266"/>
          </reference>
          <reference field="6" count="1">
            <x v="47"/>
          </reference>
        </references>
      </pivotArea>
    </format>
    <format dxfId="1947">
      <pivotArea dataOnly="0" labelOnly="1" fieldPosition="0">
        <references count="6">
          <reference field="1" count="1" selected="0">
            <x v="78"/>
          </reference>
          <reference field="2" count="1" selected="0">
            <x v="21"/>
          </reference>
          <reference field="3" count="1" selected="0">
            <x v="13"/>
          </reference>
          <reference field="4" count="1" selected="0">
            <x v="161"/>
          </reference>
          <reference field="5" count="1" selected="0">
            <x v="1662"/>
          </reference>
          <reference field="6" count="1">
            <x v="47"/>
          </reference>
        </references>
      </pivotArea>
    </format>
    <format dxfId="1946">
      <pivotArea dataOnly="0" labelOnly="1" fieldPosition="0">
        <references count="6">
          <reference field="1" count="1" selected="0">
            <x v="78"/>
          </reference>
          <reference field="2" count="1" selected="0">
            <x v="23"/>
          </reference>
          <reference field="3" count="1" selected="0">
            <x v="1"/>
          </reference>
          <reference field="4" count="1" selected="0">
            <x v="162"/>
          </reference>
          <reference field="5" count="1" selected="0">
            <x v="669"/>
          </reference>
          <reference field="6" count="1">
            <x v="47"/>
          </reference>
        </references>
      </pivotArea>
    </format>
    <format dxfId="1945">
      <pivotArea dataOnly="0" labelOnly="1" fieldPosition="0">
        <references count="6">
          <reference field="1" count="1" selected="0">
            <x v="78"/>
          </reference>
          <reference field="2" count="1" selected="0">
            <x v="23"/>
          </reference>
          <reference field="3" count="1" selected="0">
            <x v="13"/>
          </reference>
          <reference field="4" count="1" selected="0">
            <x v="161"/>
          </reference>
          <reference field="5" count="1" selected="0">
            <x v="1245"/>
          </reference>
          <reference field="6" count="1">
            <x v="47"/>
          </reference>
        </references>
      </pivotArea>
    </format>
    <format dxfId="1944">
      <pivotArea dataOnly="0" labelOnly="1" fieldPosition="0">
        <references count="6">
          <reference field="1" count="1" selected="0">
            <x v="78"/>
          </reference>
          <reference field="2" count="1" selected="0">
            <x v="26"/>
          </reference>
          <reference field="3" count="1" selected="0">
            <x v="1"/>
          </reference>
          <reference field="4" count="1" selected="0">
            <x v="162"/>
          </reference>
          <reference field="5" count="1" selected="0">
            <x v="278"/>
          </reference>
          <reference field="6" count="1">
            <x v="47"/>
          </reference>
        </references>
      </pivotArea>
    </format>
    <format dxfId="1943">
      <pivotArea dataOnly="0" labelOnly="1" fieldPosition="0">
        <references count="6">
          <reference field="1" count="1" selected="0">
            <x v="78"/>
          </reference>
          <reference field="2" count="1" selected="0">
            <x v="35"/>
          </reference>
          <reference field="3" count="1" selected="0">
            <x v="1"/>
          </reference>
          <reference field="4" count="1" selected="0">
            <x v="162"/>
          </reference>
          <reference field="5" count="1" selected="0">
            <x v="80"/>
          </reference>
          <reference field="6" count="1">
            <x v="47"/>
          </reference>
        </references>
      </pivotArea>
    </format>
    <format dxfId="1942">
      <pivotArea dataOnly="0" labelOnly="1" fieldPosition="0">
        <references count="6">
          <reference field="1" count="1" selected="0">
            <x v="78"/>
          </reference>
          <reference field="2" count="1" selected="0">
            <x v="35"/>
          </reference>
          <reference field="3" count="1" selected="0">
            <x v="13"/>
          </reference>
          <reference field="4" count="1" selected="0">
            <x v="161"/>
          </reference>
          <reference field="5" count="1" selected="0">
            <x v="175"/>
          </reference>
          <reference field="6" count="1">
            <x v="47"/>
          </reference>
        </references>
      </pivotArea>
    </format>
    <format dxfId="1941">
      <pivotArea dataOnly="0" labelOnly="1" fieldPosition="0">
        <references count="6">
          <reference field="1" count="1" selected="0">
            <x v="78"/>
          </reference>
          <reference field="2" count="1" selected="0">
            <x v="35"/>
          </reference>
          <reference field="3" count="1" selected="0">
            <x v="13"/>
          </reference>
          <reference field="4" count="1" selected="0">
            <x v="161"/>
          </reference>
          <reference field="5" count="1" selected="0">
            <x v="307"/>
          </reference>
          <reference field="6" count="1">
            <x v="47"/>
          </reference>
        </references>
      </pivotArea>
    </format>
    <format dxfId="1940">
      <pivotArea dataOnly="0" labelOnly="1" fieldPosition="0">
        <references count="6">
          <reference field="1" count="1" selected="0">
            <x v="78"/>
          </reference>
          <reference field="2" count="1" selected="0">
            <x v="35"/>
          </reference>
          <reference field="3" count="1" selected="0">
            <x v="13"/>
          </reference>
          <reference field="4" count="1" selected="0">
            <x v="161"/>
          </reference>
          <reference field="5" count="1" selected="0">
            <x v="308"/>
          </reference>
          <reference field="6" count="1">
            <x v="47"/>
          </reference>
        </references>
      </pivotArea>
    </format>
    <format dxfId="1939">
      <pivotArea dataOnly="0" labelOnly="1" fieldPosition="0">
        <references count="6">
          <reference field="1" count="1" selected="0">
            <x v="78"/>
          </reference>
          <reference field="2" count="1" selected="0">
            <x v="35"/>
          </reference>
          <reference field="3" count="1" selected="0">
            <x v="13"/>
          </reference>
          <reference field="4" count="1" selected="0">
            <x v="161"/>
          </reference>
          <reference field="5" count="1" selected="0">
            <x v="400"/>
          </reference>
          <reference field="6" count="1">
            <x v="47"/>
          </reference>
        </references>
      </pivotArea>
    </format>
    <format dxfId="1938">
      <pivotArea dataOnly="0" labelOnly="1" fieldPosition="0">
        <references count="6">
          <reference field="1" count="1" selected="0">
            <x v="78"/>
          </reference>
          <reference field="2" count="1" selected="0">
            <x v="35"/>
          </reference>
          <reference field="3" count="1" selected="0">
            <x v="13"/>
          </reference>
          <reference field="4" count="1" selected="0">
            <x v="161"/>
          </reference>
          <reference field="5" count="1" selected="0">
            <x v="472"/>
          </reference>
          <reference field="6" count="1">
            <x v="47"/>
          </reference>
        </references>
      </pivotArea>
    </format>
    <format dxfId="1937">
      <pivotArea dataOnly="0" labelOnly="1" fieldPosition="0">
        <references count="6">
          <reference field="1" count="1" selected="0">
            <x v="78"/>
          </reference>
          <reference field="2" count="1" selected="0">
            <x v="35"/>
          </reference>
          <reference field="3" count="1" selected="0">
            <x v="13"/>
          </reference>
          <reference field="4" count="1" selected="0">
            <x v="161"/>
          </reference>
          <reference field="5" count="1" selected="0">
            <x v="484"/>
          </reference>
          <reference field="6" count="1">
            <x v="47"/>
          </reference>
        </references>
      </pivotArea>
    </format>
    <format dxfId="1936">
      <pivotArea dataOnly="0" labelOnly="1" fieldPosition="0">
        <references count="6">
          <reference field="1" count="1" selected="0">
            <x v="78"/>
          </reference>
          <reference field="2" count="1" selected="0">
            <x v="35"/>
          </reference>
          <reference field="3" count="1" selected="0">
            <x v="13"/>
          </reference>
          <reference field="4" count="1" selected="0">
            <x v="161"/>
          </reference>
          <reference field="5" count="1" selected="0">
            <x v="672"/>
          </reference>
          <reference field="6" count="1">
            <x v="47"/>
          </reference>
        </references>
      </pivotArea>
    </format>
    <format dxfId="1935">
      <pivotArea dataOnly="0" labelOnly="1" fieldPosition="0">
        <references count="6">
          <reference field="1" count="1" selected="0">
            <x v="78"/>
          </reference>
          <reference field="2" count="1" selected="0">
            <x v="35"/>
          </reference>
          <reference field="3" count="1" selected="0">
            <x v="13"/>
          </reference>
          <reference field="4" count="1" selected="0">
            <x v="161"/>
          </reference>
          <reference field="5" count="1" selected="0">
            <x v="850"/>
          </reference>
          <reference field="6" count="1">
            <x v="47"/>
          </reference>
        </references>
      </pivotArea>
    </format>
    <format dxfId="1934">
      <pivotArea dataOnly="0" labelOnly="1" fieldPosition="0">
        <references count="6">
          <reference field="1" count="1" selected="0">
            <x v="78"/>
          </reference>
          <reference field="2" count="1" selected="0">
            <x v="35"/>
          </reference>
          <reference field="3" count="1" selected="0">
            <x v="13"/>
          </reference>
          <reference field="4" count="1" selected="0">
            <x v="161"/>
          </reference>
          <reference field="5" count="1" selected="0">
            <x v="853"/>
          </reference>
          <reference field="6" count="1">
            <x v="47"/>
          </reference>
        </references>
      </pivotArea>
    </format>
    <format dxfId="1933">
      <pivotArea dataOnly="0" labelOnly="1" fieldPosition="0">
        <references count="6">
          <reference field="1" count="1" selected="0">
            <x v="78"/>
          </reference>
          <reference field="2" count="1" selected="0">
            <x v="35"/>
          </reference>
          <reference field="3" count="1" selected="0">
            <x v="13"/>
          </reference>
          <reference field="4" count="1" selected="0">
            <x v="161"/>
          </reference>
          <reference field="5" count="1" selected="0">
            <x v="893"/>
          </reference>
          <reference field="6" count="1">
            <x v="47"/>
          </reference>
        </references>
      </pivotArea>
    </format>
    <format dxfId="1932">
      <pivotArea dataOnly="0" labelOnly="1" fieldPosition="0">
        <references count="6">
          <reference field="1" count="1" selected="0">
            <x v="78"/>
          </reference>
          <reference field="2" count="1" selected="0">
            <x v="35"/>
          </reference>
          <reference field="3" count="1" selected="0">
            <x v="13"/>
          </reference>
          <reference field="4" count="1" selected="0">
            <x v="161"/>
          </reference>
          <reference field="5" count="1" selected="0">
            <x v="951"/>
          </reference>
          <reference field="6" count="1">
            <x v="47"/>
          </reference>
        </references>
      </pivotArea>
    </format>
    <format dxfId="1931">
      <pivotArea dataOnly="0" labelOnly="1" fieldPosition="0">
        <references count="6">
          <reference field="1" count="1" selected="0">
            <x v="78"/>
          </reference>
          <reference field="2" count="1" selected="0">
            <x v="35"/>
          </reference>
          <reference field="3" count="1" selected="0">
            <x v="13"/>
          </reference>
          <reference field="4" count="1" selected="0">
            <x v="161"/>
          </reference>
          <reference field="5" count="1" selected="0">
            <x v="1083"/>
          </reference>
          <reference field="6" count="1">
            <x v="47"/>
          </reference>
        </references>
      </pivotArea>
    </format>
    <format dxfId="1930">
      <pivotArea dataOnly="0" labelOnly="1" fieldPosition="0">
        <references count="6">
          <reference field="1" count="1" selected="0">
            <x v="78"/>
          </reference>
          <reference field="2" count="1" selected="0">
            <x v="35"/>
          </reference>
          <reference field="3" count="1" selected="0">
            <x v="13"/>
          </reference>
          <reference field="4" count="1" selected="0">
            <x v="161"/>
          </reference>
          <reference field="5" count="1" selected="0">
            <x v="1183"/>
          </reference>
          <reference field="6" count="1">
            <x v="47"/>
          </reference>
        </references>
      </pivotArea>
    </format>
    <format dxfId="1929">
      <pivotArea dataOnly="0" labelOnly="1" fieldPosition="0">
        <references count="6">
          <reference field="1" count="1" selected="0">
            <x v="78"/>
          </reference>
          <reference field="2" count="1" selected="0">
            <x v="36"/>
          </reference>
          <reference field="3" count="1" selected="0">
            <x v="6"/>
          </reference>
          <reference field="4" count="1" selected="0">
            <x v="162"/>
          </reference>
          <reference field="5" count="1" selected="0">
            <x v="886"/>
          </reference>
          <reference field="6" count="1">
            <x v="47"/>
          </reference>
        </references>
      </pivotArea>
    </format>
    <format dxfId="1928">
      <pivotArea dataOnly="0" labelOnly="1" fieldPosition="0">
        <references count="6">
          <reference field="1" count="1" selected="0">
            <x v="78"/>
          </reference>
          <reference field="2" count="1" selected="0">
            <x v="37"/>
          </reference>
          <reference field="3" count="1" selected="0">
            <x v="13"/>
          </reference>
          <reference field="4" count="1" selected="0">
            <x v="161"/>
          </reference>
          <reference field="5" count="1" selected="0">
            <x v="416"/>
          </reference>
          <reference field="6" count="1">
            <x v="47"/>
          </reference>
        </references>
      </pivotArea>
    </format>
    <format dxfId="1927">
      <pivotArea dataOnly="0" labelOnly="1" fieldPosition="0">
        <references count="6">
          <reference field="1" count="1" selected="0">
            <x v="79"/>
          </reference>
          <reference field="2" count="1" selected="0">
            <x v="0"/>
          </reference>
          <reference field="3" count="1" selected="0">
            <x v="8"/>
          </reference>
          <reference field="4" count="1" selected="0">
            <x v="163"/>
          </reference>
          <reference field="5" count="1" selected="0">
            <x v="181"/>
          </reference>
          <reference field="6" count="1">
            <x v="47"/>
          </reference>
        </references>
      </pivotArea>
    </format>
    <format dxfId="1926">
      <pivotArea dataOnly="0" labelOnly="1" fieldPosition="0">
        <references count="6">
          <reference field="1" count="1" selected="0">
            <x v="79"/>
          </reference>
          <reference field="2" count="1" selected="0">
            <x v="0"/>
          </reference>
          <reference field="3" count="1" selected="0">
            <x v="8"/>
          </reference>
          <reference field="4" count="1" selected="0">
            <x v="163"/>
          </reference>
          <reference field="5" count="1" selected="0">
            <x v="351"/>
          </reference>
          <reference field="6" count="1">
            <x v="47"/>
          </reference>
        </references>
      </pivotArea>
    </format>
    <format dxfId="1925">
      <pivotArea dataOnly="0" labelOnly="1" fieldPosition="0">
        <references count="6">
          <reference field="1" count="1" selected="0">
            <x v="79"/>
          </reference>
          <reference field="2" count="1" selected="0">
            <x v="0"/>
          </reference>
          <reference field="3" count="1" selected="0">
            <x v="9"/>
          </reference>
          <reference field="4" count="1" selected="0">
            <x v="163"/>
          </reference>
          <reference field="5" count="1" selected="0">
            <x v="167"/>
          </reference>
          <reference field="6" count="1">
            <x v="47"/>
          </reference>
        </references>
      </pivotArea>
    </format>
    <format dxfId="1924">
      <pivotArea dataOnly="0" labelOnly="1" fieldPosition="0">
        <references count="6">
          <reference field="1" count="1" selected="0">
            <x v="79"/>
          </reference>
          <reference field="2" count="1" selected="0">
            <x v="0"/>
          </reference>
          <reference field="3" count="1" selected="0">
            <x v="9"/>
          </reference>
          <reference field="4" count="1" selected="0">
            <x v="163"/>
          </reference>
          <reference field="5" count="1" selected="0">
            <x v="229"/>
          </reference>
          <reference field="6" count="1">
            <x v="47"/>
          </reference>
        </references>
      </pivotArea>
    </format>
    <format dxfId="1923">
      <pivotArea dataOnly="0" labelOnly="1" fieldPosition="0">
        <references count="6">
          <reference field="1" count="1" selected="0">
            <x v="79"/>
          </reference>
          <reference field="2" count="1" selected="0">
            <x v="0"/>
          </reference>
          <reference field="3" count="1" selected="0">
            <x v="9"/>
          </reference>
          <reference field="4" count="1" selected="0">
            <x v="163"/>
          </reference>
          <reference field="5" count="1" selected="0">
            <x v="467"/>
          </reference>
          <reference field="6" count="1">
            <x v="47"/>
          </reference>
        </references>
      </pivotArea>
    </format>
    <format dxfId="1922">
      <pivotArea dataOnly="0" labelOnly="1" fieldPosition="0">
        <references count="6">
          <reference field="1" count="1" selected="0">
            <x v="79"/>
          </reference>
          <reference field="2" count="1" selected="0">
            <x v="0"/>
          </reference>
          <reference field="3" count="1" selected="0">
            <x v="9"/>
          </reference>
          <reference field="4" count="1" selected="0">
            <x v="163"/>
          </reference>
          <reference field="5" count="1" selected="0">
            <x v="517"/>
          </reference>
          <reference field="6" count="1">
            <x v="47"/>
          </reference>
        </references>
      </pivotArea>
    </format>
    <format dxfId="1921">
      <pivotArea dataOnly="0" labelOnly="1" fieldPosition="0">
        <references count="6">
          <reference field="1" count="1" selected="0">
            <x v="79"/>
          </reference>
          <reference field="2" count="1" selected="0">
            <x v="0"/>
          </reference>
          <reference field="3" count="1" selected="0">
            <x v="9"/>
          </reference>
          <reference field="4" count="1" selected="0">
            <x v="163"/>
          </reference>
          <reference field="5" count="1" selected="0">
            <x v="878"/>
          </reference>
          <reference field="6" count="1">
            <x v="47"/>
          </reference>
        </references>
      </pivotArea>
    </format>
    <format dxfId="1920">
      <pivotArea dataOnly="0" labelOnly="1" fieldPosition="0">
        <references count="6">
          <reference field="1" count="1" selected="0">
            <x v="79"/>
          </reference>
          <reference field="2" count="1" selected="0">
            <x v="0"/>
          </reference>
          <reference field="3" count="1" selected="0">
            <x v="9"/>
          </reference>
          <reference field="4" count="1" selected="0">
            <x v="163"/>
          </reference>
          <reference field="5" count="1" selected="0">
            <x v="1109"/>
          </reference>
          <reference field="6" count="1">
            <x v="47"/>
          </reference>
        </references>
      </pivotArea>
    </format>
    <format dxfId="1919">
      <pivotArea dataOnly="0" labelOnly="1" fieldPosition="0">
        <references count="6">
          <reference field="1" count="1" selected="0">
            <x v="79"/>
          </reference>
          <reference field="2" count="1" selected="0">
            <x v="0"/>
          </reference>
          <reference field="3" count="1" selected="0">
            <x v="12"/>
          </reference>
          <reference field="4" count="1" selected="0">
            <x v="63"/>
          </reference>
          <reference field="5" count="1" selected="0">
            <x v="6"/>
          </reference>
          <reference field="6" count="1">
            <x v="47"/>
          </reference>
        </references>
      </pivotArea>
    </format>
    <format dxfId="1918">
      <pivotArea dataOnly="0" labelOnly="1" fieldPosition="0">
        <references count="6">
          <reference field="1" count="1" selected="0">
            <x v="79"/>
          </reference>
          <reference field="2" count="1" selected="0">
            <x v="0"/>
          </reference>
          <reference field="3" count="1" selected="0">
            <x v="12"/>
          </reference>
          <reference field="4" count="1" selected="0">
            <x v="66"/>
          </reference>
          <reference field="5" count="1" selected="0">
            <x v="8"/>
          </reference>
          <reference field="6" count="1">
            <x v="47"/>
          </reference>
        </references>
      </pivotArea>
    </format>
    <format dxfId="1917">
      <pivotArea dataOnly="0" labelOnly="1" fieldPosition="0">
        <references count="6">
          <reference field="1" count="1" selected="0">
            <x v="79"/>
          </reference>
          <reference field="2" count="1" selected="0">
            <x v="2"/>
          </reference>
          <reference field="3" count="1" selected="0">
            <x v="9"/>
          </reference>
          <reference field="4" count="1" selected="0">
            <x v="163"/>
          </reference>
          <reference field="5" count="1" selected="0">
            <x v="1582"/>
          </reference>
          <reference field="6" count="1">
            <x v="47"/>
          </reference>
        </references>
      </pivotArea>
    </format>
    <format dxfId="1916">
      <pivotArea dataOnly="0" labelOnly="1" fieldPosition="0">
        <references count="6">
          <reference field="1" count="1" selected="0">
            <x v="79"/>
          </reference>
          <reference field="2" count="1" selected="0">
            <x v="7"/>
          </reference>
          <reference field="3" count="1" selected="0">
            <x v="8"/>
          </reference>
          <reference field="4" count="1" selected="0">
            <x v="163"/>
          </reference>
          <reference field="5" count="1" selected="0">
            <x v="751"/>
          </reference>
          <reference field="6" count="1">
            <x v="47"/>
          </reference>
        </references>
      </pivotArea>
    </format>
    <format dxfId="1915">
      <pivotArea dataOnly="0" labelOnly="1" fieldPosition="0">
        <references count="6">
          <reference field="1" count="1" selected="0">
            <x v="79"/>
          </reference>
          <reference field="2" count="1" selected="0">
            <x v="12"/>
          </reference>
          <reference field="3" count="1" selected="0">
            <x v="1"/>
          </reference>
          <reference field="4" count="1" selected="0">
            <x v="163"/>
          </reference>
          <reference field="5" count="1" selected="0">
            <x v="80"/>
          </reference>
          <reference field="6" count="1">
            <x v="47"/>
          </reference>
        </references>
      </pivotArea>
    </format>
    <format dxfId="1914">
      <pivotArea dataOnly="0" labelOnly="1" fieldPosition="0">
        <references count="6">
          <reference field="1" count="1" selected="0">
            <x v="79"/>
          </reference>
          <reference field="2" count="1" selected="0">
            <x v="14"/>
          </reference>
          <reference field="3" count="1" selected="0">
            <x v="1"/>
          </reference>
          <reference field="4" count="1" selected="0">
            <x v="163"/>
          </reference>
          <reference field="5" count="1" selected="0">
            <x v="109"/>
          </reference>
          <reference field="6" count="1">
            <x v="47"/>
          </reference>
        </references>
      </pivotArea>
    </format>
    <format dxfId="1913">
      <pivotArea dataOnly="0" labelOnly="1" fieldPosition="0">
        <references count="6">
          <reference field="1" count="1" selected="0">
            <x v="79"/>
          </reference>
          <reference field="2" count="1" selected="0">
            <x v="14"/>
          </reference>
          <reference field="3" count="1" selected="0">
            <x v="38"/>
          </reference>
          <reference field="4" count="1" selected="0">
            <x v="163"/>
          </reference>
          <reference field="5" count="1" selected="0">
            <x v="304"/>
          </reference>
          <reference field="6" count="1">
            <x v="47"/>
          </reference>
        </references>
      </pivotArea>
    </format>
    <format dxfId="1912">
      <pivotArea dataOnly="0" labelOnly="1" fieldPosition="0">
        <references count="6">
          <reference field="1" count="1" selected="0">
            <x v="79"/>
          </reference>
          <reference field="2" count="1" selected="0">
            <x v="15"/>
          </reference>
          <reference field="3" count="1" selected="0">
            <x v="8"/>
          </reference>
          <reference field="4" count="1" selected="0">
            <x v="163"/>
          </reference>
          <reference field="5" count="1" selected="0">
            <x v="1228"/>
          </reference>
          <reference field="6" count="1">
            <x v="47"/>
          </reference>
        </references>
      </pivotArea>
    </format>
    <format dxfId="1911">
      <pivotArea dataOnly="0" labelOnly="1" fieldPosition="0">
        <references count="6">
          <reference field="1" count="1" selected="0">
            <x v="79"/>
          </reference>
          <reference field="2" count="1" selected="0">
            <x v="15"/>
          </reference>
          <reference field="3" count="1" selected="0">
            <x v="9"/>
          </reference>
          <reference field="4" count="1" selected="0">
            <x v="163"/>
          </reference>
          <reference field="5" count="1" selected="0">
            <x v="248"/>
          </reference>
          <reference field="6" count="1">
            <x v="47"/>
          </reference>
        </references>
      </pivotArea>
    </format>
    <format dxfId="1910">
      <pivotArea dataOnly="0" labelOnly="1" fieldPosition="0">
        <references count="6">
          <reference field="1" count="1" selected="0">
            <x v="79"/>
          </reference>
          <reference field="2" count="1" selected="0">
            <x v="23"/>
          </reference>
          <reference field="3" count="1" selected="0">
            <x v="7"/>
          </reference>
          <reference field="4" count="1" selected="0">
            <x v="163"/>
          </reference>
          <reference field="5" count="1" selected="0">
            <x v="841"/>
          </reference>
          <reference field="6" count="1">
            <x v="47"/>
          </reference>
        </references>
      </pivotArea>
    </format>
    <format dxfId="1909">
      <pivotArea dataOnly="0" labelOnly="1" fieldPosition="0">
        <references count="6">
          <reference field="1" count="1" selected="0">
            <x v="79"/>
          </reference>
          <reference field="2" count="1" selected="0">
            <x v="23"/>
          </reference>
          <reference field="3" count="1" selected="0">
            <x v="38"/>
          </reference>
          <reference field="4" count="1" selected="0">
            <x v="163"/>
          </reference>
          <reference field="5" count="1" selected="0">
            <x v="122"/>
          </reference>
          <reference field="6" count="1">
            <x v="47"/>
          </reference>
        </references>
      </pivotArea>
    </format>
    <format dxfId="1908">
      <pivotArea dataOnly="0" labelOnly="1" fieldPosition="0">
        <references count="6">
          <reference field="1" count="1" selected="0">
            <x v="79"/>
          </reference>
          <reference field="2" count="1" selected="0">
            <x v="28"/>
          </reference>
          <reference field="3" count="1" selected="0">
            <x v="1"/>
          </reference>
          <reference field="4" count="1" selected="0">
            <x v="163"/>
          </reference>
          <reference field="5" count="1" selected="0">
            <x v="516"/>
          </reference>
          <reference field="6" count="1">
            <x v="47"/>
          </reference>
        </references>
      </pivotArea>
    </format>
    <format dxfId="1907">
      <pivotArea dataOnly="0" labelOnly="1" fieldPosition="0">
        <references count="6">
          <reference field="1" count="1" selected="0">
            <x v="79"/>
          </reference>
          <reference field="2" count="1" selected="0">
            <x v="36"/>
          </reference>
          <reference field="3" count="1" selected="0">
            <x v="8"/>
          </reference>
          <reference field="4" count="1" selected="0">
            <x v="163"/>
          </reference>
          <reference field="5" count="1" selected="0">
            <x v="1056"/>
          </reference>
          <reference field="6" count="1">
            <x v="47"/>
          </reference>
        </references>
      </pivotArea>
    </format>
    <format dxfId="1906">
      <pivotArea dataOnly="0" labelOnly="1" fieldPosition="0">
        <references count="6">
          <reference field="1" count="1" selected="0">
            <x v="80"/>
          </reference>
          <reference field="2" count="1" selected="0">
            <x v="0"/>
          </reference>
          <reference field="3" count="1" selected="0">
            <x v="9"/>
          </reference>
          <reference field="4" count="1" selected="0">
            <x v="164"/>
          </reference>
          <reference field="5" count="1" selected="0">
            <x v="371"/>
          </reference>
          <reference field="6" count="1">
            <x v="47"/>
          </reference>
        </references>
      </pivotArea>
    </format>
    <format dxfId="1905">
      <pivotArea dataOnly="0" labelOnly="1" fieldPosition="0">
        <references count="6">
          <reference field="1" count="1" selected="0">
            <x v="80"/>
          </reference>
          <reference field="2" count="1" selected="0">
            <x v="0"/>
          </reference>
          <reference field="3" count="1" selected="0">
            <x v="9"/>
          </reference>
          <reference field="4" count="1" selected="0">
            <x v="164"/>
          </reference>
          <reference field="5" count="1" selected="0">
            <x v="533"/>
          </reference>
          <reference field="6" count="1">
            <x v="47"/>
          </reference>
        </references>
      </pivotArea>
    </format>
    <format dxfId="1904">
      <pivotArea dataOnly="0" labelOnly="1" fieldPosition="0">
        <references count="6">
          <reference field="1" count="1" selected="0">
            <x v="80"/>
          </reference>
          <reference field="2" count="1" selected="0">
            <x v="0"/>
          </reference>
          <reference field="3" count="1" selected="0">
            <x v="10"/>
          </reference>
          <reference field="4" count="1" selected="0">
            <x v="164"/>
          </reference>
          <reference field="5" count="1" selected="0">
            <x v="539"/>
          </reference>
          <reference field="6" count="1">
            <x v="47"/>
          </reference>
        </references>
      </pivotArea>
    </format>
    <format dxfId="1903">
      <pivotArea dataOnly="0" labelOnly="1" fieldPosition="0">
        <references count="6">
          <reference field="1" count="1" selected="0">
            <x v="80"/>
          </reference>
          <reference field="2" count="1" selected="0">
            <x v="0"/>
          </reference>
          <reference field="3" count="1" selected="0">
            <x v="12"/>
          </reference>
          <reference field="4" count="1" selected="0">
            <x v="17"/>
          </reference>
          <reference field="5" count="1" selected="0">
            <x v="188"/>
          </reference>
          <reference field="6" count="1">
            <x v="47"/>
          </reference>
        </references>
      </pivotArea>
    </format>
    <format dxfId="1902">
      <pivotArea dataOnly="0" labelOnly="1" fieldPosition="0">
        <references count="6">
          <reference field="1" count="1" selected="0">
            <x v="80"/>
          </reference>
          <reference field="2" count="1" selected="0">
            <x v="0"/>
          </reference>
          <reference field="3" count="1" selected="0">
            <x v="12"/>
          </reference>
          <reference field="4" count="1" selected="0">
            <x v="23"/>
          </reference>
          <reference field="5" count="1" selected="0">
            <x v="11"/>
          </reference>
          <reference field="6" count="1">
            <x v="47"/>
          </reference>
        </references>
      </pivotArea>
    </format>
    <format dxfId="1901">
      <pivotArea dataOnly="0" labelOnly="1" fieldPosition="0">
        <references count="6">
          <reference field="1" count="1" selected="0">
            <x v="80"/>
          </reference>
          <reference field="2" count="1" selected="0">
            <x v="0"/>
          </reference>
          <reference field="3" count="1" selected="0">
            <x v="12"/>
          </reference>
          <reference field="4" count="1" selected="0">
            <x v="40"/>
          </reference>
          <reference field="5" count="1" selected="0">
            <x v="188"/>
          </reference>
          <reference field="6" count="1">
            <x v="47"/>
          </reference>
        </references>
      </pivotArea>
    </format>
    <format dxfId="1900">
      <pivotArea dataOnly="0" labelOnly="1" fieldPosition="0">
        <references count="6">
          <reference field="1" count="1" selected="0">
            <x v="80"/>
          </reference>
          <reference field="2" count="1" selected="0">
            <x v="3"/>
          </reference>
          <reference field="3" count="1" selected="0">
            <x v="38"/>
          </reference>
          <reference field="4" count="1" selected="0">
            <x v="164"/>
          </reference>
          <reference field="5" count="1" selected="0">
            <x v="371"/>
          </reference>
          <reference field="6" count="1">
            <x v="47"/>
          </reference>
        </references>
      </pivotArea>
    </format>
    <format dxfId="1899">
      <pivotArea dataOnly="0" labelOnly="1" fieldPosition="0">
        <references count="6">
          <reference field="1" count="1" selected="0">
            <x v="80"/>
          </reference>
          <reference field="2" count="1" selected="0">
            <x v="7"/>
          </reference>
          <reference field="3" count="1" selected="0">
            <x v="8"/>
          </reference>
          <reference field="4" count="1" selected="0">
            <x v="164"/>
          </reference>
          <reference field="5" count="1" selected="0">
            <x v="83"/>
          </reference>
          <reference field="6" count="1">
            <x v="47"/>
          </reference>
        </references>
      </pivotArea>
    </format>
    <format dxfId="1898">
      <pivotArea dataOnly="0" labelOnly="1" fieldPosition="0">
        <references count="6">
          <reference field="1" count="1" selected="0">
            <x v="80"/>
          </reference>
          <reference field="2" count="1" selected="0">
            <x v="10"/>
          </reference>
          <reference field="3" count="1" selected="0">
            <x v="6"/>
          </reference>
          <reference field="4" count="1" selected="0">
            <x v="164"/>
          </reference>
          <reference field="5" count="1" selected="0">
            <x v="1647"/>
          </reference>
          <reference field="6" count="1">
            <x v="47"/>
          </reference>
        </references>
      </pivotArea>
    </format>
    <format dxfId="1897">
      <pivotArea dataOnly="0" labelOnly="1" fieldPosition="0">
        <references count="6">
          <reference field="1" count="1" selected="0">
            <x v="80"/>
          </reference>
          <reference field="2" count="1" selected="0">
            <x v="10"/>
          </reference>
          <reference field="3" count="1" selected="0">
            <x v="8"/>
          </reference>
          <reference field="4" count="1" selected="0">
            <x v="164"/>
          </reference>
          <reference field="5" count="1" selected="0">
            <x v="23"/>
          </reference>
          <reference field="6" count="1">
            <x v="47"/>
          </reference>
        </references>
      </pivotArea>
    </format>
    <format dxfId="1896">
      <pivotArea dataOnly="0" labelOnly="1" fieldPosition="0">
        <references count="6">
          <reference field="1" count="1" selected="0">
            <x v="80"/>
          </reference>
          <reference field="2" count="1" selected="0">
            <x v="12"/>
          </reference>
          <reference field="3" count="1" selected="0">
            <x v="1"/>
          </reference>
          <reference field="4" count="1" selected="0">
            <x v="164"/>
          </reference>
          <reference field="5" count="1" selected="0">
            <x v="80"/>
          </reference>
          <reference field="6" count="1">
            <x v="47"/>
          </reference>
        </references>
      </pivotArea>
    </format>
    <format dxfId="1895">
      <pivotArea dataOnly="0" labelOnly="1" fieldPosition="0">
        <references count="6">
          <reference field="1" count="1" selected="0">
            <x v="80"/>
          </reference>
          <reference field="2" count="1" selected="0">
            <x v="12"/>
          </reference>
          <reference field="3" count="1" selected="0">
            <x v="1"/>
          </reference>
          <reference field="4" count="1" selected="0">
            <x v="164"/>
          </reference>
          <reference field="5" count="1" selected="0">
            <x v="213"/>
          </reference>
          <reference field="6" count="1">
            <x v="47"/>
          </reference>
        </references>
      </pivotArea>
    </format>
    <format dxfId="1894">
      <pivotArea dataOnly="0" labelOnly="1" fieldPosition="0">
        <references count="6">
          <reference field="1" count="1" selected="0">
            <x v="80"/>
          </reference>
          <reference field="2" count="1" selected="0">
            <x v="12"/>
          </reference>
          <reference field="3" count="1" selected="0">
            <x v="38"/>
          </reference>
          <reference field="4" count="1" selected="0">
            <x v="164"/>
          </reference>
          <reference field="5" count="1" selected="0">
            <x v="1414"/>
          </reference>
          <reference field="6" count="1">
            <x v="47"/>
          </reference>
        </references>
      </pivotArea>
    </format>
    <format dxfId="1893">
      <pivotArea dataOnly="0" labelOnly="1" fieldPosition="0">
        <references count="6">
          <reference field="1" count="1" selected="0">
            <x v="80"/>
          </reference>
          <reference field="2" count="1" selected="0">
            <x v="15"/>
          </reference>
          <reference field="3" count="1" selected="0">
            <x v="8"/>
          </reference>
          <reference field="4" count="1" selected="0">
            <x v="164"/>
          </reference>
          <reference field="5" count="1" selected="0">
            <x v="684"/>
          </reference>
          <reference field="6" count="1">
            <x v="47"/>
          </reference>
        </references>
      </pivotArea>
    </format>
    <format dxfId="1892">
      <pivotArea dataOnly="0" labelOnly="1" fieldPosition="0">
        <references count="6">
          <reference field="1" count="1" selected="0">
            <x v="80"/>
          </reference>
          <reference field="2" count="1" selected="0">
            <x v="24"/>
          </reference>
          <reference field="3" count="1" selected="0">
            <x v="38"/>
          </reference>
          <reference field="4" count="1" selected="0">
            <x v="164"/>
          </reference>
          <reference field="5" count="1" selected="0">
            <x v="97"/>
          </reference>
          <reference field="6" count="1">
            <x v="47"/>
          </reference>
        </references>
      </pivotArea>
    </format>
    <format dxfId="1891">
      <pivotArea dataOnly="0" labelOnly="1" fieldPosition="0">
        <references count="6">
          <reference field="1" count="1" selected="0">
            <x v="80"/>
          </reference>
          <reference field="2" count="1" selected="0">
            <x v="35"/>
          </reference>
          <reference field="3" count="1" selected="0">
            <x v="1"/>
          </reference>
          <reference field="4" count="1" selected="0">
            <x v="164"/>
          </reference>
          <reference field="5" count="1" selected="0">
            <x v="80"/>
          </reference>
          <reference field="6" count="1">
            <x v="47"/>
          </reference>
        </references>
      </pivotArea>
    </format>
    <format dxfId="1890">
      <pivotArea dataOnly="0" labelOnly="1" fieldPosition="0">
        <references count="6">
          <reference field="1" count="1" selected="0">
            <x v="80"/>
          </reference>
          <reference field="2" count="1" selected="0">
            <x v="35"/>
          </reference>
          <reference field="3" count="1" selected="0">
            <x v="38"/>
          </reference>
          <reference field="4" count="1" selected="0">
            <x v="164"/>
          </reference>
          <reference field="5" count="1" selected="0">
            <x v="1343"/>
          </reference>
          <reference field="6" count="1">
            <x v="47"/>
          </reference>
        </references>
      </pivotArea>
    </format>
    <format dxfId="1889">
      <pivotArea dataOnly="0" labelOnly="1" fieldPosition="0">
        <references count="6">
          <reference field="1" count="1" selected="0">
            <x v="80"/>
          </reference>
          <reference field="2" count="1" selected="0">
            <x v="35"/>
          </reference>
          <reference field="3" count="1" selected="0">
            <x v="38"/>
          </reference>
          <reference field="4" count="1" selected="0">
            <x v="164"/>
          </reference>
          <reference field="5" count="1" selected="0">
            <x v="1528"/>
          </reference>
          <reference field="6" count="1">
            <x v="47"/>
          </reference>
        </references>
      </pivotArea>
    </format>
    <format dxfId="1888">
      <pivotArea dataOnly="0" labelOnly="1" fieldPosition="0">
        <references count="6">
          <reference field="1" count="1" selected="0">
            <x v="81"/>
          </reference>
          <reference field="2" count="1" selected="0">
            <x v="3"/>
          </reference>
          <reference field="3" count="1" selected="0">
            <x v="10"/>
          </reference>
          <reference field="4" count="1" selected="0">
            <x v="165"/>
          </reference>
          <reference field="5" count="1" selected="0">
            <x v="0"/>
          </reference>
          <reference field="6" count="1">
            <x v="32"/>
          </reference>
        </references>
      </pivotArea>
    </format>
    <format dxfId="1887">
      <pivotArea dataOnly="0" labelOnly="1" fieldPosition="0">
        <references count="6">
          <reference field="1" count="1" selected="0">
            <x v="82"/>
          </reference>
          <reference field="2" count="1" selected="0">
            <x v="0"/>
          </reference>
          <reference field="3" count="1" selected="0">
            <x v="12"/>
          </reference>
          <reference field="4" count="1" selected="0">
            <x v="52"/>
          </reference>
          <reference field="5" count="1" selected="0">
            <x v="9"/>
          </reference>
          <reference field="6" count="1">
            <x v="47"/>
          </reference>
        </references>
      </pivotArea>
    </format>
    <format dxfId="1886">
      <pivotArea dataOnly="0" labelOnly="1" fieldPosition="0">
        <references count="6">
          <reference field="1" count="1" selected="0">
            <x v="82"/>
          </reference>
          <reference field="2" count="1" selected="0">
            <x v="0"/>
          </reference>
          <reference field="3" count="1" selected="0">
            <x v="12"/>
          </reference>
          <reference field="4" count="1" selected="0">
            <x v="62"/>
          </reference>
          <reference field="5" count="1" selected="0">
            <x v="59"/>
          </reference>
          <reference field="6" count="1">
            <x v="47"/>
          </reference>
        </references>
      </pivotArea>
    </format>
    <format dxfId="1885">
      <pivotArea dataOnly="0" labelOnly="1" fieldPosition="0">
        <references count="6">
          <reference field="1" count="1" selected="0">
            <x v="82"/>
          </reference>
          <reference field="2" count="1" selected="0">
            <x v="0"/>
          </reference>
          <reference field="3" count="1" selected="0">
            <x v="38"/>
          </reference>
          <reference field="4" count="1" selected="0">
            <x v="166"/>
          </reference>
          <reference field="5" count="1" selected="0">
            <x v="39"/>
          </reference>
          <reference field="6" count="1">
            <x v="47"/>
          </reference>
        </references>
      </pivotArea>
    </format>
    <format dxfId="1884">
      <pivotArea dataOnly="0" labelOnly="1" fieldPosition="0">
        <references count="6">
          <reference field="1" count="1" selected="0">
            <x v="82"/>
          </reference>
          <reference field="2" count="1" selected="0">
            <x v="0"/>
          </reference>
          <reference field="3" count="1" selected="0">
            <x v="38"/>
          </reference>
          <reference field="4" count="1" selected="0">
            <x v="166"/>
          </reference>
          <reference field="5" count="1" selected="0">
            <x v="659"/>
          </reference>
          <reference field="6" count="1">
            <x v="47"/>
          </reference>
        </references>
      </pivotArea>
    </format>
    <format dxfId="1883">
      <pivotArea dataOnly="0" labelOnly="1" fieldPosition="0">
        <references count="6">
          <reference field="1" count="1" selected="0">
            <x v="82"/>
          </reference>
          <reference field="2" count="1" selected="0">
            <x v="12"/>
          </reference>
          <reference field="3" count="1" selected="0">
            <x v="1"/>
          </reference>
          <reference field="4" count="1" selected="0">
            <x v="166"/>
          </reference>
          <reference field="5" count="1" selected="0">
            <x v="80"/>
          </reference>
          <reference field="6" count="1">
            <x v="47"/>
          </reference>
        </references>
      </pivotArea>
    </format>
    <format dxfId="1882">
      <pivotArea dataOnly="0" labelOnly="1" fieldPosition="0">
        <references count="6">
          <reference field="1" count="1" selected="0">
            <x v="82"/>
          </reference>
          <reference field="2" count="1" selected="0">
            <x v="12"/>
          </reference>
          <reference field="3" count="1" selected="0">
            <x v="1"/>
          </reference>
          <reference field="4" count="1" selected="0">
            <x v="166"/>
          </reference>
          <reference field="5" count="1" selected="0">
            <x v="213"/>
          </reference>
          <reference field="6" count="1">
            <x v="47"/>
          </reference>
        </references>
      </pivotArea>
    </format>
    <format dxfId="1881">
      <pivotArea dataOnly="0" labelOnly="1" fieldPosition="0">
        <references count="6">
          <reference field="1" count="1" selected="0">
            <x v="82"/>
          </reference>
          <reference field="2" count="1" selected="0">
            <x v="12"/>
          </reference>
          <reference field="3" count="1" selected="0">
            <x v="1"/>
          </reference>
          <reference field="4" count="1" selected="0">
            <x v="166"/>
          </reference>
          <reference field="5" count="1" selected="0">
            <x v="352"/>
          </reference>
          <reference field="6" count="1">
            <x v="47"/>
          </reference>
        </references>
      </pivotArea>
    </format>
    <format dxfId="1880">
      <pivotArea dataOnly="0" labelOnly="1" fieldPosition="0">
        <references count="6">
          <reference field="1" count="1" selected="0">
            <x v="82"/>
          </reference>
          <reference field="2" count="1" selected="0">
            <x v="12"/>
          </reference>
          <reference field="3" count="1" selected="0">
            <x v="1"/>
          </reference>
          <reference field="4" count="1" selected="0">
            <x v="166"/>
          </reference>
          <reference field="5" count="1" selected="0">
            <x v="607"/>
          </reference>
          <reference field="6" count="1">
            <x v="47"/>
          </reference>
        </references>
      </pivotArea>
    </format>
    <format dxfId="1879">
      <pivotArea dataOnly="0" labelOnly="1" fieldPosition="0">
        <references count="6">
          <reference field="1" count="1" selected="0">
            <x v="82"/>
          </reference>
          <reference field="2" count="1" selected="0">
            <x v="14"/>
          </reference>
          <reference field="3" count="1" selected="0">
            <x v="1"/>
          </reference>
          <reference field="4" count="1" selected="0">
            <x v="166"/>
          </reference>
          <reference field="5" count="1" selected="0">
            <x v="145"/>
          </reference>
          <reference field="6" count="1">
            <x v="47"/>
          </reference>
        </references>
      </pivotArea>
    </format>
    <format dxfId="1878">
      <pivotArea dataOnly="0" labelOnly="1" fieldPosition="0">
        <references count="6">
          <reference field="1" count="1" selected="0">
            <x v="82"/>
          </reference>
          <reference field="2" count="1" selected="0">
            <x v="23"/>
          </reference>
          <reference field="3" count="1" selected="0">
            <x v="38"/>
          </reference>
          <reference field="4" count="1" selected="0">
            <x v="166"/>
          </reference>
          <reference field="5" count="1" selected="0">
            <x v="100"/>
          </reference>
          <reference field="6" count="1">
            <x v="47"/>
          </reference>
        </references>
      </pivotArea>
    </format>
    <format dxfId="1877">
      <pivotArea dataOnly="0" labelOnly="1" fieldPosition="0">
        <references count="6">
          <reference field="1" count="1" selected="0">
            <x v="82"/>
          </reference>
          <reference field="2" count="1" selected="0">
            <x v="34"/>
          </reference>
          <reference field="3" count="1" selected="0">
            <x v="38"/>
          </reference>
          <reference field="4" count="1" selected="0">
            <x v="166"/>
          </reference>
          <reference field="5" count="1" selected="0">
            <x v="509"/>
          </reference>
          <reference field="6" count="1">
            <x v="47"/>
          </reference>
        </references>
      </pivotArea>
    </format>
    <format dxfId="1876">
      <pivotArea dataOnly="0" labelOnly="1" fieldPosition="0">
        <references count="6">
          <reference field="1" count="1" selected="0">
            <x v="82"/>
          </reference>
          <reference field="2" count="1" selected="0">
            <x v="35"/>
          </reference>
          <reference field="3" count="1" selected="0">
            <x v="1"/>
          </reference>
          <reference field="4" count="1" selected="0">
            <x v="166"/>
          </reference>
          <reference field="5" count="1" selected="0">
            <x v="80"/>
          </reference>
          <reference field="6" count="1">
            <x v="47"/>
          </reference>
        </references>
      </pivotArea>
    </format>
    <format dxfId="1875">
      <pivotArea dataOnly="0" labelOnly="1" fieldPosition="0">
        <references count="6">
          <reference field="1" count="1" selected="0">
            <x v="82"/>
          </reference>
          <reference field="2" count="1" selected="0">
            <x v="36"/>
          </reference>
          <reference field="3" count="1" selected="0">
            <x v="6"/>
          </reference>
          <reference field="4" count="1" selected="0">
            <x v="166"/>
          </reference>
          <reference field="5" count="1" selected="0">
            <x v="283"/>
          </reference>
          <reference field="6" count="1">
            <x v="47"/>
          </reference>
        </references>
      </pivotArea>
    </format>
    <format dxfId="1874">
      <pivotArea dataOnly="0" labelOnly="1" fieldPosition="0">
        <references count="6">
          <reference field="1" count="1" selected="0">
            <x v="82"/>
          </reference>
          <reference field="2" count="1" selected="0">
            <x v="36"/>
          </reference>
          <reference field="3" count="1" selected="0">
            <x v="38"/>
          </reference>
          <reference field="4" count="1" selected="0">
            <x v="166"/>
          </reference>
          <reference field="5" count="1" selected="0">
            <x v="395"/>
          </reference>
          <reference field="6" count="1">
            <x v="47"/>
          </reference>
        </references>
      </pivotArea>
    </format>
    <format dxfId="1873">
      <pivotArea dataOnly="0" labelOnly="1" fieldPosition="0">
        <references count="6">
          <reference field="1" count="1" selected="0">
            <x v="82"/>
          </reference>
          <reference field="2" count="1" selected="0">
            <x v="37"/>
          </reference>
          <reference field="3" count="1" selected="0">
            <x v="6"/>
          </reference>
          <reference field="4" count="1" selected="0">
            <x v="166"/>
          </reference>
          <reference field="5" count="1" selected="0">
            <x v="802"/>
          </reference>
          <reference field="6" count="1">
            <x v="47"/>
          </reference>
        </references>
      </pivotArea>
    </format>
    <format dxfId="1872">
      <pivotArea dataOnly="0" labelOnly="1" fieldPosition="0">
        <references count="6">
          <reference field="1" count="1" selected="0">
            <x v="83"/>
          </reference>
          <reference field="2" count="1" selected="0">
            <x v="0"/>
          </reference>
          <reference field="3" count="1" selected="0">
            <x v="6"/>
          </reference>
          <reference field="4" count="1" selected="0">
            <x v="168"/>
          </reference>
          <reference field="5" count="1" selected="0">
            <x v="359"/>
          </reference>
          <reference field="6" count="1">
            <x v="47"/>
          </reference>
        </references>
      </pivotArea>
    </format>
    <format dxfId="1871">
      <pivotArea dataOnly="0" labelOnly="1" fieldPosition="0">
        <references count="6">
          <reference field="1" count="1" selected="0">
            <x v="83"/>
          </reference>
          <reference field="2" count="1" selected="0">
            <x v="0"/>
          </reference>
          <reference field="3" count="1" selected="0">
            <x v="6"/>
          </reference>
          <reference field="4" count="1" selected="0">
            <x v="168"/>
          </reference>
          <reference field="5" count="1" selected="0">
            <x v="749"/>
          </reference>
          <reference field="6" count="1">
            <x v="47"/>
          </reference>
        </references>
      </pivotArea>
    </format>
    <format dxfId="1870">
      <pivotArea dataOnly="0" labelOnly="1" fieldPosition="0">
        <references count="6">
          <reference field="1" count="1" selected="0">
            <x v="83"/>
          </reference>
          <reference field="2" count="1" selected="0">
            <x v="0"/>
          </reference>
          <reference field="3" count="1" selected="0">
            <x v="8"/>
          </reference>
          <reference field="4" count="1" selected="0">
            <x v="168"/>
          </reference>
          <reference field="5" count="1" selected="0">
            <x v="1028"/>
          </reference>
          <reference field="6" count="1">
            <x v="47"/>
          </reference>
        </references>
      </pivotArea>
    </format>
    <format dxfId="1869">
      <pivotArea dataOnly="0" labelOnly="1" fieldPosition="0">
        <references count="6">
          <reference field="1" count="1" selected="0">
            <x v="83"/>
          </reference>
          <reference field="2" count="1" selected="0">
            <x v="0"/>
          </reference>
          <reference field="3" count="1" selected="0">
            <x v="12"/>
          </reference>
          <reference field="4" count="1" selected="0">
            <x v="5"/>
          </reference>
          <reference field="5" count="1" selected="0">
            <x v="69"/>
          </reference>
          <reference field="6" count="1">
            <x v="47"/>
          </reference>
        </references>
      </pivotArea>
    </format>
    <format dxfId="1868">
      <pivotArea dataOnly="0" labelOnly="1" fieldPosition="0">
        <references count="6">
          <reference field="1" count="1" selected="0">
            <x v="83"/>
          </reference>
          <reference field="2" count="1" selected="0">
            <x v="0"/>
          </reference>
          <reference field="3" count="1" selected="0">
            <x v="12"/>
          </reference>
          <reference field="4" count="1" selected="0">
            <x v="52"/>
          </reference>
          <reference field="5" count="1" selected="0">
            <x v="9"/>
          </reference>
          <reference field="6" count="1">
            <x v="47"/>
          </reference>
        </references>
      </pivotArea>
    </format>
    <format dxfId="1867">
      <pivotArea dataOnly="0" labelOnly="1" fieldPosition="0">
        <references count="6">
          <reference field="1" count="1" selected="0">
            <x v="83"/>
          </reference>
          <reference field="2" count="1" selected="0">
            <x v="0"/>
          </reference>
          <reference field="3" count="1" selected="0">
            <x v="12"/>
          </reference>
          <reference field="4" count="1" selected="0">
            <x v="57"/>
          </reference>
          <reference field="5" count="1" selected="0">
            <x v="16"/>
          </reference>
          <reference field="6" count="1">
            <x v="47"/>
          </reference>
        </references>
      </pivotArea>
    </format>
    <format dxfId="1866">
      <pivotArea dataOnly="0" labelOnly="1" fieldPosition="0">
        <references count="6">
          <reference field="1" count="1" selected="0">
            <x v="83"/>
          </reference>
          <reference field="2" count="1" selected="0">
            <x v="0"/>
          </reference>
          <reference field="3" count="1" selected="0">
            <x v="38"/>
          </reference>
          <reference field="4" count="1" selected="0">
            <x v="168"/>
          </reference>
          <reference field="5" count="1" selected="0">
            <x v="138"/>
          </reference>
          <reference field="6" count="1">
            <x v="47"/>
          </reference>
        </references>
      </pivotArea>
    </format>
    <format dxfId="1865">
      <pivotArea dataOnly="0" labelOnly="1" fieldPosition="0">
        <references count="6">
          <reference field="1" count="1" selected="0">
            <x v="83"/>
          </reference>
          <reference field="2" count="1" selected="0">
            <x v="2"/>
          </reference>
          <reference field="3" count="1" selected="0">
            <x v="27"/>
          </reference>
          <reference field="4" count="1" selected="0">
            <x v="167"/>
          </reference>
          <reference field="5" count="1" selected="0">
            <x v="827"/>
          </reference>
          <reference field="6" count="1">
            <x v="47"/>
          </reference>
        </references>
      </pivotArea>
    </format>
    <format dxfId="1864">
      <pivotArea dataOnly="0" labelOnly="1" fieldPosition="0">
        <references count="6">
          <reference field="1" count="1" selected="0">
            <x v="83"/>
          </reference>
          <reference field="2" count="1" selected="0">
            <x v="3"/>
          </reference>
          <reference field="3" count="1" selected="0">
            <x v="1"/>
          </reference>
          <reference field="4" count="1" selected="0">
            <x v="168"/>
          </reference>
          <reference field="5" count="1" selected="0">
            <x v="109"/>
          </reference>
          <reference field="6" count="1">
            <x v="47"/>
          </reference>
        </references>
      </pivotArea>
    </format>
    <format dxfId="1863">
      <pivotArea dataOnly="0" labelOnly="1" fieldPosition="0">
        <references count="6">
          <reference field="1" count="1" selected="0">
            <x v="83"/>
          </reference>
          <reference field="2" count="1" selected="0">
            <x v="3"/>
          </reference>
          <reference field="3" count="1" selected="0">
            <x v="38"/>
          </reference>
          <reference field="4" count="1" selected="0">
            <x v="168"/>
          </reference>
          <reference field="5" count="1" selected="0">
            <x v="33"/>
          </reference>
          <reference field="6" count="1">
            <x v="47"/>
          </reference>
        </references>
      </pivotArea>
    </format>
    <format dxfId="1862">
      <pivotArea dataOnly="0" labelOnly="1" fieldPosition="0">
        <references count="6">
          <reference field="1" count="1" selected="0">
            <x v="83"/>
          </reference>
          <reference field="2" count="1" selected="0">
            <x v="6"/>
          </reference>
          <reference field="3" count="1" selected="0">
            <x v="38"/>
          </reference>
          <reference field="4" count="1" selected="0">
            <x v="168"/>
          </reference>
          <reference field="5" count="1" selected="0">
            <x v="1235"/>
          </reference>
          <reference field="6" count="1">
            <x v="47"/>
          </reference>
        </references>
      </pivotArea>
    </format>
    <format dxfId="1861">
      <pivotArea dataOnly="0" labelOnly="1" fieldPosition="0">
        <references count="6">
          <reference field="1" count="1" selected="0">
            <x v="83"/>
          </reference>
          <reference field="2" count="1" selected="0">
            <x v="12"/>
          </reference>
          <reference field="3" count="1" selected="0">
            <x v="1"/>
          </reference>
          <reference field="4" count="1" selected="0">
            <x v="168"/>
          </reference>
          <reference field="5" count="1" selected="0">
            <x v="80"/>
          </reference>
          <reference field="6" count="1">
            <x v="47"/>
          </reference>
        </references>
      </pivotArea>
    </format>
    <format dxfId="1860">
      <pivotArea dataOnly="0" labelOnly="1" fieldPosition="0">
        <references count="6">
          <reference field="1" count="1" selected="0">
            <x v="83"/>
          </reference>
          <reference field="2" count="1" selected="0">
            <x v="12"/>
          </reference>
          <reference field="3" count="1" selected="0">
            <x v="1"/>
          </reference>
          <reference field="4" count="1" selected="0">
            <x v="168"/>
          </reference>
          <reference field="5" count="1" selected="0">
            <x v="213"/>
          </reference>
          <reference field="6" count="1">
            <x v="47"/>
          </reference>
        </references>
      </pivotArea>
    </format>
    <format dxfId="1859">
      <pivotArea dataOnly="0" labelOnly="1" fieldPosition="0">
        <references count="6">
          <reference field="1" count="1" selected="0">
            <x v="83"/>
          </reference>
          <reference field="2" count="1" selected="0">
            <x v="12"/>
          </reference>
          <reference field="3" count="1" selected="0">
            <x v="1"/>
          </reference>
          <reference field="4" count="1" selected="0">
            <x v="168"/>
          </reference>
          <reference field="5" count="1" selected="0">
            <x v="352"/>
          </reference>
          <reference field="6" count="1">
            <x v="47"/>
          </reference>
        </references>
      </pivotArea>
    </format>
    <format dxfId="1858">
      <pivotArea dataOnly="0" labelOnly="1" fieldPosition="0">
        <references count="6">
          <reference field="1" count="1" selected="0">
            <x v="83"/>
          </reference>
          <reference field="2" count="1" selected="0">
            <x v="12"/>
          </reference>
          <reference field="3" count="1" selected="0">
            <x v="1"/>
          </reference>
          <reference field="4" count="1" selected="0">
            <x v="168"/>
          </reference>
          <reference field="5" count="1" selected="0">
            <x v="500"/>
          </reference>
          <reference field="6" count="1">
            <x v="47"/>
          </reference>
        </references>
      </pivotArea>
    </format>
    <format dxfId="1857">
      <pivotArea dataOnly="0" labelOnly="1" fieldPosition="0">
        <references count="6">
          <reference field="1" count="1" selected="0">
            <x v="83"/>
          </reference>
          <reference field="2" count="1" selected="0">
            <x v="12"/>
          </reference>
          <reference field="3" count="1" selected="0">
            <x v="1"/>
          </reference>
          <reference field="4" count="1" selected="0">
            <x v="168"/>
          </reference>
          <reference field="5" count="1" selected="0">
            <x v="607"/>
          </reference>
          <reference field="6" count="1">
            <x v="47"/>
          </reference>
        </references>
      </pivotArea>
    </format>
    <format dxfId="1856">
      <pivotArea dataOnly="0" labelOnly="1" fieldPosition="0">
        <references count="6">
          <reference field="1" count="1" selected="0">
            <x v="83"/>
          </reference>
          <reference field="2" count="1" selected="0">
            <x v="12"/>
          </reference>
          <reference field="3" count="1" selected="0">
            <x v="1"/>
          </reference>
          <reference field="4" count="1" selected="0">
            <x v="168"/>
          </reference>
          <reference field="5" count="1" selected="0">
            <x v="771"/>
          </reference>
          <reference field="6" count="1">
            <x v="47"/>
          </reference>
        </references>
      </pivotArea>
    </format>
    <format dxfId="1855">
      <pivotArea dataOnly="0" labelOnly="1" fieldPosition="0">
        <references count="6">
          <reference field="1" count="1" selected="0">
            <x v="83"/>
          </reference>
          <reference field="2" count="1" selected="0">
            <x v="12"/>
          </reference>
          <reference field="3" count="1" selected="0">
            <x v="27"/>
          </reference>
          <reference field="4" count="1" selected="0">
            <x v="167"/>
          </reference>
          <reference field="5" count="1" selected="0">
            <x v="289"/>
          </reference>
          <reference field="6" count="1">
            <x v="47"/>
          </reference>
        </references>
      </pivotArea>
    </format>
    <format dxfId="1854">
      <pivotArea dataOnly="0" labelOnly="1" fieldPosition="0">
        <references count="6">
          <reference field="1" count="1" selected="0">
            <x v="83"/>
          </reference>
          <reference field="2" count="1" selected="0">
            <x v="12"/>
          </reference>
          <reference field="3" count="1" selected="0">
            <x v="27"/>
          </reference>
          <reference field="4" count="1" selected="0">
            <x v="167"/>
          </reference>
          <reference field="5" count="1" selected="0">
            <x v="805"/>
          </reference>
          <reference field="6" count="1">
            <x v="47"/>
          </reference>
        </references>
      </pivotArea>
    </format>
    <format dxfId="1853">
      <pivotArea dataOnly="0" labelOnly="1" fieldPosition="0">
        <references count="6">
          <reference field="1" count="1" selected="0">
            <x v="83"/>
          </reference>
          <reference field="2" count="1" selected="0">
            <x v="15"/>
          </reference>
          <reference field="3" count="1" selected="0">
            <x v="1"/>
          </reference>
          <reference field="4" count="1" selected="0">
            <x v="168"/>
          </reference>
          <reference field="5" count="1" selected="0">
            <x v="1666"/>
          </reference>
          <reference field="6" count="1">
            <x v="47"/>
          </reference>
        </references>
      </pivotArea>
    </format>
    <format dxfId="1852">
      <pivotArea dataOnly="0" labelOnly="1" fieldPosition="0">
        <references count="6">
          <reference field="1" count="1" selected="0">
            <x v="83"/>
          </reference>
          <reference field="2" count="1" selected="0">
            <x v="30"/>
          </reference>
          <reference field="3" count="1" selected="0">
            <x v="6"/>
          </reference>
          <reference field="4" count="1" selected="0">
            <x v="168"/>
          </reference>
          <reference field="5" count="1" selected="0">
            <x v="1805"/>
          </reference>
          <reference field="6" count="1">
            <x v="47"/>
          </reference>
        </references>
      </pivotArea>
    </format>
    <format dxfId="1851">
      <pivotArea dataOnly="0" labelOnly="1" fieldPosition="0">
        <references count="6">
          <reference field="1" count="1" selected="0">
            <x v="83"/>
          </reference>
          <reference field="2" count="1" selected="0">
            <x v="35"/>
          </reference>
          <reference field="3" count="1" selected="0">
            <x v="1"/>
          </reference>
          <reference field="4" count="1" selected="0">
            <x v="168"/>
          </reference>
          <reference field="5" count="1" selected="0">
            <x v="80"/>
          </reference>
          <reference field="6" count="1">
            <x v="47"/>
          </reference>
        </references>
      </pivotArea>
    </format>
    <format dxfId="1850">
      <pivotArea dataOnly="0" labelOnly="1" fieldPosition="0">
        <references count="6">
          <reference field="1" count="1" selected="0">
            <x v="83"/>
          </reference>
          <reference field="2" count="1" selected="0">
            <x v="35"/>
          </reference>
          <reference field="3" count="1" selected="0">
            <x v="1"/>
          </reference>
          <reference field="4" count="1" selected="0">
            <x v="168"/>
          </reference>
          <reference field="5" count="1" selected="0">
            <x v="213"/>
          </reference>
          <reference field="6" count="1">
            <x v="47"/>
          </reference>
        </references>
      </pivotArea>
    </format>
    <format dxfId="1849">
      <pivotArea dataOnly="0" labelOnly="1" fieldPosition="0">
        <references count="6">
          <reference field="1" count="1" selected="0">
            <x v="84"/>
          </reference>
          <reference field="2" count="1" selected="0">
            <x v="0"/>
          </reference>
          <reference field="3" count="1" selected="0">
            <x v="6"/>
          </reference>
          <reference field="4" count="1" selected="0">
            <x v="169"/>
          </reference>
          <reference field="5" count="1" selected="0">
            <x v="354"/>
          </reference>
          <reference field="6" count="1">
            <x v="47"/>
          </reference>
        </references>
      </pivotArea>
    </format>
    <format dxfId="1848">
      <pivotArea dataOnly="0" labelOnly="1" fieldPosition="0">
        <references count="6">
          <reference field="1" count="1" selected="0">
            <x v="84"/>
          </reference>
          <reference field="2" count="1" selected="0">
            <x v="0"/>
          </reference>
          <reference field="3" count="1" selected="0">
            <x v="8"/>
          </reference>
          <reference field="4" count="1" selected="0">
            <x v="169"/>
          </reference>
          <reference field="5" count="1" selected="0">
            <x v="825"/>
          </reference>
          <reference field="6" count="1">
            <x v="47"/>
          </reference>
        </references>
      </pivotArea>
    </format>
    <format dxfId="1847">
      <pivotArea dataOnly="0" labelOnly="1" fieldPosition="0">
        <references count="6">
          <reference field="1" count="1" selected="0">
            <x v="84"/>
          </reference>
          <reference field="2" count="1" selected="0">
            <x v="0"/>
          </reference>
          <reference field="3" count="1" selected="0">
            <x v="9"/>
          </reference>
          <reference field="4" count="1" selected="0">
            <x v="169"/>
          </reference>
          <reference field="5" count="1" selected="0">
            <x v="461"/>
          </reference>
          <reference field="6" count="1">
            <x v="47"/>
          </reference>
        </references>
      </pivotArea>
    </format>
    <format dxfId="1846">
      <pivotArea dataOnly="0" labelOnly="1" fieldPosition="0">
        <references count="6">
          <reference field="1" count="1" selected="0">
            <x v="84"/>
          </reference>
          <reference field="2" count="1" selected="0">
            <x v="0"/>
          </reference>
          <reference field="3" count="1" selected="0">
            <x v="9"/>
          </reference>
          <reference field="4" count="1" selected="0">
            <x v="169"/>
          </reference>
          <reference field="5" count="1" selected="0">
            <x v="494"/>
          </reference>
          <reference field="6" count="1">
            <x v="47"/>
          </reference>
        </references>
      </pivotArea>
    </format>
    <format dxfId="1845">
      <pivotArea dataOnly="0" labelOnly="1" fieldPosition="0">
        <references count="6">
          <reference field="1" count="1" selected="0">
            <x v="84"/>
          </reference>
          <reference field="2" count="1" selected="0">
            <x v="0"/>
          </reference>
          <reference field="3" count="1" selected="0">
            <x v="12"/>
          </reference>
          <reference field="4" count="1" selected="0">
            <x v="21"/>
          </reference>
          <reference field="5" count="1" selected="0">
            <x v="227"/>
          </reference>
          <reference field="6" count="1">
            <x v="47"/>
          </reference>
        </references>
      </pivotArea>
    </format>
    <format dxfId="1844">
      <pivotArea dataOnly="0" labelOnly="1" fieldPosition="0">
        <references count="6">
          <reference field="1" count="1" selected="0">
            <x v="84"/>
          </reference>
          <reference field="2" count="1" selected="0">
            <x v="0"/>
          </reference>
          <reference field="3" count="1" selected="0">
            <x v="38"/>
          </reference>
          <reference field="4" count="1" selected="0">
            <x v="169"/>
          </reference>
          <reference field="5" count="1" selected="0">
            <x v="138"/>
          </reference>
          <reference field="6" count="1">
            <x v="47"/>
          </reference>
        </references>
      </pivotArea>
    </format>
    <format dxfId="1843">
      <pivotArea dataOnly="0" labelOnly="1" fieldPosition="0">
        <references count="6">
          <reference field="1" count="1" selected="0">
            <x v="84"/>
          </reference>
          <reference field="2" count="1" selected="0">
            <x v="12"/>
          </reference>
          <reference field="3" count="1" selected="0">
            <x v="1"/>
          </reference>
          <reference field="4" count="1" selected="0">
            <x v="169"/>
          </reference>
          <reference field="5" count="1" selected="0">
            <x v="80"/>
          </reference>
          <reference field="6" count="1">
            <x v="47"/>
          </reference>
        </references>
      </pivotArea>
    </format>
    <format dxfId="1842">
      <pivotArea dataOnly="0" labelOnly="1" fieldPosition="0">
        <references count="6">
          <reference field="1" count="1" selected="0">
            <x v="84"/>
          </reference>
          <reference field="2" count="1" selected="0">
            <x v="12"/>
          </reference>
          <reference field="3" count="1" selected="0">
            <x v="1"/>
          </reference>
          <reference field="4" count="1" selected="0">
            <x v="169"/>
          </reference>
          <reference field="5" count="1" selected="0">
            <x v="213"/>
          </reference>
          <reference field="6" count="1">
            <x v="47"/>
          </reference>
        </references>
      </pivotArea>
    </format>
    <format dxfId="1841">
      <pivotArea dataOnly="0" labelOnly="1" fieldPosition="0">
        <references count="6">
          <reference field="1" count="1" selected="0">
            <x v="84"/>
          </reference>
          <reference field="2" count="1" selected="0">
            <x v="12"/>
          </reference>
          <reference field="3" count="1" selected="0">
            <x v="1"/>
          </reference>
          <reference field="4" count="1" selected="0">
            <x v="169"/>
          </reference>
          <reference field="5" count="1" selected="0">
            <x v="352"/>
          </reference>
          <reference field="6" count="1">
            <x v="47"/>
          </reference>
        </references>
      </pivotArea>
    </format>
    <format dxfId="1840">
      <pivotArea dataOnly="0" labelOnly="1" fieldPosition="0">
        <references count="6">
          <reference field="1" count="1" selected="0">
            <x v="84"/>
          </reference>
          <reference field="2" count="1" selected="0">
            <x v="12"/>
          </reference>
          <reference field="3" count="1" selected="0">
            <x v="1"/>
          </reference>
          <reference field="4" count="1" selected="0">
            <x v="169"/>
          </reference>
          <reference field="5" count="1" selected="0">
            <x v="607"/>
          </reference>
          <reference field="6" count="1">
            <x v="47"/>
          </reference>
        </references>
      </pivotArea>
    </format>
    <format dxfId="1839">
      <pivotArea dataOnly="0" labelOnly="1" fieldPosition="0">
        <references count="6">
          <reference field="1" count="1" selected="0">
            <x v="84"/>
          </reference>
          <reference field="2" count="1" selected="0">
            <x v="12"/>
          </reference>
          <reference field="3" count="1" selected="0">
            <x v="1"/>
          </reference>
          <reference field="4" count="1" selected="0">
            <x v="169"/>
          </reference>
          <reference field="5" count="1" selected="0">
            <x v="702"/>
          </reference>
          <reference field="6" count="1">
            <x v="47"/>
          </reference>
        </references>
      </pivotArea>
    </format>
    <format dxfId="1838">
      <pivotArea dataOnly="0" labelOnly="1" fieldPosition="0">
        <references count="6">
          <reference field="1" count="1" selected="0">
            <x v="84"/>
          </reference>
          <reference field="2" count="1" selected="0">
            <x v="12"/>
          </reference>
          <reference field="3" count="1" selected="0">
            <x v="1"/>
          </reference>
          <reference field="4" count="1" selected="0">
            <x v="169"/>
          </reference>
          <reference field="5" count="1" selected="0">
            <x v="771"/>
          </reference>
          <reference field="6" count="1">
            <x v="47"/>
          </reference>
        </references>
      </pivotArea>
    </format>
    <format dxfId="1837">
      <pivotArea dataOnly="0" labelOnly="1" fieldPosition="0">
        <references count="6">
          <reference field="1" count="1" selected="0">
            <x v="84"/>
          </reference>
          <reference field="2" count="1" selected="0">
            <x v="14"/>
          </reference>
          <reference field="3" count="1" selected="0">
            <x v="6"/>
          </reference>
          <reference field="4" count="1" selected="0">
            <x v="169"/>
          </reference>
          <reference field="5" count="1" selected="0">
            <x v="1865"/>
          </reference>
          <reference field="6" count="1">
            <x v="47"/>
          </reference>
        </references>
      </pivotArea>
    </format>
    <format dxfId="1836">
      <pivotArea dataOnly="0" labelOnly="1" fieldPosition="0">
        <references count="6">
          <reference field="1" count="1" selected="0">
            <x v="84"/>
          </reference>
          <reference field="2" count="1" selected="0">
            <x v="26"/>
          </reference>
          <reference field="3" count="1" selected="0">
            <x v="38"/>
          </reference>
          <reference field="4" count="1" selected="0">
            <x v="169"/>
          </reference>
          <reference field="5" count="1" selected="0">
            <x v="1840"/>
          </reference>
          <reference field="6" count="1">
            <x v="47"/>
          </reference>
        </references>
      </pivotArea>
    </format>
    <format dxfId="1835">
      <pivotArea dataOnly="0" labelOnly="1" fieldPosition="0">
        <references count="6">
          <reference field="1" count="1" selected="0">
            <x v="84"/>
          </reference>
          <reference field="2" count="1" selected="0">
            <x v="35"/>
          </reference>
          <reference field="3" count="1" selected="0">
            <x v="1"/>
          </reference>
          <reference field="4" count="1" selected="0">
            <x v="169"/>
          </reference>
          <reference field="5" count="1" selected="0">
            <x v="80"/>
          </reference>
          <reference field="6" count="1">
            <x v="47"/>
          </reference>
        </references>
      </pivotArea>
    </format>
    <format dxfId="1834">
      <pivotArea dataOnly="0" labelOnly="1" fieldPosition="0">
        <references count="6">
          <reference field="1" count="1" selected="0">
            <x v="84"/>
          </reference>
          <reference field="2" count="1" selected="0">
            <x v="37"/>
          </reference>
          <reference field="3" count="1" selected="0">
            <x v="38"/>
          </reference>
          <reference field="4" count="1" selected="0">
            <x v="169"/>
          </reference>
          <reference field="5" count="1" selected="0">
            <x v="271"/>
          </reference>
          <reference field="6" count="1">
            <x v="47"/>
          </reference>
        </references>
      </pivotArea>
    </format>
    <format dxfId="1833">
      <pivotArea dataOnly="0" labelOnly="1" fieldPosition="0">
        <references count="6">
          <reference field="1" count="1" selected="0">
            <x v="85"/>
          </reference>
          <reference field="2" count="1" selected="0">
            <x v="0"/>
          </reference>
          <reference field="3" count="1" selected="0">
            <x v="8"/>
          </reference>
          <reference field="4" count="1" selected="0">
            <x v="170"/>
          </reference>
          <reference field="5" count="1" selected="0">
            <x v="108"/>
          </reference>
          <reference field="6" count="1">
            <x v="47"/>
          </reference>
        </references>
      </pivotArea>
    </format>
    <format dxfId="1832">
      <pivotArea dataOnly="0" labelOnly="1" fieldPosition="0">
        <references count="6">
          <reference field="1" count="1" selected="0">
            <x v="85"/>
          </reference>
          <reference field="2" count="1" selected="0">
            <x v="0"/>
          </reference>
          <reference field="3" count="1" selected="0">
            <x v="9"/>
          </reference>
          <reference field="4" count="1" selected="0">
            <x v="170"/>
          </reference>
          <reference field="5" count="1" selected="0">
            <x v="430"/>
          </reference>
          <reference field="6" count="1">
            <x v="47"/>
          </reference>
        </references>
      </pivotArea>
    </format>
    <format dxfId="1831">
      <pivotArea dataOnly="0" labelOnly="1" fieldPosition="0">
        <references count="6">
          <reference field="1" count="1" selected="0">
            <x v="85"/>
          </reference>
          <reference field="2" count="1" selected="0">
            <x v="0"/>
          </reference>
          <reference field="3" count="1" selected="0">
            <x v="9"/>
          </reference>
          <reference field="4" count="1" selected="0">
            <x v="170"/>
          </reference>
          <reference field="5" count="1" selected="0">
            <x v="640"/>
          </reference>
          <reference field="6" count="1">
            <x v="47"/>
          </reference>
        </references>
      </pivotArea>
    </format>
    <format dxfId="1830">
      <pivotArea dataOnly="0" labelOnly="1" fieldPosition="0">
        <references count="6">
          <reference field="1" count="1" selected="0">
            <x v="85"/>
          </reference>
          <reference field="2" count="1" selected="0">
            <x v="8"/>
          </reference>
          <reference field="3" count="1" selected="0">
            <x v="10"/>
          </reference>
          <reference field="4" count="1" selected="0">
            <x v="170"/>
          </reference>
          <reference field="5" count="1" selected="0">
            <x v="1304"/>
          </reference>
          <reference field="6" count="1">
            <x v="47"/>
          </reference>
        </references>
      </pivotArea>
    </format>
    <format dxfId="1829">
      <pivotArea dataOnly="0" labelOnly="1" fieldPosition="0">
        <references count="6">
          <reference field="1" count="1" selected="0">
            <x v="85"/>
          </reference>
          <reference field="2" count="1" selected="0">
            <x v="12"/>
          </reference>
          <reference field="3" count="1" selected="0">
            <x v="1"/>
          </reference>
          <reference field="4" count="1" selected="0">
            <x v="170"/>
          </reference>
          <reference field="5" count="1" selected="0">
            <x v="80"/>
          </reference>
          <reference field="6" count="1">
            <x v="47"/>
          </reference>
        </references>
      </pivotArea>
    </format>
    <format dxfId="1828">
      <pivotArea dataOnly="0" labelOnly="1" fieldPosition="0">
        <references count="6">
          <reference field="1" count="1" selected="0">
            <x v="85"/>
          </reference>
          <reference field="2" count="1" selected="0">
            <x v="12"/>
          </reference>
          <reference field="3" count="1" selected="0">
            <x v="1"/>
          </reference>
          <reference field="4" count="1" selected="0">
            <x v="170"/>
          </reference>
          <reference field="5" count="1" selected="0">
            <x v="213"/>
          </reference>
          <reference field="6" count="1">
            <x v="47"/>
          </reference>
        </references>
      </pivotArea>
    </format>
    <format dxfId="1827">
      <pivotArea dataOnly="0" labelOnly="1" fieldPosition="0">
        <references count="6">
          <reference field="1" count="1" selected="0">
            <x v="85"/>
          </reference>
          <reference field="2" count="1" selected="0">
            <x v="12"/>
          </reference>
          <reference field="3" count="1" selected="0">
            <x v="1"/>
          </reference>
          <reference field="4" count="1" selected="0">
            <x v="170"/>
          </reference>
          <reference field="5" count="1" selected="0">
            <x v="352"/>
          </reference>
          <reference field="6" count="1">
            <x v="47"/>
          </reference>
        </references>
      </pivotArea>
    </format>
    <format dxfId="1826">
      <pivotArea dataOnly="0" labelOnly="1" fieldPosition="0">
        <references count="6">
          <reference field="1" count="1" selected="0">
            <x v="85"/>
          </reference>
          <reference field="2" count="1" selected="0">
            <x v="12"/>
          </reference>
          <reference field="3" count="1" selected="0">
            <x v="1"/>
          </reference>
          <reference field="4" count="1" selected="0">
            <x v="170"/>
          </reference>
          <reference field="5" count="1" selected="0">
            <x v="500"/>
          </reference>
          <reference field="6" count="1">
            <x v="47"/>
          </reference>
        </references>
      </pivotArea>
    </format>
    <format dxfId="1825">
      <pivotArea dataOnly="0" labelOnly="1" fieldPosition="0">
        <references count="6">
          <reference field="1" count="1" selected="0">
            <x v="85"/>
          </reference>
          <reference field="2" count="1" selected="0">
            <x v="12"/>
          </reference>
          <reference field="3" count="1" selected="0">
            <x v="1"/>
          </reference>
          <reference field="4" count="1" selected="0">
            <x v="170"/>
          </reference>
          <reference field="5" count="1" selected="0">
            <x v="702"/>
          </reference>
          <reference field="6" count="1">
            <x v="47"/>
          </reference>
        </references>
      </pivotArea>
    </format>
    <format dxfId="1824">
      <pivotArea dataOnly="0" labelOnly="1" fieldPosition="0">
        <references count="6">
          <reference field="1" count="1" selected="0">
            <x v="85"/>
          </reference>
          <reference field="2" count="1" selected="0">
            <x v="19"/>
          </reference>
          <reference field="3" count="1" selected="0">
            <x v="6"/>
          </reference>
          <reference field="4" count="1" selected="0">
            <x v="170"/>
          </reference>
          <reference field="5" count="1" selected="0">
            <x v="883"/>
          </reference>
          <reference field="6" count="1">
            <x v="47"/>
          </reference>
        </references>
      </pivotArea>
    </format>
    <format dxfId="1823">
      <pivotArea dataOnly="0" labelOnly="1" fieldPosition="0">
        <references count="6">
          <reference field="1" count="1" selected="0">
            <x v="85"/>
          </reference>
          <reference field="2" count="1" selected="0">
            <x v="37"/>
          </reference>
          <reference field="3" count="1" selected="0">
            <x v="10"/>
          </reference>
          <reference field="4" count="1" selected="0">
            <x v="170"/>
          </reference>
          <reference field="5" count="1" selected="0">
            <x v="1491"/>
          </reference>
          <reference field="6" count="1">
            <x v="47"/>
          </reference>
        </references>
      </pivotArea>
    </format>
    <format dxfId="1822">
      <pivotArea dataOnly="0" labelOnly="1" fieldPosition="0">
        <references count="6">
          <reference field="1" count="1" selected="0">
            <x v="86"/>
          </reference>
          <reference field="2" count="1" selected="0">
            <x v="0"/>
          </reference>
          <reference field="3" count="1" selected="0">
            <x v="1"/>
          </reference>
          <reference field="4" count="1" selected="0">
            <x v="171"/>
          </reference>
          <reference field="5" count="1" selected="0">
            <x v="80"/>
          </reference>
          <reference field="6" count="1">
            <x v="47"/>
          </reference>
        </references>
      </pivotArea>
    </format>
    <format dxfId="1821">
      <pivotArea dataOnly="0" labelOnly="1" fieldPosition="0">
        <references count="6">
          <reference field="1" count="1" selected="0">
            <x v="86"/>
          </reference>
          <reference field="2" count="1" selected="0">
            <x v="0"/>
          </reference>
          <reference field="3" count="1" selected="0">
            <x v="1"/>
          </reference>
          <reference field="4" count="1" selected="0">
            <x v="171"/>
          </reference>
          <reference field="5" count="1" selected="0">
            <x v="778"/>
          </reference>
          <reference field="6" count="1">
            <x v="47"/>
          </reference>
        </references>
      </pivotArea>
    </format>
    <format dxfId="1820">
      <pivotArea dataOnly="0" labelOnly="1" fieldPosition="0">
        <references count="6">
          <reference field="1" count="1" selected="0">
            <x v="86"/>
          </reference>
          <reference field="2" count="1" selected="0">
            <x v="0"/>
          </reference>
          <reference field="3" count="1" selected="0">
            <x v="12"/>
          </reference>
          <reference field="4" count="1" selected="0">
            <x v="7"/>
          </reference>
          <reference field="5" count="1" selected="0">
            <x v="219"/>
          </reference>
          <reference field="6" count="1">
            <x v="47"/>
          </reference>
        </references>
      </pivotArea>
    </format>
    <format dxfId="1819">
      <pivotArea dataOnly="0" labelOnly="1" fieldPosition="0">
        <references count="6">
          <reference field="1" count="1" selected="0">
            <x v="86"/>
          </reference>
          <reference field="2" count="1" selected="0">
            <x v="0"/>
          </reference>
          <reference field="3" count="1" selected="0">
            <x v="12"/>
          </reference>
          <reference field="4" count="1" selected="0">
            <x v="32"/>
          </reference>
          <reference field="5" count="1" selected="0">
            <x v="391"/>
          </reference>
          <reference field="6" count="1">
            <x v="47"/>
          </reference>
        </references>
      </pivotArea>
    </format>
    <format dxfId="1818">
      <pivotArea dataOnly="0" labelOnly="1" fieldPosition="0">
        <references count="6">
          <reference field="1" count="1" selected="0">
            <x v="86"/>
          </reference>
          <reference field="2" count="1" selected="0">
            <x v="0"/>
          </reference>
          <reference field="3" count="1" selected="0">
            <x v="37"/>
          </reference>
          <reference field="4" count="1" selected="0">
            <x v="171"/>
          </reference>
          <reference field="5" count="1" selected="0">
            <x v="1312"/>
          </reference>
          <reference field="6" count="1">
            <x v="47"/>
          </reference>
        </references>
      </pivotArea>
    </format>
    <format dxfId="1817">
      <pivotArea dataOnly="0" labelOnly="1" fieldPosition="0">
        <references count="6">
          <reference field="1" count="1" selected="0">
            <x v="86"/>
          </reference>
          <reference field="2" count="1" selected="0">
            <x v="0"/>
          </reference>
          <reference field="3" count="1" selected="0">
            <x v="38"/>
          </reference>
          <reference field="4" count="1" selected="0">
            <x v="171"/>
          </reference>
          <reference field="5" count="1" selected="0">
            <x v="1326"/>
          </reference>
          <reference field="6" count="1">
            <x v="47"/>
          </reference>
        </references>
      </pivotArea>
    </format>
    <format dxfId="1816">
      <pivotArea dataOnly="0" labelOnly="1" fieldPosition="0">
        <references count="6">
          <reference field="1" count="1" selected="0">
            <x v="86"/>
          </reference>
          <reference field="2" count="1" selected="0">
            <x v="2"/>
          </reference>
          <reference field="3" count="1" selected="0">
            <x v="1"/>
          </reference>
          <reference field="4" count="1" selected="0">
            <x v="171"/>
          </reference>
          <reference field="5" count="1" selected="0">
            <x v="1205"/>
          </reference>
          <reference field="6" count="1">
            <x v="47"/>
          </reference>
        </references>
      </pivotArea>
    </format>
    <format dxfId="1815">
      <pivotArea dataOnly="0" labelOnly="1" fieldPosition="0">
        <references count="6">
          <reference field="1" count="1" selected="0">
            <x v="86"/>
          </reference>
          <reference field="2" count="1" selected="0">
            <x v="2"/>
          </reference>
          <reference field="3" count="1" selected="0">
            <x v="6"/>
          </reference>
          <reference field="4" count="1" selected="0">
            <x v="171"/>
          </reference>
          <reference field="5" count="1" selected="0">
            <x v="615"/>
          </reference>
          <reference field="6" count="1">
            <x v="47"/>
          </reference>
        </references>
      </pivotArea>
    </format>
    <format dxfId="1814">
      <pivotArea dataOnly="0" labelOnly="1" fieldPosition="0">
        <references count="6">
          <reference field="1" count="1" selected="0">
            <x v="86"/>
          </reference>
          <reference field="2" count="1" selected="0">
            <x v="3"/>
          </reference>
          <reference field="3" count="1" selected="0">
            <x v="38"/>
          </reference>
          <reference field="4" count="1" selected="0">
            <x v="171"/>
          </reference>
          <reference field="5" count="1" selected="0">
            <x v="322"/>
          </reference>
          <reference field="6" count="1">
            <x v="47"/>
          </reference>
        </references>
      </pivotArea>
    </format>
    <format dxfId="1813">
      <pivotArea dataOnly="0" labelOnly="1" fieldPosition="0">
        <references count="6">
          <reference field="1" count="1" selected="0">
            <x v="86"/>
          </reference>
          <reference field="2" count="1" selected="0">
            <x v="5"/>
          </reference>
          <reference field="3" count="1" selected="0">
            <x v="37"/>
          </reference>
          <reference field="4" count="1" selected="0">
            <x v="171"/>
          </reference>
          <reference field="5" count="1" selected="0">
            <x v="1777"/>
          </reference>
          <reference field="6" count="1">
            <x v="47"/>
          </reference>
        </references>
      </pivotArea>
    </format>
    <format dxfId="1812">
      <pivotArea dataOnly="0" labelOnly="1" fieldPosition="0">
        <references count="6">
          <reference field="1" count="1" selected="0">
            <x v="86"/>
          </reference>
          <reference field="2" count="1" selected="0">
            <x v="5"/>
          </reference>
          <reference field="3" count="1" selected="0">
            <x v="38"/>
          </reference>
          <reference field="4" count="1" selected="0">
            <x v="171"/>
          </reference>
          <reference field="5" count="1" selected="0">
            <x v="1837"/>
          </reference>
          <reference field="6" count="1">
            <x v="47"/>
          </reference>
        </references>
      </pivotArea>
    </format>
    <format dxfId="1811">
      <pivotArea dataOnly="0" labelOnly="1" fieldPosition="0">
        <references count="6">
          <reference field="1" count="1" selected="0">
            <x v="86"/>
          </reference>
          <reference field="2" count="1" selected="0">
            <x v="6"/>
          </reference>
          <reference field="3" count="1" selected="0">
            <x v="38"/>
          </reference>
          <reference field="4" count="1" selected="0">
            <x v="171"/>
          </reference>
          <reference field="5" count="1" selected="0">
            <x v="1164"/>
          </reference>
          <reference field="6" count="1">
            <x v="47"/>
          </reference>
        </references>
      </pivotArea>
    </format>
    <format dxfId="1810">
      <pivotArea dataOnly="0" labelOnly="1" fieldPosition="0">
        <references count="6">
          <reference field="1" count="1" selected="0">
            <x v="86"/>
          </reference>
          <reference field="2" count="1" selected="0">
            <x v="7"/>
          </reference>
          <reference field="3" count="1" selected="0">
            <x v="38"/>
          </reference>
          <reference field="4" count="1" selected="0">
            <x v="171"/>
          </reference>
          <reference field="5" count="1" selected="0">
            <x v="1061"/>
          </reference>
          <reference field="6" count="1">
            <x v="47"/>
          </reference>
        </references>
      </pivotArea>
    </format>
    <format dxfId="1809">
      <pivotArea dataOnly="0" labelOnly="1" fieldPosition="0">
        <references count="6">
          <reference field="1" count="1" selected="0">
            <x v="86"/>
          </reference>
          <reference field="2" count="1" selected="0">
            <x v="9"/>
          </reference>
          <reference field="3" count="1" selected="0">
            <x v="38"/>
          </reference>
          <reference field="4" count="1" selected="0">
            <x v="171"/>
          </reference>
          <reference field="5" count="1" selected="0">
            <x v="66"/>
          </reference>
          <reference field="6" count="1">
            <x v="47"/>
          </reference>
        </references>
      </pivotArea>
    </format>
    <format dxfId="1808">
      <pivotArea dataOnly="0" labelOnly="1" fieldPosition="0">
        <references count="6">
          <reference field="1" count="1" selected="0">
            <x v="86"/>
          </reference>
          <reference field="2" count="1" selected="0">
            <x v="10"/>
          </reference>
          <reference field="3" count="1" selected="0">
            <x v="38"/>
          </reference>
          <reference field="4" count="1" selected="0">
            <x v="171"/>
          </reference>
          <reference field="5" count="1" selected="0">
            <x v="612"/>
          </reference>
          <reference field="6" count="1">
            <x v="47"/>
          </reference>
        </references>
      </pivotArea>
    </format>
    <format dxfId="1807">
      <pivotArea dataOnly="0" labelOnly="1" fieldPosition="0">
        <references count="6">
          <reference field="1" count="1" selected="0">
            <x v="86"/>
          </reference>
          <reference field="2" count="1" selected="0">
            <x v="12"/>
          </reference>
          <reference field="3" count="1" selected="0">
            <x v="1"/>
          </reference>
          <reference field="4" count="1" selected="0">
            <x v="171"/>
          </reference>
          <reference field="5" count="1" selected="0">
            <x v="80"/>
          </reference>
          <reference field="6" count="1">
            <x v="47"/>
          </reference>
        </references>
      </pivotArea>
    </format>
    <format dxfId="1806">
      <pivotArea dataOnly="0" labelOnly="1" fieldPosition="0">
        <references count="6">
          <reference field="1" count="1" selected="0">
            <x v="86"/>
          </reference>
          <reference field="2" count="1" selected="0">
            <x v="12"/>
          </reference>
          <reference field="3" count="1" selected="0">
            <x v="1"/>
          </reference>
          <reference field="4" count="1" selected="0">
            <x v="171"/>
          </reference>
          <reference field="5" count="1" selected="0">
            <x v="213"/>
          </reference>
          <reference field="6" count="1">
            <x v="47"/>
          </reference>
        </references>
      </pivotArea>
    </format>
    <format dxfId="1805">
      <pivotArea dataOnly="0" labelOnly="1" fieldPosition="0">
        <references count="6">
          <reference field="1" count="1" selected="0">
            <x v="86"/>
          </reference>
          <reference field="2" count="1" selected="0">
            <x v="12"/>
          </reference>
          <reference field="3" count="1" selected="0">
            <x v="1"/>
          </reference>
          <reference field="4" count="1" selected="0">
            <x v="171"/>
          </reference>
          <reference field="5" count="1" selected="0">
            <x v="352"/>
          </reference>
          <reference field="6" count="1">
            <x v="47"/>
          </reference>
        </references>
      </pivotArea>
    </format>
    <format dxfId="1804">
      <pivotArea dataOnly="0" labelOnly="1" fieldPosition="0">
        <references count="6">
          <reference field="1" count="1" selected="0">
            <x v="86"/>
          </reference>
          <reference field="2" count="1" selected="0">
            <x v="14"/>
          </reference>
          <reference field="3" count="1" selected="0">
            <x v="37"/>
          </reference>
          <reference field="4" count="1" selected="0">
            <x v="171"/>
          </reference>
          <reference field="5" count="1" selected="0">
            <x v="1375"/>
          </reference>
          <reference field="6" count="1">
            <x v="47"/>
          </reference>
        </references>
      </pivotArea>
    </format>
    <format dxfId="1803">
      <pivotArea dataOnly="0" labelOnly="1" fieldPosition="0">
        <references count="6">
          <reference field="1" count="1" selected="0">
            <x v="86"/>
          </reference>
          <reference field="2" count="1" selected="0">
            <x v="14"/>
          </reference>
          <reference field="3" count="1" selected="0">
            <x v="38"/>
          </reference>
          <reference field="4" count="1" selected="0">
            <x v="171"/>
          </reference>
          <reference field="5" count="1" selected="0">
            <x v="1599"/>
          </reference>
          <reference field="6" count="1">
            <x v="47"/>
          </reference>
        </references>
      </pivotArea>
    </format>
    <format dxfId="1802">
      <pivotArea dataOnly="0" labelOnly="1" fieldPosition="0">
        <references count="6">
          <reference field="1" count="1" selected="0">
            <x v="86"/>
          </reference>
          <reference field="2" count="1" selected="0">
            <x v="15"/>
          </reference>
          <reference field="3" count="1" selected="0">
            <x v="38"/>
          </reference>
          <reference field="4" count="1" selected="0">
            <x v="171"/>
          </reference>
          <reference field="5" count="1" selected="0">
            <x v="1826"/>
          </reference>
          <reference field="6" count="1">
            <x v="47"/>
          </reference>
        </references>
      </pivotArea>
    </format>
    <format dxfId="1801">
      <pivotArea dataOnly="0" labelOnly="1" fieldPosition="0">
        <references count="6">
          <reference field="1" count="1" selected="0">
            <x v="86"/>
          </reference>
          <reference field="2" count="1" selected="0">
            <x v="19"/>
          </reference>
          <reference field="3" count="1" selected="0">
            <x v="37"/>
          </reference>
          <reference field="4" count="1" selected="0">
            <x v="171"/>
          </reference>
          <reference field="5" count="1" selected="0">
            <x v="1574"/>
          </reference>
          <reference field="6" count="1">
            <x v="47"/>
          </reference>
        </references>
      </pivotArea>
    </format>
    <format dxfId="1800">
      <pivotArea dataOnly="0" labelOnly="1" fieldPosition="0">
        <references count="6">
          <reference field="1" count="1" selected="0">
            <x v="86"/>
          </reference>
          <reference field="2" count="1" selected="0">
            <x v="19"/>
          </reference>
          <reference field="3" count="1" selected="0">
            <x v="38"/>
          </reference>
          <reference field="4" count="1" selected="0">
            <x v="171"/>
          </reference>
          <reference field="5" count="1" selected="0">
            <x v="1725"/>
          </reference>
          <reference field="6" count="1">
            <x v="47"/>
          </reference>
        </references>
      </pivotArea>
    </format>
    <format dxfId="1799">
      <pivotArea dataOnly="0" labelOnly="1" fieldPosition="0">
        <references count="6">
          <reference field="1" count="1" selected="0">
            <x v="86"/>
          </reference>
          <reference field="2" count="1" selected="0">
            <x v="21"/>
          </reference>
          <reference field="3" count="1" selected="0">
            <x v="10"/>
          </reference>
          <reference field="4" count="1" selected="0">
            <x v="171"/>
          </reference>
          <reference field="5" count="1" selected="0">
            <x v="0"/>
          </reference>
          <reference field="6" count="1">
            <x v="33"/>
          </reference>
        </references>
      </pivotArea>
    </format>
    <format dxfId="1798">
      <pivotArea dataOnly="0" labelOnly="1" fieldPosition="0">
        <references count="6">
          <reference field="1" count="1" selected="0">
            <x v="86"/>
          </reference>
          <reference field="2" count="1" selected="0">
            <x v="23"/>
          </reference>
          <reference field="3" count="1" selected="0">
            <x v="1"/>
          </reference>
          <reference field="4" count="1" selected="0">
            <x v="171"/>
          </reference>
          <reference field="5" count="1" selected="0">
            <x v="278"/>
          </reference>
          <reference field="6" count="1">
            <x v="47"/>
          </reference>
        </references>
      </pivotArea>
    </format>
    <format dxfId="1797">
      <pivotArea dataOnly="0" labelOnly="1" fieldPosition="0">
        <references count="6">
          <reference field="1" count="1" selected="0">
            <x v="86"/>
          </reference>
          <reference field="2" count="1" selected="0">
            <x v="33"/>
          </reference>
          <reference field="3" count="1" selected="0">
            <x v="38"/>
          </reference>
          <reference field="4" count="1" selected="0">
            <x v="171"/>
          </reference>
          <reference field="5" count="1" selected="0">
            <x v="659"/>
          </reference>
          <reference field="6" count="1">
            <x v="47"/>
          </reference>
        </references>
      </pivotArea>
    </format>
    <format dxfId="1796">
      <pivotArea dataOnly="0" labelOnly="1" fieldPosition="0">
        <references count="6">
          <reference field="1" count="1" selected="0">
            <x v="86"/>
          </reference>
          <reference field="2" count="1" selected="0">
            <x v="35"/>
          </reference>
          <reference field="3" count="1" selected="0">
            <x v="1"/>
          </reference>
          <reference field="4" count="1" selected="0">
            <x v="171"/>
          </reference>
          <reference field="5" count="1" selected="0">
            <x v="80"/>
          </reference>
          <reference field="6" count="1">
            <x v="47"/>
          </reference>
        </references>
      </pivotArea>
    </format>
    <format dxfId="1795">
      <pivotArea dataOnly="0" labelOnly="1" fieldPosition="0">
        <references count="6">
          <reference field="1" count="1" selected="0">
            <x v="87"/>
          </reference>
          <reference field="2" count="1" selected="0">
            <x v="0"/>
          </reference>
          <reference field="3" count="1" selected="0">
            <x v="9"/>
          </reference>
          <reference field="4" count="1" selected="0">
            <x v="172"/>
          </reference>
          <reference field="5" count="1" selected="0">
            <x v="620"/>
          </reference>
          <reference field="6" count="1">
            <x v="47"/>
          </reference>
        </references>
      </pivotArea>
    </format>
    <format dxfId="1794">
      <pivotArea dataOnly="0" labelOnly="1" fieldPosition="0">
        <references count="6">
          <reference field="1" count="1" selected="0">
            <x v="87"/>
          </reference>
          <reference field="2" count="1" selected="0">
            <x v="0"/>
          </reference>
          <reference field="3" count="1" selected="0">
            <x v="9"/>
          </reference>
          <reference field="4" count="1" selected="0">
            <x v="172"/>
          </reference>
          <reference field="5" count="1" selected="0">
            <x v="640"/>
          </reference>
          <reference field="6" count="1">
            <x v="47"/>
          </reference>
        </references>
      </pivotArea>
    </format>
    <format dxfId="1793">
      <pivotArea dataOnly="0" labelOnly="1" fieldPosition="0">
        <references count="6">
          <reference field="1" count="1" selected="0">
            <x v="87"/>
          </reference>
          <reference field="2" count="1" selected="0">
            <x v="0"/>
          </reference>
          <reference field="3" count="1" selected="0">
            <x v="9"/>
          </reference>
          <reference field="4" count="1" selected="0">
            <x v="172"/>
          </reference>
          <reference field="5" count="1" selected="0">
            <x v="745"/>
          </reference>
          <reference field="6" count="1">
            <x v="47"/>
          </reference>
        </references>
      </pivotArea>
    </format>
    <format dxfId="1792">
      <pivotArea dataOnly="0" labelOnly="1" fieldPosition="0">
        <references count="6">
          <reference field="1" count="1" selected="0">
            <x v="87"/>
          </reference>
          <reference field="2" count="1" selected="0">
            <x v="0"/>
          </reference>
          <reference field="3" count="1" selected="0">
            <x v="9"/>
          </reference>
          <reference field="4" count="1" selected="0">
            <x v="172"/>
          </reference>
          <reference field="5" count="1" selected="0">
            <x v="924"/>
          </reference>
          <reference field="6" count="1">
            <x v="47"/>
          </reference>
        </references>
      </pivotArea>
    </format>
    <format dxfId="1791">
      <pivotArea dataOnly="0" labelOnly="1" fieldPosition="0">
        <references count="6">
          <reference field="1" count="1" selected="0">
            <x v="87"/>
          </reference>
          <reference field="2" count="1" selected="0">
            <x v="0"/>
          </reference>
          <reference field="3" count="1" selected="0">
            <x v="9"/>
          </reference>
          <reference field="4" count="1" selected="0">
            <x v="172"/>
          </reference>
          <reference field="5" count="1" selected="0">
            <x v="973"/>
          </reference>
          <reference field="6" count="1">
            <x v="47"/>
          </reference>
        </references>
      </pivotArea>
    </format>
    <format dxfId="1790">
      <pivotArea dataOnly="0" labelOnly="1" fieldPosition="0">
        <references count="6">
          <reference field="1" count="1" selected="0">
            <x v="87"/>
          </reference>
          <reference field="2" count="1" selected="0">
            <x v="0"/>
          </reference>
          <reference field="3" count="1" selected="0">
            <x v="12"/>
          </reference>
          <reference field="4" count="1" selected="0">
            <x v="32"/>
          </reference>
          <reference field="5" count="1" selected="0">
            <x v="391"/>
          </reference>
          <reference field="6" count="1">
            <x v="47"/>
          </reference>
        </references>
      </pivotArea>
    </format>
    <format dxfId="1789">
      <pivotArea dataOnly="0" labelOnly="1" fieldPosition="0">
        <references count="6">
          <reference field="1" count="1" selected="0">
            <x v="87"/>
          </reference>
          <reference field="2" count="1" selected="0">
            <x v="0"/>
          </reference>
          <reference field="3" count="1" selected="0">
            <x v="12"/>
          </reference>
          <reference field="4" count="1" selected="0">
            <x v="44"/>
          </reference>
          <reference field="5" count="1" selected="0">
            <x v="11"/>
          </reference>
          <reference field="6" count="1">
            <x v="47"/>
          </reference>
        </references>
      </pivotArea>
    </format>
    <format dxfId="1788">
      <pivotArea dataOnly="0" labelOnly="1" fieldPosition="0">
        <references count="6">
          <reference field="1" count="1" selected="0">
            <x v="87"/>
          </reference>
          <reference field="2" count="1" selected="0">
            <x v="0"/>
          </reference>
          <reference field="3" count="1" selected="0">
            <x v="12"/>
          </reference>
          <reference field="4" count="1" selected="0">
            <x v="53"/>
          </reference>
          <reference field="5" count="1" selected="0">
            <x v="25"/>
          </reference>
          <reference field="6" count="1">
            <x v="47"/>
          </reference>
        </references>
      </pivotArea>
    </format>
    <format dxfId="1787">
      <pivotArea dataOnly="0" labelOnly="1" fieldPosition="0">
        <references count="6">
          <reference field="1" count="1" selected="0">
            <x v="87"/>
          </reference>
          <reference field="2" count="1" selected="0">
            <x v="0"/>
          </reference>
          <reference field="3" count="1" selected="0">
            <x v="12"/>
          </reference>
          <reference field="4" count="1" selected="0">
            <x v="61"/>
          </reference>
          <reference field="5" count="1" selected="0">
            <x v="6"/>
          </reference>
          <reference field="6" count="1">
            <x v="47"/>
          </reference>
        </references>
      </pivotArea>
    </format>
    <format dxfId="1786">
      <pivotArea dataOnly="0" labelOnly="1" fieldPosition="0">
        <references count="6">
          <reference field="1" count="1" selected="0">
            <x v="87"/>
          </reference>
          <reference field="2" count="1" selected="0">
            <x v="0"/>
          </reference>
          <reference field="3" count="1" selected="0">
            <x v="12"/>
          </reference>
          <reference field="4" count="1" selected="0">
            <x v="65"/>
          </reference>
          <reference field="5" count="1" selected="0">
            <x v="18"/>
          </reference>
          <reference field="6" count="1">
            <x v="47"/>
          </reference>
        </references>
      </pivotArea>
    </format>
    <format dxfId="1785">
      <pivotArea dataOnly="0" labelOnly="1" fieldPosition="0">
        <references count="6">
          <reference field="1" count="1" selected="0">
            <x v="87"/>
          </reference>
          <reference field="2" count="1" selected="0">
            <x v="0"/>
          </reference>
          <reference field="3" count="1" selected="0">
            <x v="12"/>
          </reference>
          <reference field="4" count="1" selected="0">
            <x v="66"/>
          </reference>
          <reference field="5" count="1" selected="0">
            <x v="25"/>
          </reference>
          <reference field="6" count="1">
            <x v="47"/>
          </reference>
        </references>
      </pivotArea>
    </format>
    <format dxfId="1784">
      <pivotArea dataOnly="0" labelOnly="1" fieldPosition="0">
        <references count="6">
          <reference field="1" count="1" selected="0">
            <x v="87"/>
          </reference>
          <reference field="2" count="1" selected="0">
            <x v="0"/>
          </reference>
          <reference field="3" count="1" selected="0">
            <x v="12"/>
          </reference>
          <reference field="4" count="1" selected="0">
            <x v="71"/>
          </reference>
          <reference field="5" count="1" selected="0">
            <x v="11"/>
          </reference>
          <reference field="6" count="1">
            <x v="47"/>
          </reference>
        </references>
      </pivotArea>
    </format>
    <format dxfId="1783">
      <pivotArea dataOnly="0" labelOnly="1" fieldPosition="0">
        <references count="6">
          <reference field="1" count="1" selected="0">
            <x v="87"/>
          </reference>
          <reference field="2" count="1" selected="0">
            <x v="11"/>
          </reference>
          <reference field="3" count="1" selected="0">
            <x v="8"/>
          </reference>
          <reference field="4" count="1" selected="0">
            <x v="172"/>
          </reference>
          <reference field="5" count="1" selected="0">
            <x v="927"/>
          </reference>
          <reference field="6" count="1">
            <x v="47"/>
          </reference>
        </references>
      </pivotArea>
    </format>
    <format dxfId="1782">
      <pivotArea dataOnly="0" labelOnly="1" fieldPosition="0">
        <references count="6">
          <reference field="1" count="1" selected="0">
            <x v="87"/>
          </reference>
          <reference field="2" count="1" selected="0">
            <x v="12"/>
          </reference>
          <reference field="3" count="1" selected="0">
            <x v="1"/>
          </reference>
          <reference field="4" count="1" selected="0">
            <x v="172"/>
          </reference>
          <reference field="5" count="1" selected="0">
            <x v="213"/>
          </reference>
          <reference field="6" count="1">
            <x v="47"/>
          </reference>
        </references>
      </pivotArea>
    </format>
    <format dxfId="1781">
      <pivotArea dataOnly="0" labelOnly="1" fieldPosition="0">
        <references count="6">
          <reference field="1" count="1" selected="0">
            <x v="87"/>
          </reference>
          <reference field="2" count="1" selected="0">
            <x v="12"/>
          </reference>
          <reference field="3" count="1" selected="0">
            <x v="1"/>
          </reference>
          <reference field="4" count="1" selected="0">
            <x v="172"/>
          </reference>
          <reference field="5" count="1" selected="0">
            <x v="500"/>
          </reference>
          <reference field="6" count="1">
            <x v="47"/>
          </reference>
        </references>
      </pivotArea>
    </format>
    <format dxfId="1780">
      <pivotArea dataOnly="0" labelOnly="1" fieldPosition="0">
        <references count="6">
          <reference field="1" count="1" selected="0">
            <x v="87"/>
          </reference>
          <reference field="2" count="1" selected="0">
            <x v="12"/>
          </reference>
          <reference field="3" count="1" selected="0">
            <x v="1"/>
          </reference>
          <reference field="4" count="1" selected="0">
            <x v="172"/>
          </reference>
          <reference field="5" count="1" selected="0">
            <x v="702"/>
          </reference>
          <reference field="6" count="1">
            <x v="47"/>
          </reference>
        </references>
      </pivotArea>
    </format>
    <format dxfId="1779">
      <pivotArea dataOnly="0" labelOnly="1" fieldPosition="0">
        <references count="6">
          <reference field="1" count="1" selected="0">
            <x v="87"/>
          </reference>
          <reference field="2" count="1" selected="0">
            <x v="15"/>
          </reference>
          <reference field="3" count="1" selected="0">
            <x v="6"/>
          </reference>
          <reference field="4" count="1" selected="0">
            <x v="172"/>
          </reference>
          <reference field="5" count="1" selected="0">
            <x v="212"/>
          </reference>
          <reference field="6" count="1">
            <x v="47"/>
          </reference>
        </references>
      </pivotArea>
    </format>
    <format dxfId="1778">
      <pivotArea dataOnly="0" labelOnly="1" fieldPosition="0">
        <references count="6">
          <reference field="1" count="1" selected="0">
            <x v="87"/>
          </reference>
          <reference field="2" count="1" selected="0">
            <x v="15"/>
          </reference>
          <reference field="3" count="1" selected="0">
            <x v="9"/>
          </reference>
          <reference field="4" count="1" selected="0">
            <x v="172"/>
          </reference>
          <reference field="5" count="1" selected="0">
            <x v="331"/>
          </reference>
          <reference field="6" count="1">
            <x v="47"/>
          </reference>
        </references>
      </pivotArea>
    </format>
    <format dxfId="1777">
      <pivotArea dataOnly="0" labelOnly="1" fieldPosition="0">
        <references count="6">
          <reference field="1" count="1" selected="0">
            <x v="87"/>
          </reference>
          <reference field="2" count="1" selected="0">
            <x v="23"/>
          </reference>
          <reference field="3" count="1" selected="0">
            <x v="38"/>
          </reference>
          <reference field="4" count="1" selected="0">
            <x v="172"/>
          </reference>
          <reference field="5" count="1" selected="0">
            <x v="76"/>
          </reference>
          <reference field="6" count="1">
            <x v="47"/>
          </reference>
        </references>
      </pivotArea>
    </format>
    <format dxfId="1776">
      <pivotArea dataOnly="0" labelOnly="1" fieldPosition="0">
        <references count="6">
          <reference field="1" count="1" selected="0">
            <x v="87"/>
          </reference>
          <reference field="2" count="1" selected="0">
            <x v="24"/>
          </reference>
          <reference field="3" count="1" selected="0">
            <x v="8"/>
          </reference>
          <reference field="4" count="1" selected="0">
            <x v="172"/>
          </reference>
          <reference field="5" count="1" selected="0">
            <x v="896"/>
          </reference>
          <reference field="6" count="1">
            <x v="47"/>
          </reference>
        </references>
      </pivotArea>
    </format>
    <format dxfId="1775">
      <pivotArea dataOnly="0" labelOnly="1" fieldPosition="0">
        <references count="6">
          <reference field="1" count="1" selected="0">
            <x v="87"/>
          </reference>
          <reference field="2" count="1" selected="0">
            <x v="25"/>
          </reference>
          <reference field="3" count="1" selected="0">
            <x v="9"/>
          </reference>
          <reference field="4" count="1" selected="0">
            <x v="172"/>
          </reference>
          <reference field="5" count="1" selected="0">
            <x v="901"/>
          </reference>
          <reference field="6" count="1">
            <x v="47"/>
          </reference>
        </references>
      </pivotArea>
    </format>
    <format dxfId="1774">
      <pivotArea dataOnly="0" labelOnly="1" fieldPosition="0">
        <references count="6">
          <reference field="1" count="1" selected="0">
            <x v="87"/>
          </reference>
          <reference field="2" count="1" selected="0">
            <x v="27"/>
          </reference>
          <reference field="3" count="1" selected="0">
            <x v="38"/>
          </reference>
          <reference field="4" count="1" selected="0">
            <x v="172"/>
          </reference>
          <reference field="5" count="1" selected="0">
            <x v="633"/>
          </reference>
          <reference field="6" count="1">
            <x v="47"/>
          </reference>
        </references>
      </pivotArea>
    </format>
    <format dxfId="1773">
      <pivotArea dataOnly="0" labelOnly="1" fieldPosition="0">
        <references count="6">
          <reference field="1" count="1" selected="0">
            <x v="88"/>
          </reference>
          <reference field="2" count="1" selected="0">
            <x v="0"/>
          </reference>
          <reference field="3" count="1" selected="0">
            <x v="12"/>
          </reference>
          <reference field="4" count="1" selected="0">
            <x v="21"/>
          </reference>
          <reference field="5" count="1" selected="0">
            <x v="69"/>
          </reference>
          <reference field="6" count="1">
            <x v="47"/>
          </reference>
        </references>
      </pivotArea>
    </format>
    <format dxfId="1772">
      <pivotArea dataOnly="0" labelOnly="1" fieldPosition="0">
        <references count="6">
          <reference field="1" count="1" selected="0">
            <x v="88"/>
          </reference>
          <reference field="2" count="1" selected="0">
            <x v="0"/>
          </reference>
          <reference field="3" count="1" selected="0">
            <x v="12"/>
          </reference>
          <reference field="4" count="1" selected="0">
            <x v="52"/>
          </reference>
          <reference field="5" count="1" selected="0">
            <x v="92"/>
          </reference>
          <reference field="6" count="1">
            <x v="47"/>
          </reference>
        </references>
      </pivotArea>
    </format>
    <format dxfId="1771">
      <pivotArea dataOnly="0" labelOnly="1" fieldPosition="0">
        <references count="6">
          <reference field="1" count="1" selected="0">
            <x v="88"/>
          </reference>
          <reference field="2" count="1" selected="0">
            <x v="0"/>
          </reference>
          <reference field="3" count="1" selected="0">
            <x v="38"/>
          </reference>
          <reference field="4" count="1" selected="0">
            <x v="173"/>
          </reference>
          <reference field="5" count="1" selected="0">
            <x v="138"/>
          </reference>
          <reference field="6" count="1">
            <x v="47"/>
          </reference>
        </references>
      </pivotArea>
    </format>
    <format dxfId="1770">
      <pivotArea dataOnly="0" labelOnly="1" fieldPosition="0">
        <references count="6">
          <reference field="1" count="1" selected="0">
            <x v="88"/>
          </reference>
          <reference field="2" count="1" selected="0">
            <x v="3"/>
          </reference>
          <reference field="3" count="1" selected="0">
            <x v="6"/>
          </reference>
          <reference field="4" count="1" selected="0">
            <x v="173"/>
          </reference>
          <reference field="5" count="1" selected="0">
            <x v="1047"/>
          </reference>
          <reference field="6" count="1">
            <x v="47"/>
          </reference>
        </references>
      </pivotArea>
    </format>
    <format dxfId="1769">
      <pivotArea dataOnly="0" labelOnly="1" fieldPosition="0">
        <references count="6">
          <reference field="1" count="1" selected="0">
            <x v="88"/>
          </reference>
          <reference field="2" count="1" selected="0">
            <x v="5"/>
          </reference>
          <reference field="3" count="1" selected="0">
            <x v="37"/>
          </reference>
          <reference field="4" count="1" selected="0">
            <x v="173"/>
          </reference>
          <reference field="5" count="1" selected="0">
            <x v="1408"/>
          </reference>
          <reference field="6" count="1">
            <x v="47"/>
          </reference>
        </references>
      </pivotArea>
    </format>
    <format dxfId="1768">
      <pivotArea dataOnly="0" labelOnly="1" fieldPosition="0">
        <references count="6">
          <reference field="1" count="1" selected="0">
            <x v="88"/>
          </reference>
          <reference field="2" count="1" selected="0">
            <x v="10"/>
          </reference>
          <reference field="3" count="1" selected="0">
            <x v="37"/>
          </reference>
          <reference field="4" count="1" selected="0">
            <x v="173"/>
          </reference>
          <reference field="5" count="1" selected="0">
            <x v="1242"/>
          </reference>
          <reference field="6" count="1">
            <x v="47"/>
          </reference>
        </references>
      </pivotArea>
    </format>
    <format dxfId="1767">
      <pivotArea dataOnly="0" labelOnly="1" fieldPosition="0">
        <references count="6">
          <reference field="1" count="1" selected="0">
            <x v="88"/>
          </reference>
          <reference field="2" count="1" selected="0">
            <x v="12"/>
          </reference>
          <reference field="3" count="1" selected="0">
            <x v="1"/>
          </reference>
          <reference field="4" count="1" selected="0">
            <x v="173"/>
          </reference>
          <reference field="5" count="1" selected="0">
            <x v="80"/>
          </reference>
          <reference field="6" count="1">
            <x v="47"/>
          </reference>
        </references>
      </pivotArea>
    </format>
    <format dxfId="1766">
      <pivotArea dataOnly="0" labelOnly="1" fieldPosition="0">
        <references count="6">
          <reference field="1" count="1" selected="0">
            <x v="88"/>
          </reference>
          <reference field="2" count="1" selected="0">
            <x v="12"/>
          </reference>
          <reference field="3" count="1" selected="0">
            <x v="1"/>
          </reference>
          <reference field="4" count="1" selected="0">
            <x v="173"/>
          </reference>
          <reference field="5" count="1" selected="0">
            <x v="213"/>
          </reference>
          <reference field="6" count="1">
            <x v="47"/>
          </reference>
        </references>
      </pivotArea>
    </format>
    <format dxfId="1765">
      <pivotArea dataOnly="0" labelOnly="1" fieldPosition="0">
        <references count="6">
          <reference field="1" count="1" selected="0">
            <x v="88"/>
          </reference>
          <reference field="2" count="1" selected="0">
            <x v="12"/>
          </reference>
          <reference field="3" count="1" selected="0">
            <x v="1"/>
          </reference>
          <reference field="4" count="1" selected="0">
            <x v="173"/>
          </reference>
          <reference field="5" count="1" selected="0">
            <x v="500"/>
          </reference>
          <reference field="6" count="1">
            <x v="47"/>
          </reference>
        </references>
      </pivotArea>
    </format>
    <format dxfId="1764">
      <pivotArea dataOnly="0" labelOnly="1" fieldPosition="0">
        <references count="6">
          <reference field="1" count="1" selected="0">
            <x v="88"/>
          </reference>
          <reference field="2" count="1" selected="0">
            <x v="12"/>
          </reference>
          <reference field="3" count="1" selected="0">
            <x v="1"/>
          </reference>
          <reference field="4" count="1" selected="0">
            <x v="173"/>
          </reference>
          <reference field="5" count="1" selected="0">
            <x v="771"/>
          </reference>
          <reference field="6" count="1">
            <x v="47"/>
          </reference>
        </references>
      </pivotArea>
    </format>
    <format dxfId="1763">
      <pivotArea dataOnly="0" labelOnly="1" fieldPosition="0">
        <references count="6">
          <reference field="1" count="1" selected="0">
            <x v="88"/>
          </reference>
          <reference field="2" count="1" selected="0">
            <x v="12"/>
          </reference>
          <reference field="3" count="1" selected="0">
            <x v="1"/>
          </reference>
          <reference field="4" count="1" selected="0">
            <x v="173"/>
          </reference>
          <reference field="5" count="1" selected="0">
            <x v="1114"/>
          </reference>
          <reference field="6" count="1">
            <x v="47"/>
          </reference>
        </references>
      </pivotArea>
    </format>
    <format dxfId="1762">
      <pivotArea dataOnly="0" labelOnly="1" fieldPosition="0">
        <references count="6">
          <reference field="1" count="1" selected="0">
            <x v="88"/>
          </reference>
          <reference field="2" count="1" selected="0">
            <x v="26"/>
          </reference>
          <reference field="3" count="1" selected="0">
            <x v="38"/>
          </reference>
          <reference field="4" count="1" selected="0">
            <x v="173"/>
          </reference>
          <reference field="5" count="1" selected="0">
            <x v="771"/>
          </reference>
          <reference field="6" count="1">
            <x v="47"/>
          </reference>
        </references>
      </pivotArea>
    </format>
    <format dxfId="1761">
      <pivotArea dataOnly="0" labelOnly="1" fieldPosition="0">
        <references count="6">
          <reference field="1" count="1" selected="0">
            <x v="88"/>
          </reference>
          <reference field="2" count="1" selected="0">
            <x v="35"/>
          </reference>
          <reference field="3" count="1" selected="0">
            <x v="1"/>
          </reference>
          <reference field="4" count="1" selected="0">
            <x v="173"/>
          </reference>
          <reference field="5" count="1" selected="0">
            <x v="213"/>
          </reference>
          <reference field="6" count="1">
            <x v="47"/>
          </reference>
        </references>
      </pivotArea>
    </format>
    <format dxfId="1760">
      <pivotArea dataOnly="0" labelOnly="1" fieldPosition="0">
        <references count="6">
          <reference field="1" count="1" selected="0">
            <x v="88"/>
          </reference>
          <reference field="2" count="1" selected="0">
            <x v="36"/>
          </reference>
          <reference field="3" count="1" selected="0">
            <x v="1"/>
          </reference>
          <reference field="4" count="1" selected="0">
            <x v="173"/>
          </reference>
          <reference field="5" count="1" selected="0">
            <x v="317"/>
          </reference>
          <reference field="6" count="1">
            <x v="47"/>
          </reference>
        </references>
      </pivotArea>
    </format>
    <format dxfId="1759">
      <pivotArea dataOnly="0" labelOnly="1" fieldPosition="0">
        <references count="6">
          <reference field="1" count="1" selected="0">
            <x v="89"/>
          </reference>
          <reference field="2" count="1" selected="0">
            <x v="0"/>
          </reference>
          <reference field="3" count="1" selected="0">
            <x v="9"/>
          </reference>
          <reference field="4" count="1" selected="0">
            <x v="175"/>
          </reference>
          <reference field="5" count="1" selected="0">
            <x v="458"/>
          </reference>
          <reference field="6" count="1">
            <x v="47"/>
          </reference>
        </references>
      </pivotArea>
    </format>
    <format dxfId="1758">
      <pivotArea dataOnly="0" labelOnly="1" fieldPosition="0">
        <references count="6">
          <reference field="1" count="1" selected="0">
            <x v="89"/>
          </reference>
          <reference field="2" count="1" selected="0">
            <x v="0"/>
          </reference>
          <reference field="3" count="1" selected="0">
            <x v="9"/>
          </reference>
          <reference field="4" count="1" selected="0">
            <x v="175"/>
          </reference>
          <reference field="5" count="1" selected="0">
            <x v="555"/>
          </reference>
          <reference field="6" count="1">
            <x v="47"/>
          </reference>
        </references>
      </pivotArea>
    </format>
    <format dxfId="1757">
      <pivotArea dataOnly="0" labelOnly="1" fieldPosition="0">
        <references count="6">
          <reference field="1" count="1" selected="0">
            <x v="89"/>
          </reference>
          <reference field="2" count="1" selected="0">
            <x v="0"/>
          </reference>
          <reference field="3" count="1" selected="0">
            <x v="12"/>
          </reference>
          <reference field="4" count="1" selected="0">
            <x v="6"/>
          </reference>
          <reference field="5" count="1" selected="0">
            <x v="32"/>
          </reference>
          <reference field="6" count="1">
            <x v="47"/>
          </reference>
        </references>
      </pivotArea>
    </format>
    <format dxfId="1756">
      <pivotArea dataOnly="0" labelOnly="1" fieldPosition="0">
        <references count="6">
          <reference field="1" count="1" selected="0">
            <x v="89"/>
          </reference>
          <reference field="2" count="1" selected="0">
            <x v="0"/>
          </reference>
          <reference field="3" count="1" selected="0">
            <x v="12"/>
          </reference>
          <reference field="4" count="1" selected="0">
            <x v="8"/>
          </reference>
          <reference field="5" count="1" selected="0">
            <x v="14"/>
          </reference>
          <reference field="6" count="1">
            <x v="47"/>
          </reference>
        </references>
      </pivotArea>
    </format>
    <format dxfId="1755">
      <pivotArea dataOnly="0" labelOnly="1" fieldPosition="0">
        <references count="6">
          <reference field="1" count="1" selected="0">
            <x v="89"/>
          </reference>
          <reference field="2" count="1" selected="0">
            <x v="0"/>
          </reference>
          <reference field="3" count="1" selected="0">
            <x v="12"/>
          </reference>
          <reference field="4" count="1" selected="0">
            <x v="17"/>
          </reference>
          <reference field="5" count="1" selected="0">
            <x v="219"/>
          </reference>
          <reference field="6" count="1">
            <x v="47"/>
          </reference>
        </references>
      </pivotArea>
    </format>
    <format dxfId="1754">
      <pivotArea dataOnly="0" labelOnly="1" fieldPosition="0">
        <references count="6">
          <reference field="1" count="1" selected="0">
            <x v="89"/>
          </reference>
          <reference field="2" count="1" selected="0">
            <x v="0"/>
          </reference>
          <reference field="3" count="1" selected="0">
            <x v="12"/>
          </reference>
          <reference field="4" count="1" selected="0">
            <x v="18"/>
          </reference>
          <reference field="5" count="1" selected="0">
            <x v="11"/>
          </reference>
          <reference field="6" count="1">
            <x v="47"/>
          </reference>
        </references>
      </pivotArea>
    </format>
    <format dxfId="1753">
      <pivotArea dataOnly="0" labelOnly="1" fieldPosition="0">
        <references count="6">
          <reference field="1" count="1" selected="0">
            <x v="89"/>
          </reference>
          <reference field="2" count="1" selected="0">
            <x v="0"/>
          </reference>
          <reference field="3" count="1" selected="0">
            <x v="12"/>
          </reference>
          <reference field="4" count="1" selected="0">
            <x v="34"/>
          </reference>
          <reference field="5" count="1" selected="0">
            <x v="719"/>
          </reference>
          <reference field="6" count="1">
            <x v="47"/>
          </reference>
        </references>
      </pivotArea>
    </format>
    <format dxfId="1752">
      <pivotArea dataOnly="0" labelOnly="1" fieldPosition="0">
        <references count="6">
          <reference field="1" count="1" selected="0">
            <x v="89"/>
          </reference>
          <reference field="2" count="1" selected="0">
            <x v="0"/>
          </reference>
          <reference field="3" count="1" selected="0">
            <x v="12"/>
          </reference>
          <reference field="4" count="1" selected="0">
            <x v="50"/>
          </reference>
          <reference field="5" count="1" selected="0">
            <x v="80"/>
          </reference>
          <reference field="6" count="1">
            <x v="47"/>
          </reference>
        </references>
      </pivotArea>
    </format>
    <format dxfId="1751">
      <pivotArea dataOnly="0" labelOnly="1" fieldPosition="0">
        <references count="6">
          <reference field="1" count="1" selected="0">
            <x v="89"/>
          </reference>
          <reference field="2" count="1" selected="0">
            <x v="0"/>
          </reference>
          <reference field="3" count="1" selected="0">
            <x v="12"/>
          </reference>
          <reference field="4" count="1" selected="0">
            <x v="52"/>
          </reference>
          <reference field="5" count="1" selected="0">
            <x v="14"/>
          </reference>
          <reference field="6" count="1">
            <x v="47"/>
          </reference>
        </references>
      </pivotArea>
    </format>
    <format dxfId="1750">
      <pivotArea dataOnly="0" labelOnly="1" fieldPosition="0">
        <references count="6">
          <reference field="1" count="1" selected="0">
            <x v="89"/>
          </reference>
          <reference field="2" count="1" selected="0">
            <x v="0"/>
          </reference>
          <reference field="3" count="1" selected="0">
            <x v="12"/>
          </reference>
          <reference field="4" count="1" selected="0">
            <x v="55"/>
          </reference>
          <reference field="5" count="1" selected="0">
            <x v="82"/>
          </reference>
          <reference field="6" count="1">
            <x v="47"/>
          </reference>
        </references>
      </pivotArea>
    </format>
    <format dxfId="1749">
      <pivotArea dataOnly="0" labelOnly="1" fieldPosition="0">
        <references count="6">
          <reference field="1" count="1" selected="0">
            <x v="89"/>
          </reference>
          <reference field="2" count="1" selected="0">
            <x v="0"/>
          </reference>
          <reference field="3" count="1" selected="0">
            <x v="20"/>
          </reference>
          <reference field="4" count="1" selected="0">
            <x v="174"/>
          </reference>
          <reference field="5" count="1" selected="0">
            <x v="471"/>
          </reference>
          <reference field="6" count="1">
            <x v="47"/>
          </reference>
        </references>
      </pivotArea>
    </format>
    <format dxfId="1748">
      <pivotArea dataOnly="0" labelOnly="1" fieldPosition="0">
        <references count="6">
          <reference field="1" count="1" selected="0">
            <x v="89"/>
          </reference>
          <reference field="2" count="1" selected="0">
            <x v="0"/>
          </reference>
          <reference field="3" count="1" selected="0">
            <x v="20"/>
          </reference>
          <reference field="4" count="1" selected="0">
            <x v="174"/>
          </reference>
          <reference field="5" count="1" selected="0">
            <x v="580"/>
          </reference>
          <reference field="6" count="1">
            <x v="47"/>
          </reference>
        </references>
      </pivotArea>
    </format>
    <format dxfId="1747">
      <pivotArea dataOnly="0" labelOnly="1" fieldPosition="0">
        <references count="6">
          <reference field="1" count="1" selected="0">
            <x v="89"/>
          </reference>
          <reference field="2" count="1" selected="0">
            <x v="0"/>
          </reference>
          <reference field="3" count="1" selected="0">
            <x v="20"/>
          </reference>
          <reference field="4" count="1" selected="0">
            <x v="174"/>
          </reference>
          <reference field="5" count="1" selected="0">
            <x v="699"/>
          </reference>
          <reference field="6" count="1">
            <x v="47"/>
          </reference>
        </references>
      </pivotArea>
    </format>
    <format dxfId="1746">
      <pivotArea dataOnly="0" labelOnly="1" fieldPosition="0">
        <references count="6">
          <reference field="1" count="1" selected="0">
            <x v="89"/>
          </reference>
          <reference field="2" count="1" selected="0">
            <x v="0"/>
          </reference>
          <reference field="3" count="1" selected="0">
            <x v="20"/>
          </reference>
          <reference field="4" count="1" selected="0">
            <x v="174"/>
          </reference>
          <reference field="5" count="1" selected="0">
            <x v="1029"/>
          </reference>
          <reference field="6" count="1">
            <x v="47"/>
          </reference>
        </references>
      </pivotArea>
    </format>
    <format dxfId="1745">
      <pivotArea dataOnly="0" labelOnly="1" fieldPosition="0">
        <references count="6">
          <reference field="1" count="1" selected="0">
            <x v="89"/>
          </reference>
          <reference field="2" count="1" selected="0">
            <x v="0"/>
          </reference>
          <reference field="3" count="1" selected="0">
            <x v="20"/>
          </reference>
          <reference field="4" count="1" selected="0">
            <x v="174"/>
          </reference>
          <reference field="5" count="1" selected="0">
            <x v="1236"/>
          </reference>
          <reference field="6" count="1">
            <x v="47"/>
          </reference>
        </references>
      </pivotArea>
    </format>
    <format dxfId="1744">
      <pivotArea dataOnly="0" labelOnly="1" fieldPosition="0">
        <references count="6">
          <reference field="1" count="1" selected="0">
            <x v="89"/>
          </reference>
          <reference field="2" count="1" selected="0">
            <x v="2"/>
          </reference>
          <reference field="3" count="1" selected="0">
            <x v="1"/>
          </reference>
          <reference field="4" count="1" selected="0">
            <x v="175"/>
          </reference>
          <reference field="5" count="1" selected="0">
            <x v="1205"/>
          </reference>
          <reference field="6" count="1">
            <x v="47"/>
          </reference>
        </references>
      </pivotArea>
    </format>
    <format dxfId="1743">
      <pivotArea dataOnly="0" labelOnly="1" fieldPosition="0">
        <references count="6">
          <reference field="1" count="1" selected="0">
            <x v="89"/>
          </reference>
          <reference field="2" count="1" selected="0">
            <x v="2"/>
          </reference>
          <reference field="3" count="1" selected="0">
            <x v="20"/>
          </reference>
          <reference field="4" count="1" selected="0">
            <x v="174"/>
          </reference>
          <reference field="5" count="1" selected="0">
            <x v="1850"/>
          </reference>
          <reference field="6" count="1">
            <x v="47"/>
          </reference>
        </references>
      </pivotArea>
    </format>
    <format dxfId="1742">
      <pivotArea dataOnly="0" labelOnly="1" fieldPosition="0">
        <references count="6">
          <reference field="1" count="1" selected="0">
            <x v="89"/>
          </reference>
          <reference field="2" count="1" selected="0">
            <x v="6"/>
          </reference>
          <reference field="3" count="1" selected="0">
            <x v="38"/>
          </reference>
          <reference field="4" count="1" selected="0">
            <x v="175"/>
          </reference>
          <reference field="5" count="1" selected="0">
            <x v="658"/>
          </reference>
          <reference field="6" count="1">
            <x v="47"/>
          </reference>
        </references>
      </pivotArea>
    </format>
    <format dxfId="1741">
      <pivotArea dataOnly="0" labelOnly="1" fieldPosition="0">
        <references count="6">
          <reference field="1" count="1" selected="0">
            <x v="89"/>
          </reference>
          <reference field="2" count="1" selected="0">
            <x v="7"/>
          </reference>
          <reference field="3" count="1" selected="0">
            <x v="9"/>
          </reference>
          <reference field="4" count="1" selected="0">
            <x v="175"/>
          </reference>
          <reference field="5" count="1" selected="0">
            <x v="228"/>
          </reference>
          <reference field="6" count="1">
            <x v="47"/>
          </reference>
        </references>
      </pivotArea>
    </format>
    <format dxfId="1740">
      <pivotArea dataOnly="0" labelOnly="1" fieldPosition="0">
        <references count="6">
          <reference field="1" count="1" selected="0">
            <x v="89"/>
          </reference>
          <reference field="2" count="1" selected="0">
            <x v="7"/>
          </reference>
          <reference field="3" count="1" selected="0">
            <x v="10"/>
          </reference>
          <reference field="4" count="1" selected="0">
            <x v="175"/>
          </reference>
          <reference field="5" count="1" selected="0">
            <x v="1581"/>
          </reference>
          <reference field="6" count="1">
            <x v="47"/>
          </reference>
        </references>
      </pivotArea>
    </format>
    <format dxfId="1739">
      <pivotArea dataOnly="0" labelOnly="1" fieldPosition="0">
        <references count="6">
          <reference field="1" count="1" selected="0">
            <x v="89"/>
          </reference>
          <reference field="2" count="1" selected="0">
            <x v="12"/>
          </reference>
          <reference field="3" count="1" selected="0">
            <x v="1"/>
          </reference>
          <reference field="4" count="1" selected="0">
            <x v="175"/>
          </reference>
          <reference field="5" count="1" selected="0">
            <x v="80"/>
          </reference>
          <reference field="6" count="1">
            <x v="47"/>
          </reference>
        </references>
      </pivotArea>
    </format>
    <format dxfId="1738">
      <pivotArea dataOnly="0" labelOnly="1" fieldPosition="0">
        <references count="6">
          <reference field="1" count="1" selected="0">
            <x v="89"/>
          </reference>
          <reference field="2" count="1" selected="0">
            <x v="12"/>
          </reference>
          <reference field="3" count="1" selected="0">
            <x v="1"/>
          </reference>
          <reference field="4" count="1" selected="0">
            <x v="175"/>
          </reference>
          <reference field="5" count="1" selected="0">
            <x v="213"/>
          </reference>
          <reference field="6" count="1">
            <x v="47"/>
          </reference>
        </references>
      </pivotArea>
    </format>
    <format dxfId="1737">
      <pivotArea dataOnly="0" labelOnly="1" fieldPosition="0">
        <references count="6">
          <reference field="1" count="1" selected="0">
            <x v="89"/>
          </reference>
          <reference field="2" count="1" selected="0">
            <x v="12"/>
          </reference>
          <reference field="3" count="1" selected="0">
            <x v="1"/>
          </reference>
          <reference field="4" count="1" selected="0">
            <x v="175"/>
          </reference>
          <reference field="5" count="1" selected="0">
            <x v="500"/>
          </reference>
          <reference field="6" count="1">
            <x v="47"/>
          </reference>
        </references>
      </pivotArea>
    </format>
    <format dxfId="1736">
      <pivotArea dataOnly="0" labelOnly="1" fieldPosition="0">
        <references count="6">
          <reference field="1" count="1" selected="0">
            <x v="89"/>
          </reference>
          <reference field="2" count="1" selected="0">
            <x v="12"/>
          </reference>
          <reference field="3" count="1" selected="0">
            <x v="1"/>
          </reference>
          <reference field="4" count="1" selected="0">
            <x v="175"/>
          </reference>
          <reference field="5" count="1" selected="0">
            <x v="702"/>
          </reference>
          <reference field="6" count="1">
            <x v="47"/>
          </reference>
        </references>
      </pivotArea>
    </format>
    <format dxfId="1735">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71"/>
          </reference>
          <reference field="6" count="1">
            <x v="47"/>
          </reference>
        </references>
      </pivotArea>
    </format>
    <format dxfId="1734">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66"/>
          </reference>
          <reference field="6" count="1">
            <x v="47"/>
          </reference>
        </references>
      </pivotArea>
    </format>
    <format dxfId="1733">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74"/>
          </reference>
          <reference field="6" count="1">
            <x v="47"/>
          </reference>
        </references>
      </pivotArea>
    </format>
    <format dxfId="1732">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282"/>
          </reference>
          <reference field="6" count="1">
            <x v="47"/>
          </reference>
        </references>
      </pivotArea>
    </format>
    <format dxfId="1731">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336"/>
          </reference>
          <reference field="6" count="1">
            <x v="47"/>
          </reference>
        </references>
      </pivotArea>
    </format>
    <format dxfId="1730">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675"/>
          </reference>
          <reference field="6" count="1">
            <x v="47"/>
          </reference>
        </references>
      </pivotArea>
    </format>
    <format dxfId="1729">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720"/>
          </reference>
          <reference field="6" count="1">
            <x v="47"/>
          </reference>
        </references>
      </pivotArea>
    </format>
    <format dxfId="1728">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780"/>
          </reference>
          <reference field="6" count="1">
            <x v="47"/>
          </reference>
        </references>
      </pivotArea>
    </format>
    <format dxfId="1727">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801"/>
          </reference>
          <reference field="6" count="1">
            <x v="47"/>
          </reference>
        </references>
      </pivotArea>
    </format>
    <format dxfId="1726">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839"/>
          </reference>
          <reference field="6" count="1">
            <x v="47"/>
          </reference>
        </references>
      </pivotArea>
    </format>
    <format dxfId="1725">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912"/>
          </reference>
          <reference field="6" count="1">
            <x v="47"/>
          </reference>
        </references>
      </pivotArea>
    </format>
    <format dxfId="1724">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967"/>
          </reference>
          <reference field="6" count="1">
            <x v="47"/>
          </reference>
        </references>
      </pivotArea>
    </format>
    <format dxfId="1723">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983"/>
          </reference>
          <reference field="6" count="1">
            <x v="47"/>
          </reference>
        </references>
      </pivotArea>
    </format>
    <format dxfId="1722">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994"/>
          </reference>
          <reference field="6" count="1">
            <x v="47"/>
          </reference>
        </references>
      </pivotArea>
    </format>
    <format dxfId="1721">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147"/>
          </reference>
          <reference field="6" count="1">
            <x v="47"/>
          </reference>
        </references>
      </pivotArea>
    </format>
    <format dxfId="1720">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239"/>
          </reference>
          <reference field="6" count="1">
            <x v="47"/>
          </reference>
        </references>
      </pivotArea>
    </format>
    <format dxfId="1719">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269"/>
          </reference>
          <reference field="6" count="1">
            <x v="47"/>
          </reference>
        </references>
      </pivotArea>
    </format>
    <format dxfId="1718">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320"/>
          </reference>
          <reference field="6" count="1">
            <x v="47"/>
          </reference>
        </references>
      </pivotArea>
    </format>
    <format dxfId="1717">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378"/>
          </reference>
          <reference field="6" count="1">
            <x v="47"/>
          </reference>
        </references>
      </pivotArea>
    </format>
    <format dxfId="1716">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413"/>
          </reference>
          <reference field="6" count="1">
            <x v="47"/>
          </reference>
        </references>
      </pivotArea>
    </format>
    <format dxfId="1715">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480"/>
          </reference>
          <reference field="6" count="1">
            <x v="47"/>
          </reference>
        </references>
      </pivotArea>
    </format>
    <format dxfId="1714">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515"/>
          </reference>
          <reference field="6" count="1">
            <x v="47"/>
          </reference>
        </references>
      </pivotArea>
    </format>
    <format dxfId="1713">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523"/>
          </reference>
          <reference field="6" count="1">
            <x v="47"/>
          </reference>
        </references>
      </pivotArea>
    </format>
    <format dxfId="1712">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560"/>
          </reference>
          <reference field="6" count="1">
            <x v="47"/>
          </reference>
        </references>
      </pivotArea>
    </format>
    <format dxfId="1711">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566"/>
          </reference>
          <reference field="6" count="1">
            <x v="47"/>
          </reference>
        </references>
      </pivotArea>
    </format>
    <format dxfId="1710">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571"/>
          </reference>
          <reference field="6" count="1">
            <x v="47"/>
          </reference>
        </references>
      </pivotArea>
    </format>
    <format dxfId="1709">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578"/>
          </reference>
          <reference field="6" count="1">
            <x v="47"/>
          </reference>
        </references>
      </pivotArea>
    </format>
    <format dxfId="1708">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604"/>
          </reference>
          <reference field="6" count="1">
            <x v="47"/>
          </reference>
        </references>
      </pivotArea>
    </format>
    <format dxfId="1707">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606"/>
          </reference>
          <reference field="6" count="1">
            <x v="47"/>
          </reference>
        </references>
      </pivotArea>
    </format>
    <format dxfId="1706">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644"/>
          </reference>
          <reference field="6" count="1">
            <x v="47"/>
          </reference>
        </references>
      </pivotArea>
    </format>
    <format dxfId="1705">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648"/>
          </reference>
          <reference field="6" count="1">
            <x v="47"/>
          </reference>
        </references>
      </pivotArea>
    </format>
    <format dxfId="1704">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678"/>
          </reference>
          <reference field="6" count="1">
            <x v="47"/>
          </reference>
        </references>
      </pivotArea>
    </format>
    <format dxfId="1703">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711"/>
          </reference>
          <reference field="6" count="1">
            <x v="47"/>
          </reference>
        </references>
      </pivotArea>
    </format>
    <format dxfId="1702">
      <pivotArea dataOnly="0" labelOnly="1" fieldPosition="0">
        <references count="6">
          <reference field="1" count="1" selected="0">
            <x v="89"/>
          </reference>
          <reference field="2" count="1" selected="0">
            <x v="12"/>
          </reference>
          <reference field="3" count="1" selected="0">
            <x v="20"/>
          </reference>
          <reference field="4" count="1" selected="0">
            <x v="174"/>
          </reference>
          <reference field="5" count="1" selected="0">
            <x v="1721"/>
          </reference>
          <reference field="6" count="1">
            <x v="47"/>
          </reference>
        </references>
      </pivotArea>
    </format>
    <format dxfId="1701">
      <pivotArea dataOnly="0" labelOnly="1" fieldPosition="0">
        <references count="6">
          <reference field="1" count="1" selected="0">
            <x v="89"/>
          </reference>
          <reference field="2" count="1" selected="0">
            <x v="14"/>
          </reference>
          <reference field="3" count="1" selected="0">
            <x v="38"/>
          </reference>
          <reference field="4" count="1" selected="0">
            <x v="175"/>
          </reference>
          <reference field="5" count="1" selected="0">
            <x v="397"/>
          </reference>
          <reference field="6" count="1">
            <x v="47"/>
          </reference>
        </references>
      </pivotArea>
    </format>
    <format dxfId="1700">
      <pivotArea dataOnly="0" labelOnly="1" fieldPosition="0">
        <references count="6">
          <reference field="1" count="1" selected="0">
            <x v="89"/>
          </reference>
          <reference field="2" count="1" selected="0">
            <x v="15"/>
          </reference>
          <reference field="3" count="1" selected="0">
            <x v="20"/>
          </reference>
          <reference field="4" count="1" selected="0">
            <x v="174"/>
          </reference>
          <reference field="5" count="1" selected="0">
            <x v="1877"/>
          </reference>
          <reference field="6" count="1">
            <x v="47"/>
          </reference>
        </references>
      </pivotArea>
    </format>
    <format dxfId="1699">
      <pivotArea dataOnly="0" labelOnly="1" fieldPosition="0">
        <references count="6">
          <reference field="1" count="1" selected="0">
            <x v="89"/>
          </reference>
          <reference field="2" count="1" selected="0">
            <x v="17"/>
          </reference>
          <reference field="3" count="1" selected="0">
            <x v="20"/>
          </reference>
          <reference field="4" count="1" selected="0">
            <x v="174"/>
          </reference>
          <reference field="5" count="1" selected="0">
            <x v="717"/>
          </reference>
          <reference field="6" count="1">
            <x v="47"/>
          </reference>
        </references>
      </pivotArea>
    </format>
    <format dxfId="1698">
      <pivotArea dataOnly="0" labelOnly="1" fieldPosition="0">
        <references count="6">
          <reference field="1" count="1" selected="0">
            <x v="89"/>
          </reference>
          <reference field="2" count="1" selected="0">
            <x v="21"/>
          </reference>
          <reference field="3" count="1" selected="0">
            <x v="20"/>
          </reference>
          <reference field="4" count="1" selected="0">
            <x v="174"/>
          </reference>
          <reference field="5" count="1" selected="0">
            <x v="1677"/>
          </reference>
          <reference field="6" count="1">
            <x v="47"/>
          </reference>
        </references>
      </pivotArea>
    </format>
    <format dxfId="1697">
      <pivotArea dataOnly="0" labelOnly="1" fieldPosition="0">
        <references count="6">
          <reference field="1" count="1" selected="0">
            <x v="89"/>
          </reference>
          <reference field="2" count="1" selected="0">
            <x v="23"/>
          </reference>
          <reference field="3" count="1" selected="0">
            <x v="20"/>
          </reference>
          <reference field="4" count="1" selected="0">
            <x v="174"/>
          </reference>
          <reference field="5" count="1" selected="0">
            <x v="1859"/>
          </reference>
          <reference field="6" count="1">
            <x v="47"/>
          </reference>
        </references>
      </pivotArea>
    </format>
    <format dxfId="1696">
      <pivotArea dataOnly="0" labelOnly="1" fieldPosition="0">
        <references count="6">
          <reference field="1" count="1" selected="0">
            <x v="89"/>
          </reference>
          <reference field="2" count="1" selected="0">
            <x v="24"/>
          </reference>
          <reference field="3" count="1" selected="0">
            <x v="20"/>
          </reference>
          <reference field="4" count="1" selected="0">
            <x v="174"/>
          </reference>
          <reference field="5" count="1" selected="0">
            <x v="1660"/>
          </reference>
          <reference field="6" count="1">
            <x v="47"/>
          </reference>
        </references>
      </pivotArea>
    </format>
    <format dxfId="1695">
      <pivotArea dataOnly="0" labelOnly="1" fieldPosition="0">
        <references count="6">
          <reference field="1" count="1" selected="0">
            <x v="89"/>
          </reference>
          <reference field="2" count="1" selected="0">
            <x v="26"/>
          </reference>
          <reference field="3" count="1" selected="0">
            <x v="20"/>
          </reference>
          <reference field="4" count="1" selected="0">
            <x v="174"/>
          </reference>
          <reference field="5" count="1" selected="0">
            <x v="160"/>
          </reference>
          <reference field="6" count="1">
            <x v="47"/>
          </reference>
        </references>
      </pivotArea>
    </format>
    <format dxfId="1694">
      <pivotArea dataOnly="0" labelOnly="1" fieldPosition="0">
        <references count="6">
          <reference field="1" count="1" selected="0">
            <x v="89"/>
          </reference>
          <reference field="2" count="1" selected="0">
            <x v="27"/>
          </reference>
          <reference field="3" count="1" selected="0">
            <x v="20"/>
          </reference>
          <reference field="4" count="1" selected="0">
            <x v="174"/>
          </reference>
          <reference field="5" count="1" selected="0">
            <x v="1342"/>
          </reference>
          <reference field="6" count="1">
            <x v="47"/>
          </reference>
        </references>
      </pivotArea>
    </format>
    <format dxfId="1693">
      <pivotArea dataOnly="0" labelOnly="1" fieldPosition="0">
        <references count="6">
          <reference field="1" count="1" selected="0">
            <x v="89"/>
          </reference>
          <reference field="2" count="1" selected="0">
            <x v="29"/>
          </reference>
          <reference field="3" count="1" selected="0">
            <x v="10"/>
          </reference>
          <reference field="4" count="1" selected="0">
            <x v="175"/>
          </reference>
          <reference field="5" count="1" selected="0">
            <x v="1575"/>
          </reference>
          <reference field="6" count="1">
            <x v="47"/>
          </reference>
        </references>
      </pivotArea>
    </format>
    <format dxfId="1692">
      <pivotArea dataOnly="0" labelOnly="1" fieldPosition="0">
        <references count="6">
          <reference field="1" count="1" selected="0">
            <x v="89"/>
          </reference>
          <reference field="2" count="1" selected="0">
            <x v="35"/>
          </reference>
          <reference field="3" count="1" selected="0">
            <x v="1"/>
          </reference>
          <reference field="4" count="1" selected="0">
            <x v="175"/>
          </reference>
          <reference field="5" count="1" selected="0">
            <x v="80"/>
          </reference>
          <reference field="6" count="1">
            <x v="47"/>
          </reference>
        </references>
      </pivotArea>
    </format>
    <format dxfId="1691">
      <pivotArea dataOnly="0" labelOnly="1" fieldPosition="0">
        <references count="6">
          <reference field="1" count="1" selected="0">
            <x v="89"/>
          </reference>
          <reference field="2" count="1" selected="0">
            <x v="35"/>
          </reference>
          <reference field="3" count="1" selected="0">
            <x v="1"/>
          </reference>
          <reference field="4" count="1" selected="0">
            <x v="175"/>
          </reference>
          <reference field="5" count="1" selected="0">
            <x v="500"/>
          </reference>
          <reference field="6" count="1">
            <x v="47"/>
          </reference>
        </references>
      </pivotArea>
    </format>
    <format dxfId="1690">
      <pivotArea dataOnly="0" labelOnly="1" fieldPosition="0">
        <references count="6">
          <reference field="1" count="1" selected="0">
            <x v="89"/>
          </reference>
          <reference field="2" count="1" selected="0">
            <x v="35"/>
          </reference>
          <reference field="3" count="1" selected="0">
            <x v="20"/>
          </reference>
          <reference field="4" count="1" selected="0">
            <x v="174"/>
          </reference>
          <reference field="5" count="1" selected="0">
            <x v="105"/>
          </reference>
          <reference field="6" count="1">
            <x v="47"/>
          </reference>
        </references>
      </pivotArea>
    </format>
    <format dxfId="1689">
      <pivotArea dataOnly="0" labelOnly="1" fieldPosition="0">
        <references count="6">
          <reference field="1" count="1" selected="0">
            <x v="89"/>
          </reference>
          <reference field="2" count="1" selected="0">
            <x v="35"/>
          </reference>
          <reference field="3" count="1" selected="0">
            <x v="20"/>
          </reference>
          <reference field="4" count="1" selected="0">
            <x v="174"/>
          </reference>
          <reference field="5" count="1" selected="0">
            <x v="226"/>
          </reference>
          <reference field="6" count="1">
            <x v="47"/>
          </reference>
        </references>
      </pivotArea>
    </format>
    <format dxfId="1688">
      <pivotArea dataOnly="0" labelOnly="1" fieldPosition="0">
        <references count="6">
          <reference field="1" count="1" selected="0">
            <x v="89"/>
          </reference>
          <reference field="2" count="1" selected="0">
            <x v="35"/>
          </reference>
          <reference field="3" count="1" selected="0">
            <x v="20"/>
          </reference>
          <reference field="4" count="1" selected="0">
            <x v="174"/>
          </reference>
          <reference field="5" count="1" selected="0">
            <x v="311"/>
          </reference>
          <reference field="6" count="1">
            <x v="47"/>
          </reference>
        </references>
      </pivotArea>
    </format>
    <format dxfId="1687">
      <pivotArea dataOnly="0" labelOnly="1" fieldPosition="0">
        <references count="6">
          <reference field="1" count="1" selected="0">
            <x v="89"/>
          </reference>
          <reference field="2" count="1" selected="0">
            <x v="35"/>
          </reference>
          <reference field="3" count="1" selected="0">
            <x v="20"/>
          </reference>
          <reference field="4" count="1" selected="0">
            <x v="174"/>
          </reference>
          <reference field="5" count="1" selected="0">
            <x v="373"/>
          </reference>
          <reference field="6" count="1">
            <x v="47"/>
          </reference>
        </references>
      </pivotArea>
    </format>
    <format dxfId="1686">
      <pivotArea dataOnly="0" labelOnly="1" fieldPosition="0">
        <references count="6">
          <reference field="1" count="1" selected="0">
            <x v="89"/>
          </reference>
          <reference field="2" count="1" selected="0">
            <x v="35"/>
          </reference>
          <reference field="3" count="1" selected="0">
            <x v="20"/>
          </reference>
          <reference field="4" count="1" selected="0">
            <x v="174"/>
          </reference>
          <reference field="5" count="1" selected="0">
            <x v="401"/>
          </reference>
          <reference field="6" count="1">
            <x v="47"/>
          </reference>
        </references>
      </pivotArea>
    </format>
    <format dxfId="1685">
      <pivotArea dataOnly="0" labelOnly="1" fieldPosition="0">
        <references count="6">
          <reference field="1" count="1" selected="0">
            <x v="89"/>
          </reference>
          <reference field="2" count="1" selected="0">
            <x v="35"/>
          </reference>
          <reference field="3" count="1" selected="0">
            <x v="20"/>
          </reference>
          <reference field="4" count="1" selected="0">
            <x v="174"/>
          </reference>
          <reference field="5" count="1" selected="0">
            <x v="455"/>
          </reference>
          <reference field="6" count="1">
            <x v="47"/>
          </reference>
        </references>
      </pivotArea>
    </format>
    <format dxfId="1684">
      <pivotArea dataOnly="0" labelOnly="1" fieldPosition="0">
        <references count="6">
          <reference field="1" count="1" selected="0">
            <x v="89"/>
          </reference>
          <reference field="2" count="1" selected="0">
            <x v="35"/>
          </reference>
          <reference field="3" count="1" selected="0">
            <x v="20"/>
          </reference>
          <reference field="4" count="1" selected="0">
            <x v="174"/>
          </reference>
          <reference field="5" count="1" selected="0">
            <x v="519"/>
          </reference>
          <reference field="6" count="1">
            <x v="47"/>
          </reference>
        </references>
      </pivotArea>
    </format>
    <format dxfId="1683">
      <pivotArea dataOnly="0" labelOnly="1" fieldPosition="0">
        <references count="6">
          <reference field="1" count="1" selected="0">
            <x v="89"/>
          </reference>
          <reference field="2" count="1" selected="0">
            <x v="35"/>
          </reference>
          <reference field="3" count="1" selected="0">
            <x v="20"/>
          </reference>
          <reference field="4" count="1" selected="0">
            <x v="174"/>
          </reference>
          <reference field="5" count="1" selected="0">
            <x v="686"/>
          </reference>
          <reference field="6" count="1">
            <x v="47"/>
          </reference>
        </references>
      </pivotArea>
    </format>
    <format dxfId="1682">
      <pivotArea dataOnly="0" labelOnly="1" fieldPosition="0">
        <references count="6">
          <reference field="1" count="1" selected="0">
            <x v="89"/>
          </reference>
          <reference field="2" count="1" selected="0">
            <x v="35"/>
          </reference>
          <reference field="3" count="1" selected="0">
            <x v="20"/>
          </reference>
          <reference field="4" count="1" selected="0">
            <x v="174"/>
          </reference>
          <reference field="5" count="1" selected="0">
            <x v="706"/>
          </reference>
          <reference field="6" count="1">
            <x v="47"/>
          </reference>
        </references>
      </pivotArea>
    </format>
    <format dxfId="1681">
      <pivotArea dataOnly="0" labelOnly="1" fieldPosition="0">
        <references count="6">
          <reference field="1" count="1" selected="0">
            <x v="89"/>
          </reference>
          <reference field="2" count="1" selected="0">
            <x v="35"/>
          </reference>
          <reference field="3" count="1" selected="0">
            <x v="20"/>
          </reference>
          <reference field="4" count="1" selected="0">
            <x v="174"/>
          </reference>
          <reference field="5" count="1" selected="0">
            <x v="823"/>
          </reference>
          <reference field="6" count="1">
            <x v="47"/>
          </reference>
        </references>
      </pivotArea>
    </format>
    <format dxfId="1680">
      <pivotArea dataOnly="0" labelOnly="1" fieldPosition="0">
        <references count="6">
          <reference field="1" count="1" selected="0">
            <x v="89"/>
          </reference>
          <reference field="2" count="1" selected="0">
            <x v="35"/>
          </reference>
          <reference field="3" count="1" selected="0">
            <x v="20"/>
          </reference>
          <reference field="4" count="1" selected="0">
            <x v="174"/>
          </reference>
          <reference field="5" count="1" selected="0">
            <x v="1132"/>
          </reference>
          <reference field="6" count="1">
            <x v="47"/>
          </reference>
        </references>
      </pivotArea>
    </format>
    <format dxfId="1679">
      <pivotArea dataOnly="0" labelOnly="1" fieldPosition="0">
        <references count="6">
          <reference field="1" count="1" selected="0">
            <x v="89"/>
          </reference>
          <reference field="2" count="1" selected="0">
            <x v="35"/>
          </reference>
          <reference field="3" count="1" selected="0">
            <x v="20"/>
          </reference>
          <reference field="4" count="1" selected="0">
            <x v="174"/>
          </reference>
          <reference field="5" count="1" selected="0">
            <x v="1211"/>
          </reference>
          <reference field="6" count="1">
            <x v="47"/>
          </reference>
        </references>
      </pivotArea>
    </format>
    <format dxfId="1678">
      <pivotArea dataOnly="0" labelOnly="1" fieldPosition="0">
        <references count="6">
          <reference field="1" count="1" selected="0">
            <x v="89"/>
          </reference>
          <reference field="2" count="1" selected="0">
            <x v="35"/>
          </reference>
          <reference field="3" count="1" selected="0">
            <x v="20"/>
          </reference>
          <reference field="4" count="1" selected="0">
            <x v="174"/>
          </reference>
          <reference field="5" count="1" selected="0">
            <x v="1366"/>
          </reference>
          <reference field="6" count="1">
            <x v="47"/>
          </reference>
        </references>
      </pivotArea>
    </format>
    <format dxfId="1677">
      <pivotArea dataOnly="0" labelOnly="1" fieldPosition="0">
        <references count="6">
          <reference field="1" count="1" selected="0">
            <x v="90"/>
          </reference>
          <reference field="2" count="1" selected="0">
            <x v="0"/>
          </reference>
          <reference field="3" count="1" selected="0">
            <x v="1"/>
          </reference>
          <reference field="4" count="1" selected="0">
            <x v="176"/>
          </reference>
          <reference field="5" count="1" selected="0">
            <x v="80"/>
          </reference>
          <reference field="6" count="1">
            <x v="47"/>
          </reference>
        </references>
      </pivotArea>
    </format>
    <format dxfId="1676">
      <pivotArea dataOnly="0" labelOnly="1" fieldPosition="0">
        <references count="6">
          <reference field="1" count="1" selected="0">
            <x v="90"/>
          </reference>
          <reference field="2" count="1" selected="0">
            <x v="0"/>
          </reference>
          <reference field="3" count="1" selected="0">
            <x v="12"/>
          </reference>
          <reference field="4" count="1" selected="0">
            <x v="2"/>
          </reference>
          <reference field="5" count="1" selected="0">
            <x v="39"/>
          </reference>
          <reference field="6" count="1">
            <x v="47"/>
          </reference>
        </references>
      </pivotArea>
    </format>
    <format dxfId="1675">
      <pivotArea dataOnly="0" labelOnly="1" fieldPosition="0">
        <references count="6">
          <reference field="1" count="1" selected="0">
            <x v="90"/>
          </reference>
          <reference field="2" count="1" selected="0">
            <x v="0"/>
          </reference>
          <reference field="3" count="1" selected="0">
            <x v="12"/>
          </reference>
          <reference field="4" count="1" selected="0">
            <x v="21"/>
          </reference>
          <reference field="5" count="1" selected="0">
            <x v="9"/>
          </reference>
          <reference field="6" count="1">
            <x v="47"/>
          </reference>
        </references>
      </pivotArea>
    </format>
    <format dxfId="1674">
      <pivotArea dataOnly="0" labelOnly="1" fieldPosition="0">
        <references count="6">
          <reference field="1" count="1" selected="0">
            <x v="90"/>
          </reference>
          <reference field="2" count="1" selected="0">
            <x v="0"/>
          </reference>
          <reference field="3" count="1" selected="0">
            <x v="12"/>
          </reference>
          <reference field="4" count="1" selected="0">
            <x v="40"/>
          </reference>
          <reference field="5" count="1" selected="0">
            <x v="219"/>
          </reference>
          <reference field="6" count="1">
            <x v="47"/>
          </reference>
        </references>
      </pivotArea>
    </format>
    <format dxfId="1673">
      <pivotArea dataOnly="0" labelOnly="1" fieldPosition="0">
        <references count="6">
          <reference field="1" count="1" selected="0">
            <x v="90"/>
          </reference>
          <reference field="2" count="1" selected="0">
            <x v="0"/>
          </reference>
          <reference field="3" count="1" selected="0">
            <x v="12"/>
          </reference>
          <reference field="4" count="1" selected="0">
            <x v="55"/>
          </reference>
          <reference field="5" count="1" selected="0">
            <x v="92"/>
          </reference>
          <reference field="6" count="1">
            <x v="47"/>
          </reference>
        </references>
      </pivotArea>
    </format>
    <format dxfId="1672">
      <pivotArea dataOnly="0" labelOnly="1" fieldPosition="0">
        <references count="6">
          <reference field="1" count="1" selected="0">
            <x v="90"/>
          </reference>
          <reference field="2" count="1" selected="0">
            <x v="0"/>
          </reference>
          <reference field="3" count="1" selected="0">
            <x v="12"/>
          </reference>
          <reference field="4" count="1" selected="0">
            <x v="66"/>
          </reference>
          <reference field="5" count="1" selected="0">
            <x v="92"/>
          </reference>
          <reference field="6" count="1">
            <x v="47"/>
          </reference>
        </references>
      </pivotArea>
    </format>
    <format dxfId="1671">
      <pivotArea dataOnly="0" labelOnly="1" fieldPosition="0">
        <references count="6">
          <reference field="1" count="1" selected="0">
            <x v="90"/>
          </reference>
          <reference field="2" count="1" selected="0">
            <x v="0"/>
          </reference>
          <reference field="3" count="1" selected="0">
            <x v="38"/>
          </reference>
          <reference field="4" count="1" selected="0">
            <x v="176"/>
          </reference>
          <reference field="5" count="1" selected="0">
            <x v="650"/>
          </reference>
          <reference field="6" count="1">
            <x v="47"/>
          </reference>
        </references>
      </pivotArea>
    </format>
    <format dxfId="1670">
      <pivotArea dataOnly="0" labelOnly="1" fieldPosition="0">
        <references count="6">
          <reference field="1" count="1" selected="0">
            <x v="90"/>
          </reference>
          <reference field="2" count="1" selected="0">
            <x v="2"/>
          </reference>
          <reference field="3" count="1" selected="0">
            <x v="10"/>
          </reference>
          <reference field="4" count="1" selected="0">
            <x v="176"/>
          </reference>
          <reference field="5" count="1" selected="0">
            <x v="1694"/>
          </reference>
          <reference field="6" count="1">
            <x v="47"/>
          </reference>
        </references>
      </pivotArea>
    </format>
    <format dxfId="1669">
      <pivotArea dataOnly="0" labelOnly="1" fieldPosition="0">
        <references count="6">
          <reference field="1" count="1" selected="0">
            <x v="90"/>
          </reference>
          <reference field="2" count="1" selected="0">
            <x v="3"/>
          </reference>
          <reference field="3" count="1" selected="0">
            <x v="10"/>
          </reference>
          <reference field="4" count="1" selected="0">
            <x v="176"/>
          </reference>
          <reference field="5" count="1" selected="0">
            <x v="1254"/>
          </reference>
          <reference field="6" count="1">
            <x v="47"/>
          </reference>
        </references>
      </pivotArea>
    </format>
    <format dxfId="1668">
      <pivotArea dataOnly="0" labelOnly="1" fieldPosition="0">
        <references count="6">
          <reference field="1" count="1" selected="0">
            <x v="90"/>
          </reference>
          <reference field="2" count="1" selected="0">
            <x v="11"/>
          </reference>
          <reference field="3" count="1" selected="0">
            <x v="10"/>
          </reference>
          <reference field="4" count="1" selected="0">
            <x v="176"/>
          </reference>
          <reference field="5" count="1" selected="0">
            <x v="741"/>
          </reference>
          <reference field="6" count="1">
            <x v="47"/>
          </reference>
        </references>
      </pivotArea>
    </format>
    <format dxfId="1667">
      <pivotArea dataOnly="0" labelOnly="1" fieldPosition="0">
        <references count="6">
          <reference field="1" count="1" selected="0">
            <x v="90"/>
          </reference>
          <reference field="2" count="1" selected="0">
            <x v="12"/>
          </reference>
          <reference field="3" count="1" selected="0">
            <x v="1"/>
          </reference>
          <reference field="4" count="1" selected="0">
            <x v="176"/>
          </reference>
          <reference field="5" count="1" selected="0">
            <x v="213"/>
          </reference>
          <reference field="6" count="1">
            <x v="47"/>
          </reference>
        </references>
      </pivotArea>
    </format>
    <format dxfId="1666">
      <pivotArea dataOnly="0" labelOnly="1" fieldPosition="0">
        <references count="6">
          <reference field="1" count="1" selected="0">
            <x v="90"/>
          </reference>
          <reference field="2" count="1" selected="0">
            <x v="12"/>
          </reference>
          <reference field="3" count="1" selected="0">
            <x v="1"/>
          </reference>
          <reference field="4" count="1" selected="0">
            <x v="176"/>
          </reference>
          <reference field="5" count="1" selected="0">
            <x v="352"/>
          </reference>
          <reference field="6" count="1">
            <x v="47"/>
          </reference>
        </references>
      </pivotArea>
    </format>
    <format dxfId="1665">
      <pivotArea dataOnly="0" labelOnly="1" fieldPosition="0">
        <references count="6">
          <reference field="1" count="1" selected="0">
            <x v="90"/>
          </reference>
          <reference field="2" count="1" selected="0">
            <x v="15"/>
          </reference>
          <reference field="3" count="1" selected="0">
            <x v="38"/>
          </reference>
          <reference field="4" count="1" selected="0">
            <x v="176"/>
          </reference>
          <reference field="5" count="1" selected="0">
            <x v="1028"/>
          </reference>
          <reference field="6" count="1">
            <x v="47"/>
          </reference>
        </references>
      </pivotArea>
    </format>
    <format dxfId="1664">
      <pivotArea dataOnly="0" labelOnly="1" fieldPosition="0">
        <references count="6">
          <reference field="1" count="1" selected="0">
            <x v="90"/>
          </reference>
          <reference field="2" count="1" selected="0">
            <x v="23"/>
          </reference>
          <reference field="3" count="1" selected="0">
            <x v="38"/>
          </reference>
          <reference field="4" count="1" selected="0">
            <x v="176"/>
          </reference>
          <reference field="5" count="1" selected="0">
            <x v="452"/>
          </reference>
          <reference field="6" count="1">
            <x v="47"/>
          </reference>
        </references>
      </pivotArea>
    </format>
    <format dxfId="1663">
      <pivotArea dataOnly="0" labelOnly="1" fieldPosition="0">
        <references count="6">
          <reference field="1" count="1" selected="0">
            <x v="90"/>
          </reference>
          <reference field="2" count="1" selected="0">
            <x v="35"/>
          </reference>
          <reference field="3" count="1" selected="0">
            <x v="1"/>
          </reference>
          <reference field="4" count="1" selected="0">
            <x v="176"/>
          </reference>
          <reference field="5" count="1" selected="0">
            <x v="80"/>
          </reference>
          <reference field="6" count="1">
            <x v="47"/>
          </reference>
        </references>
      </pivotArea>
    </format>
    <format dxfId="1662">
      <pivotArea dataOnly="0" labelOnly="1" fieldPosition="0">
        <references count="6">
          <reference field="1" count="1" selected="0">
            <x v="90"/>
          </reference>
          <reference field="2" count="1" selected="0">
            <x v="36"/>
          </reference>
          <reference field="3" count="1" selected="0">
            <x v="10"/>
          </reference>
          <reference field="4" count="1" selected="0">
            <x v="176"/>
          </reference>
          <reference field="5" count="1" selected="0">
            <x v="1539"/>
          </reference>
          <reference field="6" count="1">
            <x v="47"/>
          </reference>
        </references>
      </pivotArea>
    </format>
    <format dxfId="1661">
      <pivotArea dataOnly="0" labelOnly="1" fieldPosition="0">
        <references count="6">
          <reference field="1" count="1" selected="0">
            <x v="90"/>
          </reference>
          <reference field="2" count="1" selected="0">
            <x v="38"/>
          </reference>
          <reference field="3" count="1" selected="0">
            <x v="10"/>
          </reference>
          <reference field="4" count="1" selected="0">
            <x v="176"/>
          </reference>
          <reference field="5" count="1" selected="0">
            <x v="1175"/>
          </reference>
          <reference field="6" count="1">
            <x v="47"/>
          </reference>
        </references>
      </pivotArea>
    </format>
    <format dxfId="1660">
      <pivotArea dataOnly="0" labelOnly="1" fieldPosition="0">
        <references count="6">
          <reference field="1" count="1" selected="0">
            <x v="91"/>
          </reference>
          <reference field="2" count="1" selected="0">
            <x v="0"/>
          </reference>
          <reference field="3" count="1" selected="0">
            <x v="12"/>
          </reference>
          <reference field="4" count="1" selected="0">
            <x v="28"/>
          </reference>
          <reference field="5" count="1" selected="0">
            <x v="35"/>
          </reference>
          <reference field="6" count="1">
            <x v="47"/>
          </reference>
        </references>
      </pivotArea>
    </format>
    <format dxfId="1659">
      <pivotArea dataOnly="0" labelOnly="1" fieldPosition="0">
        <references count="6">
          <reference field="1" count="1" selected="0">
            <x v="91"/>
          </reference>
          <reference field="2" count="1" selected="0">
            <x v="0"/>
          </reference>
          <reference field="3" count="1" selected="0">
            <x v="12"/>
          </reference>
          <reference field="4" count="1" selected="0">
            <x v="32"/>
          </reference>
          <reference field="5" count="1" selected="0">
            <x v="391"/>
          </reference>
          <reference field="6" count="1">
            <x v="47"/>
          </reference>
        </references>
      </pivotArea>
    </format>
    <format dxfId="1658">
      <pivotArea dataOnly="0" labelOnly="1" fieldPosition="0">
        <references count="6">
          <reference field="1" count="1" selected="0">
            <x v="91"/>
          </reference>
          <reference field="2" count="1" selected="0">
            <x v="0"/>
          </reference>
          <reference field="3" count="1" selected="0">
            <x v="12"/>
          </reference>
          <reference field="4" count="1" selected="0">
            <x v="54"/>
          </reference>
          <reference field="5" count="1" selected="0">
            <x v="55"/>
          </reference>
          <reference field="6" count="1">
            <x v="47"/>
          </reference>
        </references>
      </pivotArea>
    </format>
    <format dxfId="1657">
      <pivotArea dataOnly="0" labelOnly="1" fieldPosition="0">
        <references count="6">
          <reference field="1" count="1" selected="0">
            <x v="92"/>
          </reference>
          <reference field="2" count="1" selected="0">
            <x v="0"/>
          </reference>
          <reference field="3" count="1" selected="0">
            <x v="8"/>
          </reference>
          <reference field="4" count="1" selected="0">
            <x v="178"/>
          </reference>
          <reference field="5" count="1" selected="0">
            <x v="514"/>
          </reference>
          <reference field="6" count="1">
            <x v="47"/>
          </reference>
        </references>
      </pivotArea>
    </format>
    <format dxfId="1656">
      <pivotArea dataOnly="0" labelOnly="1" fieldPosition="0">
        <references count="6">
          <reference field="1" count="1" selected="0">
            <x v="92"/>
          </reference>
          <reference field="2" count="1" selected="0">
            <x v="0"/>
          </reference>
          <reference field="3" count="1" selected="0">
            <x v="9"/>
          </reference>
          <reference field="4" count="1" selected="0">
            <x v="178"/>
          </reference>
          <reference field="5" count="1" selected="0">
            <x v="74"/>
          </reference>
          <reference field="6" count="1">
            <x v="47"/>
          </reference>
        </references>
      </pivotArea>
    </format>
    <format dxfId="1655">
      <pivotArea dataOnly="0" labelOnly="1" fieldPosition="0">
        <references count="6">
          <reference field="1" count="1" selected="0">
            <x v="92"/>
          </reference>
          <reference field="2" count="1" selected="0">
            <x v="0"/>
          </reference>
          <reference field="3" count="1" selected="0">
            <x v="9"/>
          </reference>
          <reference field="4" count="1" selected="0">
            <x v="178"/>
          </reference>
          <reference field="5" count="1" selected="0">
            <x v="346"/>
          </reference>
          <reference field="6" count="1">
            <x v="47"/>
          </reference>
        </references>
      </pivotArea>
    </format>
    <format dxfId="1654">
      <pivotArea dataOnly="0" labelOnly="1" fieldPosition="0">
        <references count="6">
          <reference field="1" count="1" selected="0">
            <x v="92"/>
          </reference>
          <reference field="2" count="1" selected="0">
            <x v="0"/>
          </reference>
          <reference field="3" count="1" selected="0">
            <x v="9"/>
          </reference>
          <reference field="4" count="1" selected="0">
            <x v="178"/>
          </reference>
          <reference field="5" count="1" selected="0">
            <x v="355"/>
          </reference>
          <reference field="6" count="1">
            <x v="47"/>
          </reference>
        </references>
      </pivotArea>
    </format>
    <format dxfId="1653">
      <pivotArea dataOnly="0" labelOnly="1" fieldPosition="0">
        <references count="6">
          <reference field="1" count="1" selected="0">
            <x v="92"/>
          </reference>
          <reference field="2" count="1" selected="0">
            <x v="0"/>
          </reference>
          <reference field="3" count="1" selected="0">
            <x v="9"/>
          </reference>
          <reference field="4" count="1" selected="0">
            <x v="178"/>
          </reference>
          <reference field="5" count="1" selected="0">
            <x v="809"/>
          </reference>
          <reference field="6" count="1">
            <x v="47"/>
          </reference>
        </references>
      </pivotArea>
    </format>
    <format dxfId="1652">
      <pivotArea dataOnly="0" labelOnly="1" fieldPosition="0">
        <references count="6">
          <reference field="1" count="1" selected="0">
            <x v="92"/>
          </reference>
          <reference field="2" count="1" selected="0">
            <x v="0"/>
          </reference>
          <reference field="3" count="1" selected="0">
            <x v="9"/>
          </reference>
          <reference field="4" count="1" selected="0">
            <x v="178"/>
          </reference>
          <reference field="5" count="1" selected="0">
            <x v="917"/>
          </reference>
          <reference field="6" count="1">
            <x v="47"/>
          </reference>
        </references>
      </pivotArea>
    </format>
    <format dxfId="1651">
      <pivotArea dataOnly="0" labelOnly="1" fieldPosition="0">
        <references count="6">
          <reference field="1" count="1" selected="0">
            <x v="92"/>
          </reference>
          <reference field="2" count="1" selected="0">
            <x v="0"/>
          </reference>
          <reference field="3" count="1" selected="0">
            <x v="9"/>
          </reference>
          <reference field="4" count="1" selected="0">
            <x v="178"/>
          </reference>
          <reference field="5" count="1" selected="0">
            <x v="940"/>
          </reference>
          <reference field="6" count="1">
            <x v="47"/>
          </reference>
        </references>
      </pivotArea>
    </format>
    <format dxfId="1650">
      <pivotArea dataOnly="0" labelOnly="1" fieldPosition="0">
        <references count="6">
          <reference field="1" count="1" selected="0">
            <x v="92"/>
          </reference>
          <reference field="2" count="1" selected="0">
            <x v="0"/>
          </reference>
          <reference field="3" count="1" selected="0">
            <x v="9"/>
          </reference>
          <reference field="4" count="1" selected="0">
            <x v="178"/>
          </reference>
          <reference field="5" count="1" selected="0">
            <x v="1128"/>
          </reference>
          <reference field="6" count="1">
            <x v="47"/>
          </reference>
        </references>
      </pivotArea>
    </format>
    <format dxfId="1649">
      <pivotArea dataOnly="0" labelOnly="1" fieldPosition="0">
        <references count="6">
          <reference field="1" count="1" selected="0">
            <x v="92"/>
          </reference>
          <reference field="2" count="1" selected="0">
            <x v="0"/>
          </reference>
          <reference field="3" count="1" selected="0">
            <x v="38"/>
          </reference>
          <reference field="4" count="1" selected="0">
            <x v="178"/>
          </reference>
          <reference field="5" count="1" selected="0">
            <x v="138"/>
          </reference>
          <reference field="6" count="1">
            <x v="47"/>
          </reference>
        </references>
      </pivotArea>
    </format>
    <format dxfId="1648">
      <pivotArea dataOnly="0" labelOnly="1" fieldPosition="0">
        <references count="6">
          <reference field="1" count="1" selected="0">
            <x v="92"/>
          </reference>
          <reference field="2" count="1" selected="0">
            <x v="0"/>
          </reference>
          <reference field="3" count="1" selected="0">
            <x v="38"/>
          </reference>
          <reference field="4" count="1" selected="0">
            <x v="178"/>
          </reference>
          <reference field="5" count="1" selected="0">
            <x v="500"/>
          </reference>
          <reference field="6" count="1">
            <x v="47"/>
          </reference>
        </references>
      </pivotArea>
    </format>
    <format dxfId="1647">
      <pivotArea dataOnly="0" labelOnly="1" fieldPosition="0">
        <references count="6">
          <reference field="1" count="1" selected="0">
            <x v="92"/>
          </reference>
          <reference field="2" count="1" selected="0">
            <x v="3"/>
          </reference>
          <reference field="3" count="1" selected="0">
            <x v="38"/>
          </reference>
          <reference field="4" count="1" selected="0">
            <x v="178"/>
          </reference>
          <reference field="5" count="1" selected="0">
            <x v="78"/>
          </reference>
          <reference field="6" count="1">
            <x v="47"/>
          </reference>
        </references>
      </pivotArea>
    </format>
    <format dxfId="1646">
      <pivotArea dataOnly="0" labelOnly="1" fieldPosition="0">
        <references count="6">
          <reference field="1" count="1" selected="0">
            <x v="92"/>
          </reference>
          <reference field="2" count="1" selected="0">
            <x v="8"/>
          </reference>
          <reference field="3" count="1" selected="0">
            <x v="10"/>
          </reference>
          <reference field="4" count="1" selected="0">
            <x v="178"/>
          </reference>
          <reference field="5" count="1" selected="0">
            <x v="729"/>
          </reference>
          <reference field="6" count="1">
            <x v="47"/>
          </reference>
        </references>
      </pivotArea>
    </format>
    <format dxfId="1645">
      <pivotArea dataOnly="0" labelOnly="1" fieldPosition="0">
        <references count="6">
          <reference field="1" count="1" selected="0">
            <x v="92"/>
          </reference>
          <reference field="2" count="1" selected="0">
            <x v="12"/>
          </reference>
          <reference field="3" count="1" selected="0">
            <x v="1"/>
          </reference>
          <reference field="4" count="1" selected="0">
            <x v="178"/>
          </reference>
          <reference field="5" count="1" selected="0">
            <x v="80"/>
          </reference>
          <reference field="6" count="1">
            <x v="47"/>
          </reference>
        </references>
      </pivotArea>
    </format>
    <format dxfId="1644">
      <pivotArea dataOnly="0" labelOnly="1" fieldPosition="0">
        <references count="6">
          <reference field="1" count="1" selected="0">
            <x v="92"/>
          </reference>
          <reference field="2" count="1" selected="0">
            <x v="12"/>
          </reference>
          <reference field="3" count="1" selected="0">
            <x v="1"/>
          </reference>
          <reference field="4" count="1" selected="0">
            <x v="178"/>
          </reference>
          <reference field="5" count="1" selected="0">
            <x v="352"/>
          </reference>
          <reference field="6" count="1">
            <x v="47"/>
          </reference>
        </references>
      </pivotArea>
    </format>
    <format dxfId="1643">
      <pivotArea dataOnly="0" labelOnly="1" fieldPosition="0">
        <references count="6">
          <reference field="1" count="1" selected="0">
            <x v="92"/>
          </reference>
          <reference field="2" count="1" selected="0">
            <x v="15"/>
          </reference>
          <reference field="3" count="1" selected="0">
            <x v="27"/>
          </reference>
          <reference field="4" count="1" selected="0">
            <x v="177"/>
          </reference>
          <reference field="5" count="1" selected="0">
            <x v="1737"/>
          </reference>
          <reference field="6" count="1">
            <x v="47"/>
          </reference>
        </references>
      </pivotArea>
    </format>
    <format dxfId="1642">
      <pivotArea dataOnly="0" labelOnly="1" fieldPosition="0">
        <references count="6">
          <reference field="1" count="1" selected="0">
            <x v="92"/>
          </reference>
          <reference field="2" count="1" selected="0">
            <x v="23"/>
          </reference>
          <reference field="3" count="1" selected="0">
            <x v="38"/>
          </reference>
          <reference field="4" count="1" selected="0">
            <x v="178"/>
          </reference>
          <reference field="5" count="1" selected="0">
            <x v="80"/>
          </reference>
          <reference field="6" count="1">
            <x v="47"/>
          </reference>
        </references>
      </pivotArea>
    </format>
    <format dxfId="1641">
      <pivotArea dataOnly="0" labelOnly="1" fieldPosition="0">
        <references count="6">
          <reference field="1" count="1" selected="0">
            <x v="92"/>
          </reference>
          <reference field="2" count="1" selected="0">
            <x v="35"/>
          </reference>
          <reference field="3" count="1" selected="0">
            <x v="1"/>
          </reference>
          <reference field="4" count="1" selected="0">
            <x v="178"/>
          </reference>
          <reference field="5" count="1" selected="0">
            <x v="80"/>
          </reference>
          <reference field="6" count="1">
            <x v="47"/>
          </reference>
        </references>
      </pivotArea>
    </format>
    <format dxfId="1640">
      <pivotArea dataOnly="0" labelOnly="1" fieldPosition="0">
        <references count="6">
          <reference field="1" count="1" selected="0">
            <x v="92"/>
          </reference>
          <reference field="2" count="1" selected="0">
            <x v="35"/>
          </reference>
          <reference field="3" count="1" selected="0">
            <x v="1"/>
          </reference>
          <reference field="4" count="1" selected="0">
            <x v="178"/>
          </reference>
          <reference field="5" count="1" selected="0">
            <x v="352"/>
          </reference>
          <reference field="6" count="1">
            <x v="47"/>
          </reference>
        </references>
      </pivotArea>
    </format>
    <format dxfId="1639">
      <pivotArea dataOnly="0" labelOnly="1" fieldPosition="0">
        <references count="6">
          <reference field="1" count="1" selected="0">
            <x v="92"/>
          </reference>
          <reference field="2" count="1" selected="0">
            <x v="36"/>
          </reference>
          <reference field="3" count="1" selected="0">
            <x v="8"/>
          </reference>
          <reference field="4" count="1" selected="0">
            <x v="178"/>
          </reference>
          <reference field="5" count="1" selected="0">
            <x v="977"/>
          </reference>
          <reference field="6" count="1">
            <x v="47"/>
          </reference>
        </references>
      </pivotArea>
    </format>
    <format dxfId="1638">
      <pivotArea dataOnly="0" labelOnly="1" fieldPosition="0">
        <references count="6">
          <reference field="1" count="1" selected="0">
            <x v="93"/>
          </reference>
          <reference field="2" count="1" selected="0">
            <x v="10"/>
          </reference>
          <reference field="3" count="1" selected="0">
            <x v="33"/>
          </reference>
          <reference field="4" count="1" selected="0">
            <x v="179"/>
          </reference>
          <reference field="5" count="1" selected="0">
            <x v="1793"/>
          </reference>
          <reference field="6" count="1">
            <x v="47"/>
          </reference>
        </references>
      </pivotArea>
    </format>
    <format dxfId="1637">
      <pivotArea dataOnly="0" labelOnly="1" fieldPosition="0">
        <references count="6">
          <reference field="1" count="1" selected="0">
            <x v="93"/>
          </reference>
          <reference field="2" count="1" selected="0">
            <x v="12"/>
          </reference>
          <reference field="3" count="1" selected="0">
            <x v="38"/>
          </reference>
          <reference field="4" count="1" selected="0">
            <x v="179"/>
          </reference>
          <reference field="5" count="1" selected="0">
            <x v="1137"/>
          </reference>
          <reference field="6" count="1">
            <x v="47"/>
          </reference>
        </references>
      </pivotArea>
    </format>
    <format dxfId="1636">
      <pivotArea dataOnly="0" labelOnly="1" fieldPosition="0">
        <references count="6">
          <reference field="1" count="1" selected="0">
            <x v="93"/>
          </reference>
          <reference field="2" count="1" selected="0">
            <x v="12"/>
          </reference>
          <reference field="3" count="1" selected="0">
            <x v="38"/>
          </reference>
          <reference field="4" count="1" selected="0">
            <x v="179"/>
          </reference>
          <reference field="5" count="1" selected="0">
            <x v="1343"/>
          </reference>
          <reference field="6" count="1">
            <x v="47"/>
          </reference>
        </references>
      </pivotArea>
    </format>
    <format dxfId="1635">
      <pivotArea dataOnly="0" labelOnly="1" fieldPosition="0">
        <references count="6">
          <reference field="1" count="1" selected="0">
            <x v="93"/>
          </reference>
          <reference field="2" count="1" selected="0">
            <x v="12"/>
          </reference>
          <reference field="3" count="1" selected="0">
            <x v="38"/>
          </reference>
          <reference field="4" count="1" selected="0">
            <x v="179"/>
          </reference>
          <reference field="5" count="1" selected="0">
            <x v="1730"/>
          </reference>
          <reference field="6" count="1">
            <x v="47"/>
          </reference>
        </references>
      </pivotArea>
    </format>
    <format dxfId="1634">
      <pivotArea dataOnly="0" labelOnly="1" fieldPosition="0">
        <references count="6">
          <reference field="1" count="1" selected="0">
            <x v="93"/>
          </reference>
          <reference field="2" count="1" selected="0">
            <x v="15"/>
          </reference>
          <reference field="3" count="1" selected="0">
            <x v="33"/>
          </reference>
          <reference field="4" count="1" selected="0">
            <x v="179"/>
          </reference>
          <reference field="5" count="1" selected="0">
            <x v="1873"/>
          </reference>
          <reference field="6" count="1">
            <x v="47"/>
          </reference>
        </references>
      </pivotArea>
    </format>
    <format dxfId="1633">
      <pivotArea dataOnly="0" labelOnly="1" fieldPosition="0">
        <references count="6">
          <reference field="1" count="1" selected="0">
            <x v="93"/>
          </reference>
          <reference field="2" count="1" selected="0">
            <x v="15"/>
          </reference>
          <reference field="3" count="1" selected="0">
            <x v="35"/>
          </reference>
          <reference field="4" count="1" selected="0">
            <x v="76"/>
          </reference>
          <reference field="5" count="1" selected="0">
            <x v="0"/>
          </reference>
          <reference field="6" count="1">
            <x v="2"/>
          </reference>
        </references>
      </pivotArea>
    </format>
    <format dxfId="1632">
      <pivotArea dataOnly="0" labelOnly="1" fieldPosition="0">
        <references count="6">
          <reference field="1" count="1" selected="0">
            <x v="93"/>
          </reference>
          <reference field="2" count="1" selected="0">
            <x v="36"/>
          </reference>
          <reference field="3" count="1" selected="0">
            <x v="9"/>
          </reference>
          <reference field="4" count="1" selected="0">
            <x v="179"/>
          </reference>
          <reference field="5" count="1" selected="0">
            <x v="1754"/>
          </reference>
          <reference field="6" count="1">
            <x v="47"/>
          </reference>
        </references>
      </pivotArea>
    </format>
    <format dxfId="1631">
      <pivotArea dataOnly="0" labelOnly="1" fieldPosition="0">
        <references count="6">
          <reference field="1" count="1" selected="0">
            <x v="94"/>
          </reference>
          <reference field="2" count="1" selected="0">
            <x v="0"/>
          </reference>
          <reference field="3" count="1" selected="0">
            <x v="1"/>
          </reference>
          <reference field="4" count="1" selected="0">
            <x v="180"/>
          </reference>
          <reference field="5" count="1" selected="0">
            <x v="80"/>
          </reference>
          <reference field="6" count="1">
            <x v="47"/>
          </reference>
        </references>
      </pivotArea>
    </format>
    <format dxfId="1630">
      <pivotArea dataOnly="0" labelOnly="1" fieldPosition="0">
        <references count="6">
          <reference field="1" count="1" selected="0">
            <x v="94"/>
          </reference>
          <reference field="2" count="1" selected="0">
            <x v="0"/>
          </reference>
          <reference field="3" count="1" selected="0">
            <x v="11"/>
          </reference>
          <reference field="4" count="1" selected="0">
            <x v="51"/>
          </reference>
          <reference field="5" count="1" selected="0">
            <x v="39"/>
          </reference>
          <reference field="6" count="1">
            <x v="47"/>
          </reference>
        </references>
      </pivotArea>
    </format>
    <format dxfId="1629">
      <pivotArea dataOnly="0" labelOnly="1" fieldPosition="0">
        <references count="6">
          <reference field="1" count="1" selected="0">
            <x v="94"/>
          </reference>
          <reference field="2" count="1" selected="0">
            <x v="0"/>
          </reference>
          <reference field="3" count="1" selected="0">
            <x v="12"/>
          </reference>
          <reference field="4" count="1" selected="0">
            <x v="23"/>
          </reference>
          <reference field="5" count="1" selected="0">
            <x v="109"/>
          </reference>
          <reference field="6" count="1">
            <x v="47"/>
          </reference>
        </references>
      </pivotArea>
    </format>
    <format dxfId="1628">
      <pivotArea dataOnly="0" labelOnly="1" fieldPosition="0">
        <references count="6">
          <reference field="1" count="1" selected="0">
            <x v="94"/>
          </reference>
          <reference field="2" count="1" selected="0">
            <x v="2"/>
          </reference>
          <reference field="3" count="1" selected="0">
            <x v="6"/>
          </reference>
          <reference field="4" count="1" selected="0">
            <x v="180"/>
          </reference>
          <reference field="5" count="1" selected="0">
            <x v="680"/>
          </reference>
          <reference field="6" count="1">
            <x v="47"/>
          </reference>
        </references>
      </pivotArea>
    </format>
    <format dxfId="1627">
      <pivotArea dataOnly="0" labelOnly="1" fieldPosition="0">
        <references count="6">
          <reference field="1" count="1" selected="0">
            <x v="94"/>
          </reference>
          <reference field="2" count="1" selected="0">
            <x v="3"/>
          </reference>
          <reference field="3" count="1" selected="0">
            <x v="38"/>
          </reference>
          <reference field="4" count="1" selected="0">
            <x v="180"/>
          </reference>
          <reference field="5" count="1" selected="0">
            <x v="78"/>
          </reference>
          <reference field="6" count="1">
            <x v="47"/>
          </reference>
        </references>
      </pivotArea>
    </format>
    <format dxfId="1626">
      <pivotArea dataOnly="0" labelOnly="1" fieldPosition="0">
        <references count="6">
          <reference field="1" count="1" selected="0">
            <x v="94"/>
          </reference>
          <reference field="2" count="1" selected="0">
            <x v="12"/>
          </reference>
          <reference field="3" count="1" selected="0">
            <x v="1"/>
          </reference>
          <reference field="4" count="1" selected="0">
            <x v="180"/>
          </reference>
          <reference field="5" count="1" selected="0">
            <x v="80"/>
          </reference>
          <reference field="6" count="1">
            <x v="47"/>
          </reference>
        </references>
      </pivotArea>
    </format>
    <format dxfId="1625">
      <pivotArea dataOnly="0" labelOnly="1" fieldPosition="0">
        <references count="6">
          <reference field="1" count="1" selected="0">
            <x v="94"/>
          </reference>
          <reference field="2" count="1" selected="0">
            <x v="12"/>
          </reference>
          <reference field="3" count="1" selected="0">
            <x v="1"/>
          </reference>
          <reference field="4" count="1" selected="0">
            <x v="180"/>
          </reference>
          <reference field="5" count="1" selected="0">
            <x v="213"/>
          </reference>
          <reference field="6" count="1">
            <x v="47"/>
          </reference>
        </references>
      </pivotArea>
    </format>
    <format dxfId="1624">
      <pivotArea dataOnly="0" labelOnly="1" fieldPosition="0">
        <references count="6">
          <reference field="1" count="1" selected="0">
            <x v="94"/>
          </reference>
          <reference field="2" count="1" selected="0">
            <x v="12"/>
          </reference>
          <reference field="3" count="1" selected="0">
            <x v="1"/>
          </reference>
          <reference field="4" count="1" selected="0">
            <x v="180"/>
          </reference>
          <reference field="5" count="1" selected="0">
            <x v="352"/>
          </reference>
          <reference field="6" count="1">
            <x v="47"/>
          </reference>
        </references>
      </pivotArea>
    </format>
    <format dxfId="1623">
      <pivotArea dataOnly="0" labelOnly="1" fieldPosition="0">
        <references count="6">
          <reference field="1" count="1" selected="0">
            <x v="94"/>
          </reference>
          <reference field="2" count="1" selected="0">
            <x v="12"/>
          </reference>
          <reference field="3" count="1" selected="0">
            <x v="1"/>
          </reference>
          <reference field="4" count="1" selected="0">
            <x v="180"/>
          </reference>
          <reference field="5" count="1" selected="0">
            <x v="1028"/>
          </reference>
          <reference field="6" count="1">
            <x v="47"/>
          </reference>
        </references>
      </pivotArea>
    </format>
    <format dxfId="1622">
      <pivotArea dataOnly="0" labelOnly="1" fieldPosition="0">
        <references count="6">
          <reference field="1" count="1" selected="0">
            <x v="94"/>
          </reference>
          <reference field="2" count="1" selected="0">
            <x v="15"/>
          </reference>
          <reference field="3" count="1" selected="0">
            <x v="33"/>
          </reference>
          <reference field="4" count="1" selected="0">
            <x v="180"/>
          </reference>
          <reference field="5" count="1" selected="0">
            <x v="1881"/>
          </reference>
          <reference field="6" count="1">
            <x v="47"/>
          </reference>
        </references>
      </pivotArea>
    </format>
    <format dxfId="1621">
      <pivotArea dataOnly="0" labelOnly="1" fieldPosition="0">
        <references count="6">
          <reference field="1" count="1" selected="0">
            <x v="94"/>
          </reference>
          <reference field="2" count="1" selected="0">
            <x v="15"/>
          </reference>
          <reference field="3" count="1" selected="0">
            <x v="38"/>
          </reference>
          <reference field="4" count="1" selected="0">
            <x v="180"/>
          </reference>
          <reference field="5" count="1" selected="0">
            <x v="474"/>
          </reference>
          <reference field="6" count="1">
            <x v="47"/>
          </reference>
        </references>
      </pivotArea>
    </format>
    <format dxfId="1620">
      <pivotArea dataOnly="0" labelOnly="1" fieldPosition="0">
        <references count="6">
          <reference field="1" count="1" selected="0">
            <x v="94"/>
          </reference>
          <reference field="2" count="1" selected="0">
            <x v="19"/>
          </reference>
          <reference field="3" count="1" selected="0">
            <x v="6"/>
          </reference>
          <reference field="4" count="1" selected="0">
            <x v="180"/>
          </reference>
          <reference field="5" count="1" selected="0">
            <x v="469"/>
          </reference>
          <reference field="6" count="1">
            <x v="47"/>
          </reference>
        </references>
      </pivotArea>
    </format>
    <format dxfId="1619">
      <pivotArea dataOnly="0" labelOnly="1" fieldPosition="0">
        <references count="6">
          <reference field="1" count="1" selected="0">
            <x v="94"/>
          </reference>
          <reference field="2" count="1" selected="0">
            <x v="23"/>
          </reference>
          <reference field="3" count="1" selected="0">
            <x v="38"/>
          </reference>
          <reference field="4" count="1" selected="0">
            <x v="180"/>
          </reference>
          <reference field="5" count="1" selected="0">
            <x v="109"/>
          </reference>
          <reference field="6" count="1">
            <x v="47"/>
          </reference>
        </references>
      </pivotArea>
    </format>
    <format dxfId="1618">
      <pivotArea dataOnly="0" labelOnly="1" fieldPosition="0">
        <references count="6">
          <reference field="1" count="1" selected="0">
            <x v="94"/>
          </reference>
          <reference field="2" count="1" selected="0">
            <x v="24"/>
          </reference>
          <reference field="3" count="1" selected="0">
            <x v="6"/>
          </reference>
          <reference field="4" count="1" selected="0">
            <x v="180"/>
          </reference>
          <reference field="5" count="1" selected="0">
            <x v="1048"/>
          </reference>
          <reference field="6" count="1">
            <x v="47"/>
          </reference>
        </references>
      </pivotArea>
    </format>
    <format dxfId="1617">
      <pivotArea dataOnly="0" labelOnly="1" fieldPosition="0">
        <references count="6">
          <reference field="1" count="1" selected="0">
            <x v="94"/>
          </reference>
          <reference field="2" count="1" selected="0">
            <x v="29"/>
          </reference>
          <reference field="3" count="1" selected="0">
            <x v="38"/>
          </reference>
          <reference field="4" count="1" selected="0">
            <x v="180"/>
          </reference>
          <reference field="5" count="1" selected="0">
            <x v="180"/>
          </reference>
          <reference field="6" count="1">
            <x v="47"/>
          </reference>
        </references>
      </pivotArea>
    </format>
    <format dxfId="1616">
      <pivotArea dataOnly="0" labelOnly="1" fieldPosition="0">
        <references count="6">
          <reference field="1" count="1" selected="0">
            <x v="94"/>
          </reference>
          <reference field="2" count="1" selected="0">
            <x v="33"/>
          </reference>
          <reference field="3" count="1" selected="0">
            <x v="38"/>
          </reference>
          <reference field="4" count="1" selected="0">
            <x v="180"/>
          </reference>
          <reference field="5" count="1" selected="0">
            <x v="325"/>
          </reference>
          <reference field="6" count="1">
            <x v="47"/>
          </reference>
        </references>
      </pivotArea>
    </format>
    <format dxfId="1615">
      <pivotArea dataOnly="0" labelOnly="1" fieldPosition="0">
        <references count="6">
          <reference field="1" count="1" selected="0">
            <x v="94"/>
          </reference>
          <reference field="2" count="1" selected="0">
            <x v="35"/>
          </reference>
          <reference field="3" count="1" selected="0">
            <x v="1"/>
          </reference>
          <reference field="4" count="1" selected="0">
            <x v="180"/>
          </reference>
          <reference field="5" count="1" selected="0">
            <x v="80"/>
          </reference>
          <reference field="6" count="1">
            <x v="47"/>
          </reference>
        </references>
      </pivotArea>
    </format>
    <format dxfId="1614">
      <pivotArea dataOnly="0" labelOnly="1" fieldPosition="0">
        <references count="6">
          <reference field="1" count="1" selected="0">
            <x v="94"/>
          </reference>
          <reference field="2" count="1" selected="0">
            <x v="35"/>
          </reference>
          <reference field="3" count="1" selected="0">
            <x v="1"/>
          </reference>
          <reference field="4" count="1" selected="0">
            <x v="180"/>
          </reference>
          <reference field="5" count="1" selected="0">
            <x v="213"/>
          </reference>
          <reference field="6" count="1">
            <x v="47"/>
          </reference>
        </references>
      </pivotArea>
    </format>
    <format dxfId="1613">
      <pivotArea dataOnly="0" labelOnly="1" fieldPosition="0">
        <references count="6">
          <reference field="1" count="1" selected="0">
            <x v="95"/>
          </reference>
          <reference field="2" count="1" selected="0">
            <x v="0"/>
          </reference>
          <reference field="3" count="1" selected="0">
            <x v="8"/>
          </reference>
          <reference field="4" count="1" selected="0">
            <x v="181"/>
          </reference>
          <reference field="5" count="1" selected="0">
            <x v="351"/>
          </reference>
          <reference field="6" count="1">
            <x v="47"/>
          </reference>
        </references>
      </pivotArea>
    </format>
    <format dxfId="1612">
      <pivotArea dataOnly="0" labelOnly="1" fieldPosition="0">
        <references count="6">
          <reference field="1" count="1" selected="0">
            <x v="95"/>
          </reference>
          <reference field="2" count="1" selected="0">
            <x v="0"/>
          </reference>
          <reference field="3" count="1" selected="0">
            <x v="8"/>
          </reference>
          <reference field="4" count="1" selected="0">
            <x v="181"/>
          </reference>
          <reference field="5" count="1" selected="0">
            <x v="1069"/>
          </reference>
          <reference field="6" count="1">
            <x v="47"/>
          </reference>
        </references>
      </pivotArea>
    </format>
    <format dxfId="1611">
      <pivotArea dataOnly="0" labelOnly="1" fieldPosition="0">
        <references count="6">
          <reference field="1" count="1" selected="0">
            <x v="95"/>
          </reference>
          <reference field="2" count="1" selected="0">
            <x v="0"/>
          </reference>
          <reference field="3" count="1" selected="0">
            <x v="8"/>
          </reference>
          <reference field="4" count="1" selected="0">
            <x v="181"/>
          </reference>
          <reference field="5" count="1" selected="0">
            <x v="1166"/>
          </reference>
          <reference field="6" count="1">
            <x v="47"/>
          </reference>
        </references>
      </pivotArea>
    </format>
    <format dxfId="1610">
      <pivotArea dataOnly="0" labelOnly="1" fieldPosition="0">
        <references count="6">
          <reference field="1" count="1" selected="0">
            <x v="95"/>
          </reference>
          <reference field="2" count="1" selected="0">
            <x v="0"/>
          </reference>
          <reference field="3" count="1" selected="0">
            <x v="8"/>
          </reference>
          <reference field="4" count="1" selected="0">
            <x v="181"/>
          </reference>
          <reference field="5" count="1" selected="0">
            <x v="1305"/>
          </reference>
          <reference field="6" count="1">
            <x v="47"/>
          </reference>
        </references>
      </pivotArea>
    </format>
    <format dxfId="1609">
      <pivotArea dataOnly="0" labelOnly="1" fieldPosition="0">
        <references count="6">
          <reference field="1" count="1" selected="0">
            <x v="95"/>
          </reference>
          <reference field="2" count="1" selected="0">
            <x v="0"/>
          </reference>
          <reference field="3" count="1" selected="0">
            <x v="9"/>
          </reference>
          <reference field="4" count="1" selected="0">
            <x v="181"/>
          </reference>
          <reference field="5" count="1" selected="0">
            <x v="312"/>
          </reference>
          <reference field="6" count="1">
            <x v="47"/>
          </reference>
        </references>
      </pivotArea>
    </format>
    <format dxfId="1608">
      <pivotArea dataOnly="0" labelOnly="1" fieldPosition="0">
        <references count="6">
          <reference field="1" count="1" selected="0">
            <x v="95"/>
          </reference>
          <reference field="2" count="1" selected="0">
            <x v="0"/>
          </reference>
          <reference field="3" count="1" selected="0">
            <x v="9"/>
          </reference>
          <reference field="4" count="1" selected="0">
            <x v="181"/>
          </reference>
          <reference field="5" count="1" selected="0">
            <x v="344"/>
          </reference>
          <reference field="6" count="1">
            <x v="47"/>
          </reference>
        </references>
      </pivotArea>
    </format>
    <format dxfId="1607">
      <pivotArea dataOnly="0" labelOnly="1" fieldPosition="0">
        <references count="6">
          <reference field="1" count="1" selected="0">
            <x v="95"/>
          </reference>
          <reference field="2" count="1" selected="0">
            <x v="0"/>
          </reference>
          <reference field="3" count="1" selected="0">
            <x v="9"/>
          </reference>
          <reference field="4" count="1" selected="0">
            <x v="181"/>
          </reference>
          <reference field="5" count="1" selected="0">
            <x v="435"/>
          </reference>
          <reference field="6" count="1">
            <x v="47"/>
          </reference>
        </references>
      </pivotArea>
    </format>
    <format dxfId="1606">
      <pivotArea dataOnly="0" labelOnly="1" fieldPosition="0">
        <references count="6">
          <reference field="1" count="1" selected="0">
            <x v="95"/>
          </reference>
          <reference field="2" count="1" selected="0">
            <x v="0"/>
          </reference>
          <reference field="3" count="1" selected="0">
            <x v="9"/>
          </reference>
          <reference field="4" count="1" selected="0">
            <x v="181"/>
          </reference>
          <reference field="5" count="1" selected="0">
            <x v="521"/>
          </reference>
          <reference field="6" count="1">
            <x v="47"/>
          </reference>
        </references>
      </pivotArea>
    </format>
    <format dxfId="1605">
      <pivotArea dataOnly="0" labelOnly="1" fieldPosition="0">
        <references count="6">
          <reference field="1" count="1" selected="0">
            <x v="95"/>
          </reference>
          <reference field="2" count="1" selected="0">
            <x v="0"/>
          </reference>
          <reference field="3" count="1" selected="0">
            <x v="9"/>
          </reference>
          <reference field="4" count="1" selected="0">
            <x v="181"/>
          </reference>
          <reference field="5" count="1" selected="0">
            <x v="844"/>
          </reference>
          <reference field="6" count="1">
            <x v="47"/>
          </reference>
        </references>
      </pivotArea>
    </format>
    <format dxfId="1604">
      <pivotArea dataOnly="0" labelOnly="1" fieldPosition="0">
        <references count="6">
          <reference field="1" count="1" selected="0">
            <x v="95"/>
          </reference>
          <reference field="2" count="1" selected="0">
            <x v="0"/>
          </reference>
          <reference field="3" count="1" selected="0">
            <x v="9"/>
          </reference>
          <reference field="4" count="1" selected="0">
            <x v="181"/>
          </reference>
          <reference field="5" count="1" selected="0">
            <x v="870"/>
          </reference>
          <reference field="6" count="1">
            <x v="47"/>
          </reference>
        </references>
      </pivotArea>
    </format>
    <format dxfId="1603">
      <pivotArea dataOnly="0" labelOnly="1" fieldPosition="0">
        <references count="6">
          <reference field="1" count="1" selected="0">
            <x v="95"/>
          </reference>
          <reference field="2" count="1" selected="0">
            <x v="0"/>
          </reference>
          <reference field="3" count="1" selected="0">
            <x v="9"/>
          </reference>
          <reference field="4" count="1" selected="0">
            <x v="181"/>
          </reference>
          <reference field="5" count="1" selected="0">
            <x v="953"/>
          </reference>
          <reference field="6" count="1">
            <x v="47"/>
          </reference>
        </references>
      </pivotArea>
    </format>
    <format dxfId="1602">
      <pivotArea dataOnly="0" labelOnly="1" fieldPosition="0">
        <references count="6">
          <reference field="1" count="1" selected="0">
            <x v="95"/>
          </reference>
          <reference field="2" count="1" selected="0">
            <x v="0"/>
          </reference>
          <reference field="3" count="1" selected="0">
            <x v="9"/>
          </reference>
          <reference field="4" count="1" selected="0">
            <x v="181"/>
          </reference>
          <reference field="5" count="1" selected="0">
            <x v="974"/>
          </reference>
          <reference field="6" count="1">
            <x v="47"/>
          </reference>
        </references>
      </pivotArea>
    </format>
    <format dxfId="1601">
      <pivotArea dataOnly="0" labelOnly="1" fieldPosition="0">
        <references count="6">
          <reference field="1" count="1" selected="0">
            <x v="95"/>
          </reference>
          <reference field="2" count="1" selected="0">
            <x v="0"/>
          </reference>
          <reference field="3" count="1" selected="0">
            <x v="9"/>
          </reference>
          <reference field="4" count="1" selected="0">
            <x v="181"/>
          </reference>
          <reference field="5" count="1" selected="0">
            <x v="1003"/>
          </reference>
          <reference field="6" count="1">
            <x v="47"/>
          </reference>
        </references>
      </pivotArea>
    </format>
    <format dxfId="1600">
      <pivotArea dataOnly="0" labelOnly="1" fieldPosition="0">
        <references count="6">
          <reference field="1" count="1" selected="0">
            <x v="95"/>
          </reference>
          <reference field="2" count="1" selected="0">
            <x v="0"/>
          </reference>
          <reference field="3" count="1" selected="0">
            <x v="9"/>
          </reference>
          <reference field="4" count="1" selected="0">
            <x v="181"/>
          </reference>
          <reference field="5" count="1" selected="0">
            <x v="1200"/>
          </reference>
          <reference field="6" count="1">
            <x v="47"/>
          </reference>
        </references>
      </pivotArea>
    </format>
    <format dxfId="1599">
      <pivotArea dataOnly="0" labelOnly="1" fieldPosition="0">
        <references count="6">
          <reference field="1" count="1" selected="0">
            <x v="95"/>
          </reference>
          <reference field="2" count="1" selected="0">
            <x v="0"/>
          </reference>
          <reference field="3" count="1" selected="0">
            <x v="12"/>
          </reference>
          <reference field="4" count="1" selected="0">
            <x v="2"/>
          </reference>
          <reference field="5" count="1" selected="0">
            <x v="9"/>
          </reference>
          <reference field="6" count="1">
            <x v="47"/>
          </reference>
        </references>
      </pivotArea>
    </format>
    <format dxfId="1598">
      <pivotArea dataOnly="0" labelOnly="1" fieldPosition="0">
        <references count="6">
          <reference field="1" count="1" selected="0">
            <x v="95"/>
          </reference>
          <reference field="2" count="1" selected="0">
            <x v="0"/>
          </reference>
          <reference field="3" count="1" selected="0">
            <x v="12"/>
          </reference>
          <reference field="4" count="1" selected="0">
            <x v="42"/>
          </reference>
          <reference field="5" count="1" selected="0">
            <x v="23"/>
          </reference>
          <reference field="6" count="1">
            <x v="47"/>
          </reference>
        </references>
      </pivotArea>
    </format>
    <format dxfId="1597">
      <pivotArea dataOnly="0" labelOnly="1" fieldPosition="0">
        <references count="6">
          <reference field="1" count="1" selected="0">
            <x v="95"/>
          </reference>
          <reference field="2" count="1" selected="0">
            <x v="0"/>
          </reference>
          <reference field="3" count="1" selected="0">
            <x v="37"/>
          </reference>
          <reference field="4" count="1" selected="0">
            <x v="181"/>
          </reference>
          <reference field="5" count="1" selected="0">
            <x v="1424"/>
          </reference>
          <reference field="6" count="1">
            <x v="47"/>
          </reference>
        </references>
      </pivotArea>
    </format>
    <format dxfId="1596">
      <pivotArea dataOnly="0" labelOnly="1" fieldPosition="0">
        <references count="6">
          <reference field="1" count="1" selected="0">
            <x v="95"/>
          </reference>
          <reference field="2" count="1" selected="0">
            <x v="0"/>
          </reference>
          <reference field="3" count="1" selected="0">
            <x v="38"/>
          </reference>
          <reference field="4" count="1" selected="0">
            <x v="181"/>
          </reference>
          <reference field="5" count="1" selected="0">
            <x v="89"/>
          </reference>
          <reference field="6" count="1">
            <x v="47"/>
          </reference>
        </references>
      </pivotArea>
    </format>
    <format dxfId="1595">
      <pivotArea dataOnly="0" labelOnly="1" fieldPosition="0">
        <references count="6">
          <reference field="1" count="1" selected="0">
            <x v="95"/>
          </reference>
          <reference field="2" count="1" selected="0">
            <x v="3"/>
          </reference>
          <reference field="3" count="1" selected="0">
            <x v="37"/>
          </reference>
          <reference field="4" count="1" selected="0">
            <x v="181"/>
          </reference>
          <reference field="5" count="1" selected="0">
            <x v="897"/>
          </reference>
          <reference field="6" count="1">
            <x v="47"/>
          </reference>
        </references>
      </pivotArea>
    </format>
    <format dxfId="1594">
      <pivotArea dataOnly="0" labelOnly="1" fieldPosition="0">
        <references count="6">
          <reference field="1" count="1" selected="0">
            <x v="95"/>
          </reference>
          <reference field="2" count="1" selected="0">
            <x v="5"/>
          </reference>
          <reference field="3" count="1" selected="0">
            <x v="1"/>
          </reference>
          <reference field="4" count="1" selected="0">
            <x v="181"/>
          </reference>
          <reference field="5" count="1" selected="0">
            <x v="835"/>
          </reference>
          <reference field="6" count="1">
            <x v="47"/>
          </reference>
        </references>
      </pivotArea>
    </format>
    <format dxfId="1593">
      <pivotArea dataOnly="0" labelOnly="1" fieldPosition="0">
        <references count="6">
          <reference field="1" count="1" selected="0">
            <x v="95"/>
          </reference>
          <reference field="2" count="1" selected="0">
            <x v="5"/>
          </reference>
          <reference field="3" count="1" selected="0">
            <x v="37"/>
          </reference>
          <reference field="4" count="1" selected="0">
            <x v="181"/>
          </reference>
          <reference field="5" count="1" selected="0">
            <x v="897"/>
          </reference>
          <reference field="6" count="1">
            <x v="47"/>
          </reference>
        </references>
      </pivotArea>
    </format>
    <format dxfId="1592">
      <pivotArea dataOnly="0" labelOnly="1" fieldPosition="0">
        <references count="6">
          <reference field="1" count="1" selected="0">
            <x v="95"/>
          </reference>
          <reference field="2" count="1" selected="0">
            <x v="5"/>
          </reference>
          <reference field="3" count="1" selected="0">
            <x v="38"/>
          </reference>
          <reference field="4" count="1" selected="0">
            <x v="181"/>
          </reference>
          <reference field="5" count="1" selected="0">
            <x v="1827"/>
          </reference>
          <reference field="6" count="1">
            <x v="47"/>
          </reference>
        </references>
      </pivotArea>
    </format>
    <format dxfId="1591">
      <pivotArea dataOnly="0" labelOnly="1" fieldPosition="0">
        <references count="6">
          <reference field="1" count="1" selected="0">
            <x v="95"/>
          </reference>
          <reference field="2" count="1" selected="0">
            <x v="6"/>
          </reference>
          <reference field="3" count="1" selected="0">
            <x v="38"/>
          </reference>
          <reference field="4" count="1" selected="0">
            <x v="181"/>
          </reference>
          <reference field="5" count="1" selected="0">
            <x v="1561"/>
          </reference>
          <reference field="6" count="1">
            <x v="47"/>
          </reference>
        </references>
      </pivotArea>
    </format>
    <format dxfId="1590">
      <pivotArea dataOnly="0" labelOnly="1" fieldPosition="0">
        <references count="6">
          <reference field="1" count="1" selected="0">
            <x v="95"/>
          </reference>
          <reference field="2" count="1" selected="0">
            <x v="8"/>
          </reference>
          <reference field="3" count="1" selected="0">
            <x v="38"/>
          </reference>
          <reference field="4" count="1" selected="0">
            <x v="181"/>
          </reference>
          <reference field="5" count="1" selected="0">
            <x v="584"/>
          </reference>
          <reference field="6" count="1">
            <x v="47"/>
          </reference>
        </references>
      </pivotArea>
    </format>
    <format dxfId="1589">
      <pivotArea dataOnly="0" labelOnly="1" fieldPosition="0">
        <references count="6">
          <reference field="1" count="1" selected="0">
            <x v="95"/>
          </reference>
          <reference field="2" count="1" selected="0">
            <x v="9"/>
          </reference>
          <reference field="3" count="1" selected="0">
            <x v="10"/>
          </reference>
          <reference field="4" count="1" selected="0">
            <x v="181"/>
          </reference>
          <reference field="5" count="1" selected="0">
            <x v="556"/>
          </reference>
          <reference field="6" count="1">
            <x v="47"/>
          </reference>
        </references>
      </pivotArea>
    </format>
    <format dxfId="1588">
      <pivotArea dataOnly="0" labelOnly="1" fieldPosition="0">
        <references count="6">
          <reference field="1" count="1" selected="0">
            <x v="95"/>
          </reference>
          <reference field="2" count="1" selected="0">
            <x v="12"/>
          </reference>
          <reference field="3" count="1" selected="0">
            <x v="1"/>
          </reference>
          <reference field="4" count="1" selected="0">
            <x v="181"/>
          </reference>
          <reference field="5" count="1" selected="0">
            <x v="80"/>
          </reference>
          <reference field="6" count="1">
            <x v="47"/>
          </reference>
        </references>
      </pivotArea>
    </format>
    <format dxfId="1587">
      <pivotArea dataOnly="0" labelOnly="1" fieldPosition="0">
        <references count="6">
          <reference field="1" count="1" selected="0">
            <x v="95"/>
          </reference>
          <reference field="2" count="1" selected="0">
            <x v="12"/>
          </reference>
          <reference field="3" count="1" selected="0">
            <x v="1"/>
          </reference>
          <reference field="4" count="1" selected="0">
            <x v="181"/>
          </reference>
          <reference field="5" count="1" selected="0">
            <x v="213"/>
          </reference>
          <reference field="6" count="1">
            <x v="47"/>
          </reference>
        </references>
      </pivotArea>
    </format>
    <format dxfId="1586">
      <pivotArea dataOnly="0" labelOnly="1" fieldPosition="0">
        <references count="6">
          <reference field="1" count="1" selected="0">
            <x v="95"/>
          </reference>
          <reference field="2" count="1" selected="0">
            <x v="12"/>
          </reference>
          <reference field="3" count="1" selected="0">
            <x v="1"/>
          </reference>
          <reference field="4" count="1" selected="0">
            <x v="181"/>
          </reference>
          <reference field="5" count="1" selected="0">
            <x v="500"/>
          </reference>
          <reference field="6" count="1">
            <x v="47"/>
          </reference>
        </references>
      </pivotArea>
    </format>
    <format dxfId="1585">
      <pivotArea dataOnly="0" labelOnly="1" fieldPosition="0">
        <references count="6">
          <reference field="1" count="1" selected="0">
            <x v="95"/>
          </reference>
          <reference field="2" count="1" selected="0">
            <x v="14"/>
          </reference>
          <reference field="3" count="1" selected="0">
            <x v="10"/>
          </reference>
          <reference field="4" count="1" selected="0">
            <x v="181"/>
          </reference>
          <reference field="5" count="1" selected="0">
            <x v="1856"/>
          </reference>
          <reference field="6" count="1">
            <x v="47"/>
          </reference>
        </references>
      </pivotArea>
    </format>
    <format dxfId="1584">
      <pivotArea dataOnly="0" labelOnly="1" fieldPosition="0">
        <references count="6">
          <reference field="1" count="1" selected="0">
            <x v="95"/>
          </reference>
          <reference field="2" count="1" selected="0">
            <x v="14"/>
          </reference>
          <reference field="3" count="1" selected="0">
            <x v="38"/>
          </reference>
          <reference field="4" count="1" selected="0">
            <x v="181"/>
          </reference>
          <reference field="5" count="1" selected="0">
            <x v="1631"/>
          </reference>
          <reference field="6" count="1">
            <x v="47"/>
          </reference>
        </references>
      </pivotArea>
    </format>
    <format dxfId="1583">
      <pivotArea dataOnly="0" labelOnly="1" fieldPosition="0">
        <references count="6">
          <reference field="1" count="1" selected="0">
            <x v="95"/>
          </reference>
          <reference field="2" count="1" selected="0">
            <x v="15"/>
          </reference>
          <reference field="3" count="1" selected="0">
            <x v="1"/>
          </reference>
          <reference field="4" count="1" selected="0">
            <x v="181"/>
          </reference>
          <reference field="5" count="1" selected="0">
            <x v="665"/>
          </reference>
          <reference field="6" count="1">
            <x v="47"/>
          </reference>
        </references>
      </pivotArea>
    </format>
    <format dxfId="1582">
      <pivotArea dataOnly="0" labelOnly="1" fieldPosition="0">
        <references count="6">
          <reference field="1" count="1" selected="0">
            <x v="95"/>
          </reference>
          <reference field="2" count="1" selected="0">
            <x v="15"/>
          </reference>
          <reference field="3" count="1" selected="0">
            <x v="8"/>
          </reference>
          <reference field="4" count="1" selected="0">
            <x v="181"/>
          </reference>
          <reference field="5" count="1" selected="0">
            <x v="965"/>
          </reference>
          <reference field="6" count="1">
            <x v="47"/>
          </reference>
        </references>
      </pivotArea>
    </format>
    <format dxfId="1581">
      <pivotArea dataOnly="0" labelOnly="1" fieldPosition="0">
        <references count="6">
          <reference field="1" count="1" selected="0">
            <x v="95"/>
          </reference>
          <reference field="2" count="1" selected="0">
            <x v="15"/>
          </reference>
          <reference field="3" count="1" selected="0">
            <x v="38"/>
          </reference>
          <reference field="4" count="1" selected="0">
            <x v="181"/>
          </reference>
          <reference field="5" count="1" selected="0">
            <x v="1415"/>
          </reference>
          <reference field="6" count="1">
            <x v="47"/>
          </reference>
        </references>
      </pivotArea>
    </format>
    <format dxfId="1580">
      <pivotArea dataOnly="0" labelOnly="1" fieldPosition="0">
        <references count="6">
          <reference field="1" count="1" selected="0">
            <x v="95"/>
          </reference>
          <reference field="2" count="1" selected="0">
            <x v="19"/>
          </reference>
          <reference field="3" count="1" selected="0">
            <x v="38"/>
          </reference>
          <reference field="4" count="1" selected="0">
            <x v="181"/>
          </reference>
          <reference field="5" count="1" selected="0">
            <x v="1608"/>
          </reference>
          <reference field="6" count="1">
            <x v="47"/>
          </reference>
        </references>
      </pivotArea>
    </format>
    <format dxfId="1579">
      <pivotArea dataOnly="0" labelOnly="1" fieldPosition="0">
        <references count="6">
          <reference field="1" count="1" selected="0">
            <x v="95"/>
          </reference>
          <reference field="2" count="1" selected="0">
            <x v="21"/>
          </reference>
          <reference field="3" count="1" selected="0">
            <x v="38"/>
          </reference>
          <reference field="4" count="1" selected="0">
            <x v="181"/>
          </reference>
          <reference field="5" count="1" selected="0">
            <x v="1274"/>
          </reference>
          <reference field="6" count="1">
            <x v="47"/>
          </reference>
        </references>
      </pivotArea>
    </format>
    <format dxfId="1578">
      <pivotArea dataOnly="0" labelOnly="1" fieldPosition="0">
        <references count="6">
          <reference field="1" count="1" selected="0">
            <x v="95"/>
          </reference>
          <reference field="2" count="1" selected="0">
            <x v="23"/>
          </reference>
          <reference field="3" count="1" selected="0">
            <x v="38"/>
          </reference>
          <reference field="4" count="1" selected="0">
            <x v="181"/>
          </reference>
          <reference field="5" count="1" selected="0">
            <x v="1857"/>
          </reference>
          <reference field="6" count="1">
            <x v="47"/>
          </reference>
        </references>
      </pivotArea>
    </format>
    <format dxfId="1577">
      <pivotArea dataOnly="0" labelOnly="1" fieldPosition="0">
        <references count="6">
          <reference field="1" count="1" selected="0">
            <x v="95"/>
          </reference>
          <reference field="2" count="1" selected="0">
            <x v="29"/>
          </reference>
          <reference field="3" count="1" selected="0">
            <x v="38"/>
          </reference>
          <reference field="4" count="1" selected="0">
            <x v="181"/>
          </reference>
          <reference field="5" count="1" selected="0">
            <x v="1321"/>
          </reference>
          <reference field="6" count="1">
            <x v="47"/>
          </reference>
        </references>
      </pivotArea>
    </format>
    <format dxfId="1576">
      <pivotArea dataOnly="0" labelOnly="1" fieldPosition="0">
        <references count="6">
          <reference field="1" count="1" selected="0">
            <x v="95"/>
          </reference>
          <reference field="2" count="1" selected="0">
            <x v="33"/>
          </reference>
          <reference field="3" count="1" selected="0">
            <x v="8"/>
          </reference>
          <reference field="4" count="1" selected="0">
            <x v="181"/>
          </reference>
          <reference field="5" count="1" selected="0">
            <x v="738"/>
          </reference>
          <reference field="6" count="1">
            <x v="47"/>
          </reference>
        </references>
      </pivotArea>
    </format>
    <format dxfId="1575">
      <pivotArea dataOnly="0" labelOnly="1" fieldPosition="0">
        <references count="6">
          <reference field="1" count="1" selected="0">
            <x v="95"/>
          </reference>
          <reference field="2" count="1" selected="0">
            <x v="35"/>
          </reference>
          <reference field="3" count="1" selected="0">
            <x v="1"/>
          </reference>
          <reference field="4" count="1" selected="0">
            <x v="181"/>
          </reference>
          <reference field="5" count="1" selected="0">
            <x v="80"/>
          </reference>
          <reference field="6" count="1">
            <x v="47"/>
          </reference>
        </references>
      </pivotArea>
    </format>
    <format dxfId="1574">
      <pivotArea dataOnly="0" labelOnly="1" fieldPosition="0">
        <references count="6">
          <reference field="1" count="1" selected="0">
            <x v="96"/>
          </reference>
          <reference field="2" count="1" selected="0">
            <x v="0"/>
          </reference>
          <reference field="3" count="1" selected="0">
            <x v="1"/>
          </reference>
          <reference field="4" count="1" selected="0">
            <x v="182"/>
          </reference>
          <reference field="5" count="1" selected="0">
            <x v="80"/>
          </reference>
          <reference field="6" count="1">
            <x v="47"/>
          </reference>
        </references>
      </pivotArea>
    </format>
    <format dxfId="1573">
      <pivotArea dataOnly="0" labelOnly="1" fieldPosition="0">
        <references count="6">
          <reference field="1" count="1" selected="0">
            <x v="96"/>
          </reference>
          <reference field="2" count="1" selected="0">
            <x v="0"/>
          </reference>
          <reference field="3" count="1" selected="0">
            <x v="12"/>
          </reference>
          <reference field="4" count="1" selected="0">
            <x v="62"/>
          </reference>
          <reference field="5" count="1" selected="0">
            <x v="13"/>
          </reference>
          <reference field="6" count="1">
            <x v="47"/>
          </reference>
        </references>
      </pivotArea>
    </format>
    <format dxfId="1572">
      <pivotArea dataOnly="0" labelOnly="1" fieldPosition="0">
        <references count="6">
          <reference field="1" count="1" selected="0">
            <x v="96"/>
          </reference>
          <reference field="2" count="1" selected="0">
            <x v="3"/>
          </reference>
          <reference field="3" count="1" selected="0">
            <x v="1"/>
          </reference>
          <reference field="4" count="1" selected="0">
            <x v="182"/>
          </reference>
          <reference field="5" count="1" selected="0">
            <x v="109"/>
          </reference>
          <reference field="6" count="1">
            <x v="47"/>
          </reference>
        </references>
      </pivotArea>
    </format>
    <format dxfId="1571">
      <pivotArea dataOnly="0" labelOnly="1" fieldPosition="0">
        <references count="6">
          <reference field="1" count="1" selected="0">
            <x v="96"/>
          </reference>
          <reference field="2" count="1" selected="0">
            <x v="3"/>
          </reference>
          <reference field="3" count="1" selected="0">
            <x v="6"/>
          </reference>
          <reference field="4" count="1" selected="0">
            <x v="182"/>
          </reference>
          <reference field="5" count="1" selected="0">
            <x v="387"/>
          </reference>
          <reference field="6" count="1">
            <x v="47"/>
          </reference>
        </references>
      </pivotArea>
    </format>
    <format dxfId="1570">
      <pivotArea dataOnly="0" labelOnly="1" fieldPosition="0">
        <references count="6">
          <reference field="1" count="1" selected="0">
            <x v="96"/>
          </reference>
          <reference field="2" count="1" selected="0">
            <x v="3"/>
          </reference>
          <reference field="3" count="1" selected="0">
            <x v="38"/>
          </reference>
          <reference field="4" count="1" selected="0">
            <x v="182"/>
          </reference>
          <reference field="5" count="1" selected="0">
            <x v="33"/>
          </reference>
          <reference field="6" count="1">
            <x v="47"/>
          </reference>
        </references>
      </pivotArea>
    </format>
    <format dxfId="1569">
      <pivotArea dataOnly="0" labelOnly="1" fieldPosition="0">
        <references count="6">
          <reference field="1" count="1" selected="0">
            <x v="96"/>
          </reference>
          <reference field="2" count="1" selected="0">
            <x v="12"/>
          </reference>
          <reference field="3" count="1" selected="0">
            <x v="1"/>
          </reference>
          <reference field="4" count="1" selected="0">
            <x v="182"/>
          </reference>
          <reference field="5" count="1" selected="0">
            <x v="80"/>
          </reference>
          <reference field="6" count="1">
            <x v="47"/>
          </reference>
        </references>
      </pivotArea>
    </format>
    <format dxfId="1568">
      <pivotArea dataOnly="0" labelOnly="1" fieldPosition="0">
        <references count="6">
          <reference field="1" count="1" selected="0">
            <x v="96"/>
          </reference>
          <reference field="2" count="1" selected="0">
            <x v="12"/>
          </reference>
          <reference field="3" count="1" selected="0">
            <x v="1"/>
          </reference>
          <reference field="4" count="1" selected="0">
            <x v="182"/>
          </reference>
          <reference field="5" count="1" selected="0">
            <x v="213"/>
          </reference>
          <reference field="6" count="1">
            <x v="47"/>
          </reference>
        </references>
      </pivotArea>
    </format>
    <format dxfId="1567">
      <pivotArea dataOnly="0" labelOnly="1" fieldPosition="0">
        <references count="6">
          <reference field="1" count="1" selected="0">
            <x v="96"/>
          </reference>
          <reference field="2" count="1" selected="0">
            <x v="12"/>
          </reference>
          <reference field="3" count="1" selected="0">
            <x v="1"/>
          </reference>
          <reference field="4" count="1" selected="0">
            <x v="182"/>
          </reference>
          <reference field="5" count="1" selected="0">
            <x v="500"/>
          </reference>
          <reference field="6" count="1">
            <x v="47"/>
          </reference>
        </references>
      </pivotArea>
    </format>
    <format dxfId="1566">
      <pivotArea dataOnly="0" labelOnly="1" fieldPosition="0">
        <references count="6">
          <reference field="1" count="1" selected="0">
            <x v="96"/>
          </reference>
          <reference field="2" count="1" selected="0">
            <x v="12"/>
          </reference>
          <reference field="3" count="1" selected="0">
            <x v="1"/>
          </reference>
          <reference field="4" count="1" selected="0">
            <x v="182"/>
          </reference>
          <reference field="5" count="1" selected="0">
            <x v="607"/>
          </reference>
          <reference field="6" count="1">
            <x v="47"/>
          </reference>
        </references>
      </pivotArea>
    </format>
    <format dxfId="1565">
      <pivotArea dataOnly="0" labelOnly="1" fieldPosition="0">
        <references count="6">
          <reference field="1" count="1" selected="0">
            <x v="96"/>
          </reference>
          <reference field="2" count="1" selected="0">
            <x v="12"/>
          </reference>
          <reference field="3" count="1" selected="0">
            <x v="1"/>
          </reference>
          <reference field="4" count="1" selected="0">
            <x v="182"/>
          </reference>
          <reference field="5" count="1" selected="0">
            <x v="702"/>
          </reference>
          <reference field="6" count="1">
            <x v="47"/>
          </reference>
        </references>
      </pivotArea>
    </format>
    <format dxfId="1564">
      <pivotArea dataOnly="0" labelOnly="1" fieldPosition="0">
        <references count="6">
          <reference field="1" count="1" selected="0">
            <x v="96"/>
          </reference>
          <reference field="2" count="1" selected="0">
            <x v="12"/>
          </reference>
          <reference field="3" count="1" selected="0">
            <x v="1"/>
          </reference>
          <reference field="4" count="1" selected="0">
            <x v="182"/>
          </reference>
          <reference field="5" count="1" selected="0">
            <x v="964"/>
          </reference>
          <reference field="6" count="1">
            <x v="47"/>
          </reference>
        </references>
      </pivotArea>
    </format>
    <format dxfId="1563">
      <pivotArea dataOnly="0" labelOnly="1" fieldPosition="0">
        <references count="6">
          <reference field="1" count="1" selected="0">
            <x v="96"/>
          </reference>
          <reference field="2" count="1" selected="0">
            <x v="12"/>
          </reference>
          <reference field="3" count="1" selected="0">
            <x v="1"/>
          </reference>
          <reference field="4" count="1" selected="0">
            <x v="182"/>
          </reference>
          <reference field="5" count="1" selected="0">
            <x v="1069"/>
          </reference>
          <reference field="6" count="1">
            <x v="47"/>
          </reference>
        </references>
      </pivotArea>
    </format>
    <format dxfId="1562">
      <pivotArea dataOnly="0" labelOnly="1" fieldPosition="0">
        <references count="6">
          <reference field="1" count="1" selected="0">
            <x v="96"/>
          </reference>
          <reference field="2" count="1" selected="0">
            <x v="23"/>
          </reference>
          <reference field="3" count="1" selected="0">
            <x v="38"/>
          </reference>
          <reference field="4" count="1" selected="0">
            <x v="182"/>
          </reference>
          <reference field="5" count="1" selected="0">
            <x v="182"/>
          </reference>
          <reference field="6" count="1">
            <x v="47"/>
          </reference>
        </references>
      </pivotArea>
    </format>
    <format dxfId="1561">
      <pivotArea dataOnly="0" labelOnly="1" fieldPosition="0">
        <references count="6">
          <reference field="1" count="1" selected="0">
            <x v="96"/>
          </reference>
          <reference field="2" count="1" selected="0">
            <x v="35"/>
          </reference>
          <reference field="3" count="1" selected="0">
            <x v="1"/>
          </reference>
          <reference field="4" count="1" selected="0">
            <x v="182"/>
          </reference>
          <reference field="5" count="1" selected="0">
            <x v="213"/>
          </reference>
          <reference field="6" count="1">
            <x v="47"/>
          </reference>
        </references>
      </pivotArea>
    </format>
    <format dxfId="1560">
      <pivotArea dataOnly="0" labelOnly="1" fieldPosition="0">
        <references count="6">
          <reference field="1" count="1" selected="0">
            <x v="97"/>
          </reference>
          <reference field="2" count="1" selected="0">
            <x v="0"/>
          </reference>
          <reference field="3" count="1" selected="0">
            <x v="1"/>
          </reference>
          <reference field="4" count="1" selected="0">
            <x v="183"/>
          </reference>
          <reference field="5" count="1" selected="0">
            <x v="213"/>
          </reference>
          <reference field="6" count="1">
            <x v="47"/>
          </reference>
        </references>
      </pivotArea>
    </format>
    <format dxfId="1559">
      <pivotArea dataOnly="0" labelOnly="1" fieldPosition="0">
        <references count="6">
          <reference field="1" count="1" selected="0">
            <x v="97"/>
          </reference>
          <reference field="2" count="1" selected="0">
            <x v="0"/>
          </reference>
          <reference field="3" count="1" selected="0">
            <x v="9"/>
          </reference>
          <reference field="4" count="1" selected="0">
            <x v="183"/>
          </reference>
          <reference field="5" count="1" selected="0">
            <x v="105"/>
          </reference>
          <reference field="6" count="1">
            <x v="47"/>
          </reference>
        </references>
      </pivotArea>
    </format>
    <format dxfId="1558">
      <pivotArea dataOnly="0" labelOnly="1" fieldPosition="0">
        <references count="6">
          <reference field="1" count="1" selected="0">
            <x v="97"/>
          </reference>
          <reference field="2" count="1" selected="0">
            <x v="0"/>
          </reference>
          <reference field="3" count="1" selected="0">
            <x v="9"/>
          </reference>
          <reference field="4" count="1" selected="0">
            <x v="183"/>
          </reference>
          <reference field="5" count="1" selected="0">
            <x v="364"/>
          </reference>
          <reference field="6" count="1">
            <x v="47"/>
          </reference>
        </references>
      </pivotArea>
    </format>
    <format dxfId="1557">
      <pivotArea dataOnly="0" labelOnly="1" fieldPosition="0">
        <references count="6">
          <reference field="1" count="1" selected="0">
            <x v="97"/>
          </reference>
          <reference field="2" count="1" selected="0">
            <x v="0"/>
          </reference>
          <reference field="3" count="1" selected="0">
            <x v="9"/>
          </reference>
          <reference field="4" count="1" selected="0">
            <x v="183"/>
          </reference>
          <reference field="5" count="1" selected="0">
            <x v="483"/>
          </reference>
          <reference field="6" count="1">
            <x v="47"/>
          </reference>
        </references>
      </pivotArea>
    </format>
    <format dxfId="1556">
      <pivotArea dataOnly="0" labelOnly="1" fieldPosition="0">
        <references count="6">
          <reference field="1" count="1" selected="0">
            <x v="97"/>
          </reference>
          <reference field="2" count="1" selected="0">
            <x v="0"/>
          </reference>
          <reference field="3" count="1" selected="0">
            <x v="9"/>
          </reference>
          <reference field="4" count="1" selected="0">
            <x v="183"/>
          </reference>
          <reference field="5" count="1" selected="0">
            <x v="707"/>
          </reference>
          <reference field="6" count="1">
            <x v="47"/>
          </reference>
        </references>
      </pivotArea>
    </format>
    <format dxfId="1555">
      <pivotArea dataOnly="0" labelOnly="1" fieldPosition="0">
        <references count="6">
          <reference field="1" count="1" selected="0">
            <x v="97"/>
          </reference>
          <reference field="2" count="1" selected="0">
            <x v="0"/>
          </reference>
          <reference field="3" count="1" selected="0">
            <x v="9"/>
          </reference>
          <reference field="4" count="1" selected="0">
            <x v="183"/>
          </reference>
          <reference field="5" count="1" selected="0">
            <x v="767"/>
          </reference>
          <reference field="6" count="1">
            <x v="47"/>
          </reference>
        </references>
      </pivotArea>
    </format>
    <format dxfId="1554">
      <pivotArea dataOnly="0" labelOnly="1" fieldPosition="0">
        <references count="6">
          <reference field="1" count="1" selected="0">
            <x v="97"/>
          </reference>
          <reference field="2" count="1" selected="0">
            <x v="0"/>
          </reference>
          <reference field="3" count="1" selected="0">
            <x v="9"/>
          </reference>
          <reference field="4" count="1" selected="0">
            <x v="183"/>
          </reference>
          <reference field="5" count="1" selected="0">
            <x v="876"/>
          </reference>
          <reference field="6" count="1">
            <x v="47"/>
          </reference>
        </references>
      </pivotArea>
    </format>
    <format dxfId="1553">
      <pivotArea dataOnly="0" labelOnly="1" fieldPosition="0">
        <references count="6">
          <reference field="1" count="1" selected="0">
            <x v="97"/>
          </reference>
          <reference field="2" count="1" selected="0">
            <x v="0"/>
          </reference>
          <reference field="3" count="1" selected="0">
            <x v="9"/>
          </reference>
          <reference field="4" count="1" selected="0">
            <x v="183"/>
          </reference>
          <reference field="5" count="1" selected="0">
            <x v="1041"/>
          </reference>
          <reference field="6" count="1">
            <x v="47"/>
          </reference>
        </references>
      </pivotArea>
    </format>
    <format dxfId="1552">
      <pivotArea dataOnly="0" labelOnly="1" fieldPosition="0">
        <references count="6">
          <reference field="1" count="1" selected="0">
            <x v="97"/>
          </reference>
          <reference field="2" count="1" selected="0">
            <x v="0"/>
          </reference>
          <reference field="3" count="1" selected="0">
            <x v="12"/>
          </reference>
          <reference field="4" count="1" selected="0">
            <x v="26"/>
          </reference>
          <reference field="5" count="1" selected="0">
            <x v="18"/>
          </reference>
          <reference field="6" count="1">
            <x v="47"/>
          </reference>
        </references>
      </pivotArea>
    </format>
    <format dxfId="1551">
      <pivotArea dataOnly="0" labelOnly="1" fieldPosition="0">
        <references count="6">
          <reference field="1" count="1" selected="0">
            <x v="97"/>
          </reference>
          <reference field="2" count="1" selected="0">
            <x v="0"/>
          </reference>
          <reference field="3" count="1" selected="0">
            <x v="12"/>
          </reference>
          <reference field="4" count="1" selected="0">
            <x v="47"/>
          </reference>
          <reference field="5" count="1" selected="0">
            <x v="314"/>
          </reference>
          <reference field="6" count="1">
            <x v="47"/>
          </reference>
        </references>
      </pivotArea>
    </format>
    <format dxfId="1550">
      <pivotArea dataOnly="0" labelOnly="1" fieldPosition="0">
        <references count="6">
          <reference field="1" count="1" selected="0">
            <x v="97"/>
          </reference>
          <reference field="2" count="1" selected="0">
            <x v="0"/>
          </reference>
          <reference field="3" count="1" selected="0">
            <x v="12"/>
          </reference>
          <reference field="4" count="1" selected="0">
            <x v="49"/>
          </reference>
          <reference field="5" count="1" selected="0">
            <x v="20"/>
          </reference>
          <reference field="6" count="1">
            <x v="47"/>
          </reference>
        </references>
      </pivotArea>
    </format>
    <format dxfId="1549">
      <pivotArea dataOnly="0" labelOnly="1" fieldPosition="0">
        <references count="6">
          <reference field="1" count="1" selected="0">
            <x v="97"/>
          </reference>
          <reference field="2" count="1" selected="0">
            <x v="3"/>
          </reference>
          <reference field="3" count="1" selected="0">
            <x v="38"/>
          </reference>
          <reference field="4" count="1" selected="0">
            <x v="183"/>
          </reference>
          <reference field="5" count="1" selected="0">
            <x v="36"/>
          </reference>
          <reference field="6" count="1">
            <x v="47"/>
          </reference>
        </references>
      </pivotArea>
    </format>
    <format dxfId="1548">
      <pivotArea dataOnly="0" labelOnly="1" fieldPosition="0">
        <references count="6">
          <reference field="1" count="1" selected="0">
            <x v="97"/>
          </reference>
          <reference field="2" count="1" selected="0">
            <x v="6"/>
          </reference>
          <reference field="3" count="1" selected="0">
            <x v="38"/>
          </reference>
          <reference field="4" count="1" selected="0">
            <x v="183"/>
          </reference>
          <reference field="5" count="1" selected="0">
            <x v="944"/>
          </reference>
          <reference field="6" count="1">
            <x v="47"/>
          </reference>
        </references>
      </pivotArea>
    </format>
    <format dxfId="1547">
      <pivotArea dataOnly="0" labelOnly="1" fieldPosition="0">
        <references count="6">
          <reference field="1" count="1" selected="0">
            <x v="97"/>
          </reference>
          <reference field="2" count="1" selected="0">
            <x v="8"/>
          </reference>
          <reference field="3" count="1" selected="0">
            <x v="38"/>
          </reference>
          <reference field="4" count="1" selected="0">
            <x v="183"/>
          </reference>
          <reference field="5" count="1" selected="0">
            <x v="1387"/>
          </reference>
          <reference field="6" count="1">
            <x v="47"/>
          </reference>
        </references>
      </pivotArea>
    </format>
    <format dxfId="1546">
      <pivotArea dataOnly="0" labelOnly="1" fieldPosition="0">
        <references count="6">
          <reference field="1" count="1" selected="0">
            <x v="97"/>
          </reference>
          <reference field="2" count="1" selected="0">
            <x v="12"/>
          </reference>
          <reference field="3" count="1" selected="0">
            <x v="1"/>
          </reference>
          <reference field="4" count="1" selected="0">
            <x v="183"/>
          </reference>
          <reference field="5" count="1" selected="0">
            <x v="80"/>
          </reference>
          <reference field="6" count="1">
            <x v="47"/>
          </reference>
        </references>
      </pivotArea>
    </format>
    <format dxfId="1545">
      <pivotArea dataOnly="0" labelOnly="1" fieldPosition="0">
        <references count="6">
          <reference field="1" count="1" selected="0">
            <x v="97"/>
          </reference>
          <reference field="2" count="1" selected="0">
            <x v="12"/>
          </reference>
          <reference field="3" count="1" selected="0">
            <x v="1"/>
          </reference>
          <reference field="4" count="1" selected="0">
            <x v="183"/>
          </reference>
          <reference field="5" count="1" selected="0">
            <x v="213"/>
          </reference>
          <reference field="6" count="1">
            <x v="47"/>
          </reference>
        </references>
      </pivotArea>
    </format>
    <format dxfId="1544">
      <pivotArea dataOnly="0" labelOnly="1" fieldPosition="0">
        <references count="6">
          <reference field="1" count="1" selected="0">
            <x v="97"/>
          </reference>
          <reference field="2" count="1" selected="0">
            <x v="12"/>
          </reference>
          <reference field="3" count="1" selected="0">
            <x v="1"/>
          </reference>
          <reference field="4" count="1" selected="0">
            <x v="183"/>
          </reference>
          <reference field="5" count="1" selected="0">
            <x v="352"/>
          </reference>
          <reference field="6" count="1">
            <x v="47"/>
          </reference>
        </references>
      </pivotArea>
    </format>
    <format dxfId="1543">
      <pivotArea dataOnly="0" labelOnly="1" fieldPosition="0">
        <references count="6">
          <reference field="1" count="1" selected="0">
            <x v="97"/>
          </reference>
          <reference field="2" count="1" selected="0">
            <x v="12"/>
          </reference>
          <reference field="3" count="1" selected="0">
            <x v="1"/>
          </reference>
          <reference field="4" count="1" selected="0">
            <x v="183"/>
          </reference>
          <reference field="5" count="1" selected="0">
            <x v="500"/>
          </reference>
          <reference field="6" count="1">
            <x v="47"/>
          </reference>
        </references>
      </pivotArea>
    </format>
    <format dxfId="1542">
      <pivotArea dataOnly="0" labelOnly="1" fieldPosition="0">
        <references count="6">
          <reference field="1" count="1" selected="0">
            <x v="97"/>
          </reference>
          <reference field="2" count="1" selected="0">
            <x v="12"/>
          </reference>
          <reference field="3" count="1" selected="0">
            <x v="1"/>
          </reference>
          <reference field="4" count="1" selected="0">
            <x v="183"/>
          </reference>
          <reference field="5" count="1" selected="0">
            <x v="607"/>
          </reference>
          <reference field="6" count="1">
            <x v="47"/>
          </reference>
        </references>
      </pivotArea>
    </format>
    <format dxfId="1541">
      <pivotArea dataOnly="0" labelOnly="1" fieldPosition="0">
        <references count="6">
          <reference field="1" count="1" selected="0">
            <x v="97"/>
          </reference>
          <reference field="2" count="1" selected="0">
            <x v="12"/>
          </reference>
          <reference field="3" count="1" selected="0">
            <x v="1"/>
          </reference>
          <reference field="4" count="1" selected="0">
            <x v="183"/>
          </reference>
          <reference field="5" count="1" selected="0">
            <x v="771"/>
          </reference>
          <reference field="6" count="1">
            <x v="47"/>
          </reference>
        </references>
      </pivotArea>
    </format>
    <format dxfId="1540">
      <pivotArea dataOnly="0" labelOnly="1" fieldPosition="0">
        <references count="6">
          <reference field="1" count="1" selected="0">
            <x v="97"/>
          </reference>
          <reference field="2" count="1" selected="0">
            <x v="12"/>
          </reference>
          <reference field="3" count="1" selected="0">
            <x v="1"/>
          </reference>
          <reference field="4" count="1" selected="0">
            <x v="183"/>
          </reference>
          <reference field="5" count="1" selected="0">
            <x v="846"/>
          </reference>
          <reference field="6" count="1">
            <x v="47"/>
          </reference>
        </references>
      </pivotArea>
    </format>
    <format dxfId="1539">
      <pivotArea dataOnly="0" labelOnly="1" fieldPosition="0">
        <references count="6">
          <reference field="1" count="1" selected="0">
            <x v="97"/>
          </reference>
          <reference field="2" count="1" selected="0">
            <x v="12"/>
          </reference>
          <reference field="3" count="1" selected="0">
            <x v="1"/>
          </reference>
          <reference field="4" count="1" selected="0">
            <x v="183"/>
          </reference>
          <reference field="5" count="1" selected="0">
            <x v="1028"/>
          </reference>
          <reference field="6" count="1">
            <x v="47"/>
          </reference>
        </references>
      </pivotArea>
    </format>
    <format dxfId="1538">
      <pivotArea dataOnly="0" labelOnly="1" fieldPosition="0">
        <references count="6">
          <reference field="1" count="1" selected="0">
            <x v="97"/>
          </reference>
          <reference field="2" count="1" selected="0">
            <x v="12"/>
          </reference>
          <reference field="3" count="1" selected="0">
            <x v="38"/>
          </reference>
          <reference field="4" count="1" selected="0">
            <x v="183"/>
          </reference>
          <reference field="5" count="1" selected="0">
            <x v="1562"/>
          </reference>
          <reference field="6" count="1">
            <x v="47"/>
          </reference>
        </references>
      </pivotArea>
    </format>
    <format dxfId="1537">
      <pivotArea dataOnly="0" labelOnly="1" fieldPosition="0">
        <references count="6">
          <reference field="1" count="1" selected="0">
            <x v="97"/>
          </reference>
          <reference field="2" count="1" selected="0">
            <x v="14"/>
          </reference>
          <reference field="3" count="1" selected="0">
            <x v="1"/>
          </reference>
          <reference field="4" count="1" selected="0">
            <x v="183"/>
          </reference>
          <reference field="5" count="1" selected="0">
            <x v="715"/>
          </reference>
          <reference field="6" count="1">
            <x v="47"/>
          </reference>
        </references>
      </pivotArea>
    </format>
    <format dxfId="1536">
      <pivotArea dataOnly="0" labelOnly="1" fieldPosition="0">
        <references count="6">
          <reference field="1" count="1" selected="0">
            <x v="97"/>
          </reference>
          <reference field="2" count="1" selected="0">
            <x v="15"/>
          </reference>
          <reference field="3" count="1" selected="0">
            <x v="8"/>
          </reference>
          <reference field="4" count="1" selected="0">
            <x v="183"/>
          </reference>
          <reference field="5" count="1" selected="0">
            <x v="295"/>
          </reference>
          <reference field="6" count="1">
            <x v="47"/>
          </reference>
        </references>
      </pivotArea>
    </format>
    <format dxfId="1535">
      <pivotArea dataOnly="0" labelOnly="1" fieldPosition="0">
        <references count="6">
          <reference field="1" count="1" selected="0">
            <x v="97"/>
          </reference>
          <reference field="2" count="1" selected="0">
            <x v="27"/>
          </reference>
          <reference field="3" count="1" selected="0">
            <x v="6"/>
          </reference>
          <reference field="4" count="1" selected="0">
            <x v="183"/>
          </reference>
          <reference field="5" count="1" selected="0">
            <x v="1481"/>
          </reference>
          <reference field="6" count="1">
            <x v="47"/>
          </reference>
        </references>
      </pivotArea>
    </format>
    <format dxfId="1534">
      <pivotArea dataOnly="0" labelOnly="1" fieldPosition="0">
        <references count="6">
          <reference field="1" count="1" selected="0">
            <x v="97"/>
          </reference>
          <reference field="2" count="1" selected="0">
            <x v="34"/>
          </reference>
          <reference field="3" count="1" selected="0">
            <x v="38"/>
          </reference>
          <reference field="4" count="1" selected="0">
            <x v="183"/>
          </reference>
          <reference field="5" count="1" selected="0">
            <x v="739"/>
          </reference>
          <reference field="6" count="1">
            <x v="47"/>
          </reference>
        </references>
      </pivotArea>
    </format>
    <format dxfId="1533">
      <pivotArea dataOnly="0" labelOnly="1" fieldPosition="0">
        <references count="6">
          <reference field="1" count="1" selected="0">
            <x v="98"/>
          </reference>
          <reference field="2" count="1" selected="0">
            <x v="0"/>
          </reference>
          <reference field="3" count="1" selected="0">
            <x v="8"/>
          </reference>
          <reference field="4" count="1" selected="0">
            <x v="185"/>
          </reference>
          <reference field="5" count="1" selected="0">
            <x v="549"/>
          </reference>
          <reference field="6" count="1">
            <x v="47"/>
          </reference>
        </references>
      </pivotArea>
    </format>
    <format dxfId="1532">
      <pivotArea dataOnly="0" labelOnly="1" fieldPosition="0">
        <references count="6">
          <reference field="1" count="1" selected="0">
            <x v="98"/>
          </reference>
          <reference field="2" count="1" selected="0">
            <x v="0"/>
          </reference>
          <reference field="3" count="1" selected="0">
            <x v="9"/>
          </reference>
          <reference field="4" count="1" selected="0">
            <x v="185"/>
          </reference>
          <reference field="5" count="1" selected="0">
            <x v="382"/>
          </reference>
          <reference field="6" count="1">
            <x v="47"/>
          </reference>
        </references>
      </pivotArea>
    </format>
    <format dxfId="1531">
      <pivotArea dataOnly="0" labelOnly="1" fieldPosition="0">
        <references count="6">
          <reference field="1" count="1" selected="0">
            <x v="98"/>
          </reference>
          <reference field="2" count="1" selected="0">
            <x v="0"/>
          </reference>
          <reference field="3" count="1" selected="0">
            <x v="9"/>
          </reference>
          <reference field="4" count="1" selected="0">
            <x v="185"/>
          </reference>
          <reference field="5" count="1" selected="0">
            <x v="560"/>
          </reference>
          <reference field="6" count="1">
            <x v="47"/>
          </reference>
        </references>
      </pivotArea>
    </format>
    <format dxfId="1530">
      <pivotArea dataOnly="0" labelOnly="1" fieldPosition="0">
        <references count="6">
          <reference field="1" count="1" selected="0">
            <x v="98"/>
          </reference>
          <reference field="2" count="1" selected="0">
            <x v="0"/>
          </reference>
          <reference field="3" count="1" selected="0">
            <x v="9"/>
          </reference>
          <reference field="4" count="1" selected="0">
            <x v="185"/>
          </reference>
          <reference field="5" count="1" selected="0">
            <x v="634"/>
          </reference>
          <reference field="6" count="1">
            <x v="47"/>
          </reference>
        </references>
      </pivotArea>
    </format>
    <format dxfId="1529">
      <pivotArea dataOnly="0" labelOnly="1" fieldPosition="0">
        <references count="6">
          <reference field="1" count="1" selected="0">
            <x v="98"/>
          </reference>
          <reference field="2" count="1" selected="0">
            <x v="0"/>
          </reference>
          <reference field="3" count="1" selected="0">
            <x v="9"/>
          </reference>
          <reference field="4" count="1" selected="0">
            <x v="185"/>
          </reference>
          <reference field="5" count="1" selected="0">
            <x v="757"/>
          </reference>
          <reference field="6" count="1">
            <x v="47"/>
          </reference>
        </references>
      </pivotArea>
    </format>
    <format dxfId="1528">
      <pivotArea dataOnly="0" labelOnly="1" fieldPosition="0">
        <references count="6">
          <reference field="1" count="1" selected="0">
            <x v="98"/>
          </reference>
          <reference field="2" count="1" selected="0">
            <x v="0"/>
          </reference>
          <reference field="3" count="1" selected="0">
            <x v="9"/>
          </reference>
          <reference field="4" count="1" selected="0">
            <x v="185"/>
          </reference>
          <reference field="5" count="1" selected="0">
            <x v="848"/>
          </reference>
          <reference field="6" count="1">
            <x v="47"/>
          </reference>
        </references>
      </pivotArea>
    </format>
    <format dxfId="1527">
      <pivotArea dataOnly="0" labelOnly="1" fieldPosition="0">
        <references count="6">
          <reference field="1" count="1" selected="0">
            <x v="98"/>
          </reference>
          <reference field="2" count="1" selected="0">
            <x v="0"/>
          </reference>
          <reference field="3" count="1" selected="0">
            <x v="9"/>
          </reference>
          <reference field="4" count="1" selected="0">
            <x v="185"/>
          </reference>
          <reference field="5" count="1" selected="0">
            <x v="1309"/>
          </reference>
          <reference field="6" count="1">
            <x v="47"/>
          </reference>
        </references>
      </pivotArea>
    </format>
    <format dxfId="1526">
      <pivotArea dataOnly="0" labelOnly="1" fieldPosition="0">
        <references count="6">
          <reference field="1" count="1" selected="0">
            <x v="98"/>
          </reference>
          <reference field="2" count="1" selected="0">
            <x v="0"/>
          </reference>
          <reference field="3" count="1" selected="0">
            <x v="11"/>
          </reference>
          <reference field="4" count="1" selected="0">
            <x v="51"/>
          </reference>
          <reference field="5" count="1" selected="0">
            <x v="109"/>
          </reference>
          <reference field="6" count="1">
            <x v="47"/>
          </reference>
        </references>
      </pivotArea>
    </format>
    <format dxfId="1525">
      <pivotArea dataOnly="0" labelOnly="1" fieldPosition="0">
        <references count="6">
          <reference field="1" count="1" selected="0">
            <x v="98"/>
          </reference>
          <reference field="2" count="1" selected="0">
            <x v="0"/>
          </reference>
          <reference field="3" count="1" selected="0">
            <x v="12"/>
          </reference>
          <reference field="4" count="1" selected="0">
            <x v="47"/>
          </reference>
          <reference field="5" count="1" selected="0">
            <x v="314"/>
          </reference>
          <reference field="6" count="1">
            <x v="47"/>
          </reference>
        </references>
      </pivotArea>
    </format>
    <format dxfId="1524">
      <pivotArea dataOnly="0" labelOnly="1" fieldPosition="0">
        <references count="6">
          <reference field="1" count="1" selected="0">
            <x v="98"/>
          </reference>
          <reference field="2" count="1" selected="0">
            <x v="2"/>
          </reference>
          <reference field="3" count="1" selected="0">
            <x v="8"/>
          </reference>
          <reference field="4" count="1" selected="0">
            <x v="185"/>
          </reference>
          <reference field="5" count="1" selected="0">
            <x v="1252"/>
          </reference>
          <reference field="6" count="1">
            <x v="47"/>
          </reference>
        </references>
      </pivotArea>
    </format>
    <format dxfId="1523">
      <pivotArea dataOnly="0" labelOnly="1" fieldPosition="0">
        <references count="6">
          <reference field="1" count="1" selected="0">
            <x v="98"/>
          </reference>
          <reference field="2" count="1" selected="0">
            <x v="8"/>
          </reference>
          <reference field="3" count="1" selected="0">
            <x v="38"/>
          </reference>
          <reference field="4" count="1" selected="0">
            <x v="185"/>
          </reference>
          <reference field="5" count="1" selected="0">
            <x v="1548"/>
          </reference>
          <reference field="6" count="1">
            <x v="47"/>
          </reference>
        </references>
      </pivotArea>
    </format>
    <format dxfId="1522">
      <pivotArea dataOnly="0" labelOnly="1" fieldPosition="0">
        <references count="6">
          <reference field="1" count="1" selected="0">
            <x v="98"/>
          </reference>
          <reference field="2" count="1" selected="0">
            <x v="11"/>
          </reference>
          <reference field="3" count="1" selected="0">
            <x v="8"/>
          </reference>
          <reference field="4" count="1" selected="0">
            <x v="185"/>
          </reference>
          <reference field="5" count="1" selected="0">
            <x v="42"/>
          </reference>
          <reference field="6" count="1">
            <x v="47"/>
          </reference>
        </references>
      </pivotArea>
    </format>
    <format dxfId="1521">
      <pivotArea dataOnly="0" labelOnly="1" fieldPosition="0">
        <references count="6">
          <reference field="1" count="1" selected="0">
            <x v="98"/>
          </reference>
          <reference field="2" count="1" selected="0">
            <x v="12"/>
          </reference>
          <reference field="3" count="1" selected="0">
            <x v="1"/>
          </reference>
          <reference field="4" count="1" selected="0">
            <x v="185"/>
          </reference>
          <reference field="5" count="1" selected="0">
            <x v="80"/>
          </reference>
          <reference field="6" count="1">
            <x v="47"/>
          </reference>
        </references>
      </pivotArea>
    </format>
    <format dxfId="1520">
      <pivotArea dataOnly="0" labelOnly="1" fieldPosition="0">
        <references count="6">
          <reference field="1" count="1" selected="0">
            <x v="98"/>
          </reference>
          <reference field="2" count="1" selected="0">
            <x v="12"/>
          </reference>
          <reference field="3" count="1" selected="0">
            <x v="1"/>
          </reference>
          <reference field="4" count="1" selected="0">
            <x v="185"/>
          </reference>
          <reference field="5" count="1" selected="0">
            <x v="213"/>
          </reference>
          <reference field="6" count="1">
            <x v="47"/>
          </reference>
        </references>
      </pivotArea>
    </format>
    <format dxfId="1519">
      <pivotArea dataOnly="0" labelOnly="1" fieldPosition="0">
        <references count="6">
          <reference field="1" count="1" selected="0">
            <x v="98"/>
          </reference>
          <reference field="2" count="1" selected="0">
            <x v="12"/>
          </reference>
          <reference field="3" count="1" selected="0">
            <x v="1"/>
          </reference>
          <reference field="4" count="1" selected="0">
            <x v="185"/>
          </reference>
          <reference field="5" count="1" selected="0">
            <x v="352"/>
          </reference>
          <reference field="6" count="1">
            <x v="47"/>
          </reference>
        </references>
      </pivotArea>
    </format>
    <format dxfId="1518">
      <pivotArea dataOnly="0" labelOnly="1" fieldPosition="0">
        <references count="6">
          <reference field="1" count="1" selected="0">
            <x v="98"/>
          </reference>
          <reference field="2" count="1" selected="0">
            <x v="12"/>
          </reference>
          <reference field="3" count="1" selected="0">
            <x v="1"/>
          </reference>
          <reference field="4" count="1" selected="0">
            <x v="185"/>
          </reference>
          <reference field="5" count="1" selected="0">
            <x v="771"/>
          </reference>
          <reference field="6" count="1">
            <x v="47"/>
          </reference>
        </references>
      </pivotArea>
    </format>
    <format dxfId="1517">
      <pivotArea dataOnly="0" labelOnly="1" fieldPosition="0">
        <references count="6">
          <reference field="1" count="1" selected="0">
            <x v="98"/>
          </reference>
          <reference field="2" count="1" selected="0">
            <x v="12"/>
          </reference>
          <reference field="3" count="1" selected="0">
            <x v="1"/>
          </reference>
          <reference field="4" count="1" selected="0">
            <x v="185"/>
          </reference>
          <reference field="5" count="1" selected="0">
            <x v="964"/>
          </reference>
          <reference field="6" count="1">
            <x v="47"/>
          </reference>
        </references>
      </pivotArea>
    </format>
    <format dxfId="1516">
      <pivotArea dataOnly="0" labelOnly="1" fieldPosition="0">
        <references count="6">
          <reference field="1" count="1" selected="0">
            <x v="98"/>
          </reference>
          <reference field="2" count="1" selected="0">
            <x v="12"/>
          </reference>
          <reference field="3" count="1" selected="0">
            <x v="31"/>
          </reference>
          <reference field="4" count="1" selected="0">
            <x v="184"/>
          </reference>
          <reference field="5" count="1" selected="0">
            <x v="1153"/>
          </reference>
          <reference field="6" count="1">
            <x v="47"/>
          </reference>
        </references>
      </pivotArea>
    </format>
    <format dxfId="1515">
      <pivotArea dataOnly="0" labelOnly="1" fieldPosition="0">
        <references count="6">
          <reference field="1" count="1" selected="0">
            <x v="98"/>
          </reference>
          <reference field="2" count="1" selected="0">
            <x v="12"/>
          </reference>
          <reference field="3" count="1" selected="0">
            <x v="38"/>
          </reference>
          <reference field="4" count="1" selected="0">
            <x v="185"/>
          </reference>
          <reference field="5" count="1" selected="0">
            <x v="1265"/>
          </reference>
          <reference field="6" count="1">
            <x v="47"/>
          </reference>
        </references>
      </pivotArea>
    </format>
    <format dxfId="1514">
      <pivotArea dataOnly="0" labelOnly="1" fieldPosition="0">
        <references count="6">
          <reference field="1" count="1" selected="0">
            <x v="98"/>
          </reference>
          <reference field="2" count="1" selected="0">
            <x v="14"/>
          </reference>
          <reference field="3" count="1" selected="0">
            <x v="38"/>
          </reference>
          <reference field="4" count="1" selected="0">
            <x v="185"/>
          </reference>
          <reference field="5" count="1" selected="0">
            <x v="397"/>
          </reference>
          <reference field="6" count="1">
            <x v="47"/>
          </reference>
        </references>
      </pivotArea>
    </format>
    <format dxfId="1513">
      <pivotArea dataOnly="0" labelOnly="1" fieldPosition="0">
        <references count="6">
          <reference field="1" count="1" selected="0">
            <x v="98"/>
          </reference>
          <reference field="2" count="1" selected="0">
            <x v="19"/>
          </reference>
          <reference field="3" count="1" selected="0">
            <x v="7"/>
          </reference>
          <reference field="4" count="1" selected="0">
            <x v="185"/>
          </reference>
          <reference field="5" count="1" selected="0">
            <x v="1005"/>
          </reference>
          <reference field="6" count="1">
            <x v="47"/>
          </reference>
        </references>
      </pivotArea>
    </format>
    <format dxfId="1512">
      <pivotArea dataOnly="0" labelOnly="1" fieldPosition="0">
        <references count="6">
          <reference field="1" count="1" selected="0">
            <x v="98"/>
          </reference>
          <reference field="2" count="1" selected="0">
            <x v="19"/>
          </reference>
          <reference field="3" count="1" selected="0">
            <x v="38"/>
          </reference>
          <reference field="4" count="1" selected="0">
            <x v="185"/>
          </reference>
          <reference field="5" count="1" selected="0">
            <x v="330"/>
          </reference>
          <reference field="6" count="1">
            <x v="47"/>
          </reference>
        </references>
      </pivotArea>
    </format>
    <format dxfId="1511">
      <pivotArea dataOnly="0" labelOnly="1" fieldPosition="0">
        <references count="6">
          <reference field="1" count="1" selected="0">
            <x v="98"/>
          </reference>
          <reference field="2" count="1" selected="0">
            <x v="24"/>
          </reference>
          <reference field="3" count="1" selected="0">
            <x v="1"/>
          </reference>
          <reference field="4" count="1" selected="0">
            <x v="185"/>
          </reference>
          <reference field="5" count="1" selected="0">
            <x v="297"/>
          </reference>
          <reference field="6" count="1">
            <x v="47"/>
          </reference>
        </references>
      </pivotArea>
    </format>
    <format dxfId="1510">
      <pivotArea dataOnly="0" labelOnly="1" fieldPosition="0">
        <references count="6">
          <reference field="1" count="1" selected="0">
            <x v="98"/>
          </reference>
          <reference field="2" count="1" selected="0">
            <x v="33"/>
          </reference>
          <reference field="3" count="1" selected="0">
            <x v="6"/>
          </reference>
          <reference field="4" count="1" selected="0">
            <x v="185"/>
          </reference>
          <reference field="5" count="1" selected="0">
            <x v="469"/>
          </reference>
          <reference field="6" count="1">
            <x v="47"/>
          </reference>
        </references>
      </pivotArea>
    </format>
    <format dxfId="1509">
      <pivotArea dataOnly="0" labelOnly="1" fieldPosition="0">
        <references count="6">
          <reference field="1" count="1" selected="0">
            <x v="98"/>
          </reference>
          <reference field="2" count="1" selected="0">
            <x v="35"/>
          </reference>
          <reference field="3" count="1" selected="0">
            <x v="1"/>
          </reference>
          <reference field="4" count="1" selected="0">
            <x v="185"/>
          </reference>
          <reference field="5" count="1" selected="0">
            <x v="80"/>
          </reference>
          <reference field="6" count="1">
            <x v="47"/>
          </reference>
        </references>
      </pivotArea>
    </format>
    <format dxfId="1508">
      <pivotArea dataOnly="0" labelOnly="1" fieldPosition="0">
        <references count="6">
          <reference field="1" count="1" selected="0">
            <x v="98"/>
          </reference>
          <reference field="2" count="1" selected="0">
            <x v="36"/>
          </reference>
          <reference field="3" count="1" selected="0">
            <x v="1"/>
          </reference>
          <reference field="4" count="1" selected="0">
            <x v="185"/>
          </reference>
          <reference field="5" count="1" selected="0">
            <x v="1302"/>
          </reference>
          <reference field="6" count="1">
            <x v="47"/>
          </reference>
        </references>
      </pivotArea>
    </format>
    <format dxfId="1507">
      <pivotArea dataOnly="0" labelOnly="1" fieldPosition="0">
        <references count="6">
          <reference field="1" count="1" selected="0">
            <x v="99"/>
          </reference>
          <reference field="2" count="1" selected="0">
            <x v="0"/>
          </reference>
          <reference field="3" count="1" selected="0">
            <x v="12"/>
          </reference>
          <reference field="4" count="1" selected="0">
            <x v="24"/>
          </reference>
          <reference field="5" count="1" selected="0">
            <x v="24"/>
          </reference>
          <reference field="6" count="1">
            <x v="47"/>
          </reference>
        </references>
      </pivotArea>
    </format>
    <format dxfId="1506">
      <pivotArea dataOnly="0" labelOnly="1" fieldPosition="0">
        <references count="6">
          <reference field="1" count="1" selected="0">
            <x v="99"/>
          </reference>
          <reference field="2" count="1" selected="0">
            <x v="0"/>
          </reference>
          <reference field="3" count="1" selected="0">
            <x v="12"/>
          </reference>
          <reference field="4" count="1" selected="0">
            <x v="31"/>
          </reference>
          <reference field="5" count="1" selected="0">
            <x v="218"/>
          </reference>
          <reference field="6" count="1">
            <x v="47"/>
          </reference>
        </references>
      </pivotArea>
    </format>
    <format dxfId="1505">
      <pivotArea dataOnly="0" labelOnly="1" fieldPosition="0">
        <references count="6">
          <reference field="1" count="1" selected="0">
            <x v="99"/>
          </reference>
          <reference field="2" count="1" selected="0">
            <x v="0"/>
          </reference>
          <reference field="3" count="1" selected="0">
            <x v="12"/>
          </reference>
          <reference field="4" count="1" selected="0">
            <x v="71"/>
          </reference>
          <reference field="5" count="1" selected="0">
            <x v="37"/>
          </reference>
          <reference field="6" count="1">
            <x v="47"/>
          </reference>
        </references>
      </pivotArea>
    </format>
    <format dxfId="1504">
      <pivotArea dataOnly="0" labelOnly="1" fieldPosition="0">
        <references count="6">
          <reference field="1" count="1" selected="0">
            <x v="99"/>
          </reference>
          <reference field="2" count="1" selected="0">
            <x v="0"/>
          </reference>
          <reference field="3" count="1" selected="0">
            <x v="38"/>
          </reference>
          <reference field="4" count="1" selected="0">
            <x v="186"/>
          </reference>
          <reference field="5" count="1" selected="0">
            <x v="138"/>
          </reference>
          <reference field="6" count="1">
            <x v="47"/>
          </reference>
        </references>
      </pivotArea>
    </format>
    <format dxfId="1503">
      <pivotArea dataOnly="0" labelOnly="1" fieldPosition="0">
        <references count="6">
          <reference field="1" count="1" selected="0">
            <x v="99"/>
          </reference>
          <reference field="2" count="1" selected="0">
            <x v="2"/>
          </reference>
          <reference field="3" count="1" selected="0">
            <x v="1"/>
          </reference>
          <reference field="4" count="1" selected="0">
            <x v="186"/>
          </reference>
          <reference field="5" count="1" selected="0">
            <x v="151"/>
          </reference>
          <reference field="6" count="1">
            <x v="47"/>
          </reference>
        </references>
      </pivotArea>
    </format>
    <format dxfId="1502">
      <pivotArea dataOnly="0" labelOnly="1" fieldPosition="0">
        <references count="6">
          <reference field="1" count="1" selected="0">
            <x v="99"/>
          </reference>
          <reference field="2" count="1" selected="0">
            <x v="2"/>
          </reference>
          <reference field="3" count="1" selected="0">
            <x v="8"/>
          </reference>
          <reference field="4" count="1" selected="0">
            <x v="186"/>
          </reference>
          <reference field="5" count="1" selected="0">
            <x v="0"/>
          </reference>
          <reference field="6" count="1">
            <x v="15"/>
          </reference>
        </references>
      </pivotArea>
    </format>
    <format dxfId="1501">
      <pivotArea dataOnly="0" labelOnly="1" fieldPosition="0">
        <references count="6">
          <reference field="1" count="1" selected="0">
            <x v="99"/>
          </reference>
          <reference field="2" count="1" selected="0">
            <x v="3"/>
          </reference>
          <reference field="3" count="1" selected="0">
            <x v="38"/>
          </reference>
          <reference field="4" count="1" selected="0">
            <x v="186"/>
          </reference>
          <reference field="5" count="1" selected="0">
            <x v="352"/>
          </reference>
          <reference field="6" count="1">
            <x v="47"/>
          </reference>
        </references>
      </pivotArea>
    </format>
    <format dxfId="1500">
      <pivotArea dataOnly="0" labelOnly="1" fieldPosition="0">
        <references count="6">
          <reference field="1" count="1" selected="0">
            <x v="99"/>
          </reference>
          <reference field="2" count="1" selected="0">
            <x v="6"/>
          </reference>
          <reference field="3" count="1" selected="0">
            <x v="38"/>
          </reference>
          <reference field="4" count="1" selected="0">
            <x v="186"/>
          </reference>
          <reference field="5" count="1" selected="0">
            <x v="579"/>
          </reference>
          <reference field="6" count="1">
            <x v="47"/>
          </reference>
        </references>
      </pivotArea>
    </format>
    <format dxfId="1499">
      <pivotArea dataOnly="0" labelOnly="1" fieldPosition="0">
        <references count="6">
          <reference field="1" count="1" selected="0">
            <x v="99"/>
          </reference>
          <reference field="2" count="1" selected="0">
            <x v="12"/>
          </reference>
          <reference field="3" count="1" selected="0">
            <x v="1"/>
          </reference>
          <reference field="4" count="1" selected="0">
            <x v="186"/>
          </reference>
          <reference field="5" count="1" selected="0">
            <x v="80"/>
          </reference>
          <reference field="6" count="1">
            <x v="47"/>
          </reference>
        </references>
      </pivotArea>
    </format>
    <format dxfId="1498">
      <pivotArea dataOnly="0" labelOnly="1" fieldPosition="0">
        <references count="6">
          <reference field="1" count="1" selected="0">
            <x v="99"/>
          </reference>
          <reference field="2" count="1" selected="0">
            <x v="12"/>
          </reference>
          <reference field="3" count="1" selected="0">
            <x v="1"/>
          </reference>
          <reference field="4" count="1" selected="0">
            <x v="186"/>
          </reference>
          <reference field="5" count="1" selected="0">
            <x v="213"/>
          </reference>
          <reference field="6" count="1">
            <x v="47"/>
          </reference>
        </references>
      </pivotArea>
    </format>
    <format dxfId="1497">
      <pivotArea dataOnly="0" labelOnly="1" fieldPosition="0">
        <references count="6">
          <reference field="1" count="1" selected="0">
            <x v="99"/>
          </reference>
          <reference field="2" count="1" selected="0">
            <x v="12"/>
          </reference>
          <reference field="3" count="1" selected="0">
            <x v="1"/>
          </reference>
          <reference field="4" count="1" selected="0">
            <x v="186"/>
          </reference>
          <reference field="5" count="1" selected="0">
            <x v="352"/>
          </reference>
          <reference field="6" count="1">
            <x v="47"/>
          </reference>
        </references>
      </pivotArea>
    </format>
    <format dxfId="1496">
      <pivotArea dataOnly="0" labelOnly="1" fieldPosition="0">
        <references count="6">
          <reference field="1" count="1" selected="0">
            <x v="99"/>
          </reference>
          <reference field="2" count="1" selected="0">
            <x v="24"/>
          </reference>
          <reference field="3" count="1" selected="0">
            <x v="6"/>
          </reference>
          <reference field="4" count="1" selected="0">
            <x v="186"/>
          </reference>
          <reference field="5" count="1" selected="0">
            <x v="1013"/>
          </reference>
          <reference field="6" count="1">
            <x v="47"/>
          </reference>
        </references>
      </pivotArea>
    </format>
    <format dxfId="1495">
      <pivotArea dataOnly="0" labelOnly="1" fieldPosition="0">
        <references count="6">
          <reference field="1" count="1" selected="0">
            <x v="100"/>
          </reference>
          <reference field="2" count="1" selected="0">
            <x v="0"/>
          </reference>
          <reference field="3" count="1" selected="0">
            <x v="1"/>
          </reference>
          <reference field="4" count="1" selected="0">
            <x v="187"/>
          </reference>
          <reference field="5" count="1" selected="0">
            <x v="352"/>
          </reference>
          <reference field="6" count="1">
            <x v="47"/>
          </reference>
        </references>
      </pivotArea>
    </format>
    <format dxfId="1494">
      <pivotArea dataOnly="0" labelOnly="1" fieldPosition="0">
        <references count="6">
          <reference field="1" count="1" selected="0">
            <x v="100"/>
          </reference>
          <reference field="2" count="1" selected="0">
            <x v="0"/>
          </reference>
          <reference field="3" count="1" selected="0">
            <x v="9"/>
          </reference>
          <reference field="4" count="1" selected="0">
            <x v="187"/>
          </reference>
          <reference field="5" count="1" selected="0">
            <x v="287"/>
          </reference>
          <reference field="6" count="1">
            <x v="47"/>
          </reference>
        </references>
      </pivotArea>
    </format>
    <format dxfId="1493">
      <pivotArea dataOnly="0" labelOnly="1" fieldPosition="0">
        <references count="6">
          <reference field="1" count="1" selected="0">
            <x v="100"/>
          </reference>
          <reference field="2" count="1" selected="0">
            <x v="0"/>
          </reference>
          <reference field="3" count="1" selected="0">
            <x v="9"/>
          </reference>
          <reference field="4" count="1" selected="0">
            <x v="187"/>
          </reference>
          <reference field="5" count="1" selected="0">
            <x v="514"/>
          </reference>
          <reference field="6" count="1">
            <x v="47"/>
          </reference>
        </references>
      </pivotArea>
    </format>
    <format dxfId="1492">
      <pivotArea dataOnly="0" labelOnly="1" fieldPosition="0">
        <references count="6">
          <reference field="1" count="1" selected="0">
            <x v="100"/>
          </reference>
          <reference field="2" count="1" selected="0">
            <x v="0"/>
          </reference>
          <reference field="3" count="1" selected="0">
            <x v="9"/>
          </reference>
          <reference field="4" count="1" selected="0">
            <x v="187"/>
          </reference>
          <reference field="5" count="1" selected="0">
            <x v="515"/>
          </reference>
          <reference field="6" count="1">
            <x v="47"/>
          </reference>
        </references>
      </pivotArea>
    </format>
    <format dxfId="1491">
      <pivotArea dataOnly="0" labelOnly="1" fieldPosition="0">
        <references count="6">
          <reference field="1" count="1" selected="0">
            <x v="100"/>
          </reference>
          <reference field="2" count="1" selected="0">
            <x v="0"/>
          </reference>
          <reference field="3" count="1" selected="0">
            <x v="9"/>
          </reference>
          <reference field="4" count="1" selected="0">
            <x v="187"/>
          </reference>
          <reference field="5" count="1" selected="0">
            <x v="600"/>
          </reference>
          <reference field="6" count="1">
            <x v="47"/>
          </reference>
        </references>
      </pivotArea>
    </format>
    <format dxfId="1490">
      <pivotArea dataOnly="0" labelOnly="1" fieldPosition="0">
        <references count="6">
          <reference field="1" count="1" selected="0">
            <x v="100"/>
          </reference>
          <reference field="2" count="1" selected="0">
            <x v="0"/>
          </reference>
          <reference field="3" count="1" selected="0">
            <x v="9"/>
          </reference>
          <reference field="4" count="1" selected="0">
            <x v="187"/>
          </reference>
          <reference field="5" count="1" selected="0">
            <x v="648"/>
          </reference>
          <reference field="6" count="1">
            <x v="47"/>
          </reference>
        </references>
      </pivotArea>
    </format>
    <format dxfId="1489">
      <pivotArea dataOnly="0" labelOnly="1" fieldPosition="0">
        <references count="6">
          <reference field="1" count="1" selected="0">
            <x v="100"/>
          </reference>
          <reference field="2" count="1" selected="0">
            <x v="0"/>
          </reference>
          <reference field="3" count="1" selected="0">
            <x v="12"/>
          </reference>
          <reference field="4" count="1" selected="0">
            <x v="20"/>
          </reference>
          <reference field="5" count="1" selected="0">
            <x v="46"/>
          </reference>
          <reference field="6" count="1">
            <x v="47"/>
          </reference>
        </references>
      </pivotArea>
    </format>
    <format dxfId="1488">
      <pivotArea dataOnly="0" labelOnly="1" fieldPosition="0">
        <references count="6">
          <reference field="1" count="1" selected="0">
            <x v="100"/>
          </reference>
          <reference field="2" count="1" selected="0">
            <x v="0"/>
          </reference>
          <reference field="3" count="1" selected="0">
            <x v="12"/>
          </reference>
          <reference field="4" count="1" selected="0">
            <x v="38"/>
          </reference>
          <reference field="5" count="1" selected="0">
            <x v="6"/>
          </reference>
          <reference field="6" count="1">
            <x v="47"/>
          </reference>
        </references>
      </pivotArea>
    </format>
    <format dxfId="1487">
      <pivotArea dataOnly="0" labelOnly="1" fieldPosition="0">
        <references count="6">
          <reference field="1" count="1" selected="0">
            <x v="100"/>
          </reference>
          <reference field="2" count="1" selected="0">
            <x v="0"/>
          </reference>
          <reference field="3" count="1" selected="0">
            <x v="38"/>
          </reference>
          <reference field="4" count="1" selected="0">
            <x v="187"/>
          </reference>
          <reference field="5" count="1" selected="0">
            <x v="45"/>
          </reference>
          <reference field="6" count="1">
            <x v="47"/>
          </reference>
        </references>
      </pivotArea>
    </format>
    <format dxfId="1486">
      <pivotArea dataOnly="0" labelOnly="1" fieldPosition="0">
        <references count="6">
          <reference field="1" count="1" selected="0">
            <x v="100"/>
          </reference>
          <reference field="2" count="1" selected="0">
            <x v="0"/>
          </reference>
          <reference field="3" count="1" selected="0">
            <x v="38"/>
          </reference>
          <reference field="4" count="1" selected="0">
            <x v="187"/>
          </reference>
          <reference field="5" count="1" selected="0">
            <x v="809"/>
          </reference>
          <reference field="6" count="1">
            <x v="47"/>
          </reference>
        </references>
      </pivotArea>
    </format>
    <format dxfId="1485">
      <pivotArea dataOnly="0" labelOnly="1" fieldPosition="0">
        <references count="6">
          <reference field="1" count="1" selected="0">
            <x v="100"/>
          </reference>
          <reference field="2" count="1" selected="0">
            <x v="2"/>
          </reference>
          <reference field="3" count="1" selected="0">
            <x v="33"/>
          </reference>
          <reference field="4" count="1" selected="0">
            <x v="187"/>
          </reference>
          <reference field="5" count="1" selected="0">
            <x v="1038"/>
          </reference>
          <reference field="6" count="1">
            <x v="47"/>
          </reference>
        </references>
      </pivotArea>
    </format>
    <format dxfId="1484">
      <pivotArea dataOnly="0" labelOnly="1" fieldPosition="0">
        <references count="6">
          <reference field="1" count="1" selected="0">
            <x v="100"/>
          </reference>
          <reference field="2" count="1" selected="0">
            <x v="12"/>
          </reference>
          <reference field="3" count="1" selected="0">
            <x v="1"/>
          </reference>
          <reference field="4" count="1" selected="0">
            <x v="187"/>
          </reference>
          <reference field="5" count="1" selected="0">
            <x v="80"/>
          </reference>
          <reference field="6" count="1">
            <x v="47"/>
          </reference>
        </references>
      </pivotArea>
    </format>
    <format dxfId="1483">
      <pivotArea dataOnly="0" labelOnly="1" fieldPosition="0">
        <references count="6">
          <reference field="1" count="1" selected="0">
            <x v="100"/>
          </reference>
          <reference field="2" count="1" selected="0">
            <x v="12"/>
          </reference>
          <reference field="3" count="1" selected="0">
            <x v="1"/>
          </reference>
          <reference field="4" count="1" selected="0">
            <x v="187"/>
          </reference>
          <reference field="5" count="1" selected="0">
            <x v="213"/>
          </reference>
          <reference field="6" count="1">
            <x v="47"/>
          </reference>
        </references>
      </pivotArea>
    </format>
    <format dxfId="1482">
      <pivotArea dataOnly="0" labelOnly="1" fieldPosition="0">
        <references count="6">
          <reference field="1" count="1" selected="0">
            <x v="100"/>
          </reference>
          <reference field="2" count="1" selected="0">
            <x v="12"/>
          </reference>
          <reference field="3" count="1" selected="0">
            <x v="1"/>
          </reference>
          <reference field="4" count="1" selected="0">
            <x v="187"/>
          </reference>
          <reference field="5" count="1" selected="0">
            <x v="771"/>
          </reference>
          <reference field="6" count="1">
            <x v="47"/>
          </reference>
        </references>
      </pivotArea>
    </format>
    <format dxfId="1481">
      <pivotArea dataOnly="0" labelOnly="1" fieldPosition="0">
        <references count="6">
          <reference field="1" count="1" selected="0">
            <x v="100"/>
          </reference>
          <reference field="2" count="1" selected="0">
            <x v="15"/>
          </reference>
          <reference field="3" count="1" selected="0">
            <x v="8"/>
          </reference>
          <reference field="4" count="1" selected="0">
            <x v="187"/>
          </reference>
          <reference field="5" count="1" selected="0">
            <x v="458"/>
          </reference>
          <reference field="6" count="1">
            <x v="47"/>
          </reference>
        </references>
      </pivotArea>
    </format>
    <format dxfId="1480">
      <pivotArea dataOnly="0" labelOnly="1" fieldPosition="0">
        <references count="6">
          <reference field="1" count="1" selected="0">
            <x v="100"/>
          </reference>
          <reference field="2" count="1" selected="0">
            <x v="21"/>
          </reference>
          <reference field="3" count="1" selected="0">
            <x v="38"/>
          </reference>
          <reference field="4" count="1" selected="0">
            <x v="187"/>
          </reference>
          <reference field="5" count="1" selected="0">
            <x v="80"/>
          </reference>
          <reference field="6" count="1">
            <x v="47"/>
          </reference>
        </references>
      </pivotArea>
    </format>
    <format dxfId="1479">
      <pivotArea dataOnly="0" labelOnly="1" fieldPosition="0">
        <references count="6">
          <reference field="1" count="1" selected="0">
            <x v="100"/>
          </reference>
          <reference field="2" count="1" selected="0">
            <x v="24"/>
          </reference>
          <reference field="3" count="1" selected="0">
            <x v="10"/>
          </reference>
          <reference field="4" count="1" selected="0">
            <x v="187"/>
          </reference>
          <reference field="5" count="1" selected="0">
            <x v="445"/>
          </reference>
          <reference field="6" count="1">
            <x v="47"/>
          </reference>
        </references>
      </pivotArea>
    </format>
    <format dxfId="1478">
      <pivotArea dataOnly="0" labelOnly="1" fieldPosition="0">
        <references count="6">
          <reference field="1" count="1" selected="0">
            <x v="100"/>
          </reference>
          <reference field="2" count="1" selected="0">
            <x v="35"/>
          </reference>
          <reference field="3" count="1" selected="0">
            <x v="1"/>
          </reference>
          <reference field="4" count="1" selected="0">
            <x v="187"/>
          </reference>
          <reference field="5" count="1" selected="0">
            <x v="80"/>
          </reference>
          <reference field="6" count="1">
            <x v="47"/>
          </reference>
        </references>
      </pivotArea>
    </format>
    <format dxfId="1477">
      <pivotArea dataOnly="0" labelOnly="1" fieldPosition="0">
        <references count="6">
          <reference field="1" count="1" selected="0">
            <x v="100"/>
          </reference>
          <reference field="2" count="1" selected="0">
            <x v="36"/>
          </reference>
          <reference field="3" count="1" selected="0">
            <x v="1"/>
          </reference>
          <reference field="4" count="1" selected="0">
            <x v="187"/>
          </reference>
          <reference field="5" count="1" selected="0">
            <x v="190"/>
          </reference>
          <reference field="6" count="1">
            <x v="47"/>
          </reference>
        </references>
      </pivotArea>
    </format>
    <format dxfId="1476">
      <pivotArea dataOnly="0" labelOnly="1" fieldPosition="0">
        <references count="6">
          <reference field="1" count="1" selected="0">
            <x v="101"/>
          </reference>
          <reference field="2" count="1" selected="0">
            <x v="0"/>
          </reference>
          <reference field="3" count="1" selected="0">
            <x v="1"/>
          </reference>
          <reference field="4" count="1" selected="0">
            <x v="189"/>
          </reference>
          <reference field="5" count="1" selected="0">
            <x v="500"/>
          </reference>
          <reference field="6" count="1">
            <x v="47"/>
          </reference>
        </references>
      </pivotArea>
    </format>
    <format dxfId="1475">
      <pivotArea dataOnly="0" labelOnly="1" fieldPosition="0">
        <references count="6">
          <reference field="1" count="1" selected="0">
            <x v="101"/>
          </reference>
          <reference field="2" count="1" selected="0">
            <x v="0"/>
          </reference>
          <reference field="3" count="1" selected="0">
            <x v="6"/>
          </reference>
          <reference field="4" count="1" selected="0">
            <x v="189"/>
          </reference>
          <reference field="5" count="1" selected="0">
            <x v="372"/>
          </reference>
          <reference field="6" count="1">
            <x v="47"/>
          </reference>
        </references>
      </pivotArea>
    </format>
    <format dxfId="1474">
      <pivotArea dataOnly="0" labelOnly="1" fieldPosition="0">
        <references count="6">
          <reference field="1" count="1" selected="0">
            <x v="101"/>
          </reference>
          <reference field="2" count="1" selected="0">
            <x v="0"/>
          </reference>
          <reference field="3" count="1" selected="0">
            <x v="6"/>
          </reference>
          <reference field="4" count="1" selected="0">
            <x v="189"/>
          </reference>
          <reference field="5" count="1" selected="0">
            <x v="469"/>
          </reference>
          <reference field="6" count="1">
            <x v="47"/>
          </reference>
        </references>
      </pivotArea>
    </format>
    <format dxfId="1473">
      <pivotArea dataOnly="0" labelOnly="1" fieldPosition="0">
        <references count="6">
          <reference field="1" count="1" selected="0">
            <x v="101"/>
          </reference>
          <reference field="2" count="1" selected="0">
            <x v="0"/>
          </reference>
          <reference field="3" count="1" selected="0">
            <x v="8"/>
          </reference>
          <reference field="4" count="1" selected="0">
            <x v="189"/>
          </reference>
          <reference field="5" count="1" selected="0">
            <x v="95"/>
          </reference>
          <reference field="6" count="1">
            <x v="47"/>
          </reference>
        </references>
      </pivotArea>
    </format>
    <format dxfId="1472">
      <pivotArea dataOnly="0" labelOnly="1" fieldPosition="0">
        <references count="6">
          <reference field="1" count="1" selected="0">
            <x v="101"/>
          </reference>
          <reference field="2" count="1" selected="0">
            <x v="0"/>
          </reference>
          <reference field="3" count="1" selected="0">
            <x v="9"/>
          </reference>
          <reference field="4" count="1" selected="0">
            <x v="189"/>
          </reference>
          <reference field="5" count="1" selected="0">
            <x v="179"/>
          </reference>
          <reference field="6" count="1">
            <x v="47"/>
          </reference>
        </references>
      </pivotArea>
    </format>
    <format dxfId="1471">
      <pivotArea dataOnly="0" labelOnly="1" fieldPosition="0">
        <references count="6">
          <reference field="1" count="1" selected="0">
            <x v="101"/>
          </reference>
          <reference field="2" count="1" selected="0">
            <x v="0"/>
          </reference>
          <reference field="3" count="1" selected="0">
            <x v="9"/>
          </reference>
          <reference field="4" count="1" selected="0">
            <x v="189"/>
          </reference>
          <reference field="5" count="1" selected="0">
            <x v="260"/>
          </reference>
          <reference field="6" count="1">
            <x v="47"/>
          </reference>
        </references>
      </pivotArea>
    </format>
    <format dxfId="1470">
      <pivotArea dataOnly="0" labelOnly="1" fieldPosition="0">
        <references count="6">
          <reference field="1" count="1" selected="0">
            <x v="101"/>
          </reference>
          <reference field="2" count="1" selected="0">
            <x v="0"/>
          </reference>
          <reference field="3" count="1" selected="0">
            <x v="9"/>
          </reference>
          <reference field="4" count="1" selected="0">
            <x v="189"/>
          </reference>
          <reference field="5" count="1" selected="0">
            <x v="300"/>
          </reference>
          <reference field="6" count="1">
            <x v="47"/>
          </reference>
        </references>
      </pivotArea>
    </format>
    <format dxfId="1469">
      <pivotArea dataOnly="0" labelOnly="1" fieldPosition="0">
        <references count="6">
          <reference field="1" count="1" selected="0">
            <x v="101"/>
          </reference>
          <reference field="2" count="1" selected="0">
            <x v="0"/>
          </reference>
          <reference field="3" count="1" selected="0">
            <x v="9"/>
          </reference>
          <reference field="4" count="1" selected="0">
            <x v="189"/>
          </reference>
          <reference field="5" count="1" selected="0">
            <x v="670"/>
          </reference>
          <reference field="6" count="1">
            <x v="47"/>
          </reference>
        </references>
      </pivotArea>
    </format>
    <format dxfId="1468">
      <pivotArea dataOnly="0" labelOnly="1" fieldPosition="0">
        <references count="6">
          <reference field="1" count="1" selected="0">
            <x v="101"/>
          </reference>
          <reference field="2" count="1" selected="0">
            <x v="0"/>
          </reference>
          <reference field="3" count="1" selected="0">
            <x v="9"/>
          </reference>
          <reference field="4" count="1" selected="0">
            <x v="189"/>
          </reference>
          <reference field="5" count="1" selected="0">
            <x v="907"/>
          </reference>
          <reference field="6" count="1">
            <x v="47"/>
          </reference>
        </references>
      </pivotArea>
    </format>
    <format dxfId="1467">
      <pivotArea dataOnly="0" labelOnly="1" fieldPosition="0">
        <references count="6">
          <reference field="1" count="1" selected="0">
            <x v="101"/>
          </reference>
          <reference field="2" count="1" selected="0">
            <x v="0"/>
          </reference>
          <reference field="3" count="1" selected="0">
            <x v="9"/>
          </reference>
          <reference field="4" count="1" selected="0">
            <x v="189"/>
          </reference>
          <reference field="5" count="1" selected="0">
            <x v="1060"/>
          </reference>
          <reference field="6" count="1">
            <x v="47"/>
          </reference>
        </references>
      </pivotArea>
    </format>
    <format dxfId="1466">
      <pivotArea dataOnly="0" labelOnly="1" fieldPosition="0">
        <references count="6">
          <reference field="1" count="1" selected="0">
            <x v="101"/>
          </reference>
          <reference field="2" count="1" selected="0">
            <x v="0"/>
          </reference>
          <reference field="3" count="1" selected="0">
            <x v="12"/>
          </reference>
          <reference field="4" count="1" selected="0">
            <x v="16"/>
          </reference>
          <reference field="5" count="1" selected="0">
            <x v="138"/>
          </reference>
          <reference field="6" count="1">
            <x v="47"/>
          </reference>
        </references>
      </pivotArea>
    </format>
    <format dxfId="1465">
      <pivotArea dataOnly="0" labelOnly="1" fieldPosition="0">
        <references count="6">
          <reference field="1" count="1" selected="0">
            <x v="101"/>
          </reference>
          <reference field="2" count="1" selected="0">
            <x v="0"/>
          </reference>
          <reference field="3" count="1" selected="0">
            <x v="12"/>
          </reference>
          <reference field="4" count="1" selected="0">
            <x v="17"/>
          </reference>
          <reference field="5" count="1" selected="0">
            <x v="96"/>
          </reference>
          <reference field="6" count="1">
            <x v="47"/>
          </reference>
        </references>
      </pivotArea>
    </format>
    <format dxfId="1464">
      <pivotArea dataOnly="0" labelOnly="1" fieldPosition="0">
        <references count="6">
          <reference field="1" count="1" selected="0">
            <x v="101"/>
          </reference>
          <reference field="2" count="1" selected="0">
            <x v="0"/>
          </reference>
          <reference field="3" count="1" selected="0">
            <x v="12"/>
          </reference>
          <reference field="4" count="1" selected="0">
            <x v="34"/>
          </reference>
          <reference field="5" count="1" selected="0">
            <x v="199"/>
          </reference>
          <reference field="6" count="1">
            <x v="47"/>
          </reference>
        </references>
      </pivotArea>
    </format>
    <format dxfId="1463">
      <pivotArea dataOnly="0" labelOnly="1" fieldPosition="0">
        <references count="6">
          <reference field="1" count="1" selected="0">
            <x v="101"/>
          </reference>
          <reference field="2" count="1" selected="0">
            <x v="0"/>
          </reference>
          <reference field="3" count="1" selected="0">
            <x v="19"/>
          </reference>
          <reference field="4" count="1" selected="0">
            <x v="188"/>
          </reference>
          <reference field="5" count="1" selected="0">
            <x v="580"/>
          </reference>
          <reference field="6" count="1">
            <x v="47"/>
          </reference>
        </references>
      </pivotArea>
    </format>
    <format dxfId="1462">
      <pivotArea dataOnly="0" labelOnly="1" fieldPosition="0">
        <references count="6">
          <reference field="1" count="1" selected="0">
            <x v="101"/>
          </reference>
          <reference field="2" count="1" selected="0">
            <x v="0"/>
          </reference>
          <reference field="3" count="1" selected="0">
            <x v="19"/>
          </reference>
          <reference field="4" count="1" selected="0">
            <x v="188"/>
          </reference>
          <reference field="5" count="1" selected="0">
            <x v="753"/>
          </reference>
          <reference field="6" count="1">
            <x v="47"/>
          </reference>
        </references>
      </pivotArea>
    </format>
    <format dxfId="1461">
      <pivotArea dataOnly="0" labelOnly="1" fieldPosition="0">
        <references count="6">
          <reference field="1" count="1" selected="0">
            <x v="101"/>
          </reference>
          <reference field="2" count="1" selected="0">
            <x v="0"/>
          </reference>
          <reference field="3" count="1" selected="0">
            <x v="19"/>
          </reference>
          <reference field="4" count="1" selected="0">
            <x v="188"/>
          </reference>
          <reference field="5" count="1" selected="0">
            <x v="877"/>
          </reference>
          <reference field="6" count="1">
            <x v="47"/>
          </reference>
        </references>
      </pivotArea>
    </format>
    <format dxfId="1460">
      <pivotArea dataOnly="0" labelOnly="1" fieldPosition="0">
        <references count="6">
          <reference field="1" count="1" selected="0">
            <x v="101"/>
          </reference>
          <reference field="2" count="1" selected="0">
            <x v="0"/>
          </reference>
          <reference field="3" count="1" selected="0">
            <x v="19"/>
          </reference>
          <reference field="4" count="1" selected="0">
            <x v="188"/>
          </reference>
          <reference field="5" count="1" selected="0">
            <x v="931"/>
          </reference>
          <reference field="6" count="1">
            <x v="47"/>
          </reference>
        </references>
      </pivotArea>
    </format>
    <format dxfId="1459">
      <pivotArea dataOnly="0" labelOnly="1" fieldPosition="0">
        <references count="6">
          <reference field="1" count="1" selected="0">
            <x v="101"/>
          </reference>
          <reference field="2" count="1" selected="0">
            <x v="0"/>
          </reference>
          <reference field="3" count="1" selected="0">
            <x v="19"/>
          </reference>
          <reference field="4" count="1" selected="0">
            <x v="188"/>
          </reference>
          <reference field="5" count="1" selected="0">
            <x v="998"/>
          </reference>
          <reference field="6" count="1">
            <x v="47"/>
          </reference>
        </references>
      </pivotArea>
    </format>
    <format dxfId="1458">
      <pivotArea dataOnly="0" labelOnly="1" fieldPosition="0">
        <references count="6">
          <reference field="1" count="1" selected="0">
            <x v="101"/>
          </reference>
          <reference field="2" count="1" selected="0">
            <x v="0"/>
          </reference>
          <reference field="3" count="1" selected="0">
            <x v="19"/>
          </reference>
          <reference field="4" count="1" selected="0">
            <x v="188"/>
          </reference>
          <reference field="5" count="1" selected="0">
            <x v="1008"/>
          </reference>
          <reference field="6" count="1">
            <x v="47"/>
          </reference>
        </references>
      </pivotArea>
    </format>
    <format dxfId="1457">
      <pivotArea dataOnly="0" labelOnly="1" fieldPosition="0">
        <references count="6">
          <reference field="1" count="1" selected="0">
            <x v="101"/>
          </reference>
          <reference field="2" count="1" selected="0">
            <x v="0"/>
          </reference>
          <reference field="3" count="1" selected="0">
            <x v="19"/>
          </reference>
          <reference field="4" count="1" selected="0">
            <x v="188"/>
          </reference>
          <reference field="5" count="1" selected="0">
            <x v="1021"/>
          </reference>
          <reference field="6" count="1">
            <x v="47"/>
          </reference>
        </references>
      </pivotArea>
    </format>
    <format dxfId="1456">
      <pivotArea dataOnly="0" labelOnly="1" fieldPosition="0">
        <references count="6">
          <reference field="1" count="1" selected="0">
            <x v="101"/>
          </reference>
          <reference field="2" count="1" selected="0">
            <x v="0"/>
          </reference>
          <reference field="3" count="1" selected="0">
            <x v="19"/>
          </reference>
          <reference field="4" count="1" selected="0">
            <x v="188"/>
          </reference>
          <reference field="5" count="1" selected="0">
            <x v="1588"/>
          </reference>
          <reference field="6" count="1">
            <x v="47"/>
          </reference>
        </references>
      </pivotArea>
    </format>
    <format dxfId="1455">
      <pivotArea dataOnly="0" labelOnly="1" fieldPosition="0">
        <references count="6">
          <reference field="1" count="1" selected="0">
            <x v="101"/>
          </reference>
          <reference field="2" count="1" selected="0">
            <x v="0"/>
          </reference>
          <reference field="3" count="1" selected="0">
            <x v="38"/>
          </reference>
          <reference field="4" count="1" selected="0">
            <x v="189"/>
          </reference>
          <reference field="5" count="1" selected="0">
            <x v="138"/>
          </reference>
          <reference field="6" count="1">
            <x v="47"/>
          </reference>
        </references>
      </pivotArea>
    </format>
    <format dxfId="1454">
      <pivotArea dataOnly="0" labelOnly="1" fieldPosition="0">
        <references count="6">
          <reference field="1" count="1" selected="0">
            <x v="101"/>
          </reference>
          <reference field="2" count="1" selected="0">
            <x v="2"/>
          </reference>
          <reference field="3" count="1" selected="0">
            <x v="19"/>
          </reference>
          <reference field="4" count="1" selected="0">
            <x v="188"/>
          </reference>
          <reference field="5" count="1" selected="0">
            <x v="1803"/>
          </reference>
          <reference field="6" count="1">
            <x v="47"/>
          </reference>
        </references>
      </pivotArea>
    </format>
    <format dxfId="1453">
      <pivotArea dataOnly="0" labelOnly="1" fieldPosition="0">
        <references count="6">
          <reference field="1" count="1" selected="0">
            <x v="101"/>
          </reference>
          <reference field="2" count="1" selected="0">
            <x v="3"/>
          </reference>
          <reference field="3" count="1" selected="0">
            <x v="19"/>
          </reference>
          <reference field="4" count="1" selected="0">
            <x v="188"/>
          </reference>
          <reference field="5" count="1" selected="0">
            <x v="251"/>
          </reference>
          <reference field="6" count="1">
            <x v="47"/>
          </reference>
        </references>
      </pivotArea>
    </format>
    <format dxfId="1452">
      <pivotArea dataOnly="0" labelOnly="1" fieldPosition="0">
        <references count="6">
          <reference field="1" count="1" selected="0">
            <x v="101"/>
          </reference>
          <reference field="2" count="1" selected="0">
            <x v="3"/>
          </reference>
          <reference field="3" count="1" selected="0">
            <x v="38"/>
          </reference>
          <reference field="4" count="1" selected="0">
            <x v="189"/>
          </reference>
          <reference field="5" count="1" selected="0">
            <x v="182"/>
          </reference>
          <reference field="6" count="1">
            <x v="47"/>
          </reference>
        </references>
      </pivotArea>
    </format>
    <format dxfId="1451">
      <pivotArea dataOnly="0" labelOnly="1" fieldPosition="0">
        <references count="6">
          <reference field="1" count="1" selected="0">
            <x v="101"/>
          </reference>
          <reference field="2" count="1" selected="0">
            <x v="10"/>
          </reference>
          <reference field="3" count="1" selected="0">
            <x v="19"/>
          </reference>
          <reference field="4" count="1" selected="0">
            <x v="188"/>
          </reference>
          <reference field="5" count="1" selected="0">
            <x v="1535"/>
          </reference>
          <reference field="6" count="1">
            <x v="47"/>
          </reference>
        </references>
      </pivotArea>
    </format>
    <format dxfId="1450">
      <pivotArea dataOnly="0" labelOnly="1" fieldPosition="0">
        <references count="6">
          <reference field="1" count="1" selected="0">
            <x v="101"/>
          </reference>
          <reference field="2" count="1" selected="0">
            <x v="11"/>
          </reference>
          <reference field="3" count="1" selected="0">
            <x v="8"/>
          </reference>
          <reference field="4" count="1" selected="0">
            <x v="189"/>
          </reference>
          <reference field="5" count="1" selected="0">
            <x v="1045"/>
          </reference>
          <reference field="6" count="1">
            <x v="47"/>
          </reference>
        </references>
      </pivotArea>
    </format>
    <format dxfId="1449">
      <pivotArea dataOnly="0" labelOnly="1" fieldPosition="0">
        <references count="6">
          <reference field="1" count="1" selected="0">
            <x v="101"/>
          </reference>
          <reference field="2" count="1" selected="0">
            <x v="12"/>
          </reference>
          <reference field="3" count="1" selected="0">
            <x v="1"/>
          </reference>
          <reference field="4" count="1" selected="0">
            <x v="189"/>
          </reference>
          <reference field="5" count="1" selected="0">
            <x v="213"/>
          </reference>
          <reference field="6" count="1">
            <x v="47"/>
          </reference>
        </references>
      </pivotArea>
    </format>
    <format dxfId="1448">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99"/>
          </reference>
          <reference field="6" count="1">
            <x v="47"/>
          </reference>
        </references>
      </pivotArea>
    </format>
    <format dxfId="1447">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10"/>
          </reference>
          <reference field="6" count="1">
            <x v="47"/>
          </reference>
        </references>
      </pivotArea>
    </format>
    <format dxfId="1446">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370"/>
          </reference>
          <reference field="6" count="1">
            <x v="47"/>
          </reference>
        </references>
      </pivotArea>
    </format>
    <format dxfId="1445">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032"/>
          </reference>
          <reference field="6" count="1">
            <x v="47"/>
          </reference>
        </references>
      </pivotArea>
    </format>
    <format dxfId="1444">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191"/>
          </reference>
          <reference field="6" count="1">
            <x v="47"/>
          </reference>
        </references>
      </pivotArea>
    </format>
    <format dxfId="1443">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221"/>
          </reference>
          <reference field="6" count="1">
            <x v="47"/>
          </reference>
        </references>
      </pivotArea>
    </format>
    <format dxfId="1442">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349"/>
          </reference>
          <reference field="6" count="1">
            <x v="47"/>
          </reference>
        </references>
      </pivotArea>
    </format>
    <format dxfId="1441">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392"/>
          </reference>
          <reference field="6" count="1">
            <x v="47"/>
          </reference>
        </references>
      </pivotArea>
    </format>
    <format dxfId="1440">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438"/>
          </reference>
          <reference field="6" count="1">
            <x v="47"/>
          </reference>
        </references>
      </pivotArea>
    </format>
    <format dxfId="1439">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452"/>
          </reference>
          <reference field="6" count="1">
            <x v="47"/>
          </reference>
        </references>
      </pivotArea>
    </format>
    <format dxfId="1438">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498"/>
          </reference>
          <reference field="6" count="1">
            <x v="47"/>
          </reference>
        </references>
      </pivotArea>
    </format>
    <format dxfId="1437">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544"/>
          </reference>
          <reference field="6" count="1">
            <x v="47"/>
          </reference>
        </references>
      </pivotArea>
    </format>
    <format dxfId="1436">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549"/>
          </reference>
          <reference field="6" count="1">
            <x v="47"/>
          </reference>
        </references>
      </pivotArea>
    </format>
    <format dxfId="1435">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550"/>
          </reference>
          <reference field="6" count="1">
            <x v="47"/>
          </reference>
        </references>
      </pivotArea>
    </format>
    <format dxfId="1434">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552"/>
          </reference>
          <reference field="6" count="1">
            <x v="47"/>
          </reference>
        </references>
      </pivotArea>
    </format>
    <format dxfId="1433">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556"/>
          </reference>
          <reference field="6" count="1">
            <x v="47"/>
          </reference>
        </references>
      </pivotArea>
    </format>
    <format dxfId="1432">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610"/>
          </reference>
          <reference field="6" count="1">
            <x v="47"/>
          </reference>
        </references>
      </pivotArea>
    </format>
    <format dxfId="1431">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617"/>
          </reference>
          <reference field="6" count="1">
            <x v="47"/>
          </reference>
        </references>
      </pivotArea>
    </format>
    <format dxfId="1430">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695"/>
          </reference>
          <reference field="6" count="1">
            <x v="47"/>
          </reference>
        </references>
      </pivotArea>
    </format>
    <format dxfId="1429">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703"/>
          </reference>
          <reference field="6" count="1">
            <x v="47"/>
          </reference>
        </references>
      </pivotArea>
    </format>
    <format dxfId="1428">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704"/>
          </reference>
          <reference field="6" count="1">
            <x v="47"/>
          </reference>
        </references>
      </pivotArea>
    </format>
    <format dxfId="1427">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727"/>
          </reference>
          <reference field="6" count="1">
            <x v="47"/>
          </reference>
        </references>
      </pivotArea>
    </format>
    <format dxfId="1426">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731"/>
          </reference>
          <reference field="6" count="1">
            <x v="47"/>
          </reference>
        </references>
      </pivotArea>
    </format>
    <format dxfId="1425">
      <pivotArea dataOnly="0" labelOnly="1" fieldPosition="0">
        <references count="6">
          <reference field="1" count="1" selected="0">
            <x v="101"/>
          </reference>
          <reference field="2" count="1" selected="0">
            <x v="12"/>
          </reference>
          <reference field="3" count="1" selected="0">
            <x v="19"/>
          </reference>
          <reference field="4" count="1" selected="0">
            <x v="188"/>
          </reference>
          <reference field="5" count="1" selected="0">
            <x v="1812"/>
          </reference>
          <reference field="6" count="1">
            <x v="47"/>
          </reference>
        </references>
      </pivotArea>
    </format>
    <format dxfId="1424">
      <pivotArea dataOnly="0" labelOnly="1" fieldPosition="0">
        <references count="6">
          <reference field="1" count="1" selected="0">
            <x v="101"/>
          </reference>
          <reference field="2" count="1" selected="0">
            <x v="15"/>
          </reference>
          <reference field="3" count="1" selected="0">
            <x v="19"/>
          </reference>
          <reference field="4" count="1" selected="0">
            <x v="188"/>
          </reference>
          <reference field="5" count="1" selected="0">
            <x v="1862"/>
          </reference>
          <reference field="6" count="1">
            <x v="47"/>
          </reference>
        </references>
      </pivotArea>
    </format>
    <format dxfId="1423">
      <pivotArea dataOnly="0" labelOnly="1" fieldPosition="0">
        <references count="6">
          <reference field="1" count="1" selected="0">
            <x v="101"/>
          </reference>
          <reference field="2" count="1" selected="0">
            <x v="17"/>
          </reference>
          <reference field="3" count="1" selected="0">
            <x v="19"/>
          </reference>
          <reference field="4" count="1" selected="0">
            <x v="188"/>
          </reference>
          <reference field="5" count="1" selected="0">
            <x v="323"/>
          </reference>
          <reference field="6" count="1">
            <x v="47"/>
          </reference>
        </references>
      </pivotArea>
    </format>
    <format dxfId="1422">
      <pivotArea dataOnly="0" labelOnly="1" fieldPosition="0">
        <references count="6">
          <reference field="1" count="1" selected="0">
            <x v="101"/>
          </reference>
          <reference field="2" count="1" selected="0">
            <x v="21"/>
          </reference>
          <reference field="3" count="1" selected="0">
            <x v="6"/>
          </reference>
          <reference field="4" count="1" selected="0">
            <x v="189"/>
          </reference>
          <reference field="5" count="1" selected="0">
            <x v="864"/>
          </reference>
          <reference field="6" count="1">
            <x v="47"/>
          </reference>
        </references>
      </pivotArea>
    </format>
    <format dxfId="1421">
      <pivotArea dataOnly="0" labelOnly="1" fieldPosition="0">
        <references count="6">
          <reference field="1" count="1" selected="0">
            <x v="101"/>
          </reference>
          <reference field="2" count="1" selected="0">
            <x v="21"/>
          </reference>
          <reference field="3" count="1" selected="0">
            <x v="19"/>
          </reference>
          <reference field="4" count="1" selected="0">
            <x v="188"/>
          </reference>
          <reference field="5" count="1" selected="0">
            <x v="1833"/>
          </reference>
          <reference field="6" count="1">
            <x v="47"/>
          </reference>
        </references>
      </pivotArea>
    </format>
    <format dxfId="1420">
      <pivotArea dataOnly="0" labelOnly="1" fieldPosition="0">
        <references count="6">
          <reference field="1" count="1" selected="0">
            <x v="101"/>
          </reference>
          <reference field="2" count="1" selected="0">
            <x v="23"/>
          </reference>
          <reference field="3" count="1" selected="0">
            <x v="6"/>
          </reference>
          <reference field="4" count="1" selected="0">
            <x v="189"/>
          </reference>
          <reference field="5" count="1" selected="0">
            <x v="979"/>
          </reference>
          <reference field="6" count="1">
            <x v="47"/>
          </reference>
        </references>
      </pivotArea>
    </format>
    <format dxfId="1419">
      <pivotArea dataOnly="0" labelOnly="1" fieldPosition="0">
        <references count="6">
          <reference field="1" count="1" selected="0">
            <x v="101"/>
          </reference>
          <reference field="2" count="1" selected="0">
            <x v="23"/>
          </reference>
          <reference field="3" count="1" selected="0">
            <x v="19"/>
          </reference>
          <reference field="4" count="1" selected="0">
            <x v="188"/>
          </reference>
          <reference field="5" count="1" selected="0">
            <x v="1860"/>
          </reference>
          <reference field="6" count="1">
            <x v="47"/>
          </reference>
        </references>
      </pivotArea>
    </format>
    <format dxfId="1418">
      <pivotArea dataOnly="0" labelOnly="1" fieldPosition="0">
        <references count="6">
          <reference field="1" count="1" selected="0">
            <x v="101"/>
          </reference>
          <reference field="2" count="1" selected="0">
            <x v="23"/>
          </reference>
          <reference field="3" count="1" selected="0">
            <x v="38"/>
          </reference>
          <reference field="4" count="1" selected="0">
            <x v="189"/>
          </reference>
          <reference field="5" count="1" selected="0">
            <x v="347"/>
          </reference>
          <reference field="6" count="1">
            <x v="47"/>
          </reference>
        </references>
      </pivotArea>
    </format>
    <format dxfId="1417">
      <pivotArea dataOnly="0" labelOnly="1" fieldPosition="0">
        <references count="6">
          <reference field="1" count="1" selected="0">
            <x v="101"/>
          </reference>
          <reference field="2" count="1" selected="0">
            <x v="24"/>
          </reference>
          <reference field="3" count="1" selected="0">
            <x v="19"/>
          </reference>
          <reference field="4" count="1" selected="0">
            <x v="188"/>
          </reference>
          <reference field="5" count="1" selected="0">
            <x v="1680"/>
          </reference>
          <reference field="6" count="1">
            <x v="47"/>
          </reference>
        </references>
      </pivotArea>
    </format>
    <format dxfId="1416">
      <pivotArea dataOnly="0" labelOnly="1" fieldPosition="0">
        <references count="6">
          <reference field="1" count="1" selected="0">
            <x v="101"/>
          </reference>
          <reference field="2" count="1" selected="0">
            <x v="26"/>
          </reference>
          <reference field="3" count="1" selected="0">
            <x v="19"/>
          </reference>
          <reference field="4" count="1" selected="0">
            <x v="188"/>
          </reference>
          <reference field="5" count="1" selected="0">
            <x v="588"/>
          </reference>
          <reference field="6" count="1">
            <x v="47"/>
          </reference>
        </references>
      </pivotArea>
    </format>
    <format dxfId="1415">
      <pivotArea dataOnly="0" labelOnly="1" fieldPosition="0">
        <references count="6">
          <reference field="1" count="1" selected="0">
            <x v="101"/>
          </reference>
          <reference field="2" count="1" selected="0">
            <x v="35"/>
          </reference>
          <reference field="3" count="1" selected="0">
            <x v="1"/>
          </reference>
          <reference field="4" count="1" selected="0">
            <x v="189"/>
          </reference>
          <reference field="5" count="1" selected="0">
            <x v="80"/>
          </reference>
          <reference field="6" count="1">
            <x v="47"/>
          </reference>
        </references>
      </pivotArea>
    </format>
    <format dxfId="1414">
      <pivotArea dataOnly="0" labelOnly="1" fieldPosition="0">
        <references count="6">
          <reference field="1" count="1" selected="0">
            <x v="101"/>
          </reference>
          <reference field="2" count="1" selected="0">
            <x v="35"/>
          </reference>
          <reference field="3" count="1" selected="0">
            <x v="19"/>
          </reference>
          <reference field="4" count="1" selected="0">
            <x v="188"/>
          </reference>
          <reference field="5" count="1" selected="0">
            <x v="100"/>
          </reference>
          <reference field="6" count="1">
            <x v="47"/>
          </reference>
        </references>
      </pivotArea>
    </format>
    <format dxfId="1413">
      <pivotArea dataOnly="0" labelOnly="1" fieldPosition="0">
        <references count="6">
          <reference field="1" count="1" selected="0">
            <x v="101"/>
          </reference>
          <reference field="2" count="1" selected="0">
            <x v="35"/>
          </reference>
          <reference field="3" count="1" selected="0">
            <x v="19"/>
          </reference>
          <reference field="4" count="1" selected="0">
            <x v="188"/>
          </reference>
          <reference field="5" count="1" selected="0">
            <x v="150"/>
          </reference>
          <reference field="6" count="1">
            <x v="47"/>
          </reference>
        </references>
      </pivotArea>
    </format>
    <format dxfId="1412">
      <pivotArea dataOnly="0" labelOnly="1" fieldPosition="0">
        <references count="6">
          <reference field="1" count="1" selected="0">
            <x v="101"/>
          </reference>
          <reference field="2" count="1" selected="0">
            <x v="35"/>
          </reference>
          <reference field="3" count="1" selected="0">
            <x v="19"/>
          </reference>
          <reference field="4" count="1" selected="0">
            <x v="188"/>
          </reference>
          <reference field="5" count="1" selected="0">
            <x v="185"/>
          </reference>
          <reference field="6" count="1">
            <x v="47"/>
          </reference>
        </references>
      </pivotArea>
    </format>
    <format dxfId="1411">
      <pivotArea dataOnly="0" labelOnly="1" fieldPosition="0">
        <references count="6">
          <reference field="1" count="1" selected="0">
            <x v="101"/>
          </reference>
          <reference field="2" count="1" selected="0">
            <x v="35"/>
          </reference>
          <reference field="3" count="1" selected="0">
            <x v="19"/>
          </reference>
          <reference field="4" count="1" selected="0">
            <x v="188"/>
          </reference>
          <reference field="5" count="1" selected="0">
            <x v="381"/>
          </reference>
          <reference field="6" count="1">
            <x v="47"/>
          </reference>
        </references>
      </pivotArea>
    </format>
    <format dxfId="1410">
      <pivotArea dataOnly="0" labelOnly="1" fieldPosition="0">
        <references count="6">
          <reference field="1" count="1" selected="0">
            <x v="101"/>
          </reference>
          <reference field="2" count="1" selected="0">
            <x v="35"/>
          </reference>
          <reference field="3" count="1" selected="0">
            <x v="19"/>
          </reference>
          <reference field="4" count="1" selected="0">
            <x v="188"/>
          </reference>
          <reference field="5" count="1" selected="0">
            <x v="411"/>
          </reference>
          <reference field="6" count="1">
            <x v="47"/>
          </reference>
        </references>
      </pivotArea>
    </format>
    <format dxfId="1409">
      <pivotArea dataOnly="0" labelOnly="1" fieldPosition="0">
        <references count="6">
          <reference field="1" count="1" selected="0">
            <x v="101"/>
          </reference>
          <reference field="2" count="1" selected="0">
            <x v="35"/>
          </reference>
          <reference field="3" count="1" selected="0">
            <x v="19"/>
          </reference>
          <reference field="4" count="1" selected="0">
            <x v="188"/>
          </reference>
          <reference field="5" count="1" selected="0">
            <x v="421"/>
          </reference>
          <reference field="6" count="1">
            <x v="47"/>
          </reference>
        </references>
      </pivotArea>
    </format>
    <format dxfId="1408">
      <pivotArea dataOnly="0" labelOnly="1" fieldPosition="0">
        <references count="6">
          <reference field="1" count="1" selected="0">
            <x v="101"/>
          </reference>
          <reference field="2" count="1" selected="0">
            <x v="35"/>
          </reference>
          <reference field="3" count="1" selected="0">
            <x v="19"/>
          </reference>
          <reference field="4" count="1" selected="0">
            <x v="188"/>
          </reference>
          <reference field="5" count="1" selected="0">
            <x v="501"/>
          </reference>
          <reference field="6" count="1">
            <x v="47"/>
          </reference>
        </references>
      </pivotArea>
    </format>
    <format dxfId="1407">
      <pivotArea dataOnly="0" labelOnly="1" fieldPosition="0">
        <references count="6">
          <reference field="1" count="1" selected="0">
            <x v="101"/>
          </reference>
          <reference field="2" count="1" selected="0">
            <x v="35"/>
          </reference>
          <reference field="3" count="1" selected="0">
            <x v="19"/>
          </reference>
          <reference field="4" count="1" selected="0">
            <x v="188"/>
          </reference>
          <reference field="5" count="1" selected="0">
            <x v="506"/>
          </reference>
          <reference field="6" count="1">
            <x v="47"/>
          </reference>
        </references>
      </pivotArea>
    </format>
    <format dxfId="1406">
      <pivotArea dataOnly="0" labelOnly="1" fieldPosition="0">
        <references count="6">
          <reference field="1" count="1" selected="0">
            <x v="101"/>
          </reference>
          <reference field="2" count="1" selected="0">
            <x v="35"/>
          </reference>
          <reference field="3" count="1" selected="0">
            <x v="19"/>
          </reference>
          <reference field="4" count="1" selected="0">
            <x v="188"/>
          </reference>
          <reference field="5" count="1" selected="0">
            <x v="577"/>
          </reference>
          <reference field="6" count="1">
            <x v="47"/>
          </reference>
        </references>
      </pivotArea>
    </format>
    <format dxfId="1405">
      <pivotArea dataOnly="0" labelOnly="1" fieldPosition="0">
        <references count="6">
          <reference field="1" count="1" selected="0">
            <x v="101"/>
          </reference>
          <reference field="2" count="1" selected="0">
            <x v="35"/>
          </reference>
          <reference field="3" count="1" selected="0">
            <x v="19"/>
          </reference>
          <reference field="4" count="1" selected="0">
            <x v="188"/>
          </reference>
          <reference field="5" count="1" selected="0">
            <x v="608"/>
          </reference>
          <reference field="6" count="1">
            <x v="47"/>
          </reference>
        </references>
      </pivotArea>
    </format>
    <format dxfId="1404">
      <pivotArea dataOnly="0" labelOnly="1" fieldPosition="0">
        <references count="6">
          <reference field="1" count="1" selected="0">
            <x v="101"/>
          </reference>
          <reference field="2" count="1" selected="0">
            <x v="35"/>
          </reference>
          <reference field="3" count="1" selected="0">
            <x v="19"/>
          </reference>
          <reference field="4" count="1" selected="0">
            <x v="188"/>
          </reference>
          <reference field="5" count="1" selected="0">
            <x v="644"/>
          </reference>
          <reference field="6" count="1">
            <x v="47"/>
          </reference>
        </references>
      </pivotArea>
    </format>
    <format dxfId="1403">
      <pivotArea dataOnly="0" labelOnly="1" fieldPosition="0">
        <references count="6">
          <reference field="1" count="1" selected="0">
            <x v="101"/>
          </reference>
          <reference field="2" count="1" selected="0">
            <x v="35"/>
          </reference>
          <reference field="3" count="1" selected="0">
            <x v="19"/>
          </reference>
          <reference field="4" count="1" selected="0">
            <x v="188"/>
          </reference>
          <reference field="5" count="1" selected="0">
            <x v="810"/>
          </reference>
          <reference field="6" count="1">
            <x v="47"/>
          </reference>
        </references>
      </pivotArea>
    </format>
    <format dxfId="1402">
      <pivotArea dataOnly="0" labelOnly="1" fieldPosition="0">
        <references count="6">
          <reference field="1" count="1" selected="0">
            <x v="101"/>
          </reference>
          <reference field="2" count="1" selected="0">
            <x v="35"/>
          </reference>
          <reference field="3" count="1" selected="0">
            <x v="19"/>
          </reference>
          <reference field="4" count="1" selected="0">
            <x v="188"/>
          </reference>
          <reference field="5" count="1" selected="0">
            <x v="1127"/>
          </reference>
          <reference field="6" count="1">
            <x v="47"/>
          </reference>
        </references>
      </pivotArea>
    </format>
    <format dxfId="1401">
      <pivotArea dataOnly="0" labelOnly="1" fieldPosition="0">
        <references count="6">
          <reference field="1" count="1" selected="0">
            <x v="101"/>
          </reference>
          <reference field="2" count="1" selected="0">
            <x v="35"/>
          </reference>
          <reference field="3" count="1" selected="0">
            <x v="19"/>
          </reference>
          <reference field="4" count="1" selected="0">
            <x v="188"/>
          </reference>
          <reference field="5" count="1" selected="0">
            <x v="1130"/>
          </reference>
          <reference field="6" count="1">
            <x v="47"/>
          </reference>
        </references>
      </pivotArea>
    </format>
    <format dxfId="1400">
      <pivotArea dataOnly="0" labelOnly="1" fieldPosition="0">
        <references count="6">
          <reference field="1" count="1" selected="0">
            <x v="101"/>
          </reference>
          <reference field="2" count="1" selected="0">
            <x v="35"/>
          </reference>
          <reference field="3" count="1" selected="0">
            <x v="19"/>
          </reference>
          <reference field="4" count="1" selected="0">
            <x v="188"/>
          </reference>
          <reference field="5" count="1" selected="0">
            <x v="1255"/>
          </reference>
          <reference field="6" count="1">
            <x v="47"/>
          </reference>
        </references>
      </pivotArea>
    </format>
    <format dxfId="1399">
      <pivotArea dataOnly="0" labelOnly="1" fieldPosition="0">
        <references count="6">
          <reference field="1" count="1" selected="0">
            <x v="101"/>
          </reference>
          <reference field="2" count="1" selected="0">
            <x v="35"/>
          </reference>
          <reference field="3" count="1" selected="0">
            <x v="19"/>
          </reference>
          <reference field="4" count="1" selected="0">
            <x v="188"/>
          </reference>
          <reference field="5" count="1" selected="0">
            <x v="1517"/>
          </reference>
          <reference field="6" count="1">
            <x v="47"/>
          </reference>
        </references>
      </pivotArea>
    </format>
    <format dxfId="1398">
      <pivotArea dataOnly="0" labelOnly="1" fieldPosition="0">
        <references count="6">
          <reference field="1" count="1" selected="0">
            <x v="101"/>
          </reference>
          <reference field="2" count="1" selected="0">
            <x v="35"/>
          </reference>
          <reference field="3" count="1" selected="0">
            <x v="19"/>
          </reference>
          <reference field="4" count="1" selected="0">
            <x v="188"/>
          </reference>
          <reference field="5" count="1" selected="0">
            <x v="1526"/>
          </reference>
          <reference field="6" count="1">
            <x v="47"/>
          </reference>
        </references>
      </pivotArea>
    </format>
    <format dxfId="1397">
      <pivotArea dataOnly="0" labelOnly="1" fieldPosition="0">
        <references count="6">
          <reference field="1" count="1" selected="0">
            <x v="101"/>
          </reference>
          <reference field="2" count="1" selected="0">
            <x v="36"/>
          </reference>
          <reference field="3" count="1" selected="0">
            <x v="8"/>
          </reference>
          <reference field="4" count="1" selected="0">
            <x v="189"/>
          </reference>
          <reference field="5" count="1" selected="0">
            <x v="1747"/>
          </reference>
          <reference field="6" count="1">
            <x v="47"/>
          </reference>
        </references>
      </pivotArea>
    </format>
    <format dxfId="1396">
      <pivotArea dataOnly="0" labelOnly="1" fieldPosition="0">
        <references count="6">
          <reference field="1" count="1" selected="0">
            <x v="101"/>
          </reference>
          <reference field="2" count="1" selected="0">
            <x v="36"/>
          </reference>
          <reference field="3" count="1" selected="0">
            <x v="9"/>
          </reference>
          <reference field="4" count="1" selected="0">
            <x v="189"/>
          </reference>
          <reference field="5" count="1" selected="0">
            <x v="41"/>
          </reference>
          <reference field="6" count="1">
            <x v="47"/>
          </reference>
        </references>
      </pivotArea>
    </format>
    <format dxfId="1395">
      <pivotArea dataOnly="0" labelOnly="1" fieldPosition="0">
        <references count="6">
          <reference field="1" count="1" selected="0">
            <x v="101"/>
          </reference>
          <reference field="2" count="1" selected="0">
            <x v="37"/>
          </reference>
          <reference field="3" count="1" selected="0">
            <x v="38"/>
          </reference>
          <reference field="4" count="1" selected="0">
            <x v="189"/>
          </reference>
          <reference field="5" count="1" selected="0">
            <x v="114"/>
          </reference>
          <reference field="6" count="1">
            <x v="47"/>
          </reference>
        </references>
      </pivotArea>
    </format>
    <format dxfId="1394">
      <pivotArea dataOnly="0" labelOnly="1" fieldPosition="0">
        <references count="6">
          <reference field="1" count="1" selected="0">
            <x v="102"/>
          </reference>
          <reference field="2" count="1" selected="0">
            <x v="0"/>
          </reference>
          <reference field="3" count="1" selected="0">
            <x v="12"/>
          </reference>
          <reference field="4" count="1" selected="0">
            <x v="26"/>
          </reference>
          <reference field="5" count="1" selected="0">
            <x v="52"/>
          </reference>
          <reference field="6" count="1">
            <x v="47"/>
          </reference>
        </references>
      </pivotArea>
    </format>
    <format dxfId="1393">
      <pivotArea dataOnly="0" labelOnly="1" fieldPosition="0">
        <references count="6">
          <reference field="1" count="1" selected="0">
            <x v="103"/>
          </reference>
          <reference field="2" count="1" selected="0">
            <x v="0"/>
          </reference>
          <reference field="3" count="1" selected="0">
            <x v="1"/>
          </reference>
          <reference field="4" count="1" selected="0">
            <x v="190"/>
          </reference>
          <reference field="5" count="1" selected="0">
            <x v="80"/>
          </reference>
          <reference field="6" count="1">
            <x v="47"/>
          </reference>
        </references>
      </pivotArea>
    </format>
    <format dxfId="1392">
      <pivotArea dataOnly="0" labelOnly="1" fieldPosition="0">
        <references count="6">
          <reference field="1" count="1" selected="0">
            <x v="103"/>
          </reference>
          <reference field="2" count="1" selected="0">
            <x v="0"/>
          </reference>
          <reference field="3" count="1" selected="0">
            <x v="9"/>
          </reference>
          <reference field="4" count="1" selected="0">
            <x v="190"/>
          </reference>
          <reference field="5" count="1" selected="0">
            <x v="368"/>
          </reference>
          <reference field="6" count="1">
            <x v="47"/>
          </reference>
        </references>
      </pivotArea>
    </format>
    <format dxfId="1391">
      <pivotArea dataOnly="0" labelOnly="1" fieldPosition="0">
        <references count="6">
          <reference field="1" count="1" selected="0">
            <x v="103"/>
          </reference>
          <reference field="2" count="1" selected="0">
            <x v="0"/>
          </reference>
          <reference field="3" count="1" selected="0">
            <x v="9"/>
          </reference>
          <reference field="4" count="1" selected="0">
            <x v="190"/>
          </reference>
          <reference field="5" count="1" selected="0">
            <x v="539"/>
          </reference>
          <reference field="6" count="1">
            <x v="47"/>
          </reference>
        </references>
      </pivotArea>
    </format>
    <format dxfId="1390">
      <pivotArea dataOnly="0" labelOnly="1" fieldPosition="0">
        <references count="6">
          <reference field="1" count="1" selected="0">
            <x v="103"/>
          </reference>
          <reference field="2" count="1" selected="0">
            <x v="0"/>
          </reference>
          <reference field="3" count="1" selected="0">
            <x v="12"/>
          </reference>
          <reference field="4" count="1" selected="0">
            <x v="2"/>
          </reference>
          <reference field="5" count="1" selected="0">
            <x v="18"/>
          </reference>
          <reference field="6" count="1">
            <x v="47"/>
          </reference>
        </references>
      </pivotArea>
    </format>
    <format dxfId="1389">
      <pivotArea dataOnly="0" labelOnly="1" fieldPosition="0">
        <references count="6">
          <reference field="1" count="1" selected="0">
            <x v="103"/>
          </reference>
          <reference field="2" count="1" selected="0">
            <x v="0"/>
          </reference>
          <reference field="3" count="1" selected="0">
            <x v="12"/>
          </reference>
          <reference field="4" count="1" selected="0">
            <x v="17"/>
          </reference>
          <reference field="5" count="1" selected="0">
            <x v="29"/>
          </reference>
          <reference field="6" count="1">
            <x v="47"/>
          </reference>
        </references>
      </pivotArea>
    </format>
    <format dxfId="1388">
      <pivotArea dataOnly="0" labelOnly="1" fieldPosition="0">
        <references count="6">
          <reference field="1" count="1" selected="0">
            <x v="103"/>
          </reference>
          <reference field="2" count="1" selected="0">
            <x v="0"/>
          </reference>
          <reference field="3" count="1" selected="0">
            <x v="12"/>
          </reference>
          <reference field="4" count="1" selected="0">
            <x v="32"/>
          </reference>
          <reference field="5" count="1" selected="0">
            <x v="391"/>
          </reference>
          <reference field="6" count="1">
            <x v="47"/>
          </reference>
        </references>
      </pivotArea>
    </format>
    <format dxfId="1387">
      <pivotArea dataOnly="0" labelOnly="1" fieldPosition="0">
        <references count="6">
          <reference field="1" count="1" selected="0">
            <x v="103"/>
          </reference>
          <reference field="2" count="1" selected="0">
            <x v="3"/>
          </reference>
          <reference field="3" count="1" selected="0">
            <x v="38"/>
          </reference>
          <reference field="4" count="1" selected="0">
            <x v="190"/>
          </reference>
          <reference field="5" count="1" selected="0">
            <x v="129"/>
          </reference>
          <reference field="6" count="1">
            <x v="47"/>
          </reference>
        </references>
      </pivotArea>
    </format>
    <format dxfId="1386">
      <pivotArea dataOnly="0" labelOnly="1" fieldPosition="0">
        <references count="6">
          <reference field="1" count="1" selected="0">
            <x v="103"/>
          </reference>
          <reference field="2" count="1" selected="0">
            <x v="12"/>
          </reference>
          <reference field="3" count="1" selected="0">
            <x v="1"/>
          </reference>
          <reference field="4" count="1" selected="0">
            <x v="190"/>
          </reference>
          <reference field="5" count="1" selected="0">
            <x v="80"/>
          </reference>
          <reference field="6" count="1">
            <x v="47"/>
          </reference>
        </references>
      </pivotArea>
    </format>
    <format dxfId="1385">
      <pivotArea dataOnly="0" labelOnly="1" fieldPosition="0">
        <references count="6">
          <reference field="1" count="1" selected="0">
            <x v="103"/>
          </reference>
          <reference field="2" count="1" selected="0">
            <x v="12"/>
          </reference>
          <reference field="3" count="1" selected="0">
            <x v="1"/>
          </reference>
          <reference field="4" count="1" selected="0">
            <x v="190"/>
          </reference>
          <reference field="5" count="1" selected="0">
            <x v="213"/>
          </reference>
          <reference field="6" count="1">
            <x v="47"/>
          </reference>
        </references>
      </pivotArea>
    </format>
    <format dxfId="1384">
      <pivotArea dataOnly="0" labelOnly="1" fieldPosition="0">
        <references count="6">
          <reference field="1" count="1" selected="0">
            <x v="103"/>
          </reference>
          <reference field="2" count="1" selected="0">
            <x v="12"/>
          </reference>
          <reference field="3" count="1" selected="0">
            <x v="1"/>
          </reference>
          <reference field="4" count="1" selected="0">
            <x v="190"/>
          </reference>
          <reference field="5" count="1" selected="0">
            <x v="607"/>
          </reference>
          <reference field="6" count="1">
            <x v="47"/>
          </reference>
        </references>
      </pivotArea>
    </format>
    <format dxfId="1383">
      <pivotArea dataOnly="0" labelOnly="1" fieldPosition="0">
        <references count="6">
          <reference field="1" count="1" selected="0">
            <x v="103"/>
          </reference>
          <reference field="2" count="1" selected="0">
            <x v="12"/>
          </reference>
          <reference field="3" count="1" selected="0">
            <x v="1"/>
          </reference>
          <reference field="4" count="1" selected="0">
            <x v="190"/>
          </reference>
          <reference field="5" count="1" selected="0">
            <x v="702"/>
          </reference>
          <reference field="6" count="1">
            <x v="47"/>
          </reference>
        </references>
      </pivotArea>
    </format>
    <format dxfId="1382">
      <pivotArea dataOnly="0" labelOnly="1" fieldPosition="0">
        <references count="6">
          <reference field="1" count="1" selected="0">
            <x v="103"/>
          </reference>
          <reference field="2" count="1" selected="0">
            <x v="15"/>
          </reference>
          <reference field="3" count="1" selected="0">
            <x v="7"/>
          </reference>
          <reference field="4" count="1" selected="0">
            <x v="190"/>
          </reference>
          <reference field="5" count="1" selected="0">
            <x v="719"/>
          </reference>
          <reference field="6" count="1">
            <x v="47"/>
          </reference>
        </references>
      </pivotArea>
    </format>
    <format dxfId="1381">
      <pivotArea dataOnly="0" labelOnly="1" fieldPosition="0">
        <references count="6">
          <reference field="1" count="1" selected="0">
            <x v="103"/>
          </reference>
          <reference field="2" count="1" selected="0">
            <x v="15"/>
          </reference>
          <reference field="3" count="1" selected="0">
            <x v="8"/>
          </reference>
          <reference field="4" count="1" selected="0">
            <x v="190"/>
          </reference>
          <reference field="5" count="1" selected="0">
            <x v="851"/>
          </reference>
          <reference field="6" count="1">
            <x v="47"/>
          </reference>
        </references>
      </pivotArea>
    </format>
    <format dxfId="1380">
      <pivotArea dataOnly="0" labelOnly="1" fieldPosition="0">
        <references count="6">
          <reference field="1" count="1" selected="0">
            <x v="103"/>
          </reference>
          <reference field="2" count="1" selected="0">
            <x v="35"/>
          </reference>
          <reference field="3" count="1" selected="0">
            <x v="1"/>
          </reference>
          <reference field="4" count="1" selected="0">
            <x v="190"/>
          </reference>
          <reference field="5" count="1" selected="0">
            <x v="80"/>
          </reference>
          <reference field="6" count="1">
            <x v="47"/>
          </reference>
        </references>
      </pivotArea>
    </format>
    <format dxfId="1379">
      <pivotArea dataOnly="0" labelOnly="1" fieldPosition="0">
        <references count="6">
          <reference field="1" count="1" selected="0">
            <x v="103"/>
          </reference>
          <reference field="2" count="1" selected="0">
            <x v="35"/>
          </reference>
          <reference field="3" count="1" selected="0">
            <x v="1"/>
          </reference>
          <reference field="4" count="1" selected="0">
            <x v="190"/>
          </reference>
          <reference field="5" count="1" selected="0">
            <x v="352"/>
          </reference>
          <reference field="6" count="1">
            <x v="47"/>
          </reference>
        </references>
      </pivotArea>
    </format>
    <format dxfId="1378">
      <pivotArea dataOnly="0" labelOnly="1" fieldPosition="0">
        <references count="6">
          <reference field="1" count="1" selected="0">
            <x v="104"/>
          </reference>
          <reference field="2" count="1" selected="0">
            <x v="0"/>
          </reference>
          <reference field="3" count="1" selected="0">
            <x v="1"/>
          </reference>
          <reference field="4" count="1" selected="0">
            <x v="191"/>
          </reference>
          <reference field="5" count="1" selected="0">
            <x v="80"/>
          </reference>
          <reference field="6" count="1">
            <x v="47"/>
          </reference>
        </references>
      </pivotArea>
    </format>
    <format dxfId="1377">
      <pivotArea dataOnly="0" labelOnly="1" fieldPosition="0">
        <references count="6">
          <reference field="1" count="1" selected="0">
            <x v="104"/>
          </reference>
          <reference field="2" count="1" selected="0">
            <x v="0"/>
          </reference>
          <reference field="3" count="1" selected="0">
            <x v="9"/>
          </reference>
          <reference field="4" count="1" selected="0">
            <x v="191"/>
          </reference>
          <reference field="5" count="1" selected="0">
            <x v="0"/>
          </reference>
          <reference field="6" count="1">
            <x v="43"/>
          </reference>
        </references>
      </pivotArea>
    </format>
    <format dxfId="1376">
      <pivotArea dataOnly="0" labelOnly="1" fieldPosition="0">
        <references count="6">
          <reference field="1" count="1" selected="0">
            <x v="104"/>
          </reference>
          <reference field="2" count="1" selected="0">
            <x v="0"/>
          </reference>
          <reference field="3" count="1" selected="0">
            <x v="12"/>
          </reference>
          <reference field="4" count="1" selected="0">
            <x v="30"/>
          </reference>
          <reference field="5" count="1" selected="0">
            <x v="18"/>
          </reference>
          <reference field="6" count="1">
            <x v="47"/>
          </reference>
        </references>
      </pivotArea>
    </format>
    <format dxfId="1375">
      <pivotArea dataOnly="0" labelOnly="1" fieldPosition="0">
        <references count="6">
          <reference field="1" count="1" selected="0">
            <x v="104"/>
          </reference>
          <reference field="2" count="1" selected="0">
            <x v="0"/>
          </reference>
          <reference field="3" count="1" selected="0">
            <x v="12"/>
          </reference>
          <reference field="4" count="1" selected="0">
            <x v="32"/>
          </reference>
          <reference field="5" count="1" selected="0">
            <x v="391"/>
          </reference>
          <reference field="6" count="1">
            <x v="47"/>
          </reference>
        </references>
      </pivotArea>
    </format>
    <format dxfId="1374">
      <pivotArea dataOnly="0" labelOnly="1" fieldPosition="0">
        <references count="6">
          <reference field="1" count="1" selected="0">
            <x v="104"/>
          </reference>
          <reference field="2" count="1" selected="0">
            <x v="0"/>
          </reference>
          <reference field="3" count="1" selected="0">
            <x v="38"/>
          </reference>
          <reference field="4" count="1" selected="0">
            <x v="191"/>
          </reference>
          <reference field="5" count="1" selected="0">
            <x v="138"/>
          </reference>
          <reference field="6" count="1">
            <x v="47"/>
          </reference>
        </references>
      </pivotArea>
    </format>
    <format dxfId="1373">
      <pivotArea dataOnly="0" labelOnly="1" fieldPosition="0">
        <references count="6">
          <reference field="1" count="1" selected="0">
            <x v="104"/>
          </reference>
          <reference field="2" count="1" selected="0">
            <x v="3"/>
          </reference>
          <reference field="3" count="1" selected="0">
            <x v="38"/>
          </reference>
          <reference field="4" count="1" selected="0">
            <x v="191"/>
          </reference>
          <reference field="5" count="1" selected="0">
            <x v="245"/>
          </reference>
          <reference field="6" count="1">
            <x v="47"/>
          </reference>
        </references>
      </pivotArea>
    </format>
    <format dxfId="1372">
      <pivotArea dataOnly="0" labelOnly="1" fieldPosition="0">
        <references count="6">
          <reference field="1" count="1" selected="0">
            <x v="104"/>
          </reference>
          <reference field="2" count="1" selected="0">
            <x v="26"/>
          </reference>
          <reference field="3" count="1" selected="0">
            <x v="38"/>
          </reference>
          <reference field="4" count="1" selected="0">
            <x v="191"/>
          </reference>
          <reference field="5" count="1" selected="0">
            <x v="371"/>
          </reference>
          <reference field="6" count="1">
            <x v="47"/>
          </reference>
        </references>
      </pivotArea>
    </format>
    <format dxfId="1371">
      <pivotArea dataOnly="0" labelOnly="1" fieldPosition="0">
        <references count="6">
          <reference field="1" count="1" selected="0">
            <x v="105"/>
          </reference>
          <reference field="2" count="1" selected="0">
            <x v="0"/>
          </reference>
          <reference field="3" count="1" selected="0">
            <x v="1"/>
          </reference>
          <reference field="4" count="1" selected="0">
            <x v="192"/>
          </reference>
          <reference field="5" count="1" selected="0">
            <x v="1206"/>
          </reference>
          <reference field="6" count="1">
            <x v="47"/>
          </reference>
        </references>
      </pivotArea>
    </format>
    <format dxfId="1370">
      <pivotArea dataOnly="0" labelOnly="1" fieldPosition="0">
        <references count="6">
          <reference field="1" count="1" selected="0">
            <x v="105"/>
          </reference>
          <reference field="2" count="1" selected="0">
            <x v="0"/>
          </reference>
          <reference field="3" count="1" selected="0">
            <x v="7"/>
          </reference>
          <reference field="4" count="1" selected="0">
            <x v="192"/>
          </reference>
          <reference field="5" count="1" selected="0">
            <x v="719"/>
          </reference>
          <reference field="6" count="1">
            <x v="47"/>
          </reference>
        </references>
      </pivotArea>
    </format>
    <format dxfId="1369">
      <pivotArea dataOnly="0" labelOnly="1" fieldPosition="0">
        <references count="6">
          <reference field="1" count="1" selected="0">
            <x v="105"/>
          </reference>
          <reference field="2" count="1" selected="0">
            <x v="0"/>
          </reference>
          <reference field="3" count="1" selected="0">
            <x v="8"/>
          </reference>
          <reference field="4" count="1" selected="0">
            <x v="192"/>
          </reference>
          <reference field="5" count="1" selected="0">
            <x v="854"/>
          </reference>
          <reference field="6" count="1">
            <x v="47"/>
          </reference>
        </references>
      </pivotArea>
    </format>
    <format dxfId="1368">
      <pivotArea dataOnly="0" labelOnly="1" fieldPosition="0">
        <references count="6">
          <reference field="1" count="1" selected="0">
            <x v="105"/>
          </reference>
          <reference field="2" count="1" selected="0">
            <x v="0"/>
          </reference>
          <reference field="3" count="1" selected="0">
            <x v="9"/>
          </reference>
          <reference field="4" count="1" selected="0">
            <x v="192"/>
          </reference>
          <reference field="5" count="1" selected="0">
            <x v="85"/>
          </reference>
          <reference field="6" count="1">
            <x v="47"/>
          </reference>
        </references>
      </pivotArea>
    </format>
    <format dxfId="1367">
      <pivotArea dataOnly="0" labelOnly="1" fieldPosition="0">
        <references count="6">
          <reference field="1" count="1" selected="0">
            <x v="105"/>
          </reference>
          <reference field="2" count="1" selected="0">
            <x v="0"/>
          </reference>
          <reference field="3" count="1" selected="0">
            <x v="9"/>
          </reference>
          <reference field="4" count="1" selected="0">
            <x v="192"/>
          </reference>
          <reference field="5" count="1" selected="0">
            <x v="265"/>
          </reference>
          <reference field="6" count="1">
            <x v="47"/>
          </reference>
        </references>
      </pivotArea>
    </format>
    <format dxfId="1366">
      <pivotArea dataOnly="0" labelOnly="1" fieldPosition="0">
        <references count="6">
          <reference field="1" count="1" selected="0">
            <x v="105"/>
          </reference>
          <reference field="2" count="1" selected="0">
            <x v="0"/>
          </reference>
          <reference field="3" count="1" selected="0">
            <x v="9"/>
          </reference>
          <reference field="4" count="1" selected="0">
            <x v="192"/>
          </reference>
          <reference field="5" count="1" selected="0">
            <x v="326"/>
          </reference>
          <reference field="6" count="1">
            <x v="47"/>
          </reference>
        </references>
      </pivotArea>
    </format>
    <format dxfId="1365">
      <pivotArea dataOnly="0" labelOnly="1" fieldPosition="0">
        <references count="6">
          <reference field="1" count="1" selected="0">
            <x v="105"/>
          </reference>
          <reference field="2" count="1" selected="0">
            <x v="0"/>
          </reference>
          <reference field="3" count="1" selected="0">
            <x v="9"/>
          </reference>
          <reference field="4" count="1" selected="0">
            <x v="192"/>
          </reference>
          <reference field="5" count="1" selected="0">
            <x v="486"/>
          </reference>
          <reference field="6" count="1">
            <x v="47"/>
          </reference>
        </references>
      </pivotArea>
    </format>
    <format dxfId="1364">
      <pivotArea dataOnly="0" labelOnly="1" fieldPosition="0">
        <references count="6">
          <reference field="1" count="1" selected="0">
            <x v="105"/>
          </reference>
          <reference field="2" count="1" selected="0">
            <x v="0"/>
          </reference>
          <reference field="3" count="1" selected="0">
            <x v="9"/>
          </reference>
          <reference field="4" count="1" selected="0">
            <x v="192"/>
          </reference>
          <reference field="5" count="1" selected="0">
            <x v="1049"/>
          </reference>
          <reference field="6" count="1">
            <x v="47"/>
          </reference>
        </references>
      </pivotArea>
    </format>
    <format dxfId="1363">
      <pivotArea dataOnly="0" labelOnly="1" fieldPosition="0">
        <references count="6">
          <reference field="1" count="1" selected="0">
            <x v="105"/>
          </reference>
          <reference field="2" count="1" selected="0">
            <x v="0"/>
          </reference>
          <reference field="3" count="1" selected="0">
            <x v="9"/>
          </reference>
          <reference field="4" count="1" selected="0">
            <x v="192"/>
          </reference>
          <reference field="5" count="1" selected="0">
            <x v="1178"/>
          </reference>
          <reference field="6" count="1">
            <x v="47"/>
          </reference>
        </references>
      </pivotArea>
    </format>
    <format dxfId="1362">
      <pivotArea dataOnly="0" labelOnly="1" fieldPosition="0">
        <references count="6">
          <reference field="1" count="1" selected="0">
            <x v="105"/>
          </reference>
          <reference field="2" count="1" selected="0">
            <x v="0"/>
          </reference>
          <reference field="3" count="1" selected="0">
            <x v="9"/>
          </reference>
          <reference field="4" count="1" selected="0">
            <x v="192"/>
          </reference>
          <reference field="5" count="1" selected="0">
            <x v="1251"/>
          </reference>
          <reference field="6" count="1">
            <x v="47"/>
          </reference>
        </references>
      </pivotArea>
    </format>
    <format dxfId="1361">
      <pivotArea dataOnly="0" labelOnly="1" fieldPosition="0">
        <references count="6">
          <reference field="1" count="1" selected="0">
            <x v="105"/>
          </reference>
          <reference field="2" count="1" selected="0">
            <x v="0"/>
          </reference>
          <reference field="3" count="1" selected="0">
            <x v="12"/>
          </reference>
          <reference field="4" count="1" selected="0">
            <x v="7"/>
          </reference>
          <reference field="5" count="1" selected="0">
            <x v="18"/>
          </reference>
          <reference field="6" count="1">
            <x v="47"/>
          </reference>
        </references>
      </pivotArea>
    </format>
    <format dxfId="1360">
      <pivotArea dataOnly="0" labelOnly="1" fieldPosition="0">
        <references count="6">
          <reference field="1" count="1" selected="0">
            <x v="105"/>
          </reference>
          <reference field="2" count="1" selected="0">
            <x v="0"/>
          </reference>
          <reference field="3" count="1" selected="0">
            <x v="12"/>
          </reference>
          <reference field="4" count="1" selected="0">
            <x v="62"/>
          </reference>
          <reference field="5" count="1" selected="0">
            <x v="85"/>
          </reference>
          <reference field="6" count="1">
            <x v="47"/>
          </reference>
        </references>
      </pivotArea>
    </format>
    <format dxfId="1359">
      <pivotArea dataOnly="0" labelOnly="1" fieldPosition="0">
        <references count="6">
          <reference field="1" count="1" selected="0">
            <x v="105"/>
          </reference>
          <reference field="2" count="1" selected="0">
            <x v="3"/>
          </reference>
          <reference field="3" count="1" selected="0">
            <x v="1"/>
          </reference>
          <reference field="4" count="1" selected="0">
            <x v="192"/>
          </reference>
          <reference field="5" count="1" selected="0">
            <x v="109"/>
          </reference>
          <reference field="6" count="1">
            <x v="47"/>
          </reference>
        </references>
      </pivotArea>
    </format>
    <format dxfId="1358">
      <pivotArea dataOnly="0" labelOnly="1" fieldPosition="0">
        <references count="6">
          <reference field="1" count="1" selected="0">
            <x v="105"/>
          </reference>
          <reference field="2" count="1" selected="0">
            <x v="7"/>
          </reference>
          <reference field="3" count="1" selected="0">
            <x v="38"/>
          </reference>
          <reference field="4" count="1" selected="0">
            <x v="192"/>
          </reference>
          <reference field="5" count="1" selected="0">
            <x v="1195"/>
          </reference>
          <reference field="6" count="1">
            <x v="47"/>
          </reference>
        </references>
      </pivotArea>
    </format>
    <format dxfId="1357">
      <pivotArea dataOnly="0" labelOnly="1" fieldPosition="0">
        <references count="6">
          <reference field="1" count="1" selected="0">
            <x v="105"/>
          </reference>
          <reference field="2" count="1" selected="0">
            <x v="12"/>
          </reference>
          <reference field="3" count="1" selected="0">
            <x v="1"/>
          </reference>
          <reference field="4" count="1" selected="0">
            <x v="192"/>
          </reference>
          <reference field="5" count="1" selected="0">
            <x v="80"/>
          </reference>
          <reference field="6" count="1">
            <x v="47"/>
          </reference>
        </references>
      </pivotArea>
    </format>
    <format dxfId="1356">
      <pivotArea dataOnly="0" labelOnly="1" fieldPosition="0">
        <references count="6">
          <reference field="1" count="1" selected="0">
            <x v="105"/>
          </reference>
          <reference field="2" count="1" selected="0">
            <x v="12"/>
          </reference>
          <reference field="3" count="1" selected="0">
            <x v="1"/>
          </reference>
          <reference field="4" count="1" selected="0">
            <x v="192"/>
          </reference>
          <reference field="5" count="1" selected="0">
            <x v="213"/>
          </reference>
          <reference field="6" count="1">
            <x v="47"/>
          </reference>
        </references>
      </pivotArea>
    </format>
    <format dxfId="1355">
      <pivotArea dataOnly="0" labelOnly="1" fieldPosition="0">
        <references count="6">
          <reference field="1" count="1" selected="0">
            <x v="105"/>
          </reference>
          <reference field="2" count="1" selected="0">
            <x v="12"/>
          </reference>
          <reference field="3" count="1" selected="0">
            <x v="1"/>
          </reference>
          <reference field="4" count="1" selected="0">
            <x v="192"/>
          </reference>
          <reference field="5" count="1" selected="0">
            <x v="607"/>
          </reference>
          <reference field="6" count="1">
            <x v="47"/>
          </reference>
        </references>
      </pivotArea>
    </format>
    <format dxfId="1354">
      <pivotArea dataOnly="0" labelOnly="1" fieldPosition="0">
        <references count="6">
          <reference field="1" count="1" selected="0">
            <x v="105"/>
          </reference>
          <reference field="2" count="1" selected="0">
            <x v="12"/>
          </reference>
          <reference field="3" count="1" selected="0">
            <x v="1"/>
          </reference>
          <reference field="4" count="1" selected="0">
            <x v="192"/>
          </reference>
          <reference field="5" count="1" selected="0">
            <x v="846"/>
          </reference>
          <reference field="6" count="1">
            <x v="47"/>
          </reference>
        </references>
      </pivotArea>
    </format>
    <format dxfId="1353">
      <pivotArea dataOnly="0" labelOnly="1" fieldPosition="0">
        <references count="6">
          <reference field="1" count="1" selected="0">
            <x v="105"/>
          </reference>
          <reference field="2" count="1" selected="0">
            <x v="12"/>
          </reference>
          <reference field="3" count="1" selected="0">
            <x v="38"/>
          </reference>
          <reference field="4" count="1" selected="0">
            <x v="192"/>
          </reference>
          <reference field="5" count="1" selected="0">
            <x v="1279"/>
          </reference>
          <reference field="6" count="1">
            <x v="47"/>
          </reference>
        </references>
      </pivotArea>
    </format>
    <format dxfId="1352">
      <pivotArea dataOnly="0" labelOnly="1" fieldPosition="0">
        <references count="6">
          <reference field="1" count="1" selected="0">
            <x v="105"/>
          </reference>
          <reference field="2" count="1" selected="0">
            <x v="14"/>
          </reference>
          <reference field="3" count="1" selected="0">
            <x v="1"/>
          </reference>
          <reference field="4" count="1" selected="0">
            <x v="192"/>
          </reference>
          <reference field="5" count="1" selected="0">
            <x v="1241"/>
          </reference>
          <reference field="6" count="1">
            <x v="47"/>
          </reference>
        </references>
      </pivotArea>
    </format>
    <format dxfId="1351">
      <pivotArea dataOnly="0" labelOnly="1" fieldPosition="0">
        <references count="6">
          <reference field="1" count="1" selected="0">
            <x v="105"/>
          </reference>
          <reference field="2" count="1" selected="0">
            <x v="15"/>
          </reference>
          <reference field="3" count="1" selected="0">
            <x v="9"/>
          </reference>
          <reference field="4" count="1" selected="0">
            <x v="192"/>
          </reference>
          <reference field="5" count="1" selected="0">
            <x v="327"/>
          </reference>
          <reference field="6" count="1">
            <x v="47"/>
          </reference>
        </references>
      </pivotArea>
    </format>
    <format dxfId="1350">
      <pivotArea dataOnly="0" labelOnly="1" fieldPosition="0">
        <references count="6">
          <reference field="1" count="1" selected="0">
            <x v="105"/>
          </reference>
          <reference field="2" count="1" selected="0">
            <x v="30"/>
          </reference>
          <reference field="3" count="1" selected="0">
            <x v="38"/>
          </reference>
          <reference field="4" count="1" selected="0">
            <x v="192"/>
          </reference>
          <reference field="5" count="1" selected="0">
            <x v="1448"/>
          </reference>
          <reference field="6" count="1">
            <x v="47"/>
          </reference>
        </references>
      </pivotArea>
    </format>
    <format dxfId="1349">
      <pivotArea dataOnly="0" labelOnly="1" fieldPosition="0">
        <references count="6">
          <reference field="1" count="1" selected="0">
            <x v="105"/>
          </reference>
          <reference field="2" count="1" selected="0">
            <x v="36"/>
          </reference>
          <reference field="3" count="1" selected="0">
            <x v="7"/>
          </reference>
          <reference field="4" count="1" selected="0">
            <x v="192"/>
          </reference>
          <reference field="5" count="1" selected="0">
            <x v="1476"/>
          </reference>
          <reference field="6" count="1">
            <x v="47"/>
          </reference>
        </references>
      </pivotArea>
    </format>
    <format dxfId="1348">
      <pivotArea dataOnly="0" labelOnly="1" fieldPosition="0">
        <references count="6">
          <reference field="1" count="1" selected="0">
            <x v="105"/>
          </reference>
          <reference field="2" count="1" selected="0">
            <x v="36"/>
          </reference>
          <reference field="3" count="1" selected="0">
            <x v="38"/>
          </reference>
          <reference field="4" count="1" selected="0">
            <x v="192"/>
          </reference>
          <reference field="5" count="1" selected="0">
            <x v="125"/>
          </reference>
          <reference field="6" count="1">
            <x v="47"/>
          </reference>
        </references>
      </pivotArea>
    </format>
    <format dxfId="1347">
      <pivotArea dataOnly="0" labelOnly="1" fieldPosition="0">
        <references count="6">
          <reference field="1" count="1" selected="0">
            <x v="106"/>
          </reference>
          <reference field="2" count="1" selected="0">
            <x v="0"/>
          </reference>
          <reference field="3" count="1" selected="0">
            <x v="8"/>
          </reference>
          <reference field="4" count="1" selected="0">
            <x v="193"/>
          </reference>
          <reference field="5" count="1" selected="0">
            <x v="1141"/>
          </reference>
          <reference field="6" count="1">
            <x v="47"/>
          </reference>
        </references>
      </pivotArea>
    </format>
    <format dxfId="1346">
      <pivotArea dataOnly="0" labelOnly="1" fieldPosition="0">
        <references count="6">
          <reference field="1" count="1" selected="0">
            <x v="106"/>
          </reference>
          <reference field="2" count="1" selected="0">
            <x v="0"/>
          </reference>
          <reference field="3" count="1" selected="0">
            <x v="12"/>
          </reference>
          <reference field="4" count="1" selected="0">
            <x v="21"/>
          </reference>
          <reference field="5" count="1" selected="0">
            <x v="18"/>
          </reference>
          <reference field="6" count="1">
            <x v="47"/>
          </reference>
        </references>
      </pivotArea>
    </format>
    <format dxfId="1345">
      <pivotArea dataOnly="0" labelOnly="1" fieldPosition="0">
        <references count="6">
          <reference field="1" count="1" selected="0">
            <x v="106"/>
          </reference>
          <reference field="2" count="1" selected="0">
            <x v="0"/>
          </reference>
          <reference field="3" count="1" selected="0">
            <x v="12"/>
          </reference>
          <reference field="4" count="1" selected="0">
            <x v="46"/>
          </reference>
          <reference field="5" count="1" selected="0">
            <x v="325"/>
          </reference>
          <reference field="6" count="1">
            <x v="47"/>
          </reference>
        </references>
      </pivotArea>
    </format>
    <format dxfId="1344">
      <pivotArea dataOnly="0" labelOnly="1" fieldPosition="0">
        <references count="6">
          <reference field="1" count="1" selected="0">
            <x v="106"/>
          </reference>
          <reference field="2" count="1" selected="0">
            <x v="0"/>
          </reference>
          <reference field="3" count="1" selected="0">
            <x v="12"/>
          </reference>
          <reference field="4" count="1" selected="0">
            <x v="60"/>
          </reference>
          <reference field="5" count="1" selected="0">
            <x v="39"/>
          </reference>
          <reference field="6" count="1">
            <x v="47"/>
          </reference>
        </references>
      </pivotArea>
    </format>
    <format dxfId="1343">
      <pivotArea dataOnly="0" labelOnly="1" fieldPosition="0">
        <references count="6">
          <reference field="1" count="1" selected="0">
            <x v="106"/>
          </reference>
          <reference field="2" count="1" selected="0">
            <x v="0"/>
          </reference>
          <reference field="3" count="1" selected="0">
            <x v="38"/>
          </reference>
          <reference field="4" count="1" selected="0">
            <x v="193"/>
          </reference>
          <reference field="5" count="1" selected="0">
            <x v="1137"/>
          </reference>
          <reference field="6" count="1">
            <x v="47"/>
          </reference>
        </references>
      </pivotArea>
    </format>
    <format dxfId="1342">
      <pivotArea dataOnly="0" labelOnly="1" fieldPosition="0">
        <references count="6">
          <reference field="1" count="1" selected="0">
            <x v="106"/>
          </reference>
          <reference field="2" count="1" selected="0">
            <x v="2"/>
          </reference>
          <reference field="3" count="1" selected="0">
            <x v="10"/>
          </reference>
          <reference field="4" count="1" selected="0">
            <x v="193"/>
          </reference>
          <reference field="5" count="1" selected="0">
            <x v="0"/>
          </reference>
          <reference field="6" count="1">
            <x v="7"/>
          </reference>
        </references>
      </pivotArea>
    </format>
    <format dxfId="1341">
      <pivotArea dataOnly="0" labelOnly="1" fieldPosition="0">
        <references count="6">
          <reference field="1" count="1" selected="0">
            <x v="106"/>
          </reference>
          <reference field="2" count="1" selected="0">
            <x v="3"/>
          </reference>
          <reference field="3" count="1" selected="0">
            <x v="10"/>
          </reference>
          <reference field="4" count="1" selected="0">
            <x v="193"/>
          </reference>
          <reference field="5" count="1" selected="0">
            <x v="0"/>
          </reference>
          <reference field="6" count="1">
            <x v="12"/>
          </reference>
        </references>
      </pivotArea>
    </format>
    <format dxfId="1340">
      <pivotArea dataOnly="0" labelOnly="1" fieldPosition="0">
        <references count="6">
          <reference field="1" count="1" selected="0">
            <x v="106"/>
          </reference>
          <reference field="2" count="1" selected="0">
            <x v="6"/>
          </reference>
          <reference field="3" count="1" selected="0">
            <x v="38"/>
          </reference>
          <reference field="4" count="1" selected="0">
            <x v="193"/>
          </reference>
          <reference field="5" count="1" selected="0">
            <x v="719"/>
          </reference>
          <reference field="6" count="1">
            <x v="47"/>
          </reference>
        </references>
      </pivotArea>
    </format>
    <format dxfId="1339">
      <pivotArea dataOnly="0" labelOnly="1" fieldPosition="0">
        <references count="6">
          <reference field="1" count="1" selected="0">
            <x v="106"/>
          </reference>
          <reference field="2" count="1" selected="0">
            <x v="9"/>
          </reference>
          <reference field="3" count="1" selected="0">
            <x v="10"/>
          </reference>
          <reference field="4" count="1" selected="0">
            <x v="193"/>
          </reference>
          <reference field="5" count="1" selected="0">
            <x v="0"/>
          </reference>
          <reference field="6" count="1">
            <x v="34"/>
          </reference>
        </references>
      </pivotArea>
    </format>
    <format dxfId="1338">
      <pivotArea dataOnly="0" labelOnly="1" fieldPosition="0">
        <references count="6">
          <reference field="1" count="1" selected="0">
            <x v="106"/>
          </reference>
          <reference field="2" count="1" selected="0">
            <x v="11"/>
          </reference>
          <reference field="3" count="1" selected="0">
            <x v="10"/>
          </reference>
          <reference field="4" count="1" selected="0">
            <x v="193"/>
          </reference>
          <reference field="5" count="1" selected="0">
            <x v="0"/>
          </reference>
          <reference field="6" count="1">
            <x v="45"/>
          </reference>
        </references>
      </pivotArea>
    </format>
    <format dxfId="1337">
      <pivotArea dataOnly="0" labelOnly="1" fieldPosition="0">
        <references count="6">
          <reference field="1" count="1" selected="0">
            <x v="106"/>
          </reference>
          <reference field="2" count="1" selected="0">
            <x v="12"/>
          </reference>
          <reference field="3" count="1" selected="0">
            <x v="1"/>
          </reference>
          <reference field="4" count="1" selected="0">
            <x v="193"/>
          </reference>
          <reference field="5" count="1" selected="0">
            <x v="80"/>
          </reference>
          <reference field="6" count="1">
            <x v="47"/>
          </reference>
        </references>
      </pivotArea>
    </format>
    <format dxfId="1336">
      <pivotArea dataOnly="0" labelOnly="1" fieldPosition="0">
        <references count="6">
          <reference field="1" count="1" selected="0">
            <x v="106"/>
          </reference>
          <reference field="2" count="1" selected="0">
            <x v="12"/>
          </reference>
          <reference field="3" count="1" selected="0">
            <x v="1"/>
          </reference>
          <reference field="4" count="1" selected="0">
            <x v="193"/>
          </reference>
          <reference field="5" count="1" selected="0">
            <x v="213"/>
          </reference>
          <reference field="6" count="1">
            <x v="47"/>
          </reference>
        </references>
      </pivotArea>
    </format>
    <format dxfId="1335">
      <pivotArea dataOnly="0" labelOnly="1" fieldPosition="0">
        <references count="6">
          <reference field="1" count="1" selected="0">
            <x v="106"/>
          </reference>
          <reference field="2" count="1" selected="0">
            <x v="12"/>
          </reference>
          <reference field="3" count="1" selected="0">
            <x v="1"/>
          </reference>
          <reference field="4" count="1" selected="0">
            <x v="193"/>
          </reference>
          <reference field="5" count="1" selected="0">
            <x v="352"/>
          </reference>
          <reference field="6" count="1">
            <x v="47"/>
          </reference>
        </references>
      </pivotArea>
    </format>
    <format dxfId="1334">
      <pivotArea dataOnly="0" labelOnly="1" fieldPosition="0">
        <references count="6">
          <reference field="1" count="1" selected="0">
            <x v="106"/>
          </reference>
          <reference field="2" count="1" selected="0">
            <x v="12"/>
          </reference>
          <reference field="3" count="1" selected="0">
            <x v="1"/>
          </reference>
          <reference field="4" count="1" selected="0">
            <x v="193"/>
          </reference>
          <reference field="5" count="1" selected="0">
            <x v="607"/>
          </reference>
          <reference field="6" count="1">
            <x v="47"/>
          </reference>
        </references>
      </pivotArea>
    </format>
    <format dxfId="1333">
      <pivotArea dataOnly="0" labelOnly="1" fieldPosition="0">
        <references count="6">
          <reference field="1" count="1" selected="0">
            <x v="106"/>
          </reference>
          <reference field="2" count="1" selected="0">
            <x v="12"/>
          </reference>
          <reference field="3" count="1" selected="0">
            <x v="1"/>
          </reference>
          <reference field="4" count="1" selected="0">
            <x v="193"/>
          </reference>
          <reference field="5" count="1" selected="0">
            <x v="702"/>
          </reference>
          <reference field="6" count="1">
            <x v="47"/>
          </reference>
        </references>
      </pivotArea>
    </format>
    <format dxfId="1332">
      <pivotArea dataOnly="0" labelOnly="1" fieldPosition="0">
        <references count="6">
          <reference field="1" count="1" selected="0">
            <x v="106"/>
          </reference>
          <reference field="2" count="1" selected="0">
            <x v="12"/>
          </reference>
          <reference field="3" count="1" selected="0">
            <x v="38"/>
          </reference>
          <reference field="4" count="1" selected="0">
            <x v="193"/>
          </reference>
          <reference field="5" count="1" selected="0">
            <x v="1730"/>
          </reference>
          <reference field="6" count="1">
            <x v="47"/>
          </reference>
        </references>
      </pivotArea>
    </format>
    <format dxfId="1331">
      <pivotArea dataOnly="0" labelOnly="1" fieldPosition="0">
        <references count="6">
          <reference field="1" count="1" selected="0">
            <x v="106"/>
          </reference>
          <reference field="2" count="1" selected="0">
            <x v="14"/>
          </reference>
          <reference field="3" count="1" selected="0">
            <x v="1"/>
          </reference>
          <reference field="4" count="1" selected="0">
            <x v="193"/>
          </reference>
          <reference field="5" count="1" selected="0">
            <x v="1301"/>
          </reference>
          <reference field="6" count="1">
            <x v="47"/>
          </reference>
        </references>
      </pivotArea>
    </format>
    <format dxfId="1330">
      <pivotArea dataOnly="0" labelOnly="1" fieldPosition="0">
        <references count="6">
          <reference field="1" count="1" selected="0">
            <x v="106"/>
          </reference>
          <reference field="2" count="1" selected="0">
            <x v="19"/>
          </reference>
          <reference field="3" count="1" selected="0">
            <x v="6"/>
          </reference>
          <reference field="4" count="1" selected="0">
            <x v="193"/>
          </reference>
          <reference field="5" count="1" selected="0">
            <x v="607"/>
          </reference>
          <reference field="6" count="1">
            <x v="47"/>
          </reference>
        </references>
      </pivotArea>
    </format>
    <format dxfId="1329">
      <pivotArea dataOnly="0" labelOnly="1" fieldPosition="0">
        <references count="6">
          <reference field="1" count="1" selected="0">
            <x v="106"/>
          </reference>
          <reference field="2" count="1" selected="0">
            <x v="23"/>
          </reference>
          <reference field="3" count="1" selected="0">
            <x v="38"/>
          </reference>
          <reference field="4" count="1" selected="0">
            <x v="193"/>
          </reference>
          <reference field="5" count="1" selected="0">
            <x v="296"/>
          </reference>
          <reference field="6" count="1">
            <x v="47"/>
          </reference>
        </references>
      </pivotArea>
    </format>
    <format dxfId="1328">
      <pivotArea dataOnly="0" labelOnly="1" fieldPosition="0">
        <references count="6">
          <reference field="1" count="1" selected="0">
            <x v="106"/>
          </reference>
          <reference field="2" count="1" selected="0">
            <x v="35"/>
          </reference>
          <reference field="3" count="1" selected="0">
            <x v="1"/>
          </reference>
          <reference field="4" count="1" selected="0">
            <x v="193"/>
          </reference>
          <reference field="5" count="1" selected="0">
            <x v="80"/>
          </reference>
          <reference field="6" count="1">
            <x v="47"/>
          </reference>
        </references>
      </pivotArea>
    </format>
    <format dxfId="1327">
      <pivotArea dataOnly="0" labelOnly="1" fieldPosition="0">
        <references count="6">
          <reference field="1" count="1" selected="0">
            <x v="106"/>
          </reference>
          <reference field="2" count="1" selected="0">
            <x v="35"/>
          </reference>
          <reference field="3" count="1" selected="0">
            <x v="38"/>
          </reference>
          <reference field="4" count="1" selected="0">
            <x v="193"/>
          </reference>
          <reference field="5" count="1" selected="0">
            <x v="1343"/>
          </reference>
          <reference field="6" count="1">
            <x v="47"/>
          </reference>
        </references>
      </pivotArea>
    </format>
    <format dxfId="1326">
      <pivotArea dataOnly="0" labelOnly="1" fieldPosition="0">
        <references count="6">
          <reference field="1" count="1" selected="0">
            <x v="106"/>
          </reference>
          <reference field="2" count="1" selected="0">
            <x v="36"/>
          </reference>
          <reference field="3" count="1" selected="0">
            <x v="10"/>
          </reference>
          <reference field="4" count="1" selected="0">
            <x v="193"/>
          </reference>
          <reference field="5" count="1" selected="0">
            <x v="0"/>
          </reference>
          <reference field="6" count="1">
            <x v="9"/>
          </reference>
        </references>
      </pivotArea>
    </format>
    <format dxfId="1325">
      <pivotArea dataOnly="0" labelOnly="1" fieldPosition="0">
        <references count="6">
          <reference field="1" count="1" selected="0">
            <x v="106"/>
          </reference>
          <reference field="2" count="1" selected="0">
            <x v="38"/>
          </reference>
          <reference field="3" count="1" selected="0">
            <x v="10"/>
          </reference>
          <reference field="4" count="1" selected="0">
            <x v="193"/>
          </reference>
          <reference field="5" count="1" selected="0">
            <x v="0"/>
          </reference>
          <reference field="6" count="1">
            <x v="18"/>
          </reference>
        </references>
      </pivotArea>
    </format>
    <format dxfId="1324">
      <pivotArea dataOnly="0" labelOnly="1" fieldPosition="0">
        <references count="6">
          <reference field="1" count="1" selected="0">
            <x v="107"/>
          </reference>
          <reference field="2" count="1" selected="0">
            <x v="0"/>
          </reference>
          <reference field="3" count="1" selected="0">
            <x v="12"/>
          </reference>
          <reference field="4" count="1" selected="0">
            <x v="6"/>
          </reference>
          <reference field="5" count="1" selected="0">
            <x v="90"/>
          </reference>
          <reference field="6" count="1">
            <x v="47"/>
          </reference>
        </references>
      </pivotArea>
    </format>
    <format dxfId="1323">
      <pivotArea dataOnly="0" labelOnly="1" fieldPosition="0">
        <references count="6">
          <reference field="1" count="1" selected="0">
            <x v="107"/>
          </reference>
          <reference field="2" count="1" selected="0">
            <x v="0"/>
          </reference>
          <reference field="3" count="1" selected="0">
            <x v="12"/>
          </reference>
          <reference field="4" count="1" selected="0">
            <x v="46"/>
          </reference>
          <reference field="5" count="1" selected="0">
            <x v="325"/>
          </reference>
          <reference field="6" count="1">
            <x v="47"/>
          </reference>
        </references>
      </pivotArea>
    </format>
    <format dxfId="1322">
      <pivotArea dataOnly="0" labelOnly="1" fieldPosition="0">
        <references count="6">
          <reference field="1" count="1" selected="0">
            <x v="107"/>
          </reference>
          <reference field="2" count="1" selected="0">
            <x v="2"/>
          </reference>
          <reference field="3" count="1" selected="0">
            <x v="10"/>
          </reference>
          <reference field="4" count="1" selected="0">
            <x v="195"/>
          </reference>
          <reference field="5" count="1" selected="0">
            <x v="1820"/>
          </reference>
          <reference field="6" count="1">
            <x v="47"/>
          </reference>
        </references>
      </pivotArea>
    </format>
    <format dxfId="1321">
      <pivotArea dataOnly="0" labelOnly="1" fieldPosition="0">
        <references count="6">
          <reference field="1" count="1" selected="0">
            <x v="107"/>
          </reference>
          <reference field="2" count="1" selected="0">
            <x v="2"/>
          </reference>
          <reference field="3" count="1" selected="0">
            <x v="31"/>
          </reference>
          <reference field="4" count="1" selected="0">
            <x v="194"/>
          </reference>
          <reference field="5" count="1" selected="0">
            <x v="10"/>
          </reference>
          <reference field="6" count="1">
            <x v="47"/>
          </reference>
        </references>
      </pivotArea>
    </format>
    <format dxfId="1320">
      <pivotArea dataOnly="0" labelOnly="1" fieldPosition="0">
        <references count="6">
          <reference field="1" count="1" selected="0">
            <x v="107"/>
          </reference>
          <reference field="2" count="1" selected="0">
            <x v="3"/>
          </reference>
          <reference field="3" count="1" selected="0">
            <x v="10"/>
          </reference>
          <reference field="4" count="1" selected="0">
            <x v="195"/>
          </reference>
          <reference field="5" count="1" selected="0">
            <x v="1564"/>
          </reference>
          <reference field="6" count="1">
            <x v="47"/>
          </reference>
        </references>
      </pivotArea>
    </format>
    <format dxfId="1319">
      <pivotArea dataOnly="0" labelOnly="1" fieldPosition="0">
        <references count="6">
          <reference field="1" count="1" selected="0">
            <x v="107"/>
          </reference>
          <reference field="2" count="1" selected="0">
            <x v="3"/>
          </reference>
          <reference field="3" count="1" selected="0">
            <x v="38"/>
          </reference>
          <reference field="4" count="1" selected="0">
            <x v="195"/>
          </reference>
          <reference field="5" count="1" selected="0">
            <x v="281"/>
          </reference>
          <reference field="6" count="1">
            <x v="47"/>
          </reference>
        </references>
      </pivotArea>
    </format>
    <format dxfId="1318">
      <pivotArea dataOnly="0" labelOnly="1" fieldPosition="0">
        <references count="6">
          <reference field="1" count="1" selected="0">
            <x v="107"/>
          </reference>
          <reference field="2" count="1" selected="0">
            <x v="9"/>
          </reference>
          <reference field="3" count="1" selected="0">
            <x v="1"/>
          </reference>
          <reference field="4" count="1" selected="0">
            <x v="195"/>
          </reference>
          <reference field="5" count="1" selected="0">
            <x v="929"/>
          </reference>
          <reference field="6" count="1">
            <x v="47"/>
          </reference>
        </references>
      </pivotArea>
    </format>
    <format dxfId="1317">
      <pivotArea dataOnly="0" labelOnly="1" fieldPosition="0">
        <references count="6">
          <reference field="1" count="1" selected="0">
            <x v="107"/>
          </reference>
          <reference field="2" count="1" selected="0">
            <x v="9"/>
          </reference>
          <reference field="3" count="1" selected="0">
            <x v="10"/>
          </reference>
          <reference field="4" count="1" selected="0">
            <x v="195"/>
          </reference>
          <reference field="5" count="1" selected="0">
            <x v="676"/>
          </reference>
          <reference field="6" count="1">
            <x v="47"/>
          </reference>
        </references>
      </pivotArea>
    </format>
    <format dxfId="1316">
      <pivotArea dataOnly="0" labelOnly="1" fieldPosition="0">
        <references count="6">
          <reference field="1" count="1" selected="0">
            <x v="107"/>
          </reference>
          <reference field="2" count="1" selected="0">
            <x v="11"/>
          </reference>
          <reference field="3" count="1" selected="0">
            <x v="10"/>
          </reference>
          <reference field="4" count="1" selected="0">
            <x v="195"/>
          </reference>
          <reference field="5" count="1" selected="0">
            <x v="5"/>
          </reference>
          <reference field="6" count="1">
            <x v="47"/>
          </reference>
        </references>
      </pivotArea>
    </format>
    <format dxfId="1315">
      <pivotArea dataOnly="0" labelOnly="1" fieldPosition="0">
        <references count="6">
          <reference field="1" count="1" selected="0">
            <x v="107"/>
          </reference>
          <reference field="2" count="1" selected="0">
            <x v="15"/>
          </reference>
          <reference field="3" count="1" selected="0">
            <x v="38"/>
          </reference>
          <reference field="4" count="1" selected="0">
            <x v="195"/>
          </reference>
          <reference field="5" count="1" selected="0">
            <x v="352"/>
          </reference>
          <reference field="6" count="1">
            <x v="47"/>
          </reference>
        </references>
      </pivotArea>
    </format>
    <format dxfId="1314">
      <pivotArea dataOnly="0" labelOnly="1" fieldPosition="0">
        <references count="6">
          <reference field="1" count="1" selected="0">
            <x v="107"/>
          </reference>
          <reference field="2" count="1" selected="0">
            <x v="17"/>
          </reference>
          <reference field="3" count="1" selected="0">
            <x v="38"/>
          </reference>
          <reference field="4" count="1" selected="0">
            <x v="195"/>
          </reference>
          <reference field="5" count="1" selected="0">
            <x v="695"/>
          </reference>
          <reference field="6" count="1">
            <x v="47"/>
          </reference>
        </references>
      </pivotArea>
    </format>
    <format dxfId="1313">
      <pivotArea dataOnly="0" labelOnly="1" fieldPosition="0">
        <references count="6">
          <reference field="1" count="1" selected="0">
            <x v="107"/>
          </reference>
          <reference field="2" count="1" selected="0">
            <x v="19"/>
          </reference>
          <reference field="3" count="1" selected="0">
            <x v="37"/>
          </reference>
          <reference field="4" count="1" selected="0">
            <x v="195"/>
          </reference>
          <reference field="5" count="1" selected="0">
            <x v="405"/>
          </reference>
          <reference field="6" count="1">
            <x v="47"/>
          </reference>
        </references>
      </pivotArea>
    </format>
    <format dxfId="1312">
      <pivotArea dataOnly="0" labelOnly="1" fieldPosition="0">
        <references count="6">
          <reference field="1" count="1" selected="0">
            <x v="107"/>
          </reference>
          <reference field="2" count="1" selected="0">
            <x v="21"/>
          </reference>
          <reference field="3" count="1" selected="0">
            <x v="38"/>
          </reference>
          <reference field="4" count="1" selected="0">
            <x v="195"/>
          </reference>
          <reference field="5" count="1" selected="0">
            <x v="1110"/>
          </reference>
          <reference field="6" count="1">
            <x v="47"/>
          </reference>
        </references>
      </pivotArea>
    </format>
    <format dxfId="1311">
      <pivotArea dataOnly="0" labelOnly="1" fieldPosition="0">
        <references count="6">
          <reference field="1" count="1" selected="0">
            <x v="107"/>
          </reference>
          <reference field="2" count="1" selected="0">
            <x v="24"/>
          </reference>
          <reference field="3" count="1" selected="0">
            <x v="38"/>
          </reference>
          <reference field="4" count="1" selected="0">
            <x v="195"/>
          </reference>
          <reference field="5" count="1" selected="0">
            <x v="352"/>
          </reference>
          <reference field="6" count="1">
            <x v="47"/>
          </reference>
        </references>
      </pivotArea>
    </format>
    <format dxfId="1310">
      <pivotArea dataOnly="0" labelOnly="1" fieldPosition="0">
        <references count="6">
          <reference field="1" count="1" selected="0">
            <x v="107"/>
          </reference>
          <reference field="2" count="1" selected="0">
            <x v="26"/>
          </reference>
          <reference field="3" count="1" selected="0">
            <x v="38"/>
          </reference>
          <reference field="4" count="1" selected="0">
            <x v="195"/>
          </reference>
          <reference field="5" count="1" selected="0">
            <x v="838"/>
          </reference>
          <reference field="6" count="1">
            <x v="47"/>
          </reference>
        </references>
      </pivotArea>
    </format>
    <format dxfId="1309">
      <pivotArea dataOnly="0" labelOnly="1" fieldPosition="0">
        <references count="6">
          <reference field="1" count="1" selected="0">
            <x v="107"/>
          </reference>
          <reference field="2" count="1" selected="0">
            <x v="36"/>
          </reference>
          <reference field="3" count="1" selected="0">
            <x v="10"/>
          </reference>
          <reference field="4" count="1" selected="0">
            <x v="195"/>
          </reference>
          <reference field="5" count="1" selected="0">
            <x v="1735"/>
          </reference>
          <reference field="6" count="1">
            <x v="47"/>
          </reference>
        </references>
      </pivotArea>
    </format>
    <format dxfId="1308">
      <pivotArea dataOnly="0" labelOnly="1" fieldPosition="0">
        <references count="6">
          <reference field="1" count="1" selected="0">
            <x v="107"/>
          </reference>
          <reference field="2" count="1" selected="0">
            <x v="38"/>
          </reference>
          <reference field="3" count="1" selected="0">
            <x v="10"/>
          </reference>
          <reference field="4" count="1" selected="0">
            <x v="195"/>
          </reference>
          <reference field="5" count="1" selected="0">
            <x v="1350"/>
          </reference>
          <reference field="6" count="1">
            <x v="47"/>
          </reference>
        </references>
      </pivotArea>
    </format>
    <format dxfId="1307">
      <pivotArea dataOnly="0" labelOnly="1" fieldPosition="0">
        <references count="6">
          <reference field="1" count="1" selected="0">
            <x v="108"/>
          </reference>
          <reference field="2" count="1" selected="0">
            <x v="0"/>
          </reference>
          <reference field="3" count="1" selected="0">
            <x v="38"/>
          </reference>
          <reference field="4" count="1" selected="0">
            <x v="196"/>
          </reference>
          <reference field="5" count="1" selected="0">
            <x v="138"/>
          </reference>
          <reference field="6" count="1">
            <x v="47"/>
          </reference>
        </references>
      </pivotArea>
    </format>
    <format dxfId="1306">
      <pivotArea dataOnly="0" labelOnly="1" fieldPosition="0">
        <references count="6">
          <reference field="1" count="1" selected="0">
            <x v="108"/>
          </reference>
          <reference field="2" count="1" selected="0">
            <x v="0"/>
          </reference>
          <reference field="3" count="1" selected="0">
            <x v="38"/>
          </reference>
          <reference field="4" count="1" selected="0">
            <x v="196"/>
          </reference>
          <reference field="5" count="1" selected="0">
            <x v="607"/>
          </reference>
          <reference field="6" count="1">
            <x v="47"/>
          </reference>
        </references>
      </pivotArea>
    </format>
    <format dxfId="1305">
      <pivotArea dataOnly="0" labelOnly="1" fieldPosition="0">
        <references count="6">
          <reference field="1" count="1" selected="0">
            <x v="108"/>
          </reference>
          <reference field="2" count="1" selected="0">
            <x v="12"/>
          </reference>
          <reference field="3" count="1" selected="0">
            <x v="1"/>
          </reference>
          <reference field="4" count="1" selected="0">
            <x v="196"/>
          </reference>
          <reference field="5" count="1" selected="0">
            <x v="80"/>
          </reference>
          <reference field="6" count="1">
            <x v="47"/>
          </reference>
        </references>
      </pivotArea>
    </format>
    <format dxfId="1304">
      <pivotArea dataOnly="0" labelOnly="1" fieldPosition="0">
        <references count="6">
          <reference field="1" count="1" selected="0">
            <x v="108"/>
          </reference>
          <reference field="2" count="1" selected="0">
            <x v="12"/>
          </reference>
          <reference field="3" count="1" selected="0">
            <x v="1"/>
          </reference>
          <reference field="4" count="1" selected="0">
            <x v="196"/>
          </reference>
          <reference field="5" count="1" selected="0">
            <x v="213"/>
          </reference>
          <reference field="6" count="1">
            <x v="47"/>
          </reference>
        </references>
      </pivotArea>
    </format>
    <format dxfId="1303">
      <pivotArea dataOnly="0" labelOnly="1" fieldPosition="0">
        <references count="6">
          <reference field="1" count="1" selected="0">
            <x v="108"/>
          </reference>
          <reference field="2" count="1" selected="0">
            <x v="12"/>
          </reference>
          <reference field="3" count="1" selected="0">
            <x v="1"/>
          </reference>
          <reference field="4" count="1" selected="0">
            <x v="196"/>
          </reference>
          <reference field="5" count="1" selected="0">
            <x v="352"/>
          </reference>
          <reference field="6" count="1">
            <x v="47"/>
          </reference>
        </references>
      </pivotArea>
    </format>
    <format dxfId="1302">
      <pivotArea dataOnly="0" labelOnly="1" fieldPosition="0">
        <references count="6">
          <reference field="1" count="1" selected="0">
            <x v="108"/>
          </reference>
          <reference field="2" count="1" selected="0">
            <x v="12"/>
          </reference>
          <reference field="3" count="1" selected="0">
            <x v="1"/>
          </reference>
          <reference field="4" count="1" selected="0">
            <x v="196"/>
          </reference>
          <reference field="5" count="1" selected="0">
            <x v="500"/>
          </reference>
          <reference field="6" count="1">
            <x v="47"/>
          </reference>
        </references>
      </pivotArea>
    </format>
    <format dxfId="1301">
      <pivotArea dataOnly="0" labelOnly="1" fieldPosition="0">
        <references count="6">
          <reference field="1" count="1" selected="0">
            <x v="108"/>
          </reference>
          <reference field="2" count="1" selected="0">
            <x v="12"/>
          </reference>
          <reference field="3" count="1" selected="0">
            <x v="1"/>
          </reference>
          <reference field="4" count="1" selected="0">
            <x v="196"/>
          </reference>
          <reference field="5" count="1" selected="0">
            <x v="607"/>
          </reference>
          <reference field="6" count="1">
            <x v="47"/>
          </reference>
        </references>
      </pivotArea>
    </format>
    <format dxfId="1300">
      <pivotArea dataOnly="0" labelOnly="1" fieldPosition="0">
        <references count="6">
          <reference field="1" count="1" selected="0">
            <x v="108"/>
          </reference>
          <reference field="2" count="1" selected="0">
            <x v="12"/>
          </reference>
          <reference field="3" count="1" selected="0">
            <x v="1"/>
          </reference>
          <reference field="4" count="1" selected="0">
            <x v="196"/>
          </reference>
          <reference field="5" count="1" selected="0">
            <x v="771"/>
          </reference>
          <reference field="6" count="1">
            <x v="47"/>
          </reference>
        </references>
      </pivotArea>
    </format>
    <format dxfId="1299">
      <pivotArea dataOnly="0" labelOnly="1" fieldPosition="0">
        <references count="6">
          <reference field="1" count="1" selected="0">
            <x v="108"/>
          </reference>
          <reference field="2" count="1" selected="0">
            <x v="12"/>
          </reference>
          <reference field="3" count="1" selected="0">
            <x v="1"/>
          </reference>
          <reference field="4" count="1" selected="0">
            <x v="196"/>
          </reference>
          <reference field="5" count="1" selected="0">
            <x v="846"/>
          </reference>
          <reference field="6" count="1">
            <x v="47"/>
          </reference>
        </references>
      </pivotArea>
    </format>
    <format dxfId="1298">
      <pivotArea dataOnly="0" labelOnly="1" fieldPosition="0">
        <references count="6">
          <reference field="1" count="1" selected="0">
            <x v="108"/>
          </reference>
          <reference field="2" count="1" selected="0">
            <x v="12"/>
          </reference>
          <reference field="3" count="1" selected="0">
            <x v="1"/>
          </reference>
          <reference field="4" count="1" selected="0">
            <x v="196"/>
          </reference>
          <reference field="5" count="1" selected="0">
            <x v="964"/>
          </reference>
          <reference field="6" count="1">
            <x v="47"/>
          </reference>
        </references>
      </pivotArea>
    </format>
    <format dxfId="1297">
      <pivotArea dataOnly="0" labelOnly="1" fieldPosition="0">
        <references count="6">
          <reference field="1" count="1" selected="0">
            <x v="108"/>
          </reference>
          <reference field="2" count="1" selected="0">
            <x v="12"/>
          </reference>
          <reference field="3" count="1" selected="0">
            <x v="1"/>
          </reference>
          <reference field="4" count="1" selected="0">
            <x v="196"/>
          </reference>
          <reference field="5" count="1" selected="0">
            <x v="1069"/>
          </reference>
          <reference field="6" count="1">
            <x v="47"/>
          </reference>
        </references>
      </pivotArea>
    </format>
    <format dxfId="1296">
      <pivotArea dataOnly="0" labelOnly="1" fieldPosition="0">
        <references count="6">
          <reference field="1" count="1" selected="0">
            <x v="108"/>
          </reference>
          <reference field="2" count="1" selected="0">
            <x v="15"/>
          </reference>
          <reference field="3" count="1" selected="0">
            <x v="6"/>
          </reference>
          <reference field="4" count="1" selected="0">
            <x v="196"/>
          </reference>
          <reference field="5" count="1" selected="0">
            <x v="862"/>
          </reference>
          <reference field="6" count="1">
            <x v="47"/>
          </reference>
        </references>
      </pivotArea>
    </format>
    <format dxfId="1295">
      <pivotArea dataOnly="0" labelOnly="1" fieldPosition="0">
        <references count="6">
          <reference field="1" count="1" selected="0">
            <x v="108"/>
          </reference>
          <reference field="2" count="1" selected="0">
            <x v="21"/>
          </reference>
          <reference field="3" count="1" selected="0">
            <x v="38"/>
          </reference>
          <reference field="4" count="1" selected="0">
            <x v="196"/>
          </reference>
          <reference field="5" count="1" selected="0">
            <x v="375"/>
          </reference>
          <reference field="6" count="1">
            <x v="47"/>
          </reference>
        </references>
      </pivotArea>
    </format>
    <format dxfId="1294">
      <pivotArea dataOnly="0" labelOnly="1" fieldPosition="0">
        <references count="6">
          <reference field="1" count="1" selected="0">
            <x v="108"/>
          </reference>
          <reference field="2" count="1" selected="0">
            <x v="28"/>
          </reference>
          <reference field="3" count="1" selected="0">
            <x v="1"/>
          </reference>
          <reference field="4" count="1" selected="0">
            <x v="196"/>
          </reference>
          <reference field="5" count="1" selected="0">
            <x v="147"/>
          </reference>
          <reference field="6" count="1">
            <x v="47"/>
          </reference>
        </references>
      </pivotArea>
    </format>
    <format dxfId="1293">
      <pivotArea dataOnly="0" labelOnly="1" fieldPosition="0">
        <references count="6">
          <reference field="1" count="1" selected="0">
            <x v="108"/>
          </reference>
          <reference field="2" count="1" selected="0">
            <x v="29"/>
          </reference>
          <reference field="3" count="1" selected="0">
            <x v="6"/>
          </reference>
          <reference field="4" count="1" selected="0">
            <x v="196"/>
          </reference>
          <reference field="5" count="1" selected="0">
            <x v="1670"/>
          </reference>
          <reference field="6" count="1">
            <x v="47"/>
          </reference>
        </references>
      </pivotArea>
    </format>
    <format dxfId="1292">
      <pivotArea dataOnly="0" labelOnly="1" fieldPosition="0">
        <references count="6">
          <reference field="1" count="1" selected="0">
            <x v="109"/>
          </reference>
          <reference field="2" count="1" selected="0">
            <x v="0"/>
          </reference>
          <reference field="3" count="1" selected="0">
            <x v="38"/>
          </reference>
          <reference field="4" count="1" selected="0">
            <x v="197"/>
          </reference>
          <reference field="5" count="1" selected="0">
            <x v="262"/>
          </reference>
          <reference field="6" count="1">
            <x v="47"/>
          </reference>
        </references>
      </pivotArea>
    </format>
    <format dxfId="1291">
      <pivotArea dataOnly="0" labelOnly="1" fieldPosition="0">
        <references count="6">
          <reference field="1" count="1" selected="0">
            <x v="109"/>
          </reference>
          <reference field="2" count="1" selected="0">
            <x v="12"/>
          </reference>
          <reference field="3" count="1" selected="0">
            <x v="1"/>
          </reference>
          <reference field="4" count="1" selected="0">
            <x v="197"/>
          </reference>
          <reference field="5" count="1" selected="0">
            <x v="771"/>
          </reference>
          <reference field="6" count="1">
            <x v="47"/>
          </reference>
        </references>
      </pivotArea>
    </format>
    <format dxfId="1290">
      <pivotArea dataOnly="0" labelOnly="1" fieldPosition="0">
        <references count="6">
          <reference field="1" count="1" selected="0">
            <x v="109"/>
          </reference>
          <reference field="2" count="1" selected="0">
            <x v="26"/>
          </reference>
          <reference field="3" count="1" selected="0">
            <x v="10"/>
          </reference>
          <reference field="4" count="1" selected="0">
            <x v="197"/>
          </reference>
          <reference field="5" count="1" selected="0">
            <x v="0"/>
          </reference>
          <reference field="6" count="1">
            <x v="41"/>
          </reference>
        </references>
      </pivotArea>
    </format>
    <format dxfId="1289">
      <pivotArea dataOnly="0" labelOnly="1" fieldPosition="0">
        <references count="6">
          <reference field="1" count="1" selected="0">
            <x v="110"/>
          </reference>
          <reference field="2" count="1" selected="0">
            <x v="0"/>
          </reference>
          <reference field="3" count="1" selected="0">
            <x v="1"/>
          </reference>
          <reference field="4" count="1" selected="0">
            <x v="198"/>
          </reference>
          <reference field="5" count="1" selected="0">
            <x v="80"/>
          </reference>
          <reference field="6" count="1">
            <x v="47"/>
          </reference>
        </references>
      </pivotArea>
    </format>
    <format dxfId="1288">
      <pivotArea dataOnly="0" labelOnly="1" fieldPosition="0">
        <references count="6">
          <reference field="1" count="1" selected="0">
            <x v="110"/>
          </reference>
          <reference field="2" count="1" selected="0">
            <x v="0"/>
          </reference>
          <reference field="3" count="1" selected="0">
            <x v="8"/>
          </reference>
          <reference field="4" count="1" selected="0">
            <x v="198"/>
          </reference>
          <reference field="5" count="1" selected="0">
            <x v="624"/>
          </reference>
          <reference field="6" count="1">
            <x v="47"/>
          </reference>
        </references>
      </pivotArea>
    </format>
    <format dxfId="1287">
      <pivotArea dataOnly="0" labelOnly="1" fieldPosition="0">
        <references count="6">
          <reference field="1" count="1" selected="0">
            <x v="110"/>
          </reference>
          <reference field="2" count="1" selected="0">
            <x v="0"/>
          </reference>
          <reference field="3" count="1" selected="0">
            <x v="9"/>
          </reference>
          <reference field="4" count="1" selected="0">
            <x v="198"/>
          </reference>
          <reference field="5" count="1" selected="0">
            <x v="128"/>
          </reference>
          <reference field="6" count="1">
            <x v="47"/>
          </reference>
        </references>
      </pivotArea>
    </format>
    <format dxfId="1286">
      <pivotArea dataOnly="0" labelOnly="1" fieldPosition="0">
        <references count="6">
          <reference field="1" count="1" selected="0">
            <x v="110"/>
          </reference>
          <reference field="2" count="1" selected="0">
            <x v="0"/>
          </reference>
          <reference field="3" count="1" selected="0">
            <x v="9"/>
          </reference>
          <reference field="4" count="1" selected="0">
            <x v="198"/>
          </reference>
          <reference field="5" count="1" selected="0">
            <x v="490"/>
          </reference>
          <reference field="6" count="1">
            <x v="47"/>
          </reference>
        </references>
      </pivotArea>
    </format>
    <format dxfId="1285">
      <pivotArea dataOnly="0" labelOnly="1" fieldPosition="0">
        <references count="6">
          <reference field="1" count="1" selected="0">
            <x v="110"/>
          </reference>
          <reference field="2" count="1" selected="0">
            <x v="0"/>
          </reference>
          <reference field="3" count="1" selected="0">
            <x v="9"/>
          </reference>
          <reference field="4" count="1" selected="0">
            <x v="198"/>
          </reference>
          <reference field="5" count="1" selected="0">
            <x v="565"/>
          </reference>
          <reference field="6" count="1">
            <x v="47"/>
          </reference>
        </references>
      </pivotArea>
    </format>
    <format dxfId="1284">
      <pivotArea dataOnly="0" labelOnly="1" fieldPosition="0">
        <references count="6">
          <reference field="1" count="1" selected="0">
            <x v="110"/>
          </reference>
          <reference field="2" count="1" selected="0">
            <x v="0"/>
          </reference>
          <reference field="3" count="1" selected="0">
            <x v="9"/>
          </reference>
          <reference field="4" count="1" selected="0">
            <x v="198"/>
          </reference>
          <reference field="5" count="1" selected="0">
            <x v="632"/>
          </reference>
          <reference field="6" count="1">
            <x v="47"/>
          </reference>
        </references>
      </pivotArea>
    </format>
    <format dxfId="1283">
      <pivotArea dataOnly="0" labelOnly="1" fieldPosition="0">
        <references count="6">
          <reference field="1" count="1" selected="0">
            <x v="110"/>
          </reference>
          <reference field="2" count="1" selected="0">
            <x v="0"/>
          </reference>
          <reference field="3" count="1" selected="0">
            <x v="9"/>
          </reference>
          <reference field="4" count="1" selected="0">
            <x v="198"/>
          </reference>
          <reference field="5" count="1" selected="0">
            <x v="777"/>
          </reference>
          <reference field="6" count="1">
            <x v="47"/>
          </reference>
        </references>
      </pivotArea>
    </format>
    <format dxfId="1282">
      <pivotArea dataOnly="0" labelOnly="1" fieldPosition="0">
        <references count="6">
          <reference field="1" count="1" selected="0">
            <x v="110"/>
          </reference>
          <reference field="2" count="1" selected="0">
            <x v="0"/>
          </reference>
          <reference field="3" count="1" selected="0">
            <x v="9"/>
          </reference>
          <reference field="4" count="1" selected="0">
            <x v="198"/>
          </reference>
          <reference field="5" count="1" selected="0">
            <x v="986"/>
          </reference>
          <reference field="6" count="1">
            <x v="47"/>
          </reference>
        </references>
      </pivotArea>
    </format>
    <format dxfId="1281">
      <pivotArea dataOnly="0" labelOnly="1" fieldPosition="0">
        <references count="6">
          <reference field="1" count="1" selected="0">
            <x v="110"/>
          </reference>
          <reference field="2" count="1" selected="0">
            <x v="0"/>
          </reference>
          <reference field="3" count="1" selected="0">
            <x v="9"/>
          </reference>
          <reference field="4" count="1" selected="0">
            <x v="198"/>
          </reference>
          <reference field="5" count="1" selected="0">
            <x v="1014"/>
          </reference>
          <reference field="6" count="1">
            <x v="47"/>
          </reference>
        </references>
      </pivotArea>
    </format>
    <format dxfId="1280">
      <pivotArea dataOnly="0" labelOnly="1" fieldPosition="0">
        <references count="6">
          <reference field="1" count="1" selected="0">
            <x v="110"/>
          </reference>
          <reference field="2" count="1" selected="0">
            <x v="0"/>
          </reference>
          <reference field="3" count="1" selected="0">
            <x v="10"/>
          </reference>
          <reference field="4" count="1" selected="0">
            <x v="198"/>
          </reference>
          <reference field="5" count="1" selected="0">
            <x v="433"/>
          </reference>
          <reference field="6" count="1">
            <x v="47"/>
          </reference>
        </references>
      </pivotArea>
    </format>
    <format dxfId="1279">
      <pivotArea dataOnly="0" labelOnly="1" fieldPosition="0">
        <references count="6">
          <reference field="1" count="1" selected="0">
            <x v="110"/>
          </reference>
          <reference field="2" count="1" selected="0">
            <x v="0"/>
          </reference>
          <reference field="3" count="1" selected="0">
            <x v="12"/>
          </reference>
          <reference field="4" count="1" selected="0">
            <x v="2"/>
          </reference>
          <reference field="5" count="1" selected="0">
            <x v="7"/>
          </reference>
          <reference field="6" count="1">
            <x v="47"/>
          </reference>
        </references>
      </pivotArea>
    </format>
    <format dxfId="1278">
      <pivotArea dataOnly="0" labelOnly="1" fieldPosition="0">
        <references count="6">
          <reference field="1" count="1" selected="0">
            <x v="110"/>
          </reference>
          <reference field="2" count="1" selected="0">
            <x v="0"/>
          </reference>
          <reference field="3" count="1" selected="0">
            <x v="12"/>
          </reference>
          <reference field="4" count="1" selected="0">
            <x v="38"/>
          </reference>
          <reference field="5" count="1" selected="0">
            <x v="114"/>
          </reference>
          <reference field="6" count="1">
            <x v="47"/>
          </reference>
        </references>
      </pivotArea>
    </format>
    <format dxfId="1277">
      <pivotArea dataOnly="0" labelOnly="1" fieldPosition="0">
        <references count="6">
          <reference field="1" count="1" selected="0">
            <x v="110"/>
          </reference>
          <reference field="2" count="1" selected="0">
            <x v="0"/>
          </reference>
          <reference field="3" count="1" selected="0">
            <x v="12"/>
          </reference>
          <reference field="4" count="1" selected="0">
            <x v="47"/>
          </reference>
          <reference field="5" count="1" selected="0">
            <x v="314"/>
          </reference>
          <reference field="6" count="1">
            <x v="47"/>
          </reference>
        </references>
      </pivotArea>
    </format>
    <format dxfId="1276">
      <pivotArea dataOnly="0" labelOnly="1" fieldPosition="0">
        <references count="6">
          <reference field="1" count="1" selected="0">
            <x v="110"/>
          </reference>
          <reference field="2" count="1" selected="0">
            <x v="0"/>
          </reference>
          <reference field="3" count="1" selected="0">
            <x v="38"/>
          </reference>
          <reference field="4" count="1" selected="0">
            <x v="198"/>
          </reference>
          <reference field="5" count="1" selected="0">
            <x v="481"/>
          </reference>
          <reference field="6" count="1">
            <x v="47"/>
          </reference>
        </references>
      </pivotArea>
    </format>
    <format dxfId="1275">
      <pivotArea dataOnly="0" labelOnly="1" fieldPosition="0">
        <references count="6">
          <reference field="1" count="1" selected="0">
            <x v="110"/>
          </reference>
          <reference field="2" count="1" selected="0">
            <x v="3"/>
          </reference>
          <reference field="3" count="1" selected="0">
            <x v="38"/>
          </reference>
          <reference field="4" count="1" selected="0">
            <x v="198"/>
          </reference>
          <reference field="5" count="1" selected="0">
            <x v="475"/>
          </reference>
          <reference field="6" count="1">
            <x v="47"/>
          </reference>
        </references>
      </pivotArea>
    </format>
    <format dxfId="1274">
      <pivotArea dataOnly="0" labelOnly="1" fieldPosition="0">
        <references count="6">
          <reference field="1" count="1" selected="0">
            <x v="110"/>
          </reference>
          <reference field="2" count="1" selected="0">
            <x v="5"/>
          </reference>
          <reference field="3" count="1" selected="0">
            <x v="8"/>
          </reference>
          <reference field="4" count="1" selected="0">
            <x v="198"/>
          </reference>
          <reference field="5" count="1" selected="0">
            <x v="305"/>
          </reference>
          <reference field="6" count="1">
            <x v="47"/>
          </reference>
        </references>
      </pivotArea>
    </format>
    <format dxfId="1273">
      <pivotArea dataOnly="0" labelOnly="1" fieldPosition="0">
        <references count="6">
          <reference field="1" count="1" selected="0">
            <x v="110"/>
          </reference>
          <reference field="2" count="1" selected="0">
            <x v="5"/>
          </reference>
          <reference field="3" count="1" selected="0">
            <x v="10"/>
          </reference>
          <reference field="4" count="1" selected="0">
            <x v="198"/>
          </reference>
          <reference field="5" count="1" selected="0">
            <x v="1370"/>
          </reference>
          <reference field="6" count="1">
            <x v="47"/>
          </reference>
        </references>
      </pivotArea>
    </format>
    <format dxfId="1272">
      <pivotArea dataOnly="0" labelOnly="1" fieldPosition="0">
        <references count="6">
          <reference field="1" count="1" selected="0">
            <x v="110"/>
          </reference>
          <reference field="2" count="1" selected="0">
            <x v="7"/>
          </reference>
          <reference field="3" count="1" selected="0">
            <x v="9"/>
          </reference>
          <reference field="4" count="1" selected="0">
            <x v="198"/>
          </reference>
          <reference field="5" count="1" selected="0">
            <x v="334"/>
          </reference>
          <reference field="6" count="1">
            <x v="47"/>
          </reference>
        </references>
      </pivotArea>
    </format>
    <format dxfId="1271">
      <pivotArea dataOnly="0" labelOnly="1" fieldPosition="0">
        <references count="6">
          <reference field="1" count="1" selected="0">
            <x v="110"/>
          </reference>
          <reference field="2" count="1" selected="0">
            <x v="8"/>
          </reference>
          <reference field="3" count="1" selected="0">
            <x v="10"/>
          </reference>
          <reference field="4" count="1" selected="0">
            <x v="198"/>
          </reference>
          <reference field="5" count="1" selected="0">
            <x v="539"/>
          </reference>
          <reference field="6" count="1">
            <x v="47"/>
          </reference>
        </references>
      </pivotArea>
    </format>
    <format dxfId="1270">
      <pivotArea dataOnly="0" labelOnly="1" fieldPosition="0">
        <references count="6">
          <reference field="1" count="1" selected="0">
            <x v="110"/>
          </reference>
          <reference field="2" count="1" selected="0">
            <x v="12"/>
          </reference>
          <reference field="3" count="1" selected="0">
            <x v="1"/>
          </reference>
          <reference field="4" count="1" selected="0">
            <x v="198"/>
          </reference>
          <reference field="5" count="1" selected="0">
            <x v="80"/>
          </reference>
          <reference field="6" count="1">
            <x v="47"/>
          </reference>
        </references>
      </pivotArea>
    </format>
    <format dxfId="1269">
      <pivotArea dataOnly="0" labelOnly="1" fieldPosition="0">
        <references count="6">
          <reference field="1" count="1" selected="0">
            <x v="110"/>
          </reference>
          <reference field="2" count="1" selected="0">
            <x v="12"/>
          </reference>
          <reference field="3" count="1" selected="0">
            <x v="1"/>
          </reference>
          <reference field="4" count="1" selected="0">
            <x v="198"/>
          </reference>
          <reference field="5" count="1" selected="0">
            <x v="213"/>
          </reference>
          <reference field="6" count="1">
            <x v="47"/>
          </reference>
        </references>
      </pivotArea>
    </format>
    <format dxfId="1268">
      <pivotArea dataOnly="0" labelOnly="1" fieldPosition="0">
        <references count="6">
          <reference field="1" count="1" selected="0">
            <x v="110"/>
          </reference>
          <reference field="2" count="1" selected="0">
            <x v="12"/>
          </reference>
          <reference field="3" count="1" selected="0">
            <x v="1"/>
          </reference>
          <reference field="4" count="1" selected="0">
            <x v="198"/>
          </reference>
          <reference field="5" count="1" selected="0">
            <x v="352"/>
          </reference>
          <reference field="6" count="1">
            <x v="47"/>
          </reference>
        </references>
      </pivotArea>
    </format>
    <format dxfId="1267">
      <pivotArea dataOnly="0" labelOnly="1" fieldPosition="0">
        <references count="6">
          <reference field="1" count="1" selected="0">
            <x v="110"/>
          </reference>
          <reference field="2" count="1" selected="0">
            <x v="12"/>
          </reference>
          <reference field="3" count="1" selected="0">
            <x v="1"/>
          </reference>
          <reference field="4" count="1" selected="0">
            <x v="198"/>
          </reference>
          <reference field="5" count="1" selected="0">
            <x v="771"/>
          </reference>
          <reference field="6" count="1">
            <x v="47"/>
          </reference>
        </references>
      </pivotArea>
    </format>
    <format dxfId="1266">
      <pivotArea dataOnly="0" labelOnly="1" fieldPosition="0">
        <references count="6">
          <reference field="1" count="1" selected="0">
            <x v="110"/>
          </reference>
          <reference field="2" count="1" selected="0">
            <x v="12"/>
          </reference>
          <reference field="3" count="1" selected="0">
            <x v="1"/>
          </reference>
          <reference field="4" count="1" selected="0">
            <x v="198"/>
          </reference>
          <reference field="5" count="1" selected="0">
            <x v="911"/>
          </reference>
          <reference field="6" count="1">
            <x v="47"/>
          </reference>
        </references>
      </pivotArea>
    </format>
    <format dxfId="1265">
      <pivotArea dataOnly="0" labelOnly="1" fieldPosition="0">
        <references count="6">
          <reference field="1" count="1" selected="0">
            <x v="110"/>
          </reference>
          <reference field="2" count="1" selected="0">
            <x v="15"/>
          </reference>
          <reference field="3" count="1" selected="0">
            <x v="6"/>
          </reference>
          <reference field="4" count="1" selected="0">
            <x v="198"/>
          </reference>
          <reference field="5" count="1" selected="0">
            <x v="512"/>
          </reference>
          <reference field="6" count="1">
            <x v="47"/>
          </reference>
        </references>
      </pivotArea>
    </format>
    <format dxfId="1264">
      <pivotArea dataOnly="0" labelOnly="1" fieldPosition="0">
        <references count="6">
          <reference field="1" count="1" selected="0">
            <x v="110"/>
          </reference>
          <reference field="2" count="1" selected="0">
            <x v="15"/>
          </reference>
          <reference field="3" count="1" selected="0">
            <x v="8"/>
          </reference>
          <reference field="4" count="1" selected="0">
            <x v="198"/>
          </reference>
          <reference field="5" count="1" selected="0">
            <x v="0"/>
          </reference>
          <reference field="6" count="1">
            <x v="26"/>
          </reference>
        </references>
      </pivotArea>
    </format>
    <format dxfId="1263">
      <pivotArea dataOnly="0" labelOnly="1" fieldPosition="0">
        <references count="6">
          <reference field="1" count="1" selected="0">
            <x v="110"/>
          </reference>
          <reference field="2" count="1" selected="0">
            <x v="15"/>
          </reference>
          <reference field="3" count="1" selected="0">
            <x v="9"/>
          </reference>
          <reference field="4" count="1" selected="0">
            <x v="198"/>
          </reference>
          <reference field="5" count="1" selected="0">
            <x v="503"/>
          </reference>
          <reference field="6" count="1">
            <x v="47"/>
          </reference>
        </references>
      </pivotArea>
    </format>
    <format dxfId="1262">
      <pivotArea dataOnly="0" labelOnly="1" fieldPosition="0">
        <references count="6">
          <reference field="1" count="1" selected="0">
            <x v="110"/>
          </reference>
          <reference field="2" count="1" selected="0">
            <x v="23"/>
          </reference>
          <reference field="3" count="1" selected="0">
            <x v="38"/>
          </reference>
          <reference field="4" count="1" selected="0">
            <x v="198"/>
          </reference>
          <reference field="5" count="1" selected="0">
            <x v="765"/>
          </reference>
          <reference field="6" count="1">
            <x v="47"/>
          </reference>
        </references>
      </pivotArea>
    </format>
    <format dxfId="1261">
      <pivotArea dataOnly="0" labelOnly="1" fieldPosition="0">
        <references count="6">
          <reference field="1" count="1" selected="0">
            <x v="110"/>
          </reference>
          <reference field="2" count="1" selected="0">
            <x v="35"/>
          </reference>
          <reference field="3" count="1" selected="0">
            <x v="1"/>
          </reference>
          <reference field="4" count="1" selected="0">
            <x v="198"/>
          </reference>
          <reference field="5" count="1" selected="0">
            <x v="80"/>
          </reference>
          <reference field="6" count="1">
            <x v="47"/>
          </reference>
        </references>
      </pivotArea>
    </format>
    <format dxfId="1260">
      <pivotArea dataOnly="0" labelOnly="1" fieldPosition="0">
        <references count="6">
          <reference field="1" count="1" selected="0">
            <x v="110"/>
          </reference>
          <reference field="2" count="1" selected="0">
            <x v="37"/>
          </reference>
          <reference field="3" count="1" selected="0">
            <x v="8"/>
          </reference>
          <reference field="4" count="1" selected="0">
            <x v="198"/>
          </reference>
          <reference field="5" count="1" selected="0">
            <x v="852"/>
          </reference>
          <reference field="6" count="1">
            <x v="47"/>
          </reference>
        </references>
      </pivotArea>
    </format>
    <format dxfId="1259">
      <pivotArea dataOnly="0" labelOnly="1" fieldPosition="0">
        <references count="6">
          <reference field="1" count="1" selected="0">
            <x v="111"/>
          </reference>
          <reference field="2" count="1" selected="0">
            <x v="0"/>
          </reference>
          <reference field="3" count="1" selected="0">
            <x v="12"/>
          </reference>
          <reference field="4" count="1" selected="0">
            <x v="17"/>
          </reference>
          <reference field="5" count="1" selected="0">
            <x v="219"/>
          </reference>
          <reference field="6" count="1">
            <x v="47"/>
          </reference>
        </references>
      </pivotArea>
    </format>
    <format dxfId="1258">
      <pivotArea dataOnly="0" labelOnly="1" fieldPosition="0">
        <references count="6">
          <reference field="1" count="1" selected="0">
            <x v="111"/>
          </reference>
          <reference field="2" count="1" selected="0">
            <x v="0"/>
          </reference>
          <reference field="3" count="1" selected="0">
            <x v="12"/>
          </reference>
          <reference field="4" count="1" selected="0">
            <x v="24"/>
          </reference>
          <reference field="5" count="1" selected="0">
            <x v="306"/>
          </reference>
          <reference field="6" count="1">
            <x v="47"/>
          </reference>
        </references>
      </pivotArea>
    </format>
    <format dxfId="1257">
      <pivotArea dataOnly="0" labelOnly="1" fieldPosition="0">
        <references count="6">
          <reference field="1" count="1" selected="0">
            <x v="111"/>
          </reference>
          <reference field="2" count="1" selected="0">
            <x v="0"/>
          </reference>
          <reference field="3" count="1" selected="0">
            <x v="12"/>
          </reference>
          <reference field="4" count="1" selected="0">
            <x v="31"/>
          </reference>
          <reference field="5" count="1" selected="0">
            <x v="219"/>
          </reference>
          <reference field="6" count="1">
            <x v="47"/>
          </reference>
        </references>
      </pivotArea>
    </format>
    <format dxfId="1256">
      <pivotArea dataOnly="0" labelOnly="1" fieldPosition="0">
        <references count="6">
          <reference field="1" count="1" selected="0">
            <x v="111"/>
          </reference>
          <reference field="2" count="1" selected="0">
            <x v="0"/>
          </reference>
          <reference field="3" count="1" selected="0">
            <x v="12"/>
          </reference>
          <reference field="4" count="1" selected="0">
            <x v="36"/>
          </reference>
          <reference field="5" count="1" selected="0">
            <x v="535"/>
          </reference>
          <reference field="6" count="1">
            <x v="47"/>
          </reference>
        </references>
      </pivotArea>
    </format>
    <format dxfId="1255">
      <pivotArea dataOnly="0" labelOnly="1" fieldPosition="0">
        <references count="6">
          <reference field="1" count="1" selected="0">
            <x v="111"/>
          </reference>
          <reference field="2" count="1" selected="0">
            <x v="0"/>
          </reference>
          <reference field="3" count="1" selected="0">
            <x v="12"/>
          </reference>
          <reference field="4" count="1" selected="0">
            <x v="53"/>
          </reference>
          <reference field="5" count="1" selected="0">
            <x v="223"/>
          </reference>
          <reference field="6" count="1">
            <x v="47"/>
          </reference>
        </references>
      </pivotArea>
    </format>
    <format dxfId="1254">
      <pivotArea dataOnly="0" labelOnly="1" fieldPosition="0">
        <references count="6">
          <reference field="1" count="1" selected="0">
            <x v="111"/>
          </reference>
          <reference field="2" count="1" selected="0">
            <x v="0"/>
          </reference>
          <reference field="3" count="1" selected="0">
            <x v="12"/>
          </reference>
          <reference field="4" count="1" selected="0">
            <x v="55"/>
          </reference>
          <reference field="5" count="1" selected="0">
            <x v="92"/>
          </reference>
          <reference field="6" count="1">
            <x v="47"/>
          </reference>
        </references>
      </pivotArea>
    </format>
    <format dxfId="1253">
      <pivotArea dataOnly="0" labelOnly="1" fieldPosition="0">
        <references count="6">
          <reference field="1" count="1" selected="0">
            <x v="111"/>
          </reference>
          <reference field="2" count="1" selected="0">
            <x v="0"/>
          </reference>
          <reference field="3" count="1" selected="0">
            <x v="38"/>
          </reference>
          <reference field="4" count="1" selected="0">
            <x v="199"/>
          </reference>
          <reference field="5" count="1" selected="0">
            <x v="469"/>
          </reference>
          <reference field="6" count="1">
            <x v="47"/>
          </reference>
        </references>
      </pivotArea>
    </format>
    <format dxfId="1252">
      <pivotArea dataOnly="0" labelOnly="1" fieldPosition="0">
        <references count="6">
          <reference field="1" count="1" selected="0">
            <x v="111"/>
          </reference>
          <reference field="2" count="1" selected="0">
            <x v="0"/>
          </reference>
          <reference field="3" count="1" selected="0">
            <x v="38"/>
          </reference>
          <reference field="4" count="1" selected="0">
            <x v="199"/>
          </reference>
          <reference field="5" count="1" selected="0">
            <x v="592"/>
          </reference>
          <reference field="6" count="1">
            <x v="47"/>
          </reference>
        </references>
      </pivotArea>
    </format>
    <format dxfId="1251">
      <pivotArea dataOnly="0" labelOnly="1" fieldPosition="0">
        <references count="6">
          <reference field="1" count="1" selected="0">
            <x v="111"/>
          </reference>
          <reference field="2" count="1" selected="0">
            <x v="3"/>
          </reference>
          <reference field="3" count="1" selected="0">
            <x v="1"/>
          </reference>
          <reference field="4" count="1" selected="0">
            <x v="199"/>
          </reference>
          <reference field="5" count="1" selected="0">
            <x v="806"/>
          </reference>
          <reference field="6" count="1">
            <x v="47"/>
          </reference>
        </references>
      </pivotArea>
    </format>
    <format dxfId="1250">
      <pivotArea dataOnly="0" labelOnly="1" fieldPosition="0">
        <references count="6">
          <reference field="1" count="1" selected="0">
            <x v="111"/>
          </reference>
          <reference field="2" count="1" selected="0">
            <x v="3"/>
          </reference>
          <reference field="3" count="1" selected="0">
            <x v="6"/>
          </reference>
          <reference field="4" count="1" selected="0">
            <x v="199"/>
          </reference>
          <reference field="5" count="1" selected="0">
            <x v="517"/>
          </reference>
          <reference field="6" count="1">
            <x v="47"/>
          </reference>
        </references>
      </pivotArea>
    </format>
    <format dxfId="1249">
      <pivotArea dataOnly="0" labelOnly="1" fieldPosition="0">
        <references count="6">
          <reference field="1" count="1" selected="0">
            <x v="111"/>
          </reference>
          <reference field="2" count="1" selected="0">
            <x v="3"/>
          </reference>
          <reference field="3" count="1" selected="0">
            <x v="38"/>
          </reference>
          <reference field="4" count="1" selected="0">
            <x v="199"/>
          </reference>
          <reference field="5" count="1" selected="0">
            <x v="109"/>
          </reference>
          <reference field="6" count="1">
            <x v="47"/>
          </reference>
        </references>
      </pivotArea>
    </format>
    <format dxfId="1248">
      <pivotArea dataOnly="0" labelOnly="1" fieldPosition="0">
        <references count="6">
          <reference field="1" count="1" selected="0">
            <x v="111"/>
          </reference>
          <reference field="2" count="1" selected="0">
            <x v="12"/>
          </reference>
          <reference field="3" count="1" selected="0">
            <x v="1"/>
          </reference>
          <reference field="4" count="1" selected="0">
            <x v="199"/>
          </reference>
          <reference field="5" count="1" selected="0">
            <x v="80"/>
          </reference>
          <reference field="6" count="1">
            <x v="47"/>
          </reference>
        </references>
      </pivotArea>
    </format>
    <format dxfId="1247">
      <pivotArea dataOnly="0" labelOnly="1" fieldPosition="0">
        <references count="6">
          <reference field="1" count="1" selected="0">
            <x v="111"/>
          </reference>
          <reference field="2" count="1" selected="0">
            <x v="12"/>
          </reference>
          <reference field="3" count="1" selected="0">
            <x v="1"/>
          </reference>
          <reference field="4" count="1" selected="0">
            <x v="199"/>
          </reference>
          <reference field="5" count="1" selected="0">
            <x v="213"/>
          </reference>
          <reference field="6" count="1">
            <x v="47"/>
          </reference>
        </references>
      </pivotArea>
    </format>
    <format dxfId="1246">
      <pivotArea dataOnly="0" labelOnly="1" fieldPosition="0">
        <references count="6">
          <reference field="1" count="1" selected="0">
            <x v="111"/>
          </reference>
          <reference field="2" count="1" selected="0">
            <x v="20"/>
          </reference>
          <reference field="3" count="1" selected="0">
            <x v="6"/>
          </reference>
          <reference field="4" count="1" selected="0">
            <x v="199"/>
          </reference>
          <reference field="5" count="1" selected="0">
            <x v="1705"/>
          </reference>
          <reference field="6" count="1">
            <x v="47"/>
          </reference>
        </references>
      </pivotArea>
    </format>
    <format dxfId="1245">
      <pivotArea dataOnly="0" labelOnly="1" fieldPosition="0">
        <references count="6">
          <reference field="1" count="1" selected="0">
            <x v="111"/>
          </reference>
          <reference field="2" count="1" selected="0">
            <x v="21"/>
          </reference>
          <reference field="3" count="1" selected="0">
            <x v="33"/>
          </reference>
          <reference field="4" count="1" selected="0">
            <x v="199"/>
          </reference>
          <reference field="5" count="1" selected="0">
            <x v="719"/>
          </reference>
          <reference field="6" count="1">
            <x v="47"/>
          </reference>
        </references>
      </pivotArea>
    </format>
    <format dxfId="1244">
      <pivotArea dataOnly="0" labelOnly="1" fieldPosition="0">
        <references count="6">
          <reference field="1" count="1" selected="0">
            <x v="111"/>
          </reference>
          <reference field="2" count="1" selected="0">
            <x v="23"/>
          </reference>
          <reference field="3" count="1" selected="0">
            <x v="38"/>
          </reference>
          <reference field="4" count="1" selected="0">
            <x v="199"/>
          </reference>
          <reference field="5" count="1" selected="0">
            <x v="79"/>
          </reference>
          <reference field="6" count="1">
            <x v="47"/>
          </reference>
        </references>
      </pivotArea>
    </format>
    <format dxfId="1243">
      <pivotArea dataOnly="0" labelOnly="1" fieldPosition="0">
        <references count="6">
          <reference field="1" count="1" selected="0">
            <x v="111"/>
          </reference>
          <reference field="2" count="1" selected="0">
            <x v="35"/>
          </reference>
          <reference field="3" count="1" selected="0">
            <x v="1"/>
          </reference>
          <reference field="4" count="1" selected="0">
            <x v="199"/>
          </reference>
          <reference field="5" count="1" selected="0">
            <x v="80"/>
          </reference>
          <reference field="6" count="1">
            <x v="47"/>
          </reference>
        </references>
      </pivotArea>
    </format>
    <format dxfId="1242">
      <pivotArea dataOnly="0" labelOnly="1" fieldPosition="0">
        <references count="6">
          <reference field="1" count="1" selected="0">
            <x v="111"/>
          </reference>
          <reference field="2" count="1" selected="0">
            <x v="35"/>
          </reference>
          <reference field="3" count="1" selected="0">
            <x v="1"/>
          </reference>
          <reference field="4" count="1" selected="0">
            <x v="199"/>
          </reference>
          <reference field="5" count="1" selected="0">
            <x v="352"/>
          </reference>
          <reference field="6" count="1">
            <x v="47"/>
          </reference>
        </references>
      </pivotArea>
    </format>
    <format dxfId="1241">
      <pivotArea dataOnly="0" labelOnly="1" fieldPosition="0">
        <references count="6">
          <reference field="1" count="1" selected="0">
            <x v="112"/>
          </reference>
          <reference field="2" count="1" selected="0">
            <x v="0"/>
          </reference>
          <reference field="3" count="1" selected="0">
            <x v="8"/>
          </reference>
          <reference field="4" count="1" selected="0">
            <x v="200"/>
          </reference>
          <reference field="5" count="1" selected="0">
            <x v="0"/>
          </reference>
          <reference field="6" count="1">
            <x v="42"/>
          </reference>
        </references>
      </pivotArea>
    </format>
    <format dxfId="1240">
      <pivotArea dataOnly="0" labelOnly="1" fieldPosition="0">
        <references count="6">
          <reference field="1" count="1" selected="0">
            <x v="112"/>
          </reference>
          <reference field="2" count="1" selected="0">
            <x v="0"/>
          </reference>
          <reference field="3" count="1" selected="0">
            <x v="12"/>
          </reference>
          <reference field="4" count="1" selected="0">
            <x v="40"/>
          </reference>
          <reference field="5" count="1" selected="0">
            <x v="219"/>
          </reference>
          <reference field="6" count="1">
            <x v="47"/>
          </reference>
        </references>
      </pivotArea>
    </format>
    <format dxfId="1239">
      <pivotArea dataOnly="0" labelOnly="1" fieldPosition="0">
        <references count="6">
          <reference field="1" count="1" selected="0">
            <x v="112"/>
          </reference>
          <reference field="2" count="1" selected="0">
            <x v="8"/>
          </reference>
          <reference field="3" count="1" selected="0">
            <x v="38"/>
          </reference>
          <reference field="4" count="1" selected="0">
            <x v="200"/>
          </reference>
          <reference field="5" count="1" selected="0">
            <x v="769"/>
          </reference>
          <reference field="6" count="1">
            <x v="47"/>
          </reference>
        </references>
      </pivotArea>
    </format>
    <format dxfId="1238">
      <pivotArea dataOnly="0" labelOnly="1" fieldPosition="0">
        <references count="6">
          <reference field="1" count="1" selected="0">
            <x v="112"/>
          </reference>
          <reference field="2" count="1" selected="0">
            <x v="12"/>
          </reference>
          <reference field="3" count="1" selected="0">
            <x v="1"/>
          </reference>
          <reference field="4" count="1" selected="0">
            <x v="200"/>
          </reference>
          <reference field="5" count="1" selected="0">
            <x v="80"/>
          </reference>
          <reference field="6" count="1">
            <x v="47"/>
          </reference>
        </references>
      </pivotArea>
    </format>
    <format dxfId="1237">
      <pivotArea dataOnly="0" labelOnly="1" fieldPosition="0">
        <references count="6">
          <reference field="1" count="1" selected="0">
            <x v="112"/>
          </reference>
          <reference field="2" count="1" selected="0">
            <x v="12"/>
          </reference>
          <reference field="3" count="1" selected="0">
            <x v="1"/>
          </reference>
          <reference field="4" count="1" selected="0">
            <x v="200"/>
          </reference>
          <reference field="5" count="1" selected="0">
            <x v="213"/>
          </reference>
          <reference field="6" count="1">
            <x v="47"/>
          </reference>
        </references>
      </pivotArea>
    </format>
    <format dxfId="1236">
      <pivotArea dataOnly="0" labelOnly="1" fieldPosition="0">
        <references count="6">
          <reference field="1" count="1" selected="0">
            <x v="112"/>
          </reference>
          <reference field="2" count="1" selected="0">
            <x v="12"/>
          </reference>
          <reference field="3" count="1" selected="0">
            <x v="1"/>
          </reference>
          <reference field="4" count="1" selected="0">
            <x v="200"/>
          </reference>
          <reference field="5" count="1" selected="0">
            <x v="607"/>
          </reference>
          <reference field="6" count="1">
            <x v="47"/>
          </reference>
        </references>
      </pivotArea>
    </format>
    <format dxfId="1235">
      <pivotArea dataOnly="0" labelOnly="1" fieldPosition="0">
        <references count="6">
          <reference field="1" count="1" selected="0">
            <x v="112"/>
          </reference>
          <reference field="2" count="1" selected="0">
            <x v="27"/>
          </reference>
          <reference field="3" count="1" selected="0">
            <x v="10"/>
          </reference>
          <reference field="4" count="1" selected="0">
            <x v="200"/>
          </reference>
          <reference field="5" count="1" selected="0">
            <x v="180"/>
          </reference>
          <reference field="6" count="1">
            <x v="47"/>
          </reference>
        </references>
      </pivotArea>
    </format>
    <format dxfId="1234">
      <pivotArea dataOnly="0" labelOnly="1" fieldPosition="0">
        <references count="6">
          <reference field="1" count="1" selected="0">
            <x v="112"/>
          </reference>
          <reference field="2" count="1" selected="0">
            <x v="29"/>
          </reference>
          <reference field="3" count="1" selected="0">
            <x v="10"/>
          </reference>
          <reference field="4" count="1" selected="0">
            <x v="200"/>
          </reference>
          <reference field="5" count="1" selected="0">
            <x v="0"/>
          </reference>
          <reference field="6" count="1">
            <x v="39"/>
          </reference>
        </references>
      </pivotArea>
    </format>
    <format dxfId="1233">
      <pivotArea dataOnly="0" labelOnly="1" fieldPosition="0">
        <references count="6">
          <reference field="1" count="1" selected="0">
            <x v="112"/>
          </reference>
          <reference field="2" count="1" selected="0">
            <x v="35"/>
          </reference>
          <reference field="3" count="1" selected="0">
            <x v="1"/>
          </reference>
          <reference field="4" count="1" selected="0">
            <x v="200"/>
          </reference>
          <reference field="5" count="1" selected="0">
            <x v="771"/>
          </reference>
          <reference field="6" count="1">
            <x v="47"/>
          </reference>
        </references>
      </pivotArea>
    </format>
    <format dxfId="1232">
      <pivotArea dataOnly="0" labelOnly="1" fieldPosition="0">
        <references count="6">
          <reference field="1" count="1" selected="0">
            <x v="113"/>
          </reference>
          <reference field="2" count="1" selected="0">
            <x v="0"/>
          </reference>
          <reference field="3" count="1" selected="0">
            <x v="8"/>
          </reference>
          <reference field="4" count="1" selected="0">
            <x v="201"/>
          </reference>
          <reference field="5" count="1" selected="0">
            <x v="349"/>
          </reference>
          <reference field="6" count="1">
            <x v="47"/>
          </reference>
        </references>
      </pivotArea>
    </format>
    <format dxfId="1231">
      <pivotArea dataOnly="0" labelOnly="1" fieldPosition="0">
        <references count="6">
          <reference field="1" count="1" selected="0">
            <x v="113"/>
          </reference>
          <reference field="2" count="1" selected="0">
            <x v="0"/>
          </reference>
          <reference field="3" count="1" selected="0">
            <x v="8"/>
          </reference>
          <reference field="4" count="1" selected="0">
            <x v="201"/>
          </reference>
          <reference field="5" count="1" selected="0">
            <x v="351"/>
          </reference>
          <reference field="6" count="1">
            <x v="47"/>
          </reference>
        </references>
      </pivotArea>
    </format>
    <format dxfId="1230">
      <pivotArea dataOnly="0" labelOnly="1" fieldPosition="0">
        <references count="6">
          <reference field="1" count="1" selected="0">
            <x v="113"/>
          </reference>
          <reference field="2" count="1" selected="0">
            <x v="0"/>
          </reference>
          <reference field="3" count="1" selected="0">
            <x v="8"/>
          </reference>
          <reference field="4" count="1" selected="0">
            <x v="201"/>
          </reference>
          <reference field="5" count="1" selected="0">
            <x v="385"/>
          </reference>
          <reference field="6" count="1">
            <x v="47"/>
          </reference>
        </references>
      </pivotArea>
    </format>
    <format dxfId="1229">
      <pivotArea dataOnly="0" labelOnly="1" fieldPosition="0">
        <references count="6">
          <reference field="1" count="1" selected="0">
            <x v="113"/>
          </reference>
          <reference field="2" count="1" selected="0">
            <x v="0"/>
          </reference>
          <reference field="3" count="1" selected="0">
            <x v="8"/>
          </reference>
          <reference field="4" count="1" selected="0">
            <x v="201"/>
          </reference>
          <reference field="5" count="1" selected="0">
            <x v="923"/>
          </reference>
          <reference field="6" count="1">
            <x v="47"/>
          </reference>
        </references>
      </pivotArea>
    </format>
    <format dxfId="1228">
      <pivotArea dataOnly="0" labelOnly="1" fieldPosition="0">
        <references count="6">
          <reference field="1" count="1" selected="0">
            <x v="113"/>
          </reference>
          <reference field="2" count="1" selected="0">
            <x v="0"/>
          </reference>
          <reference field="3" count="1" selected="0">
            <x v="8"/>
          </reference>
          <reference field="4" count="1" selected="0">
            <x v="201"/>
          </reference>
          <reference field="5" count="1" selected="0">
            <x v="1267"/>
          </reference>
          <reference field="6" count="1">
            <x v="47"/>
          </reference>
        </references>
      </pivotArea>
    </format>
    <format dxfId="1227">
      <pivotArea dataOnly="0" labelOnly="1" fieldPosition="0">
        <references count="6">
          <reference field="1" count="1" selected="0">
            <x v="113"/>
          </reference>
          <reference field="2" count="1" selected="0">
            <x v="0"/>
          </reference>
          <reference field="3" count="1" selected="0">
            <x v="9"/>
          </reference>
          <reference field="4" count="1" selected="0">
            <x v="201"/>
          </reference>
          <reference field="5" count="1" selected="0">
            <x v="388"/>
          </reference>
          <reference field="6" count="1">
            <x v="47"/>
          </reference>
        </references>
      </pivotArea>
    </format>
    <format dxfId="1226">
      <pivotArea dataOnly="0" labelOnly="1" fieldPosition="0">
        <references count="6">
          <reference field="1" count="1" selected="0">
            <x v="113"/>
          </reference>
          <reference field="2" count="1" selected="0">
            <x v="0"/>
          </reference>
          <reference field="3" count="1" selected="0">
            <x v="9"/>
          </reference>
          <reference field="4" count="1" selected="0">
            <x v="201"/>
          </reference>
          <reference field="5" count="1" selected="0">
            <x v="652"/>
          </reference>
          <reference field="6" count="1">
            <x v="47"/>
          </reference>
        </references>
      </pivotArea>
    </format>
    <format dxfId="1225">
      <pivotArea dataOnly="0" labelOnly="1" fieldPosition="0">
        <references count="6">
          <reference field="1" count="1" selected="0">
            <x v="113"/>
          </reference>
          <reference field="2" count="1" selected="0">
            <x v="0"/>
          </reference>
          <reference field="3" count="1" selected="0">
            <x v="9"/>
          </reference>
          <reference field="4" count="1" selected="0">
            <x v="201"/>
          </reference>
          <reference field="5" count="1" selected="0">
            <x v="1078"/>
          </reference>
          <reference field="6" count="1">
            <x v="47"/>
          </reference>
        </references>
      </pivotArea>
    </format>
    <format dxfId="1224">
      <pivotArea dataOnly="0" labelOnly="1" fieldPosition="0">
        <references count="6">
          <reference field="1" count="1" selected="0">
            <x v="113"/>
          </reference>
          <reference field="2" count="1" selected="0">
            <x v="0"/>
          </reference>
          <reference field="3" count="1" selected="0">
            <x v="9"/>
          </reference>
          <reference field="4" count="1" selected="0">
            <x v="201"/>
          </reference>
          <reference field="5" count="1" selected="0">
            <x v="1090"/>
          </reference>
          <reference field="6" count="1">
            <x v="47"/>
          </reference>
        </references>
      </pivotArea>
    </format>
    <format dxfId="1223">
      <pivotArea dataOnly="0" labelOnly="1" fieldPosition="0">
        <references count="6">
          <reference field="1" count="1" selected="0">
            <x v="113"/>
          </reference>
          <reference field="2" count="1" selected="0">
            <x v="5"/>
          </reference>
          <reference field="3" count="1" selected="0">
            <x v="38"/>
          </reference>
          <reference field="4" count="1" selected="0">
            <x v="201"/>
          </reference>
          <reference field="5" count="1" selected="0">
            <x v="1654"/>
          </reference>
          <reference field="6" count="1">
            <x v="47"/>
          </reference>
        </references>
      </pivotArea>
    </format>
    <format dxfId="1222">
      <pivotArea dataOnly="0" labelOnly="1" fieldPosition="0">
        <references count="6">
          <reference field="1" count="1" selected="0">
            <x v="113"/>
          </reference>
          <reference field="2" count="1" selected="0">
            <x v="6"/>
          </reference>
          <reference field="3" count="1" selected="0">
            <x v="37"/>
          </reference>
          <reference field="4" count="1" selected="0">
            <x v="201"/>
          </reference>
          <reference field="5" count="1" selected="0">
            <x v="654"/>
          </reference>
          <reference field="6" count="1">
            <x v="47"/>
          </reference>
        </references>
      </pivotArea>
    </format>
    <format dxfId="1221">
      <pivotArea dataOnly="0" labelOnly="1" fieldPosition="0">
        <references count="6">
          <reference field="1" count="1" selected="0">
            <x v="113"/>
          </reference>
          <reference field="2" count="1" selected="0">
            <x v="9"/>
          </reference>
          <reference field="3" count="1" selected="0">
            <x v="8"/>
          </reference>
          <reference field="4" count="1" selected="0">
            <x v="201"/>
          </reference>
          <reference field="5" count="1" selected="0">
            <x v="490"/>
          </reference>
          <reference field="6" count="1">
            <x v="47"/>
          </reference>
        </references>
      </pivotArea>
    </format>
    <format dxfId="1220">
      <pivotArea dataOnly="0" labelOnly="1" fieldPosition="0">
        <references count="6">
          <reference field="1" count="1" selected="0">
            <x v="113"/>
          </reference>
          <reference field="2" count="1" selected="0">
            <x v="12"/>
          </reference>
          <reference field="3" count="1" selected="0">
            <x v="1"/>
          </reference>
          <reference field="4" count="1" selected="0">
            <x v="201"/>
          </reference>
          <reference field="5" count="1" selected="0">
            <x v="80"/>
          </reference>
          <reference field="6" count="1">
            <x v="47"/>
          </reference>
        </references>
      </pivotArea>
    </format>
    <format dxfId="1219">
      <pivotArea dataOnly="0" labelOnly="1" fieldPosition="0">
        <references count="6">
          <reference field="1" count="1" selected="0">
            <x v="113"/>
          </reference>
          <reference field="2" count="1" selected="0">
            <x v="14"/>
          </reference>
          <reference field="3" count="1" selected="0">
            <x v="38"/>
          </reference>
          <reference field="4" count="1" selected="0">
            <x v="201"/>
          </reference>
          <reference field="5" count="1" selected="0">
            <x v="109"/>
          </reference>
          <reference field="6" count="1">
            <x v="47"/>
          </reference>
        </references>
      </pivotArea>
    </format>
    <format dxfId="1218">
      <pivotArea dataOnly="0" labelOnly="1" fieldPosition="0">
        <references count="6">
          <reference field="1" count="1" selected="0">
            <x v="113"/>
          </reference>
          <reference field="2" count="1" selected="0">
            <x v="15"/>
          </reference>
          <reference field="3" count="1" selected="0">
            <x v="8"/>
          </reference>
          <reference field="4" count="1" selected="0">
            <x v="201"/>
          </reference>
          <reference field="5" count="1" selected="0">
            <x v="238"/>
          </reference>
          <reference field="6" count="1">
            <x v="47"/>
          </reference>
        </references>
      </pivotArea>
    </format>
    <format dxfId="1217">
      <pivotArea dataOnly="0" labelOnly="1" fieldPosition="0">
        <references count="6">
          <reference field="1" count="1" selected="0">
            <x v="113"/>
          </reference>
          <reference field="2" count="1" selected="0">
            <x v="15"/>
          </reference>
          <reference field="3" count="1" selected="0">
            <x v="38"/>
          </reference>
          <reference field="4" count="1" selected="0">
            <x v="201"/>
          </reference>
          <reference field="5" count="1" selected="0">
            <x v="1317"/>
          </reference>
          <reference field="6" count="1">
            <x v="47"/>
          </reference>
        </references>
      </pivotArea>
    </format>
    <format dxfId="1216">
      <pivotArea dataOnly="0" labelOnly="1" fieldPosition="0">
        <references count="6">
          <reference field="1" count="1" selected="0">
            <x v="113"/>
          </reference>
          <reference field="2" count="1" selected="0">
            <x v="21"/>
          </reference>
          <reference field="3" count="1" selected="0">
            <x v="38"/>
          </reference>
          <reference field="4" count="1" selected="0">
            <x v="201"/>
          </reference>
          <reference field="5" count="1" selected="0">
            <x v="728"/>
          </reference>
          <reference field="6" count="1">
            <x v="47"/>
          </reference>
        </references>
      </pivotArea>
    </format>
    <format dxfId="1215">
      <pivotArea dataOnly="0" labelOnly="1" fieldPosition="0">
        <references count="6">
          <reference field="1" count="1" selected="0">
            <x v="113"/>
          </reference>
          <reference field="2" count="1" selected="0">
            <x v="23"/>
          </reference>
          <reference field="3" count="1" selected="0">
            <x v="7"/>
          </reference>
          <reference field="4" count="1" selected="0">
            <x v="201"/>
          </reference>
          <reference field="5" count="1" selected="0">
            <x v="371"/>
          </reference>
          <reference field="6" count="1">
            <x v="47"/>
          </reference>
        </references>
      </pivotArea>
    </format>
    <format dxfId="1214">
      <pivotArea dataOnly="0" labelOnly="1" fieldPosition="0">
        <references count="6">
          <reference field="1" count="1" selected="0">
            <x v="113"/>
          </reference>
          <reference field="2" count="1" selected="0">
            <x v="24"/>
          </reference>
          <reference field="3" count="1" selected="0">
            <x v="38"/>
          </reference>
          <reference field="4" count="1" selected="0">
            <x v="201"/>
          </reference>
          <reference field="5" count="1" selected="0">
            <x v="1759"/>
          </reference>
          <reference field="6" count="1">
            <x v="47"/>
          </reference>
        </references>
      </pivotArea>
    </format>
    <format dxfId="1213">
      <pivotArea dataOnly="0" labelOnly="1" fieldPosition="0">
        <references count="6">
          <reference field="1" count="1" selected="0">
            <x v="113"/>
          </reference>
          <reference field="2" count="1" selected="0">
            <x v="26"/>
          </reference>
          <reference field="3" count="1" selected="0">
            <x v="38"/>
          </reference>
          <reference field="4" count="1" selected="0">
            <x v="201"/>
          </reference>
          <reference field="5" count="1" selected="0">
            <x v="109"/>
          </reference>
          <reference field="6" count="1">
            <x v="47"/>
          </reference>
        </references>
      </pivotArea>
    </format>
    <format dxfId="1212">
      <pivotArea dataOnly="0" labelOnly="1" fieldPosition="0">
        <references count="6">
          <reference field="1" count="1" selected="0">
            <x v="113"/>
          </reference>
          <reference field="2" count="1" selected="0">
            <x v="27"/>
          </reference>
          <reference field="3" count="1" selected="0">
            <x v="38"/>
          </reference>
          <reference field="4" count="1" selected="0">
            <x v="201"/>
          </reference>
          <reference field="5" count="1" selected="0">
            <x v="39"/>
          </reference>
          <reference field="6" count="1">
            <x v="47"/>
          </reference>
        </references>
      </pivotArea>
    </format>
    <format dxfId="1211">
      <pivotArea dataOnly="0" labelOnly="1" fieldPosition="0">
        <references count="6">
          <reference field="1" count="1" selected="0">
            <x v="113"/>
          </reference>
          <reference field="2" count="1" selected="0">
            <x v="29"/>
          </reference>
          <reference field="3" count="1" selected="0">
            <x v="38"/>
          </reference>
          <reference field="4" count="1" selected="0">
            <x v="201"/>
          </reference>
          <reference field="5" count="1" selected="0">
            <x v="1583"/>
          </reference>
          <reference field="6" count="1">
            <x v="47"/>
          </reference>
        </references>
      </pivotArea>
    </format>
    <format dxfId="1210">
      <pivotArea dataOnly="0" labelOnly="1" fieldPosition="0">
        <references count="6">
          <reference field="1" count="1" selected="0">
            <x v="113"/>
          </reference>
          <reference field="2" count="1" selected="0">
            <x v="35"/>
          </reference>
          <reference field="3" count="1" selected="0">
            <x v="1"/>
          </reference>
          <reference field="4" count="1" selected="0">
            <x v="201"/>
          </reference>
          <reference field="5" count="1" selected="0">
            <x v="80"/>
          </reference>
          <reference field="6" count="1">
            <x v="47"/>
          </reference>
        </references>
      </pivotArea>
    </format>
    <format dxfId="1209">
      <pivotArea dataOnly="0" labelOnly="1" fieldPosition="0">
        <references count="6">
          <reference field="1" count="1" selected="0">
            <x v="114"/>
          </reference>
          <reference field="2" count="1" selected="0">
            <x v="0"/>
          </reference>
          <reference field="3" count="1" selected="0">
            <x v="12"/>
          </reference>
          <reference field="4" count="1" selected="0">
            <x v="62"/>
          </reference>
          <reference field="5" count="1" selected="0">
            <x v="77"/>
          </reference>
          <reference field="6" count="1">
            <x v="47"/>
          </reference>
        </references>
      </pivotArea>
    </format>
    <format dxfId="1208">
      <pivotArea dataOnly="0" labelOnly="1" fieldPosition="0">
        <references count="6">
          <reference field="1" count="1" selected="0">
            <x v="114"/>
          </reference>
          <reference field="2" count="1" selected="0">
            <x v="0"/>
          </reference>
          <reference field="3" count="1" selected="0">
            <x v="26"/>
          </reference>
          <reference field="4" count="1" selected="0">
            <x v="202"/>
          </reference>
          <reference field="5" count="1" selected="0">
            <x v="601"/>
          </reference>
          <reference field="6" count="1">
            <x v="47"/>
          </reference>
        </references>
      </pivotArea>
    </format>
    <format dxfId="1207">
      <pivotArea dataOnly="0" labelOnly="1" fieldPosition="0">
        <references count="6">
          <reference field="1" count="1" selected="0">
            <x v="114"/>
          </reference>
          <reference field="2" count="1" selected="0">
            <x v="0"/>
          </reference>
          <reference field="3" count="1" selected="0">
            <x v="26"/>
          </reference>
          <reference field="4" count="1" selected="0">
            <x v="202"/>
          </reference>
          <reference field="5" count="1" selected="0">
            <x v="725"/>
          </reference>
          <reference field="6" count="1">
            <x v="47"/>
          </reference>
        </references>
      </pivotArea>
    </format>
    <format dxfId="1206">
      <pivotArea dataOnly="0" labelOnly="1" fieldPosition="0">
        <references count="6">
          <reference field="1" count="1" selected="0">
            <x v="114"/>
          </reference>
          <reference field="2" count="1" selected="0">
            <x v="0"/>
          </reference>
          <reference field="3" count="1" selected="0">
            <x v="26"/>
          </reference>
          <reference field="4" count="1" selected="0">
            <x v="202"/>
          </reference>
          <reference field="5" count="1" selected="0">
            <x v="796"/>
          </reference>
          <reference field="6" count="1">
            <x v="47"/>
          </reference>
        </references>
      </pivotArea>
    </format>
    <format dxfId="1205">
      <pivotArea dataOnly="0" labelOnly="1" fieldPosition="0">
        <references count="6">
          <reference field="1" count="1" selected="0">
            <x v="114"/>
          </reference>
          <reference field="2" count="1" selected="0">
            <x v="0"/>
          </reference>
          <reference field="3" count="1" selected="0">
            <x v="26"/>
          </reference>
          <reference field="4" count="1" selected="0">
            <x v="202"/>
          </reference>
          <reference field="5" count="1" selected="0">
            <x v="1046"/>
          </reference>
          <reference field="6" count="1">
            <x v="47"/>
          </reference>
        </references>
      </pivotArea>
    </format>
    <format dxfId="1204">
      <pivotArea dataOnly="0" labelOnly="1" fieldPosition="0">
        <references count="6">
          <reference field="1" count="1" selected="0">
            <x v="114"/>
          </reference>
          <reference field="2" count="1" selected="0">
            <x v="0"/>
          </reference>
          <reference field="3" count="1" selected="0">
            <x v="26"/>
          </reference>
          <reference field="4" count="1" selected="0">
            <x v="202"/>
          </reference>
          <reference field="5" count="1" selected="0">
            <x v="1102"/>
          </reference>
          <reference field="6" count="1">
            <x v="47"/>
          </reference>
        </references>
      </pivotArea>
    </format>
    <format dxfId="1203">
      <pivotArea dataOnly="0" labelOnly="1" fieldPosition="0">
        <references count="6">
          <reference field="1" count="1" selected="0">
            <x v="114"/>
          </reference>
          <reference field="2" count="1" selected="0">
            <x v="0"/>
          </reference>
          <reference field="3" count="1" selected="0">
            <x v="26"/>
          </reference>
          <reference field="4" count="1" selected="0">
            <x v="202"/>
          </reference>
          <reference field="5" count="1" selected="0">
            <x v="1531"/>
          </reference>
          <reference field="6" count="1">
            <x v="47"/>
          </reference>
        </references>
      </pivotArea>
    </format>
    <format dxfId="1202">
      <pivotArea dataOnly="0" labelOnly="1" fieldPosition="0">
        <references count="6">
          <reference field="1" count="1" selected="0">
            <x v="114"/>
          </reference>
          <reference field="2" count="1" selected="0">
            <x v="0"/>
          </reference>
          <reference field="3" count="1" selected="0">
            <x v="38"/>
          </reference>
          <reference field="4" count="1" selected="0">
            <x v="203"/>
          </reference>
          <reference field="5" count="1" selected="0">
            <x v="138"/>
          </reference>
          <reference field="6" count="1">
            <x v="47"/>
          </reference>
        </references>
      </pivotArea>
    </format>
    <format dxfId="1201">
      <pivotArea dataOnly="0" labelOnly="1" fieldPosition="0">
        <references count="6">
          <reference field="1" count="1" selected="0">
            <x v="114"/>
          </reference>
          <reference field="2" count="1" selected="0">
            <x v="2"/>
          </reference>
          <reference field="3" count="1" selected="0">
            <x v="26"/>
          </reference>
          <reference field="4" count="1" selected="0">
            <x v="202"/>
          </reference>
          <reference field="5" count="1" selected="0">
            <x v="1724"/>
          </reference>
          <reference field="6" count="1">
            <x v="47"/>
          </reference>
        </references>
      </pivotArea>
    </format>
    <format dxfId="1200">
      <pivotArea dataOnly="0" labelOnly="1" fieldPosition="0">
        <references count="6">
          <reference field="1" count="1" selected="0">
            <x v="114"/>
          </reference>
          <reference field="2" count="1" selected="0">
            <x v="3"/>
          </reference>
          <reference field="3" count="1" selected="0">
            <x v="26"/>
          </reference>
          <reference field="4" count="1" selected="0">
            <x v="202"/>
          </reference>
          <reference field="5" count="1" selected="0">
            <x v="178"/>
          </reference>
          <reference field="6" count="1">
            <x v="47"/>
          </reference>
        </references>
      </pivotArea>
    </format>
    <format dxfId="1199">
      <pivotArea dataOnly="0" labelOnly="1" fieldPosition="0">
        <references count="6">
          <reference field="1" count="1" selected="0">
            <x v="114"/>
          </reference>
          <reference field="2" count="1" selected="0">
            <x v="3"/>
          </reference>
          <reference field="3" count="1" selected="0">
            <x v="38"/>
          </reference>
          <reference field="4" count="1" selected="0">
            <x v="203"/>
          </reference>
          <reference field="5" count="1" selected="0">
            <x v="202"/>
          </reference>
          <reference field="6" count="1">
            <x v="47"/>
          </reference>
        </references>
      </pivotArea>
    </format>
    <format dxfId="1198">
      <pivotArea dataOnly="0" labelOnly="1" fieldPosition="0">
        <references count="6">
          <reference field="1" count="1" selected="0">
            <x v="114"/>
          </reference>
          <reference field="2" count="1" selected="0">
            <x v="10"/>
          </reference>
          <reference field="3" count="1" selected="0">
            <x v="1"/>
          </reference>
          <reference field="4" count="1" selected="0">
            <x v="203"/>
          </reference>
          <reference field="5" count="1" selected="0">
            <x v="1487"/>
          </reference>
          <reference field="6" count="1">
            <x v="47"/>
          </reference>
        </references>
      </pivotArea>
    </format>
    <format dxfId="1197">
      <pivotArea dataOnly="0" labelOnly="1" fieldPosition="0">
        <references count="6">
          <reference field="1" count="1" selected="0">
            <x v="114"/>
          </reference>
          <reference field="2" count="1" selected="0">
            <x v="12"/>
          </reference>
          <reference field="3" count="1" selected="0">
            <x v="1"/>
          </reference>
          <reference field="4" count="1" selected="0">
            <x v="203"/>
          </reference>
          <reference field="5" count="1" selected="0">
            <x v="80"/>
          </reference>
          <reference field="6" count="1">
            <x v="47"/>
          </reference>
        </references>
      </pivotArea>
    </format>
    <format dxfId="1196">
      <pivotArea dataOnly="0" labelOnly="1" fieldPosition="0">
        <references count="6">
          <reference field="1" count="1" selected="0">
            <x v="114"/>
          </reference>
          <reference field="2" count="1" selected="0">
            <x v="12"/>
          </reference>
          <reference field="3" count="1" selected="0">
            <x v="1"/>
          </reference>
          <reference field="4" count="1" selected="0">
            <x v="203"/>
          </reference>
          <reference field="5" count="1" selected="0">
            <x v="352"/>
          </reference>
          <reference field="6" count="1">
            <x v="47"/>
          </reference>
        </references>
      </pivotArea>
    </format>
    <format dxfId="1195">
      <pivotArea dataOnly="0" labelOnly="1" fieldPosition="0">
        <references count="6">
          <reference field="1" count="1" selected="0">
            <x v="114"/>
          </reference>
          <reference field="2" count="1" selected="0">
            <x v="12"/>
          </reference>
          <reference field="3" count="1" selected="0">
            <x v="1"/>
          </reference>
          <reference field="4" count="1" selected="0">
            <x v="203"/>
          </reference>
          <reference field="5" count="1" selected="0">
            <x v="607"/>
          </reference>
          <reference field="6" count="1">
            <x v="47"/>
          </reference>
        </references>
      </pivotArea>
    </format>
    <format dxfId="1194">
      <pivotArea dataOnly="0" labelOnly="1" fieldPosition="0">
        <references count="6">
          <reference field="1" count="1" selected="0">
            <x v="114"/>
          </reference>
          <reference field="2" count="1" selected="0">
            <x v="12"/>
          </reference>
          <reference field="3" count="1" selected="0">
            <x v="8"/>
          </reference>
          <reference field="4" count="1" selected="0">
            <x v="203"/>
          </reference>
          <reference field="5" count="1" selected="0">
            <x v="0"/>
          </reference>
          <reference field="6" count="1">
            <x v="38"/>
          </reference>
        </references>
      </pivotArea>
    </format>
    <format dxfId="1193">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269"/>
          </reference>
          <reference field="6" count="1">
            <x v="47"/>
          </reference>
        </references>
      </pivotArea>
    </format>
    <format dxfId="1192">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378"/>
          </reference>
          <reference field="6" count="1">
            <x v="47"/>
          </reference>
        </references>
      </pivotArea>
    </format>
    <format dxfId="1191">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442"/>
          </reference>
          <reference field="6" count="1">
            <x v="47"/>
          </reference>
        </references>
      </pivotArea>
    </format>
    <format dxfId="1190">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492"/>
          </reference>
          <reference field="6" count="1">
            <x v="47"/>
          </reference>
        </references>
      </pivotArea>
    </format>
    <format dxfId="1189">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799"/>
          </reference>
          <reference field="6" count="1">
            <x v="47"/>
          </reference>
        </references>
      </pivotArea>
    </format>
    <format dxfId="1188">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815"/>
          </reference>
          <reference field="6" count="1">
            <x v="47"/>
          </reference>
        </references>
      </pivotArea>
    </format>
    <format dxfId="1187">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179"/>
          </reference>
          <reference field="6" count="1">
            <x v="47"/>
          </reference>
        </references>
      </pivotArea>
    </format>
    <format dxfId="1186">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300"/>
          </reference>
          <reference field="6" count="1">
            <x v="47"/>
          </reference>
        </references>
      </pivotArea>
    </format>
    <format dxfId="1185">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384"/>
          </reference>
          <reference field="6" count="1">
            <x v="47"/>
          </reference>
        </references>
      </pivotArea>
    </format>
    <format dxfId="1184">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389"/>
          </reference>
          <reference field="6" count="1">
            <x v="47"/>
          </reference>
        </references>
      </pivotArea>
    </format>
    <format dxfId="1183">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406"/>
          </reference>
          <reference field="6" count="1">
            <x v="47"/>
          </reference>
        </references>
      </pivotArea>
    </format>
    <format dxfId="1182">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435"/>
          </reference>
          <reference field="6" count="1">
            <x v="47"/>
          </reference>
        </references>
      </pivotArea>
    </format>
    <format dxfId="1181">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436"/>
          </reference>
          <reference field="6" count="1">
            <x v="47"/>
          </reference>
        </references>
      </pivotArea>
    </format>
    <format dxfId="1180">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474"/>
          </reference>
          <reference field="6" count="1">
            <x v="47"/>
          </reference>
        </references>
      </pivotArea>
    </format>
    <format dxfId="1179">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502"/>
          </reference>
          <reference field="6" count="1">
            <x v="47"/>
          </reference>
        </references>
      </pivotArea>
    </format>
    <format dxfId="1178">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551"/>
          </reference>
          <reference field="6" count="1">
            <x v="47"/>
          </reference>
        </references>
      </pivotArea>
    </format>
    <format dxfId="1177">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629"/>
          </reference>
          <reference field="6" count="1">
            <x v="47"/>
          </reference>
        </references>
      </pivotArea>
    </format>
    <format dxfId="1176">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642"/>
          </reference>
          <reference field="6" count="1">
            <x v="47"/>
          </reference>
        </references>
      </pivotArea>
    </format>
    <format dxfId="1175">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664"/>
          </reference>
          <reference field="6" count="1">
            <x v="47"/>
          </reference>
        </references>
      </pivotArea>
    </format>
    <format dxfId="1174">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686"/>
          </reference>
          <reference field="6" count="1">
            <x v="47"/>
          </reference>
        </references>
      </pivotArea>
    </format>
    <format dxfId="1173">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718"/>
          </reference>
          <reference field="6" count="1">
            <x v="47"/>
          </reference>
        </references>
      </pivotArea>
    </format>
    <format dxfId="1172">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739"/>
          </reference>
          <reference field="6" count="1">
            <x v="47"/>
          </reference>
        </references>
      </pivotArea>
    </format>
    <format dxfId="1171">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761"/>
          </reference>
          <reference field="6" count="1">
            <x v="47"/>
          </reference>
        </references>
      </pivotArea>
    </format>
    <format dxfId="1170">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782"/>
          </reference>
          <reference field="6" count="1">
            <x v="47"/>
          </reference>
        </references>
      </pivotArea>
    </format>
    <format dxfId="1169">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787"/>
          </reference>
          <reference field="6" count="1">
            <x v="47"/>
          </reference>
        </references>
      </pivotArea>
    </format>
    <format dxfId="1168">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797"/>
          </reference>
          <reference field="6" count="1">
            <x v="47"/>
          </reference>
        </references>
      </pivotArea>
    </format>
    <format dxfId="1167">
      <pivotArea dataOnly="0" labelOnly="1" fieldPosition="0">
        <references count="6">
          <reference field="1" count="1" selected="0">
            <x v="114"/>
          </reference>
          <reference field="2" count="1" selected="0">
            <x v="12"/>
          </reference>
          <reference field="3" count="1" selected="0">
            <x v="26"/>
          </reference>
          <reference field="4" count="1" selected="0">
            <x v="202"/>
          </reference>
          <reference field="5" count="1" selected="0">
            <x v="1828"/>
          </reference>
          <reference field="6" count="1">
            <x v="47"/>
          </reference>
        </references>
      </pivotArea>
    </format>
    <format dxfId="1166">
      <pivotArea dataOnly="0" labelOnly="1" fieldPosition="0">
        <references count="6">
          <reference field="1" count="1" selected="0">
            <x v="114"/>
          </reference>
          <reference field="2" count="1" selected="0">
            <x v="12"/>
          </reference>
          <reference field="3" count="1" selected="0">
            <x v="38"/>
          </reference>
          <reference field="4" count="1" selected="0">
            <x v="203"/>
          </reference>
          <reference field="5" count="1" selected="0">
            <x v="352"/>
          </reference>
          <reference field="6" count="1">
            <x v="47"/>
          </reference>
        </references>
      </pivotArea>
    </format>
    <format dxfId="1165">
      <pivotArea dataOnly="0" labelOnly="1" fieldPosition="0">
        <references count="6">
          <reference field="1" count="1" selected="0">
            <x v="114"/>
          </reference>
          <reference field="2" count="1" selected="0">
            <x v="23"/>
          </reference>
          <reference field="3" count="1" selected="0">
            <x v="26"/>
          </reference>
          <reference field="4" count="1" selected="0">
            <x v="202"/>
          </reference>
          <reference field="5" count="1" selected="0">
            <x v="1878"/>
          </reference>
          <reference field="6" count="1">
            <x v="47"/>
          </reference>
        </references>
      </pivotArea>
    </format>
    <format dxfId="1164">
      <pivotArea dataOnly="0" labelOnly="1" fieldPosition="0">
        <references count="6">
          <reference field="1" count="1" selected="0">
            <x v="114"/>
          </reference>
          <reference field="2" count="1" selected="0">
            <x v="24"/>
          </reference>
          <reference field="3" count="1" selected="0">
            <x v="26"/>
          </reference>
          <reference field="4" count="1" selected="0">
            <x v="202"/>
          </reference>
          <reference field="5" count="1" selected="0">
            <x v="1520"/>
          </reference>
          <reference field="6" count="1">
            <x v="47"/>
          </reference>
        </references>
      </pivotArea>
    </format>
    <format dxfId="1163">
      <pivotArea dataOnly="0" labelOnly="1" fieldPosition="0">
        <references count="6">
          <reference field="1" count="1" selected="0">
            <x v="114"/>
          </reference>
          <reference field="2" count="1" selected="0">
            <x v="26"/>
          </reference>
          <reference field="3" count="1" selected="0">
            <x v="38"/>
          </reference>
          <reference field="4" count="1" selected="0">
            <x v="203"/>
          </reference>
          <reference field="5" count="1" selected="0">
            <x v="109"/>
          </reference>
          <reference field="6" count="1">
            <x v="47"/>
          </reference>
        </references>
      </pivotArea>
    </format>
    <format dxfId="1162">
      <pivotArea dataOnly="0" labelOnly="1" fieldPosition="0">
        <references count="6">
          <reference field="1" count="1" selected="0">
            <x v="114"/>
          </reference>
          <reference field="2" count="1" selected="0">
            <x v="29"/>
          </reference>
          <reference field="3" count="1" selected="0">
            <x v="37"/>
          </reference>
          <reference field="4" count="1" selected="0">
            <x v="203"/>
          </reference>
          <reference field="5" count="1" selected="0">
            <x v="721"/>
          </reference>
          <reference field="6" count="1">
            <x v="47"/>
          </reference>
        </references>
      </pivotArea>
    </format>
    <format dxfId="1161">
      <pivotArea dataOnly="0" labelOnly="1" fieldPosition="0">
        <references count="6">
          <reference field="1" count="1" selected="0">
            <x v="114"/>
          </reference>
          <reference field="2" count="1" selected="0">
            <x v="30"/>
          </reference>
          <reference field="3" count="1" selected="0">
            <x v="6"/>
          </reference>
          <reference field="4" count="1" selected="0">
            <x v="203"/>
          </reference>
          <reference field="5" count="1" selected="0">
            <x v="1844"/>
          </reference>
          <reference field="6" count="1">
            <x v="47"/>
          </reference>
        </references>
      </pivotArea>
    </format>
    <format dxfId="1160">
      <pivotArea dataOnly="0" labelOnly="1" fieldPosition="0">
        <references count="6">
          <reference field="1" count="1" selected="0">
            <x v="114"/>
          </reference>
          <reference field="2" count="1" selected="0">
            <x v="35"/>
          </reference>
          <reference field="3" count="1" selected="0">
            <x v="1"/>
          </reference>
          <reference field="4" count="1" selected="0">
            <x v="203"/>
          </reference>
          <reference field="5" count="1" selected="0">
            <x v="80"/>
          </reference>
          <reference field="6" count="1">
            <x v="47"/>
          </reference>
        </references>
      </pivotArea>
    </format>
    <format dxfId="1159">
      <pivotArea dataOnly="0" labelOnly="1" fieldPosition="0">
        <references count="6">
          <reference field="1" count="1" selected="0">
            <x v="114"/>
          </reference>
          <reference field="2" count="1" selected="0">
            <x v="35"/>
          </reference>
          <reference field="3" count="1" selected="0">
            <x v="26"/>
          </reference>
          <reference field="4" count="1" selected="0">
            <x v="202"/>
          </reference>
          <reference field="5" count="1" selected="0">
            <x v="115"/>
          </reference>
          <reference field="6" count="1">
            <x v="47"/>
          </reference>
        </references>
      </pivotArea>
    </format>
    <format dxfId="1158">
      <pivotArea dataOnly="0" labelOnly="1" fieldPosition="0">
        <references count="6">
          <reference field="1" count="1" selected="0">
            <x v="114"/>
          </reference>
          <reference field="2" count="1" selected="0">
            <x v="35"/>
          </reference>
          <reference field="3" count="1" selected="0">
            <x v="26"/>
          </reference>
          <reference field="4" count="1" selected="0">
            <x v="202"/>
          </reference>
          <reference field="5" count="1" selected="0">
            <x v="130"/>
          </reference>
          <reference field="6" count="1">
            <x v="47"/>
          </reference>
        </references>
      </pivotArea>
    </format>
    <format dxfId="1157">
      <pivotArea dataOnly="0" labelOnly="1" fieldPosition="0">
        <references count="6">
          <reference field="1" count="1" selected="0">
            <x v="114"/>
          </reference>
          <reference field="2" count="1" selected="0">
            <x v="35"/>
          </reference>
          <reference field="3" count="1" selected="0">
            <x v="26"/>
          </reference>
          <reference field="4" count="1" selected="0">
            <x v="202"/>
          </reference>
          <reference field="5" count="1" selected="0">
            <x v="266"/>
          </reference>
          <reference field="6" count="1">
            <x v="47"/>
          </reference>
        </references>
      </pivotArea>
    </format>
    <format dxfId="1156">
      <pivotArea dataOnly="0" labelOnly="1" fieldPosition="0">
        <references count="6">
          <reference field="1" count="1" selected="0">
            <x v="114"/>
          </reference>
          <reference field="2" count="1" selected="0">
            <x v="35"/>
          </reference>
          <reference field="3" count="1" selected="0">
            <x v="26"/>
          </reference>
          <reference field="4" count="1" selected="0">
            <x v="202"/>
          </reference>
          <reference field="5" count="1" selected="0">
            <x v="487"/>
          </reference>
          <reference field="6" count="1">
            <x v="47"/>
          </reference>
        </references>
      </pivotArea>
    </format>
    <format dxfId="1155">
      <pivotArea dataOnly="0" labelOnly="1" fieldPosition="0">
        <references count="6">
          <reference field="1" count="1" selected="0">
            <x v="114"/>
          </reference>
          <reference field="2" count="1" selected="0">
            <x v="35"/>
          </reference>
          <reference field="3" count="1" selected="0">
            <x v="26"/>
          </reference>
          <reference field="4" count="1" selected="0">
            <x v="202"/>
          </reference>
          <reference field="5" count="1" selected="0">
            <x v="504"/>
          </reference>
          <reference field="6" count="1">
            <x v="47"/>
          </reference>
        </references>
      </pivotArea>
    </format>
    <format dxfId="1154">
      <pivotArea dataOnly="0" labelOnly="1" fieldPosition="0">
        <references count="6">
          <reference field="1" count="1" selected="0">
            <x v="114"/>
          </reference>
          <reference field="2" count="1" selected="0">
            <x v="35"/>
          </reference>
          <reference field="3" count="1" selected="0">
            <x v="26"/>
          </reference>
          <reference field="4" count="1" selected="0">
            <x v="202"/>
          </reference>
          <reference field="5" count="1" selected="0">
            <x v="574"/>
          </reference>
          <reference field="6" count="1">
            <x v="47"/>
          </reference>
        </references>
      </pivotArea>
    </format>
    <format dxfId="1153">
      <pivotArea dataOnly="0" labelOnly="1" fieldPosition="0">
        <references count="6">
          <reference field="1" count="1" selected="0">
            <x v="114"/>
          </reference>
          <reference field="2" count="1" selected="0">
            <x v="35"/>
          </reference>
          <reference field="3" count="1" selected="0">
            <x v="26"/>
          </reference>
          <reference field="4" count="1" selected="0">
            <x v="202"/>
          </reference>
          <reference field="5" count="1" selected="0">
            <x v="581"/>
          </reference>
          <reference field="6" count="1">
            <x v="47"/>
          </reference>
        </references>
      </pivotArea>
    </format>
    <format dxfId="1152">
      <pivotArea dataOnly="0" labelOnly="1" fieldPosition="0">
        <references count="6">
          <reference field="1" count="1" selected="0">
            <x v="114"/>
          </reference>
          <reference field="2" count="1" selected="0">
            <x v="35"/>
          </reference>
          <reference field="3" count="1" selected="0">
            <x v="26"/>
          </reference>
          <reference field="4" count="1" selected="0">
            <x v="202"/>
          </reference>
          <reference field="5" count="1" selected="0">
            <x v="734"/>
          </reference>
          <reference field="6" count="1">
            <x v="47"/>
          </reference>
        </references>
      </pivotArea>
    </format>
    <format dxfId="1151">
      <pivotArea dataOnly="0" labelOnly="1" fieldPosition="0">
        <references count="6">
          <reference field="1" count="1" selected="0">
            <x v="114"/>
          </reference>
          <reference field="2" count="1" selected="0">
            <x v="35"/>
          </reference>
          <reference field="3" count="1" selected="0">
            <x v="26"/>
          </reference>
          <reference field="4" count="1" selected="0">
            <x v="202"/>
          </reference>
          <reference field="5" count="1" selected="0">
            <x v="928"/>
          </reference>
          <reference field="6" count="1">
            <x v="47"/>
          </reference>
        </references>
      </pivotArea>
    </format>
    <format dxfId="1150">
      <pivotArea dataOnly="0" labelOnly="1" fieldPosition="0">
        <references count="6">
          <reference field="1" count="1" selected="0">
            <x v="114"/>
          </reference>
          <reference field="2" count="1" selected="0">
            <x v="35"/>
          </reference>
          <reference field="3" count="1" selected="0">
            <x v="26"/>
          </reference>
          <reference field="4" count="1" selected="0">
            <x v="202"/>
          </reference>
          <reference field="5" count="1" selected="0">
            <x v="946"/>
          </reference>
          <reference field="6" count="1">
            <x v="47"/>
          </reference>
        </references>
      </pivotArea>
    </format>
    <format dxfId="1149">
      <pivotArea dataOnly="0" labelOnly="1" fieldPosition="0">
        <references count="6">
          <reference field="1" count="1" selected="0">
            <x v="114"/>
          </reference>
          <reference field="2" count="1" selected="0">
            <x v="35"/>
          </reference>
          <reference field="3" count="1" selected="0">
            <x v="26"/>
          </reference>
          <reference field="4" count="1" selected="0">
            <x v="202"/>
          </reference>
          <reference field="5" count="1" selected="0">
            <x v="1000"/>
          </reference>
          <reference field="6" count="1">
            <x v="47"/>
          </reference>
        </references>
      </pivotArea>
    </format>
    <format dxfId="1148">
      <pivotArea dataOnly="0" labelOnly="1" fieldPosition="0">
        <references count="6">
          <reference field="1" count="1" selected="0">
            <x v="114"/>
          </reference>
          <reference field="2" count="1" selected="0">
            <x v="35"/>
          </reference>
          <reference field="3" count="1" selected="0">
            <x v="26"/>
          </reference>
          <reference field="4" count="1" selected="0">
            <x v="202"/>
          </reference>
          <reference field="5" count="1" selected="0">
            <x v="1190"/>
          </reference>
          <reference field="6" count="1">
            <x v="47"/>
          </reference>
        </references>
      </pivotArea>
    </format>
    <format dxfId="1147">
      <pivotArea dataOnly="0" labelOnly="1" fieldPosition="0">
        <references count="6">
          <reference field="1" count="1" selected="0">
            <x v="114"/>
          </reference>
          <reference field="2" count="1" selected="0">
            <x v="35"/>
          </reference>
          <reference field="3" count="1" selected="0">
            <x v="26"/>
          </reference>
          <reference field="4" count="1" selected="0">
            <x v="202"/>
          </reference>
          <reference field="5" count="1" selected="0">
            <x v="1275"/>
          </reference>
          <reference field="6" count="1">
            <x v="47"/>
          </reference>
        </references>
      </pivotArea>
    </format>
    <format dxfId="1146">
      <pivotArea dataOnly="0" labelOnly="1" fieldPosition="0">
        <references count="6">
          <reference field="1" count="1" selected="0">
            <x v="114"/>
          </reference>
          <reference field="2" count="1" selected="0">
            <x v="35"/>
          </reference>
          <reference field="3" count="1" selected="0">
            <x v="26"/>
          </reference>
          <reference field="4" count="1" selected="0">
            <x v="202"/>
          </reference>
          <reference field="5" count="1" selected="0">
            <x v="1372"/>
          </reference>
          <reference field="6" count="1">
            <x v="47"/>
          </reference>
        </references>
      </pivotArea>
    </format>
    <format dxfId="1145">
      <pivotArea dataOnly="0" labelOnly="1" fieldPosition="0">
        <references count="6">
          <reference field="1" count="1" selected="0">
            <x v="114"/>
          </reference>
          <reference field="2" count="1" selected="0">
            <x v="35"/>
          </reference>
          <reference field="3" count="1" selected="0">
            <x v="26"/>
          </reference>
          <reference field="4" count="1" selected="0">
            <x v="202"/>
          </reference>
          <reference field="5" count="1" selected="0">
            <x v="1467"/>
          </reference>
          <reference field="6" count="1">
            <x v="47"/>
          </reference>
        </references>
      </pivotArea>
    </format>
    <format dxfId="1144">
      <pivotArea dataOnly="0" labelOnly="1" fieldPosition="0">
        <references count="6">
          <reference field="1" count="1" selected="0">
            <x v="114"/>
          </reference>
          <reference field="2" count="1" selected="0">
            <x v="37"/>
          </reference>
          <reference field="3" count="1" selected="0">
            <x v="26"/>
          </reference>
          <reference field="4" count="1" selected="0">
            <x v="202"/>
          </reference>
          <reference field="5" count="1" selected="0">
            <x v="1658"/>
          </reference>
          <reference field="6" count="1">
            <x v="47"/>
          </reference>
        </references>
      </pivotArea>
    </format>
    <format dxfId="1143">
      <pivotArea dataOnly="0" labelOnly="1" fieldPosition="0">
        <references count="6">
          <reference field="1" count="1" selected="0">
            <x v="115"/>
          </reference>
          <reference field="2" count="1" selected="0">
            <x v="0"/>
          </reference>
          <reference field="3" count="1" selected="0">
            <x v="6"/>
          </reference>
          <reference field="4" count="1" selected="0">
            <x v="204"/>
          </reference>
          <reference field="5" count="1" selected="0">
            <x v="1356"/>
          </reference>
          <reference field="6" count="1">
            <x v="47"/>
          </reference>
        </references>
      </pivotArea>
    </format>
    <format dxfId="1142">
      <pivotArea dataOnly="0" labelOnly="1" fieldPosition="0">
        <references count="6">
          <reference field="1" count="1" selected="0">
            <x v="115"/>
          </reference>
          <reference field="2" count="1" selected="0">
            <x v="0"/>
          </reference>
          <reference field="3" count="1" selected="0">
            <x v="7"/>
          </reference>
          <reference field="4" count="1" selected="0">
            <x v="204"/>
          </reference>
          <reference field="5" count="1" selected="0">
            <x v="247"/>
          </reference>
          <reference field="6" count="1">
            <x v="47"/>
          </reference>
        </references>
      </pivotArea>
    </format>
    <format dxfId="1141">
      <pivotArea dataOnly="0" labelOnly="1" fieldPosition="0">
        <references count="6">
          <reference field="1" count="1" selected="0">
            <x v="115"/>
          </reference>
          <reference field="2" count="1" selected="0">
            <x v="0"/>
          </reference>
          <reference field="3" count="1" selected="0">
            <x v="7"/>
          </reference>
          <reference field="4" count="1" selected="0">
            <x v="204"/>
          </reference>
          <reference field="5" count="1" selected="0">
            <x v="469"/>
          </reference>
          <reference field="6" count="1">
            <x v="47"/>
          </reference>
        </references>
      </pivotArea>
    </format>
    <format dxfId="1140">
      <pivotArea dataOnly="0" labelOnly="1" fieldPosition="0">
        <references count="6">
          <reference field="1" count="1" selected="0">
            <x v="115"/>
          </reference>
          <reference field="2" count="1" selected="0">
            <x v="0"/>
          </reference>
          <reference field="3" count="1" selected="0">
            <x v="8"/>
          </reference>
          <reference field="4" count="1" selected="0">
            <x v="204"/>
          </reference>
          <reference field="5" count="1" selected="0">
            <x v="113"/>
          </reference>
          <reference field="6" count="1">
            <x v="47"/>
          </reference>
        </references>
      </pivotArea>
    </format>
    <format dxfId="1139">
      <pivotArea dataOnly="0" labelOnly="1" fieldPosition="0">
        <references count="6">
          <reference field="1" count="1" selected="0">
            <x v="115"/>
          </reference>
          <reference field="2" count="1" selected="0">
            <x v="0"/>
          </reference>
          <reference field="3" count="1" selected="0">
            <x v="8"/>
          </reference>
          <reference field="4" count="1" selected="0">
            <x v="204"/>
          </reference>
          <reference field="5" count="1" selected="0">
            <x v="550"/>
          </reference>
          <reference field="6" count="1">
            <x v="47"/>
          </reference>
        </references>
      </pivotArea>
    </format>
    <format dxfId="1138">
      <pivotArea dataOnly="0" labelOnly="1" fieldPosition="0">
        <references count="6">
          <reference field="1" count="1" selected="0">
            <x v="115"/>
          </reference>
          <reference field="2" count="1" selected="0">
            <x v="0"/>
          </reference>
          <reference field="3" count="1" selected="0">
            <x v="8"/>
          </reference>
          <reference field="4" count="1" selected="0">
            <x v="204"/>
          </reference>
          <reference field="5" count="1" selected="0">
            <x v="614"/>
          </reference>
          <reference field="6" count="1">
            <x v="47"/>
          </reference>
        </references>
      </pivotArea>
    </format>
    <format dxfId="1137">
      <pivotArea dataOnly="0" labelOnly="1" fieldPosition="0">
        <references count="6">
          <reference field="1" count="1" selected="0">
            <x v="115"/>
          </reference>
          <reference field="2" count="1" selected="0">
            <x v="0"/>
          </reference>
          <reference field="3" count="1" selected="0">
            <x v="8"/>
          </reference>
          <reference field="4" count="1" selected="0">
            <x v="204"/>
          </reference>
          <reference field="5" count="1" selected="0">
            <x v="768"/>
          </reference>
          <reference field="6" count="1">
            <x v="47"/>
          </reference>
        </references>
      </pivotArea>
    </format>
    <format dxfId="1136">
      <pivotArea dataOnly="0" labelOnly="1" fieldPosition="0">
        <references count="6">
          <reference field="1" count="1" selected="0">
            <x v="115"/>
          </reference>
          <reference field="2" count="1" selected="0">
            <x v="0"/>
          </reference>
          <reference field="3" count="1" selected="0">
            <x v="9"/>
          </reference>
          <reference field="4" count="1" selected="0">
            <x v="204"/>
          </reference>
          <reference field="5" count="1" selected="0">
            <x v="118"/>
          </reference>
          <reference field="6" count="1">
            <x v="47"/>
          </reference>
        </references>
      </pivotArea>
    </format>
    <format dxfId="1135">
      <pivotArea dataOnly="0" labelOnly="1" fieldPosition="0">
        <references count="6">
          <reference field="1" count="1" selected="0">
            <x v="115"/>
          </reference>
          <reference field="2" count="1" selected="0">
            <x v="0"/>
          </reference>
          <reference field="3" count="1" selected="0">
            <x v="9"/>
          </reference>
          <reference field="4" count="1" selected="0">
            <x v="204"/>
          </reference>
          <reference field="5" count="1" selected="0">
            <x v="439"/>
          </reference>
          <reference field="6" count="1">
            <x v="47"/>
          </reference>
        </references>
      </pivotArea>
    </format>
    <format dxfId="1134">
      <pivotArea dataOnly="0" labelOnly="1" fieldPosition="0">
        <references count="6">
          <reference field="1" count="1" selected="0">
            <x v="115"/>
          </reference>
          <reference field="2" count="1" selected="0">
            <x v="0"/>
          </reference>
          <reference field="3" count="1" selected="0">
            <x v="9"/>
          </reference>
          <reference field="4" count="1" selected="0">
            <x v="204"/>
          </reference>
          <reference field="5" count="1" selected="0">
            <x v="704"/>
          </reference>
          <reference field="6" count="1">
            <x v="47"/>
          </reference>
        </references>
      </pivotArea>
    </format>
    <format dxfId="1133">
      <pivotArea dataOnly="0" labelOnly="1" fieldPosition="0">
        <references count="6">
          <reference field="1" count="1" selected="0">
            <x v="115"/>
          </reference>
          <reference field="2" count="1" selected="0">
            <x v="0"/>
          </reference>
          <reference field="3" count="1" selected="0">
            <x v="9"/>
          </reference>
          <reference field="4" count="1" selected="0">
            <x v="204"/>
          </reference>
          <reference field="5" count="1" selected="0">
            <x v="1058"/>
          </reference>
          <reference field="6" count="1">
            <x v="47"/>
          </reference>
        </references>
      </pivotArea>
    </format>
    <format dxfId="1132">
      <pivotArea dataOnly="0" labelOnly="1" fieldPosition="0">
        <references count="6">
          <reference field="1" count="1" selected="0">
            <x v="115"/>
          </reference>
          <reference field="2" count="1" selected="0">
            <x v="0"/>
          </reference>
          <reference field="3" count="1" selected="0">
            <x v="9"/>
          </reference>
          <reference field="4" count="1" selected="0">
            <x v="204"/>
          </reference>
          <reference field="5" count="1" selected="0">
            <x v="1159"/>
          </reference>
          <reference field="6" count="1">
            <x v="47"/>
          </reference>
        </references>
      </pivotArea>
    </format>
    <format dxfId="1131">
      <pivotArea dataOnly="0" labelOnly="1" fieldPosition="0">
        <references count="6">
          <reference field="1" count="1" selected="0">
            <x v="115"/>
          </reference>
          <reference field="2" count="1" selected="0">
            <x v="0"/>
          </reference>
          <reference field="3" count="1" selected="0">
            <x v="9"/>
          </reference>
          <reference field="4" count="1" selected="0">
            <x v="204"/>
          </reference>
          <reference field="5" count="1" selected="0">
            <x v="1303"/>
          </reference>
          <reference field="6" count="1">
            <x v="47"/>
          </reference>
        </references>
      </pivotArea>
    </format>
    <format dxfId="1130">
      <pivotArea dataOnly="0" labelOnly="1" fieldPosition="0">
        <references count="6">
          <reference field="1" count="1" selected="0">
            <x v="115"/>
          </reference>
          <reference field="2" count="1" selected="0">
            <x v="0"/>
          </reference>
          <reference field="3" count="1" selected="0">
            <x v="12"/>
          </reference>
          <reference field="4" count="1" selected="0">
            <x v="30"/>
          </reference>
          <reference field="5" count="1" selected="0">
            <x v="14"/>
          </reference>
          <reference field="6" count="1">
            <x v="47"/>
          </reference>
        </references>
      </pivotArea>
    </format>
    <format dxfId="1129">
      <pivotArea dataOnly="0" labelOnly="1" fieldPosition="0">
        <references count="6">
          <reference field="1" count="1" selected="0">
            <x v="115"/>
          </reference>
          <reference field="2" count="1" selected="0">
            <x v="0"/>
          </reference>
          <reference field="3" count="1" selected="0">
            <x v="12"/>
          </reference>
          <reference field="4" count="1" selected="0">
            <x v="58"/>
          </reference>
          <reference field="5" count="1" selected="0">
            <x v="11"/>
          </reference>
          <reference field="6" count="1">
            <x v="47"/>
          </reference>
        </references>
      </pivotArea>
    </format>
    <format dxfId="1128">
      <pivotArea dataOnly="0" labelOnly="1" fieldPosition="0">
        <references count="6">
          <reference field="1" count="1" selected="0">
            <x v="115"/>
          </reference>
          <reference field="2" count="1" selected="0">
            <x v="0"/>
          </reference>
          <reference field="3" count="1" selected="0">
            <x v="12"/>
          </reference>
          <reference field="4" count="1" selected="0">
            <x v="60"/>
          </reference>
          <reference field="5" count="1" selected="0">
            <x v="138"/>
          </reference>
          <reference field="6" count="1">
            <x v="47"/>
          </reference>
        </references>
      </pivotArea>
    </format>
    <format dxfId="1127">
      <pivotArea dataOnly="0" labelOnly="1" fieldPosition="0">
        <references count="6">
          <reference field="1" count="1" selected="0">
            <x v="115"/>
          </reference>
          <reference field="2" count="1" selected="0">
            <x v="0"/>
          </reference>
          <reference field="3" count="1" selected="0">
            <x v="38"/>
          </reference>
          <reference field="4" count="1" selected="0">
            <x v="204"/>
          </reference>
          <reference field="5" count="1" selected="0">
            <x v="481"/>
          </reference>
          <reference field="6" count="1">
            <x v="47"/>
          </reference>
        </references>
      </pivotArea>
    </format>
    <format dxfId="1126">
      <pivotArea dataOnly="0" labelOnly="1" fieldPosition="0">
        <references count="6">
          <reference field="1" count="1" selected="0">
            <x v="115"/>
          </reference>
          <reference field="2" count="1" selected="0">
            <x v="7"/>
          </reference>
          <reference field="3" count="1" selected="0">
            <x v="10"/>
          </reference>
          <reference field="4" count="1" selected="0">
            <x v="204"/>
          </reference>
          <reference field="5" count="1" selected="0">
            <x v="875"/>
          </reference>
          <reference field="6" count="1">
            <x v="47"/>
          </reference>
        </references>
      </pivotArea>
    </format>
    <format dxfId="1125">
      <pivotArea dataOnly="0" labelOnly="1" fieldPosition="0">
        <references count="6">
          <reference field="1" count="1" selected="0">
            <x v="115"/>
          </reference>
          <reference field="2" count="1" selected="0">
            <x v="11"/>
          </reference>
          <reference field="3" count="1" selected="0">
            <x v="9"/>
          </reference>
          <reference field="4" count="1" selected="0">
            <x v="204"/>
          </reference>
          <reference field="5" count="1" selected="0">
            <x v="1101"/>
          </reference>
          <reference field="6" count="1">
            <x v="47"/>
          </reference>
        </references>
      </pivotArea>
    </format>
    <format dxfId="1124">
      <pivotArea dataOnly="0" labelOnly="1" fieldPosition="0">
        <references count="6">
          <reference field="1" count="1" selected="0">
            <x v="115"/>
          </reference>
          <reference field="2" count="1" selected="0">
            <x v="12"/>
          </reference>
          <reference field="3" count="1" selected="0">
            <x v="1"/>
          </reference>
          <reference field="4" count="1" selected="0">
            <x v="204"/>
          </reference>
          <reference field="5" count="1" selected="0">
            <x v="213"/>
          </reference>
          <reference field="6" count="1">
            <x v="47"/>
          </reference>
        </references>
      </pivotArea>
    </format>
    <format dxfId="1123">
      <pivotArea dataOnly="0" labelOnly="1" fieldPosition="0">
        <references count="6">
          <reference field="1" count="1" selected="0">
            <x v="115"/>
          </reference>
          <reference field="2" count="1" selected="0">
            <x v="15"/>
          </reference>
          <reference field="3" count="1" selected="0">
            <x v="8"/>
          </reference>
          <reference field="4" count="1" selected="0">
            <x v="204"/>
          </reference>
          <reference field="5" count="1" selected="0">
            <x v="352"/>
          </reference>
          <reference field="6" count="1">
            <x v="47"/>
          </reference>
        </references>
      </pivotArea>
    </format>
    <format dxfId="1122">
      <pivotArea dataOnly="0" labelOnly="1" fieldPosition="0">
        <references count="6">
          <reference field="1" count="1" selected="0">
            <x v="115"/>
          </reference>
          <reference field="2" count="1" selected="0">
            <x v="15"/>
          </reference>
          <reference field="3" count="1" selected="0">
            <x v="38"/>
          </reference>
          <reference field="4" count="1" selected="0">
            <x v="204"/>
          </reference>
          <reference field="5" count="1" selected="0">
            <x v="797"/>
          </reference>
          <reference field="6" count="1">
            <x v="47"/>
          </reference>
        </references>
      </pivotArea>
    </format>
    <format dxfId="1121">
      <pivotArea dataOnly="0" labelOnly="1" fieldPosition="0">
        <references count="6">
          <reference field="1" count="1" selected="0">
            <x v="115"/>
          </reference>
          <reference field="2" count="1" selected="0">
            <x v="26"/>
          </reference>
          <reference field="3" count="1" selected="0">
            <x v="38"/>
          </reference>
          <reference field="4" count="1" selected="0">
            <x v="204"/>
          </reference>
          <reference field="5" count="1" selected="0">
            <x v="352"/>
          </reference>
          <reference field="6" count="1">
            <x v="47"/>
          </reference>
        </references>
      </pivotArea>
    </format>
    <format dxfId="1120">
      <pivotArea dataOnly="0" labelOnly="1" fieldPosition="0">
        <references count="6">
          <reference field="1" count="1" selected="0">
            <x v="116"/>
          </reference>
          <reference field="2" count="1" selected="0">
            <x v="0"/>
          </reference>
          <reference field="3" count="1" selected="0">
            <x v="1"/>
          </reference>
          <reference field="4" count="1" selected="0">
            <x v="205"/>
          </reference>
          <reference field="5" count="1" selected="0">
            <x v="80"/>
          </reference>
          <reference field="6" count="1">
            <x v="47"/>
          </reference>
        </references>
      </pivotArea>
    </format>
    <format dxfId="1119">
      <pivotArea dataOnly="0" labelOnly="1" fieldPosition="0">
        <references count="6">
          <reference field="1" count="1" selected="0">
            <x v="116"/>
          </reference>
          <reference field="2" count="1" selected="0">
            <x v="0"/>
          </reference>
          <reference field="3" count="1" selected="0">
            <x v="8"/>
          </reference>
          <reference field="4" count="1" selected="0">
            <x v="205"/>
          </reference>
          <reference field="5" count="1" selected="0">
            <x v="206"/>
          </reference>
          <reference field="6" count="1">
            <x v="47"/>
          </reference>
        </references>
      </pivotArea>
    </format>
    <format dxfId="1118">
      <pivotArea dataOnly="0" labelOnly="1" fieldPosition="0">
        <references count="6">
          <reference field="1" count="1" selected="0">
            <x v="116"/>
          </reference>
          <reference field="2" count="1" selected="0">
            <x v="0"/>
          </reference>
          <reference field="3" count="1" selected="0">
            <x v="10"/>
          </reference>
          <reference field="4" count="1" selected="0">
            <x v="205"/>
          </reference>
          <reference field="5" count="1" selected="0">
            <x v="524"/>
          </reference>
          <reference field="6" count="1">
            <x v="47"/>
          </reference>
        </references>
      </pivotArea>
    </format>
    <format dxfId="1117">
      <pivotArea dataOnly="0" labelOnly="1" fieldPosition="0">
        <references count="6">
          <reference field="1" count="1" selected="0">
            <x v="116"/>
          </reference>
          <reference field="2" count="1" selected="0">
            <x v="0"/>
          </reference>
          <reference field="3" count="1" selected="0">
            <x v="12"/>
          </reference>
          <reference field="4" count="1" selected="0">
            <x v="24"/>
          </reference>
          <reference field="5" count="1" selected="0">
            <x v="32"/>
          </reference>
          <reference field="6" count="1">
            <x v="47"/>
          </reference>
        </references>
      </pivotArea>
    </format>
    <format dxfId="1116">
      <pivotArea dataOnly="0" labelOnly="1" fieldPosition="0">
        <references count="6">
          <reference field="1" count="1" selected="0">
            <x v="116"/>
          </reference>
          <reference field="2" count="1" selected="0">
            <x v="0"/>
          </reference>
          <reference field="3" count="1" selected="0">
            <x v="12"/>
          </reference>
          <reference field="4" count="1" selected="0">
            <x v="50"/>
          </reference>
          <reference field="5" count="1" selected="0">
            <x v="352"/>
          </reference>
          <reference field="6" count="1">
            <x v="47"/>
          </reference>
        </references>
      </pivotArea>
    </format>
    <format dxfId="1115">
      <pivotArea dataOnly="0" labelOnly="1" fieldPosition="0">
        <references count="6">
          <reference field="1" count="1" selected="0">
            <x v="116"/>
          </reference>
          <reference field="2" count="1" selected="0">
            <x v="5"/>
          </reference>
          <reference field="3" count="1" selected="0">
            <x v="38"/>
          </reference>
          <reference field="4" count="1" selected="0">
            <x v="205"/>
          </reference>
          <reference field="5" count="1" selected="0">
            <x v="1171"/>
          </reference>
          <reference field="6" count="1">
            <x v="47"/>
          </reference>
        </references>
      </pivotArea>
    </format>
    <format dxfId="1114">
      <pivotArea dataOnly="0" labelOnly="1" fieldPosition="0">
        <references count="6">
          <reference field="1" count="1" selected="0">
            <x v="116"/>
          </reference>
          <reference field="2" count="1" selected="0">
            <x v="8"/>
          </reference>
          <reference field="3" count="1" selected="0">
            <x v="38"/>
          </reference>
          <reference field="4" count="1" selected="0">
            <x v="205"/>
          </reference>
          <reference field="5" count="1" selected="0">
            <x v="1407"/>
          </reference>
          <reference field="6" count="1">
            <x v="47"/>
          </reference>
        </references>
      </pivotArea>
    </format>
    <format dxfId="1113">
      <pivotArea dataOnly="0" labelOnly="1" fieldPosition="0">
        <references count="6">
          <reference field="1" count="1" selected="0">
            <x v="116"/>
          </reference>
          <reference field="2" count="1" selected="0">
            <x v="12"/>
          </reference>
          <reference field="3" count="1" selected="0">
            <x v="1"/>
          </reference>
          <reference field="4" count="1" selected="0">
            <x v="205"/>
          </reference>
          <reference field="5" count="1" selected="0">
            <x v="80"/>
          </reference>
          <reference field="6" count="1">
            <x v="47"/>
          </reference>
        </references>
      </pivotArea>
    </format>
    <format dxfId="1112">
      <pivotArea dataOnly="0" labelOnly="1" fieldPosition="0">
        <references count="6">
          <reference field="1" count="1" selected="0">
            <x v="116"/>
          </reference>
          <reference field="2" count="1" selected="0">
            <x v="12"/>
          </reference>
          <reference field="3" count="1" selected="0">
            <x v="1"/>
          </reference>
          <reference field="4" count="1" selected="0">
            <x v="205"/>
          </reference>
          <reference field="5" count="1" selected="0">
            <x v="213"/>
          </reference>
          <reference field="6" count="1">
            <x v="47"/>
          </reference>
        </references>
      </pivotArea>
    </format>
    <format dxfId="1111">
      <pivotArea dataOnly="0" labelOnly="1" fieldPosition="0">
        <references count="6">
          <reference field="1" count="1" selected="0">
            <x v="116"/>
          </reference>
          <reference field="2" count="1" selected="0">
            <x v="14"/>
          </reference>
          <reference field="3" count="1" selected="0">
            <x v="1"/>
          </reference>
          <reference field="4" count="1" selected="0">
            <x v="205"/>
          </reference>
          <reference field="5" count="1" selected="0">
            <x v="764"/>
          </reference>
          <reference field="6" count="1">
            <x v="47"/>
          </reference>
        </references>
      </pivotArea>
    </format>
    <format dxfId="1110">
      <pivotArea dataOnly="0" labelOnly="1" fieldPosition="0">
        <references count="6">
          <reference field="1" count="1" selected="0">
            <x v="116"/>
          </reference>
          <reference field="2" count="1" selected="0">
            <x v="14"/>
          </reference>
          <reference field="3" count="1" selected="0">
            <x v="38"/>
          </reference>
          <reference field="4" count="1" selected="0">
            <x v="205"/>
          </reference>
          <reference field="5" count="1" selected="0">
            <x v="193"/>
          </reference>
          <reference field="6" count="1">
            <x v="47"/>
          </reference>
        </references>
      </pivotArea>
    </format>
    <format dxfId="1109">
      <pivotArea dataOnly="0" labelOnly="1" fieldPosition="0">
        <references count="6">
          <reference field="1" count="1" selected="0">
            <x v="116"/>
          </reference>
          <reference field="2" count="1" selected="0">
            <x v="15"/>
          </reference>
          <reference field="3" count="1" selected="0">
            <x v="38"/>
          </reference>
          <reference field="4" count="1" selected="0">
            <x v="205"/>
          </reference>
          <reference field="5" count="1" selected="0">
            <x v="1206"/>
          </reference>
          <reference field="6" count="1">
            <x v="47"/>
          </reference>
        </references>
      </pivotArea>
    </format>
    <format dxfId="1108">
      <pivotArea dataOnly="0" labelOnly="1" fieldPosition="0">
        <references count="6">
          <reference field="1" count="1" selected="0">
            <x v="116"/>
          </reference>
          <reference field="2" count="1" selected="0">
            <x v="19"/>
          </reference>
          <reference field="3" count="1" selected="0">
            <x v="1"/>
          </reference>
          <reference field="4" count="1" selected="0">
            <x v="205"/>
          </reference>
          <reference field="5" count="1" selected="0">
            <x v="1162"/>
          </reference>
          <reference field="6" count="1">
            <x v="47"/>
          </reference>
        </references>
      </pivotArea>
    </format>
    <format dxfId="1107">
      <pivotArea dataOnly="0" labelOnly="1" fieldPosition="0">
        <references count="6">
          <reference field="1" count="1" selected="0">
            <x v="116"/>
          </reference>
          <reference field="2" count="1" selected="0">
            <x v="23"/>
          </reference>
          <reference field="3" count="1" selected="0">
            <x v="7"/>
          </reference>
          <reference field="4" count="1" selected="0">
            <x v="205"/>
          </reference>
          <reference field="5" count="1" selected="0">
            <x v="1333"/>
          </reference>
          <reference field="6" count="1">
            <x v="47"/>
          </reference>
        </references>
      </pivotArea>
    </format>
    <format dxfId="1106">
      <pivotArea dataOnly="0" labelOnly="1" fieldPosition="0">
        <references count="6">
          <reference field="1" count="1" selected="0">
            <x v="117"/>
          </reference>
          <reference field="2" count="1" selected="0">
            <x v="0"/>
          </reference>
          <reference field="3" count="1" selected="0">
            <x v="1"/>
          </reference>
          <reference field="4" count="1" selected="0">
            <x v="206"/>
          </reference>
          <reference field="5" count="1" selected="0">
            <x v="80"/>
          </reference>
          <reference field="6" count="1">
            <x v="47"/>
          </reference>
        </references>
      </pivotArea>
    </format>
    <format dxfId="1105">
      <pivotArea dataOnly="0" labelOnly="1" fieldPosition="0">
        <references count="6">
          <reference field="1" count="1" selected="0">
            <x v="117"/>
          </reference>
          <reference field="2" count="1" selected="0">
            <x v="0"/>
          </reference>
          <reference field="3" count="1" selected="0">
            <x v="10"/>
          </reference>
          <reference field="4" count="1" selected="0">
            <x v="206"/>
          </reference>
          <reference field="5" count="1" selected="0">
            <x v="0"/>
          </reference>
          <reference field="6" count="2">
            <x v="23"/>
            <x v="28"/>
          </reference>
        </references>
      </pivotArea>
    </format>
    <format dxfId="1104">
      <pivotArea dataOnly="0" labelOnly="1" fieldPosition="0">
        <references count="6">
          <reference field="1" count="1" selected="0">
            <x v="117"/>
          </reference>
          <reference field="2" count="1" selected="0">
            <x v="0"/>
          </reference>
          <reference field="3" count="1" selected="0">
            <x v="12"/>
          </reference>
          <reference field="4" count="1" selected="0">
            <x v="24"/>
          </reference>
          <reference field="5" count="1" selected="0">
            <x v="32"/>
          </reference>
          <reference field="6" count="1">
            <x v="47"/>
          </reference>
        </references>
      </pivotArea>
    </format>
    <format dxfId="1103">
      <pivotArea dataOnly="0" labelOnly="1" fieldPosition="0">
        <references count="6">
          <reference field="1" count="1" selected="0">
            <x v="117"/>
          </reference>
          <reference field="2" count="1" selected="0">
            <x v="0"/>
          </reference>
          <reference field="3" count="1" selected="0">
            <x v="12"/>
          </reference>
          <reference field="4" count="1" selected="0">
            <x v="32"/>
          </reference>
          <reference field="5" count="1" selected="0">
            <x v="90"/>
          </reference>
          <reference field="6" count="1">
            <x v="47"/>
          </reference>
        </references>
      </pivotArea>
    </format>
    <format dxfId="1102">
      <pivotArea dataOnly="0" labelOnly="1" fieldPosition="0">
        <references count="6">
          <reference field="1" count="1" selected="0">
            <x v="117"/>
          </reference>
          <reference field="2" count="1" selected="0">
            <x v="0"/>
          </reference>
          <reference field="3" count="1" selected="0">
            <x v="38"/>
          </reference>
          <reference field="4" count="1" selected="0">
            <x v="206"/>
          </reference>
          <reference field="5" count="1" selected="0">
            <x v="262"/>
          </reference>
          <reference field="6" count="1">
            <x v="47"/>
          </reference>
        </references>
      </pivotArea>
    </format>
    <format dxfId="1101">
      <pivotArea dataOnly="0" labelOnly="1" fieldPosition="0">
        <references count="6">
          <reference field="1" count="1" selected="0">
            <x v="117"/>
          </reference>
          <reference field="2" count="1" selected="0">
            <x v="3"/>
          </reference>
          <reference field="3" count="1" selected="0">
            <x v="38"/>
          </reference>
          <reference field="4" count="1" selected="0">
            <x v="206"/>
          </reference>
          <reference field="5" count="1" selected="0">
            <x v="39"/>
          </reference>
          <reference field="6" count="1">
            <x v="47"/>
          </reference>
        </references>
      </pivotArea>
    </format>
    <format dxfId="1100">
      <pivotArea dataOnly="0" labelOnly="1" fieldPosition="0">
        <references count="6">
          <reference field="1" count="1" selected="0">
            <x v="117"/>
          </reference>
          <reference field="2" count="1" selected="0">
            <x v="7"/>
          </reference>
          <reference field="3" count="1" selected="0">
            <x v="38"/>
          </reference>
          <reference field="4" count="1" selected="0">
            <x v="206"/>
          </reference>
          <reference field="5" count="1" selected="0">
            <x v="633"/>
          </reference>
          <reference field="6" count="1">
            <x v="47"/>
          </reference>
        </references>
      </pivotArea>
    </format>
    <format dxfId="1099">
      <pivotArea dataOnly="0" labelOnly="1" fieldPosition="0">
        <references count="6">
          <reference field="1" count="1" selected="0">
            <x v="117"/>
          </reference>
          <reference field="2" count="1" selected="0">
            <x v="10"/>
          </reference>
          <reference field="3" count="1" selected="0">
            <x v="6"/>
          </reference>
          <reference field="4" count="1" selected="0">
            <x v="206"/>
          </reference>
          <reference field="5" count="1" selected="0">
            <x v="1870"/>
          </reference>
          <reference field="6" count="1">
            <x v="47"/>
          </reference>
        </references>
      </pivotArea>
    </format>
    <format dxfId="1098">
      <pivotArea dataOnly="0" labelOnly="1" fieldPosition="0">
        <references count="6">
          <reference field="1" count="1" selected="0">
            <x v="117"/>
          </reference>
          <reference field="2" count="1" selected="0">
            <x v="12"/>
          </reference>
          <reference field="3" count="1" selected="0">
            <x v="1"/>
          </reference>
          <reference field="4" count="1" selected="0">
            <x v="206"/>
          </reference>
          <reference field="5" count="1" selected="0">
            <x v="80"/>
          </reference>
          <reference field="6" count="1">
            <x v="47"/>
          </reference>
        </references>
      </pivotArea>
    </format>
    <format dxfId="1097">
      <pivotArea dataOnly="0" labelOnly="1" fieldPosition="0">
        <references count="6">
          <reference field="1" count="1" selected="0">
            <x v="117"/>
          </reference>
          <reference field="2" count="1" selected="0">
            <x v="12"/>
          </reference>
          <reference field="3" count="1" selected="0">
            <x v="1"/>
          </reference>
          <reference field="4" count="1" selected="0">
            <x v="206"/>
          </reference>
          <reference field="5" count="1" selected="0">
            <x v="213"/>
          </reference>
          <reference field="6" count="1">
            <x v="47"/>
          </reference>
        </references>
      </pivotArea>
    </format>
    <format dxfId="1096">
      <pivotArea dataOnly="0" labelOnly="1" fieldPosition="0">
        <references count="6">
          <reference field="1" count="1" selected="0">
            <x v="117"/>
          </reference>
          <reference field="2" count="1" selected="0">
            <x v="15"/>
          </reference>
          <reference field="3" count="1" selected="0">
            <x v="36"/>
          </reference>
          <reference field="4" count="1" selected="0">
            <x v="76"/>
          </reference>
          <reference field="5" count="1" selected="0">
            <x v="0"/>
          </reference>
          <reference field="6" count="1">
            <x v="1"/>
          </reference>
        </references>
      </pivotArea>
    </format>
    <format dxfId="1095">
      <pivotArea dataOnly="0" labelOnly="1" fieldPosition="0">
        <references count="6">
          <reference field="1" count="1" selected="0">
            <x v="117"/>
          </reference>
          <reference field="2" count="1" selected="0">
            <x v="24"/>
          </reference>
          <reference field="3" count="1" selected="0">
            <x v="1"/>
          </reference>
          <reference field="4" count="1" selected="0">
            <x v="206"/>
          </reference>
          <reference field="5" count="1" selected="0">
            <x v="91"/>
          </reference>
          <reference field="6" count="1">
            <x v="47"/>
          </reference>
        </references>
      </pivotArea>
    </format>
    <format dxfId="1094">
      <pivotArea dataOnly="0" labelOnly="1" fieldPosition="0">
        <references count="6">
          <reference field="1" count="1" selected="0">
            <x v="117"/>
          </reference>
          <reference field="2" count="1" selected="0">
            <x v="27"/>
          </reference>
          <reference field="3" count="1" selected="0">
            <x v="10"/>
          </reference>
          <reference field="4" count="1" selected="0">
            <x v="206"/>
          </reference>
          <reference field="5" count="1" selected="0">
            <x v="433"/>
          </reference>
          <reference field="6" count="1">
            <x v="47"/>
          </reference>
        </references>
      </pivotArea>
    </format>
    <format dxfId="1093">
      <pivotArea dataOnly="0" labelOnly="1" fieldPosition="0">
        <references count="6">
          <reference field="1" count="1" selected="0">
            <x v="117"/>
          </reference>
          <reference field="2" count="1" selected="0">
            <x v="35"/>
          </reference>
          <reference field="3" count="1" selected="0">
            <x v="1"/>
          </reference>
          <reference field="4" count="1" selected="0">
            <x v="206"/>
          </reference>
          <reference field="5" count="1" selected="0">
            <x v="80"/>
          </reference>
          <reference field="6" count="1">
            <x v="47"/>
          </reference>
        </references>
      </pivotArea>
    </format>
    <format dxfId="1092">
      <pivotArea dataOnly="0" labelOnly="1" fieldPosition="0">
        <references count="6">
          <reference field="1" count="1" selected="0">
            <x v="118"/>
          </reference>
          <reference field="2" count="1" selected="0">
            <x v="0"/>
          </reference>
          <reference field="3" count="1" selected="0">
            <x v="1"/>
          </reference>
          <reference field="4" count="1" selected="0">
            <x v="207"/>
          </reference>
          <reference field="5" count="1" selected="0">
            <x v="80"/>
          </reference>
          <reference field="6" count="1">
            <x v="47"/>
          </reference>
        </references>
      </pivotArea>
    </format>
    <format dxfId="1091">
      <pivotArea dataOnly="0" labelOnly="1" fieldPosition="0">
        <references count="6">
          <reference field="1" count="1" selected="0">
            <x v="118"/>
          </reference>
          <reference field="2" count="1" selected="0">
            <x v="0"/>
          </reference>
          <reference field="3" count="1" selected="0">
            <x v="12"/>
          </reference>
          <reference field="4" count="1" selected="0">
            <x v="32"/>
          </reference>
          <reference field="5" count="1" selected="0">
            <x v="90"/>
          </reference>
          <reference field="6" count="1">
            <x v="47"/>
          </reference>
        </references>
      </pivotArea>
    </format>
    <format dxfId="1090">
      <pivotArea dataOnly="0" labelOnly="1" fieldPosition="0">
        <references count="6">
          <reference field="1" count="1" selected="0">
            <x v="118"/>
          </reference>
          <reference field="2" count="1" selected="0">
            <x v="0"/>
          </reference>
          <reference field="3" count="1" selected="0">
            <x v="38"/>
          </reference>
          <reference field="4" count="1" selected="0">
            <x v="207"/>
          </reference>
          <reference field="5" count="1" selected="0">
            <x v="262"/>
          </reference>
          <reference field="6" count="1">
            <x v="47"/>
          </reference>
        </references>
      </pivotArea>
    </format>
    <format dxfId="1089">
      <pivotArea dataOnly="0" labelOnly="1" fieldPosition="0">
        <references count="6">
          <reference field="1" count="1" selected="0">
            <x v="118"/>
          </reference>
          <reference field="2" count="1" selected="0">
            <x v="12"/>
          </reference>
          <reference field="3" count="1" selected="0">
            <x v="1"/>
          </reference>
          <reference field="4" count="1" selected="0">
            <x v="207"/>
          </reference>
          <reference field="5" count="1" selected="0">
            <x v="80"/>
          </reference>
          <reference field="6" count="1">
            <x v="47"/>
          </reference>
        </references>
      </pivotArea>
    </format>
    <format dxfId="1088">
      <pivotArea dataOnly="0" labelOnly="1" fieldPosition="0">
        <references count="6">
          <reference field="1" count="1" selected="0">
            <x v="118"/>
          </reference>
          <reference field="2" count="1" selected="0">
            <x v="12"/>
          </reference>
          <reference field="3" count="1" selected="0">
            <x v="1"/>
          </reference>
          <reference field="4" count="1" selected="0">
            <x v="207"/>
          </reference>
          <reference field="5" count="1" selected="0">
            <x v="213"/>
          </reference>
          <reference field="6" count="1">
            <x v="47"/>
          </reference>
        </references>
      </pivotArea>
    </format>
    <format dxfId="1087">
      <pivotArea dataOnly="0" labelOnly="1" fieldPosition="0">
        <references count="6">
          <reference field="1" count="1" selected="0">
            <x v="118"/>
          </reference>
          <reference field="2" count="1" selected="0">
            <x v="12"/>
          </reference>
          <reference field="3" count="1" selected="0">
            <x v="1"/>
          </reference>
          <reference field="4" count="1" selected="0">
            <x v="207"/>
          </reference>
          <reference field="5" count="1" selected="0">
            <x v="352"/>
          </reference>
          <reference field="6" count="1">
            <x v="47"/>
          </reference>
        </references>
      </pivotArea>
    </format>
    <format dxfId="1086">
      <pivotArea dataOnly="0" labelOnly="1" fieldPosition="0">
        <references count="6">
          <reference field="1" count="1" selected="0">
            <x v="118"/>
          </reference>
          <reference field="2" count="1" selected="0">
            <x v="12"/>
          </reference>
          <reference field="3" count="1" selected="0">
            <x v="1"/>
          </reference>
          <reference field="4" count="1" selected="0">
            <x v="207"/>
          </reference>
          <reference field="5" count="1" selected="0">
            <x v="500"/>
          </reference>
          <reference field="6" count="1">
            <x v="47"/>
          </reference>
        </references>
      </pivotArea>
    </format>
    <format dxfId="1085">
      <pivotArea dataOnly="0" labelOnly="1" fieldPosition="0">
        <references count="6">
          <reference field="1" count="1" selected="0">
            <x v="118"/>
          </reference>
          <reference field="2" count="1" selected="0">
            <x v="26"/>
          </reference>
          <reference field="3" count="1" selected="0">
            <x v="37"/>
          </reference>
          <reference field="4" count="1" selected="0">
            <x v="207"/>
          </reference>
          <reference field="5" count="1" selected="0">
            <x v="278"/>
          </reference>
          <reference field="6" count="1">
            <x v="47"/>
          </reference>
        </references>
      </pivotArea>
    </format>
    <format dxfId="1084">
      <pivotArea dataOnly="0" labelOnly="1" fieldPosition="0">
        <references count="6">
          <reference field="1" count="1" selected="0">
            <x v="118"/>
          </reference>
          <reference field="2" count="1" selected="0">
            <x v="37"/>
          </reference>
          <reference field="3" count="1" selected="0">
            <x v="38"/>
          </reference>
          <reference field="4" count="1" selected="0">
            <x v="207"/>
          </reference>
          <reference field="5" count="1" selected="0">
            <x v="1064"/>
          </reference>
          <reference field="6" count="1">
            <x v="47"/>
          </reference>
        </references>
      </pivotArea>
    </format>
    <format dxfId="1083">
      <pivotArea dataOnly="0" labelOnly="1" fieldPosition="0">
        <references count="6">
          <reference field="1" count="1" selected="0">
            <x v="119"/>
          </reference>
          <reference field="2" count="1" selected="0">
            <x v="0"/>
          </reference>
          <reference field="3" count="1" selected="0">
            <x v="12"/>
          </reference>
          <reference field="4" count="1" selected="0">
            <x v="52"/>
          </reference>
          <reference field="5" count="1" selected="0">
            <x v="57"/>
          </reference>
          <reference field="6" count="1">
            <x v="47"/>
          </reference>
        </references>
      </pivotArea>
    </format>
    <format dxfId="1082">
      <pivotArea dataOnly="0" labelOnly="1" fieldPosition="0">
        <references count="6">
          <reference field="1" count="1" selected="0">
            <x v="119"/>
          </reference>
          <reference field="2" count="1" selected="0">
            <x v="0"/>
          </reference>
          <reference field="3" count="1" selected="0">
            <x v="12"/>
          </reference>
          <reference field="4" count="1" selected="0">
            <x v="65"/>
          </reference>
          <reference field="5" count="1" selected="0">
            <x v="9"/>
          </reference>
          <reference field="6" count="1">
            <x v="47"/>
          </reference>
        </references>
      </pivotArea>
    </format>
    <format dxfId="1081">
      <pivotArea dataOnly="0" labelOnly="1" fieldPosition="0">
        <references count="6">
          <reference field="1" count="1" selected="0">
            <x v="119"/>
          </reference>
          <reference field="2" count="1" selected="0">
            <x v="0"/>
          </reference>
          <reference field="3" count="1" selected="0">
            <x v="12"/>
          </reference>
          <reference field="4" count="1" selected="0">
            <x v="72"/>
          </reference>
          <reference field="5" count="1" selected="0">
            <x v="13"/>
          </reference>
          <reference field="6" count="1">
            <x v="47"/>
          </reference>
        </references>
      </pivotArea>
    </format>
    <format dxfId="1080">
      <pivotArea dataOnly="0" labelOnly="1" fieldPosition="0">
        <references count="6">
          <reference field="1" count="1" selected="0">
            <x v="120"/>
          </reference>
          <reference field="2" count="1" selected="0">
            <x v="0"/>
          </reference>
          <reference field="3" count="1" selected="0">
            <x v="1"/>
          </reference>
          <reference field="4" count="1" selected="0">
            <x v="208"/>
          </reference>
          <reference field="5" count="1" selected="0">
            <x v="80"/>
          </reference>
          <reference field="6" count="1">
            <x v="47"/>
          </reference>
        </references>
      </pivotArea>
    </format>
    <format dxfId="1079">
      <pivotArea dataOnly="0" labelOnly="1" fieldPosition="0">
        <references count="6">
          <reference field="1" count="1" selected="0">
            <x v="120"/>
          </reference>
          <reference field="2" count="1" selected="0">
            <x v="0"/>
          </reference>
          <reference field="3" count="1" selected="0">
            <x v="6"/>
          </reference>
          <reference field="4" count="1" selected="0">
            <x v="208"/>
          </reference>
          <reference field="5" count="1" selected="0">
            <x v="469"/>
          </reference>
          <reference field="6" count="1">
            <x v="47"/>
          </reference>
        </references>
      </pivotArea>
    </format>
    <format dxfId="1078">
      <pivotArea dataOnly="0" labelOnly="1" fieldPosition="0">
        <references count="6">
          <reference field="1" count="1" selected="0">
            <x v="120"/>
          </reference>
          <reference field="2" count="1" selected="0">
            <x v="0"/>
          </reference>
          <reference field="3" count="1" selected="0">
            <x v="38"/>
          </reference>
          <reference field="4" count="1" selected="0">
            <x v="208"/>
          </reference>
          <reference field="5" count="1" selected="0">
            <x v="1256"/>
          </reference>
          <reference field="6" count="1">
            <x v="47"/>
          </reference>
        </references>
      </pivotArea>
    </format>
    <format dxfId="1077">
      <pivotArea dataOnly="0" labelOnly="1" fieldPosition="0">
        <references count="6">
          <reference field="1" count="1" selected="0">
            <x v="120"/>
          </reference>
          <reference field="2" count="1" selected="0">
            <x v="2"/>
          </reference>
          <reference field="3" count="1" selected="0">
            <x v="1"/>
          </reference>
          <reference field="4" count="1" selected="0">
            <x v="208"/>
          </reference>
          <reference field="5" count="1" selected="0">
            <x v="970"/>
          </reference>
          <reference field="6" count="1">
            <x v="47"/>
          </reference>
        </references>
      </pivotArea>
    </format>
    <format dxfId="1076">
      <pivotArea dataOnly="0" labelOnly="1" fieldPosition="0">
        <references count="6">
          <reference field="1" count="1" selected="0">
            <x v="120"/>
          </reference>
          <reference field="2" count="1" selected="0">
            <x v="2"/>
          </reference>
          <reference field="3" count="1" selected="0">
            <x v="10"/>
          </reference>
          <reference field="4" count="1" selected="0">
            <x v="208"/>
          </reference>
          <reference field="5" count="1" selected="0">
            <x v="1819"/>
          </reference>
          <reference field="6" count="1">
            <x v="47"/>
          </reference>
        </references>
      </pivotArea>
    </format>
    <format dxfId="1075">
      <pivotArea dataOnly="0" labelOnly="1" fieldPosition="0">
        <references count="6">
          <reference field="1" count="1" selected="0">
            <x v="120"/>
          </reference>
          <reference field="2" count="1" selected="0">
            <x v="3"/>
          </reference>
          <reference field="3" count="1" selected="0">
            <x v="38"/>
          </reference>
          <reference field="4" count="1" selected="0">
            <x v="208"/>
          </reference>
          <reference field="5" count="1" selected="0">
            <x v="109"/>
          </reference>
          <reference field="6" count="1">
            <x v="47"/>
          </reference>
        </references>
      </pivotArea>
    </format>
    <format dxfId="1074">
      <pivotArea dataOnly="0" labelOnly="1" fieldPosition="0">
        <references count="6">
          <reference field="1" count="1" selected="0">
            <x v="120"/>
          </reference>
          <reference field="2" count="1" selected="0">
            <x v="5"/>
          </reference>
          <reference field="3" count="1" selected="0">
            <x v="38"/>
          </reference>
          <reference field="4" count="1" selected="0">
            <x v="208"/>
          </reference>
          <reference field="5" count="1" selected="0">
            <x v="278"/>
          </reference>
          <reference field="6" count="1">
            <x v="47"/>
          </reference>
        </references>
      </pivotArea>
    </format>
    <format dxfId="1073">
      <pivotArea dataOnly="0" labelOnly="1" fieldPosition="0">
        <references count="6">
          <reference field="1" count="1" selected="0">
            <x v="120"/>
          </reference>
          <reference field="2" count="1" selected="0">
            <x v="7"/>
          </reference>
          <reference field="3" count="1" selected="0">
            <x v="38"/>
          </reference>
          <reference field="4" count="1" selected="0">
            <x v="208"/>
          </reference>
          <reference field="5" count="1" selected="0">
            <x v="539"/>
          </reference>
          <reference field="6" count="1">
            <x v="47"/>
          </reference>
        </references>
      </pivotArea>
    </format>
    <format dxfId="1072">
      <pivotArea dataOnly="0" labelOnly="1" fieldPosition="0">
        <references count="6">
          <reference field="1" count="1" selected="0">
            <x v="120"/>
          </reference>
          <reference field="2" count="1" selected="0">
            <x v="8"/>
          </reference>
          <reference field="3" count="1" selected="0">
            <x v="38"/>
          </reference>
          <reference field="4" count="1" selected="0">
            <x v="208"/>
          </reference>
          <reference field="5" count="1" selected="0">
            <x v="1310"/>
          </reference>
          <reference field="6" count="1">
            <x v="47"/>
          </reference>
        </references>
      </pivotArea>
    </format>
    <format dxfId="1071">
      <pivotArea dataOnly="0" labelOnly="1" fieldPosition="0">
        <references count="6">
          <reference field="1" count="1" selected="0">
            <x v="120"/>
          </reference>
          <reference field="2" count="1" selected="0">
            <x v="12"/>
          </reference>
          <reference field="3" count="1" selected="0">
            <x v="1"/>
          </reference>
          <reference field="4" count="1" selected="0">
            <x v="208"/>
          </reference>
          <reference field="5" count="1" selected="0">
            <x v="213"/>
          </reference>
          <reference field="6" count="1">
            <x v="47"/>
          </reference>
        </references>
      </pivotArea>
    </format>
    <format dxfId="1070">
      <pivotArea dataOnly="0" labelOnly="1" fieldPosition="0">
        <references count="6">
          <reference field="1" count="1" selected="0">
            <x v="120"/>
          </reference>
          <reference field="2" count="1" selected="0">
            <x v="12"/>
          </reference>
          <reference field="3" count="1" selected="0">
            <x v="1"/>
          </reference>
          <reference field="4" count="1" selected="0">
            <x v="208"/>
          </reference>
          <reference field="5" count="1" selected="0">
            <x v="500"/>
          </reference>
          <reference field="6" count="1">
            <x v="47"/>
          </reference>
        </references>
      </pivotArea>
    </format>
    <format dxfId="1069">
      <pivotArea dataOnly="0" labelOnly="1" fieldPosition="0">
        <references count="6">
          <reference field="1" count="1" selected="0">
            <x v="120"/>
          </reference>
          <reference field="2" count="1" selected="0">
            <x v="12"/>
          </reference>
          <reference field="3" count="1" selected="0">
            <x v="1"/>
          </reference>
          <reference field="4" count="1" selected="0">
            <x v="208"/>
          </reference>
          <reference field="5" count="1" selected="0">
            <x v="771"/>
          </reference>
          <reference field="6" count="1">
            <x v="47"/>
          </reference>
        </references>
      </pivotArea>
    </format>
    <format dxfId="1068">
      <pivotArea dataOnly="0" labelOnly="1" fieldPosition="0">
        <references count="6">
          <reference field="1" count="1" selected="0">
            <x v="120"/>
          </reference>
          <reference field="2" count="1" selected="0">
            <x v="12"/>
          </reference>
          <reference field="3" count="1" selected="0">
            <x v="1"/>
          </reference>
          <reference field="4" count="1" selected="0">
            <x v="208"/>
          </reference>
          <reference field="5" count="1" selected="0">
            <x v="911"/>
          </reference>
          <reference field="6" count="1">
            <x v="47"/>
          </reference>
        </references>
      </pivotArea>
    </format>
    <format dxfId="1067">
      <pivotArea dataOnly="0" labelOnly="1" fieldPosition="0">
        <references count="6">
          <reference field="1" count="1" selected="0">
            <x v="120"/>
          </reference>
          <reference field="2" count="1" selected="0">
            <x v="12"/>
          </reference>
          <reference field="3" count="1" selected="0">
            <x v="1"/>
          </reference>
          <reference field="4" count="1" selected="0">
            <x v="208"/>
          </reference>
          <reference field="5" count="1" selected="0">
            <x v="1028"/>
          </reference>
          <reference field="6" count="1">
            <x v="47"/>
          </reference>
        </references>
      </pivotArea>
    </format>
    <format dxfId="1066">
      <pivotArea dataOnly="0" labelOnly="1" fieldPosition="0">
        <references count="6">
          <reference field="1" count="1" selected="0">
            <x v="120"/>
          </reference>
          <reference field="2" count="1" selected="0">
            <x v="12"/>
          </reference>
          <reference field="3" count="1" selected="0">
            <x v="38"/>
          </reference>
          <reference field="4" count="1" selected="0">
            <x v="208"/>
          </reference>
          <reference field="5" count="1" selected="0">
            <x v="1414"/>
          </reference>
          <reference field="6" count="1">
            <x v="47"/>
          </reference>
        </references>
      </pivotArea>
    </format>
    <format dxfId="1065">
      <pivotArea dataOnly="0" labelOnly="1" fieldPosition="0">
        <references count="6">
          <reference field="1" count="1" selected="0">
            <x v="120"/>
          </reference>
          <reference field="2" count="1" selected="0">
            <x v="12"/>
          </reference>
          <reference field="3" count="1" selected="0">
            <x v="38"/>
          </reference>
          <reference field="4" count="1" selected="0">
            <x v="208"/>
          </reference>
          <reference field="5" count="1" selected="0">
            <x v="1528"/>
          </reference>
          <reference field="6" count="1">
            <x v="47"/>
          </reference>
        </references>
      </pivotArea>
    </format>
    <format dxfId="1064">
      <pivotArea dataOnly="0" labelOnly="1" fieldPosition="0">
        <references count="6">
          <reference field="1" count="1" selected="0">
            <x v="120"/>
          </reference>
          <reference field="2" count="1" selected="0">
            <x v="23"/>
          </reference>
          <reference field="3" count="1" selected="0">
            <x v="6"/>
          </reference>
          <reference field="4" count="1" selected="0">
            <x v="208"/>
          </reference>
          <reference field="5" count="1" selected="0">
            <x v="277"/>
          </reference>
          <reference field="6" count="1">
            <x v="47"/>
          </reference>
        </references>
      </pivotArea>
    </format>
    <format dxfId="1063">
      <pivotArea dataOnly="0" labelOnly="1" fieldPosition="0">
        <references count="6">
          <reference field="1" count="1" selected="0">
            <x v="120"/>
          </reference>
          <reference field="2" count="1" selected="0">
            <x v="27"/>
          </reference>
          <reference field="3" count="1" selected="0">
            <x v="38"/>
          </reference>
          <reference field="4" count="1" selected="0">
            <x v="208"/>
          </reference>
          <reference field="5" count="1" selected="0">
            <x v="109"/>
          </reference>
          <reference field="6" count="1">
            <x v="47"/>
          </reference>
        </references>
      </pivotArea>
    </format>
    <format dxfId="1062">
      <pivotArea dataOnly="0" labelOnly="1" fieldPosition="0">
        <references count="6">
          <reference field="1" count="1" selected="0">
            <x v="120"/>
          </reference>
          <reference field="2" count="1" selected="0">
            <x v="35"/>
          </reference>
          <reference field="3" count="1" selected="0">
            <x v="1"/>
          </reference>
          <reference field="4" count="1" selected="0">
            <x v="208"/>
          </reference>
          <reference field="5" count="1" selected="0">
            <x v="80"/>
          </reference>
          <reference field="6" count="1">
            <x v="47"/>
          </reference>
        </references>
      </pivotArea>
    </format>
    <format dxfId="1061">
      <pivotArea dataOnly="0" labelOnly="1" fieldPosition="0">
        <references count="6">
          <reference field="1" count="1" selected="0">
            <x v="120"/>
          </reference>
          <reference field="2" count="1" selected="0">
            <x v="35"/>
          </reference>
          <reference field="3" count="1" selected="0">
            <x v="1"/>
          </reference>
          <reference field="4" count="1" selected="0">
            <x v="208"/>
          </reference>
          <reference field="5" count="1" selected="0">
            <x v="213"/>
          </reference>
          <reference field="6" count="1">
            <x v="47"/>
          </reference>
        </references>
      </pivotArea>
    </format>
    <format dxfId="1060">
      <pivotArea dataOnly="0" labelOnly="1" fieldPosition="0">
        <references count="6">
          <reference field="1" count="1" selected="0">
            <x v="120"/>
          </reference>
          <reference field="2" count="1" selected="0">
            <x v="35"/>
          </reference>
          <reference field="3" count="1" selected="0">
            <x v="38"/>
          </reference>
          <reference field="4" count="1" selected="0">
            <x v="208"/>
          </reference>
          <reference field="5" count="1" selected="0">
            <x v="1465"/>
          </reference>
          <reference field="6" count="1">
            <x v="47"/>
          </reference>
        </references>
      </pivotArea>
    </format>
    <format dxfId="1059">
      <pivotArea dataOnly="0" labelOnly="1" fieldPosition="0">
        <references count="6">
          <reference field="1" count="1" selected="0">
            <x v="121"/>
          </reference>
          <reference field="2" count="1" selected="0">
            <x v="0"/>
          </reference>
          <reference field="3" count="1" selected="0">
            <x v="8"/>
          </reference>
          <reference field="4" count="1" selected="0">
            <x v="209"/>
          </reference>
          <reference field="5" count="1" selected="0">
            <x v="98"/>
          </reference>
          <reference field="6" count="1">
            <x v="47"/>
          </reference>
        </references>
      </pivotArea>
    </format>
    <format dxfId="1058">
      <pivotArea dataOnly="0" labelOnly="1" fieldPosition="0">
        <references count="6">
          <reference field="1" count="1" selected="0">
            <x v="121"/>
          </reference>
          <reference field="2" count="1" selected="0">
            <x v="0"/>
          </reference>
          <reference field="3" count="1" selected="0">
            <x v="8"/>
          </reference>
          <reference field="4" count="1" selected="0">
            <x v="209"/>
          </reference>
          <reference field="5" count="1" selected="0">
            <x v="162"/>
          </reference>
          <reference field="6" count="1">
            <x v="47"/>
          </reference>
        </references>
      </pivotArea>
    </format>
    <format dxfId="1057">
      <pivotArea dataOnly="0" labelOnly="1" fieldPosition="0">
        <references count="6">
          <reference field="1" count="1" selected="0">
            <x v="121"/>
          </reference>
          <reference field="2" count="1" selected="0">
            <x v="0"/>
          </reference>
          <reference field="3" count="1" selected="0">
            <x v="8"/>
          </reference>
          <reference field="4" count="1" selected="0">
            <x v="209"/>
          </reference>
          <reference field="5" count="1" selected="0">
            <x v="351"/>
          </reference>
          <reference field="6" count="1">
            <x v="47"/>
          </reference>
        </references>
      </pivotArea>
    </format>
    <format dxfId="1056">
      <pivotArea dataOnly="0" labelOnly="1" fieldPosition="0">
        <references count="6">
          <reference field="1" count="1" selected="0">
            <x v="121"/>
          </reference>
          <reference field="2" count="1" selected="0">
            <x v="0"/>
          </reference>
          <reference field="3" count="1" selected="0">
            <x v="8"/>
          </reference>
          <reference field="4" count="1" selected="0">
            <x v="209"/>
          </reference>
          <reference field="5" count="1" selected="0">
            <x v="353"/>
          </reference>
          <reference field="6" count="1">
            <x v="47"/>
          </reference>
        </references>
      </pivotArea>
    </format>
    <format dxfId="1055">
      <pivotArea dataOnly="0" labelOnly="1" fieldPosition="0">
        <references count="6">
          <reference field="1" count="1" selected="0">
            <x v="121"/>
          </reference>
          <reference field="2" count="1" selected="0">
            <x v="0"/>
          </reference>
          <reference field="3" count="1" selected="0">
            <x v="8"/>
          </reference>
          <reference field="4" count="1" selected="0">
            <x v="209"/>
          </reference>
          <reference field="5" count="1" selected="0">
            <x v="1114"/>
          </reference>
          <reference field="6" count="1">
            <x v="47"/>
          </reference>
        </references>
      </pivotArea>
    </format>
    <format dxfId="1054">
      <pivotArea dataOnly="0" labelOnly="1" fieldPosition="0">
        <references count="6">
          <reference field="1" count="1" selected="0">
            <x v="121"/>
          </reference>
          <reference field="2" count="1" selected="0">
            <x v="0"/>
          </reference>
          <reference field="3" count="1" selected="0">
            <x v="9"/>
          </reference>
          <reference field="4" count="1" selected="0">
            <x v="209"/>
          </reference>
          <reference field="5" count="1" selected="0">
            <x v="284"/>
          </reference>
          <reference field="6" count="1">
            <x v="47"/>
          </reference>
        </references>
      </pivotArea>
    </format>
    <format dxfId="1053">
      <pivotArea dataOnly="0" labelOnly="1" fieldPosition="0">
        <references count="6">
          <reference field="1" count="1" selected="0">
            <x v="121"/>
          </reference>
          <reference field="2" count="1" selected="0">
            <x v="0"/>
          </reference>
          <reference field="3" count="1" selected="0">
            <x v="9"/>
          </reference>
          <reference field="4" count="1" selected="0">
            <x v="209"/>
          </reference>
          <reference field="5" count="1" selected="0">
            <x v="380"/>
          </reference>
          <reference field="6" count="1">
            <x v="47"/>
          </reference>
        </references>
      </pivotArea>
    </format>
    <format dxfId="1052">
      <pivotArea dataOnly="0" labelOnly="1" fieldPosition="0">
        <references count="6">
          <reference field="1" count="1" selected="0">
            <x v="121"/>
          </reference>
          <reference field="2" count="1" selected="0">
            <x v="0"/>
          </reference>
          <reference field="3" count="1" selected="0">
            <x v="9"/>
          </reference>
          <reference field="4" count="1" selected="0">
            <x v="209"/>
          </reference>
          <reference field="5" count="1" selected="0">
            <x v="420"/>
          </reference>
          <reference field="6" count="1">
            <x v="47"/>
          </reference>
        </references>
      </pivotArea>
    </format>
    <format dxfId="1051">
      <pivotArea dataOnly="0" labelOnly="1" fieldPosition="0">
        <references count="6">
          <reference field="1" count="1" selected="0">
            <x v="121"/>
          </reference>
          <reference field="2" count="1" selected="0">
            <x v="0"/>
          </reference>
          <reference field="3" count="1" selected="0">
            <x v="9"/>
          </reference>
          <reference field="4" count="1" selected="0">
            <x v="209"/>
          </reference>
          <reference field="5" count="1" selected="0">
            <x v="443"/>
          </reference>
          <reference field="6" count="1">
            <x v="47"/>
          </reference>
        </references>
      </pivotArea>
    </format>
    <format dxfId="1050">
      <pivotArea dataOnly="0" labelOnly="1" fieldPosition="0">
        <references count="6">
          <reference field="1" count="1" selected="0">
            <x v="121"/>
          </reference>
          <reference field="2" count="1" selected="0">
            <x v="0"/>
          </reference>
          <reference field="3" count="1" selected="0">
            <x v="9"/>
          </reference>
          <reference field="4" count="1" selected="0">
            <x v="209"/>
          </reference>
          <reference field="5" count="1" selected="0">
            <x v="489"/>
          </reference>
          <reference field="6" count="1">
            <x v="47"/>
          </reference>
        </references>
      </pivotArea>
    </format>
    <format dxfId="1049">
      <pivotArea dataOnly="0" labelOnly="1" fieldPosition="0">
        <references count="6">
          <reference field="1" count="1" selected="0">
            <x v="121"/>
          </reference>
          <reference field="2" count="1" selected="0">
            <x v="0"/>
          </reference>
          <reference field="3" count="1" selected="0">
            <x v="9"/>
          </reference>
          <reference field="4" count="1" selected="0">
            <x v="209"/>
          </reference>
          <reference field="5" count="1" selected="0">
            <x v="592"/>
          </reference>
          <reference field="6" count="1">
            <x v="47"/>
          </reference>
        </references>
      </pivotArea>
    </format>
    <format dxfId="1048">
      <pivotArea dataOnly="0" labelOnly="1" fieldPosition="0">
        <references count="6">
          <reference field="1" count="1" selected="0">
            <x v="121"/>
          </reference>
          <reference field="2" count="1" selected="0">
            <x v="0"/>
          </reference>
          <reference field="3" count="1" selected="0">
            <x v="9"/>
          </reference>
          <reference field="4" count="1" selected="0">
            <x v="209"/>
          </reference>
          <reference field="5" count="1" selected="0">
            <x v="837"/>
          </reference>
          <reference field="6" count="1">
            <x v="47"/>
          </reference>
        </references>
      </pivotArea>
    </format>
    <format dxfId="1047">
      <pivotArea dataOnly="0" labelOnly="1" fieldPosition="0">
        <references count="6">
          <reference field="1" count="1" selected="0">
            <x v="121"/>
          </reference>
          <reference field="2" count="1" selected="0">
            <x v="0"/>
          </reference>
          <reference field="3" count="1" selected="0">
            <x v="9"/>
          </reference>
          <reference field="4" count="1" selected="0">
            <x v="209"/>
          </reference>
          <reference field="5" count="1" selected="0">
            <x v="879"/>
          </reference>
          <reference field="6" count="1">
            <x v="47"/>
          </reference>
        </references>
      </pivotArea>
    </format>
    <format dxfId="1046">
      <pivotArea dataOnly="0" labelOnly="1" fieldPosition="0">
        <references count="6">
          <reference field="1" count="1" selected="0">
            <x v="121"/>
          </reference>
          <reference field="2" count="1" selected="0">
            <x v="0"/>
          </reference>
          <reference field="3" count="1" selected="0">
            <x v="9"/>
          </reference>
          <reference field="4" count="1" selected="0">
            <x v="209"/>
          </reference>
          <reference field="5" count="1" selected="0">
            <x v="921"/>
          </reference>
          <reference field="6" count="1">
            <x v="47"/>
          </reference>
        </references>
      </pivotArea>
    </format>
    <format dxfId="1045">
      <pivotArea dataOnly="0" labelOnly="1" fieldPosition="0">
        <references count="6">
          <reference field="1" count="1" selected="0">
            <x v="121"/>
          </reference>
          <reference field="2" count="1" selected="0">
            <x v="0"/>
          </reference>
          <reference field="3" count="1" selected="0">
            <x v="9"/>
          </reference>
          <reference field="4" count="1" selected="0">
            <x v="209"/>
          </reference>
          <reference field="5" count="1" selected="0">
            <x v="957"/>
          </reference>
          <reference field="6" count="1">
            <x v="47"/>
          </reference>
        </references>
      </pivotArea>
    </format>
    <format dxfId="1044">
      <pivotArea dataOnly="0" labelOnly="1" fieldPosition="0">
        <references count="6">
          <reference field="1" count="1" selected="0">
            <x v="121"/>
          </reference>
          <reference field="2" count="1" selected="0">
            <x v="0"/>
          </reference>
          <reference field="3" count="1" selected="0">
            <x v="9"/>
          </reference>
          <reference field="4" count="1" selected="0">
            <x v="209"/>
          </reference>
          <reference field="5" count="1" selected="0">
            <x v="966"/>
          </reference>
          <reference field="6" count="1">
            <x v="47"/>
          </reference>
        </references>
      </pivotArea>
    </format>
    <format dxfId="1043">
      <pivotArea dataOnly="0" labelOnly="1" fieldPosition="0">
        <references count="6">
          <reference field="1" count="1" selected="0">
            <x v="121"/>
          </reference>
          <reference field="2" count="1" selected="0">
            <x v="0"/>
          </reference>
          <reference field="3" count="1" selected="0">
            <x v="9"/>
          </reference>
          <reference field="4" count="1" selected="0">
            <x v="209"/>
          </reference>
          <reference field="5" count="1" selected="0">
            <x v="1053"/>
          </reference>
          <reference field="6" count="1">
            <x v="47"/>
          </reference>
        </references>
      </pivotArea>
    </format>
    <format dxfId="1042">
      <pivotArea dataOnly="0" labelOnly="1" fieldPosition="0">
        <references count="6">
          <reference field="1" count="1" selected="0">
            <x v="121"/>
          </reference>
          <reference field="2" count="1" selected="0">
            <x v="0"/>
          </reference>
          <reference field="3" count="1" selected="0">
            <x v="9"/>
          </reference>
          <reference field="4" count="1" selected="0">
            <x v="209"/>
          </reference>
          <reference field="5" count="1" selected="0">
            <x v="1322"/>
          </reference>
          <reference field="6" count="1">
            <x v="47"/>
          </reference>
        </references>
      </pivotArea>
    </format>
    <format dxfId="1041">
      <pivotArea dataOnly="0" labelOnly="1" fieldPosition="0">
        <references count="6">
          <reference field="1" count="1" selected="0">
            <x v="121"/>
          </reference>
          <reference field="2" count="1" selected="0">
            <x v="0"/>
          </reference>
          <reference field="3" count="1" selected="0">
            <x v="12"/>
          </reference>
          <reference field="4" count="1" selected="0">
            <x v="43"/>
          </reference>
          <reference field="5" count="1" selected="0">
            <x v="9"/>
          </reference>
          <reference field="6" count="1">
            <x v="47"/>
          </reference>
        </references>
      </pivotArea>
    </format>
    <format dxfId="1040">
      <pivotArea dataOnly="0" labelOnly="1" fieldPosition="0">
        <references count="6">
          <reference field="1" count="1" selected="0">
            <x v="121"/>
          </reference>
          <reference field="2" count="1" selected="0">
            <x v="2"/>
          </reference>
          <reference field="3" count="1" selected="0">
            <x v="8"/>
          </reference>
          <reference field="4" count="1" selected="0">
            <x v="209"/>
          </reference>
          <reference field="5" count="1" selected="0">
            <x v="583"/>
          </reference>
          <reference field="6" count="1">
            <x v="47"/>
          </reference>
        </references>
      </pivotArea>
    </format>
    <format dxfId="1039">
      <pivotArea dataOnly="0" labelOnly="1" fieldPosition="0">
        <references count="6">
          <reference field="1" count="1" selected="0">
            <x v="121"/>
          </reference>
          <reference field="2" count="1" selected="0">
            <x v="5"/>
          </reference>
          <reference field="3" count="1" selected="0">
            <x v="38"/>
          </reference>
          <reference field="4" count="1" selected="0">
            <x v="209"/>
          </reference>
          <reference field="5" count="1" selected="0">
            <x v="784"/>
          </reference>
          <reference field="6" count="1">
            <x v="47"/>
          </reference>
        </references>
      </pivotArea>
    </format>
    <format dxfId="1038">
      <pivotArea dataOnly="0" labelOnly="1" fieldPosition="0">
        <references count="6">
          <reference field="1" count="1" selected="0">
            <x v="121"/>
          </reference>
          <reference field="2" count="1" selected="0">
            <x v="11"/>
          </reference>
          <reference field="3" count="1" selected="0">
            <x v="8"/>
          </reference>
          <reference field="4" count="1" selected="0">
            <x v="209"/>
          </reference>
          <reference field="5" count="1" selected="0">
            <x v="857"/>
          </reference>
          <reference field="6" count="1">
            <x v="47"/>
          </reference>
        </references>
      </pivotArea>
    </format>
    <format dxfId="1037">
      <pivotArea dataOnly="0" labelOnly="1" fieldPosition="0">
        <references count="6">
          <reference field="1" count="1" selected="0">
            <x v="121"/>
          </reference>
          <reference field="2" count="1" selected="0">
            <x v="12"/>
          </reference>
          <reference field="3" count="1" selected="0">
            <x v="1"/>
          </reference>
          <reference field="4" count="1" selected="0">
            <x v="209"/>
          </reference>
          <reference field="5" count="1" selected="0">
            <x v="80"/>
          </reference>
          <reference field="6" count="1">
            <x v="47"/>
          </reference>
        </references>
      </pivotArea>
    </format>
    <format dxfId="1036">
      <pivotArea dataOnly="0" labelOnly="1" fieldPosition="0">
        <references count="6">
          <reference field="1" count="1" selected="0">
            <x v="121"/>
          </reference>
          <reference field="2" count="1" selected="0">
            <x v="12"/>
          </reference>
          <reference field="3" count="1" selected="0">
            <x v="1"/>
          </reference>
          <reference field="4" count="1" selected="0">
            <x v="209"/>
          </reference>
          <reference field="5" count="1" selected="0">
            <x v="352"/>
          </reference>
          <reference field="6" count="1">
            <x v="47"/>
          </reference>
        </references>
      </pivotArea>
    </format>
    <format dxfId="1035">
      <pivotArea dataOnly="0" labelOnly="1" fieldPosition="0">
        <references count="6">
          <reference field="1" count="1" selected="0">
            <x v="121"/>
          </reference>
          <reference field="2" count="1" selected="0">
            <x v="12"/>
          </reference>
          <reference field="3" count="1" selected="0">
            <x v="1"/>
          </reference>
          <reference field="4" count="1" selected="0">
            <x v="209"/>
          </reference>
          <reference field="5" count="1" selected="0">
            <x v="702"/>
          </reference>
          <reference field="6" count="1">
            <x v="47"/>
          </reference>
        </references>
      </pivotArea>
    </format>
    <format dxfId="1034">
      <pivotArea dataOnly="0" labelOnly="1" fieldPosition="0">
        <references count="6">
          <reference field="1" count="1" selected="0">
            <x v="121"/>
          </reference>
          <reference field="2" count="1" selected="0">
            <x v="15"/>
          </reference>
          <reference field="3" count="1" selected="0">
            <x v="8"/>
          </reference>
          <reference field="4" count="1" selected="0">
            <x v="209"/>
          </reference>
          <reference field="5" count="1" selected="0">
            <x v="1059"/>
          </reference>
          <reference field="6" count="1">
            <x v="47"/>
          </reference>
        </references>
      </pivotArea>
    </format>
    <format dxfId="1033">
      <pivotArea dataOnly="0" labelOnly="1" fieldPosition="0">
        <references count="6">
          <reference field="1" count="1" selected="0">
            <x v="121"/>
          </reference>
          <reference field="2" count="1" selected="0">
            <x v="15"/>
          </reference>
          <reference field="3" count="1" selected="0">
            <x v="9"/>
          </reference>
          <reference field="4" count="1" selected="0">
            <x v="209"/>
          </reference>
          <reference field="5" count="1" selected="0">
            <x v="248"/>
          </reference>
          <reference field="6" count="1">
            <x v="47"/>
          </reference>
        </references>
      </pivotArea>
    </format>
    <format dxfId="1032">
      <pivotArea dataOnly="0" labelOnly="1" fieldPosition="0">
        <references count="6">
          <reference field="1" count="1" selected="0">
            <x v="121"/>
          </reference>
          <reference field="2" count="1" selected="0">
            <x v="15"/>
          </reference>
          <reference field="3" count="1" selected="0">
            <x v="38"/>
          </reference>
          <reference field="4" count="1" selected="0">
            <x v="209"/>
          </reference>
          <reference field="5" count="1" selected="0">
            <x v="1036"/>
          </reference>
          <reference field="6" count="1">
            <x v="47"/>
          </reference>
        </references>
      </pivotArea>
    </format>
    <format dxfId="1031">
      <pivotArea dataOnly="0" labelOnly="1" fieldPosition="0">
        <references count="6">
          <reference field="1" count="1" selected="0">
            <x v="121"/>
          </reference>
          <reference field="2" count="1" selected="0">
            <x v="17"/>
          </reference>
          <reference field="3" count="1" selected="0">
            <x v="6"/>
          </reference>
          <reference field="4" count="1" selected="0">
            <x v="209"/>
          </reference>
          <reference field="5" count="1" selected="0">
            <x v="1788"/>
          </reference>
          <reference field="6" count="1">
            <x v="47"/>
          </reference>
        </references>
      </pivotArea>
    </format>
    <format dxfId="1030">
      <pivotArea dataOnly="0" labelOnly="1" fieldPosition="0">
        <references count="6">
          <reference field="1" count="1" selected="0">
            <x v="121"/>
          </reference>
          <reference field="2" count="1" selected="0">
            <x v="17"/>
          </reference>
          <reference field="3" count="1" selected="0">
            <x v="9"/>
          </reference>
          <reference field="4" count="1" selected="0">
            <x v="209"/>
          </reference>
          <reference field="5" count="1" selected="0">
            <x v="464"/>
          </reference>
          <reference field="6" count="1">
            <x v="47"/>
          </reference>
        </references>
      </pivotArea>
    </format>
    <format dxfId="1029">
      <pivotArea dataOnly="0" labelOnly="1" fieldPosition="0">
        <references count="6">
          <reference field="1" count="1" selected="0">
            <x v="121"/>
          </reference>
          <reference field="2" count="1" selected="0">
            <x v="19"/>
          </reference>
          <reference field="3" count="1" selected="0">
            <x v="10"/>
          </reference>
          <reference field="4" count="1" selected="0">
            <x v="209"/>
          </reference>
          <reference field="5" count="1" selected="0">
            <x v="0"/>
          </reference>
          <reference field="6" count="1">
            <x v="30"/>
          </reference>
        </references>
      </pivotArea>
    </format>
    <format dxfId="1028">
      <pivotArea dataOnly="0" labelOnly="1" fieldPosition="0">
        <references count="6">
          <reference field="1" count="1" selected="0">
            <x v="121"/>
          </reference>
          <reference field="2" count="1" selected="0">
            <x v="23"/>
          </reference>
          <reference field="3" count="1" selected="0">
            <x v="7"/>
          </reference>
          <reference field="4" count="1" selected="0">
            <x v="209"/>
          </reference>
          <reference field="5" count="1" selected="0">
            <x v="1093"/>
          </reference>
          <reference field="6" count="1">
            <x v="47"/>
          </reference>
        </references>
      </pivotArea>
    </format>
    <format dxfId="1027">
      <pivotArea dataOnly="0" labelOnly="1" fieldPosition="0">
        <references count="6">
          <reference field="1" count="1" selected="0">
            <x v="121"/>
          </reference>
          <reference field="2" count="1" selected="0">
            <x v="23"/>
          </reference>
          <reference field="3" count="1" selected="0">
            <x v="9"/>
          </reference>
          <reference field="4" count="1" selected="0">
            <x v="209"/>
          </reference>
          <reference field="5" count="1" selected="0">
            <x v="1347"/>
          </reference>
          <reference field="6" count="1">
            <x v="47"/>
          </reference>
        </references>
      </pivotArea>
    </format>
    <format dxfId="1026">
      <pivotArea dataOnly="0" labelOnly="1" fieldPosition="0">
        <references count="6">
          <reference field="1" count="1" selected="0">
            <x v="121"/>
          </reference>
          <reference field="2" count="1" selected="0">
            <x v="25"/>
          </reference>
          <reference field="3" count="1" selected="0">
            <x v="9"/>
          </reference>
          <reference field="4" count="1" selected="0">
            <x v="209"/>
          </reference>
          <reference field="5" count="1" selected="0">
            <x v="1073"/>
          </reference>
          <reference field="6" count="1">
            <x v="47"/>
          </reference>
        </references>
      </pivotArea>
    </format>
    <format dxfId="1025">
      <pivotArea dataOnly="0" labelOnly="1" fieldPosition="0">
        <references count="6">
          <reference field="1" count="1" selected="0">
            <x v="121"/>
          </reference>
          <reference field="2" count="1" selected="0">
            <x v="35"/>
          </reference>
          <reference field="3" count="1" selected="0">
            <x v="1"/>
          </reference>
          <reference field="4" count="1" selected="0">
            <x v="209"/>
          </reference>
          <reference field="5" count="1" selected="0">
            <x v="80"/>
          </reference>
          <reference field="6" count="1">
            <x v="47"/>
          </reference>
        </references>
      </pivotArea>
    </format>
    <format dxfId="1024">
      <pivotArea dataOnly="0" labelOnly="1" fieldPosition="0">
        <references count="6">
          <reference field="1" count="1" selected="0">
            <x v="121"/>
          </reference>
          <reference field="2" count="1" selected="0">
            <x v="36"/>
          </reference>
          <reference field="3" count="1" selected="0">
            <x v="9"/>
          </reference>
          <reference field="4" count="1" selected="0">
            <x v="209"/>
          </reference>
          <reference field="5" count="1" selected="0">
            <x v="804"/>
          </reference>
          <reference field="6" count="1">
            <x v="47"/>
          </reference>
        </references>
      </pivotArea>
    </format>
    <format dxfId="1023">
      <pivotArea dataOnly="0" labelOnly="1" fieldPosition="0">
        <references count="6">
          <reference field="1" count="1" selected="0">
            <x v="122"/>
          </reference>
          <reference field="2" count="1" selected="0">
            <x v="0"/>
          </reference>
          <reference field="3" count="1" selected="0">
            <x v="10"/>
          </reference>
          <reference field="4" count="1" selected="0">
            <x v="210"/>
          </reference>
          <reference field="5" count="1" selected="0">
            <x v="0"/>
          </reference>
          <reference field="6" count="1">
            <x v="31"/>
          </reference>
        </references>
      </pivotArea>
    </format>
    <format dxfId="1022">
      <pivotArea dataOnly="0" labelOnly="1" fieldPosition="0">
        <references count="6">
          <reference field="1" count="1" selected="0">
            <x v="122"/>
          </reference>
          <reference field="2" count="1" selected="0">
            <x v="0"/>
          </reference>
          <reference field="3" count="1" selected="0">
            <x v="12"/>
          </reference>
          <reference field="4" count="1" selected="0">
            <x v="30"/>
          </reference>
          <reference field="5" count="1" selected="0">
            <x v="11"/>
          </reference>
          <reference field="6" count="1">
            <x v="47"/>
          </reference>
        </references>
      </pivotArea>
    </format>
    <format dxfId="1021">
      <pivotArea dataOnly="0" labelOnly="1" fieldPosition="0">
        <references count="6">
          <reference field="1" count="1" selected="0">
            <x v="122"/>
          </reference>
          <reference field="2" count="1" selected="0">
            <x v="0"/>
          </reference>
          <reference field="3" count="1" selected="0">
            <x v="12"/>
          </reference>
          <reference field="4" count="1" selected="0">
            <x v="42"/>
          </reference>
          <reference field="5" count="1" selected="0">
            <x v="69"/>
          </reference>
          <reference field="6" count="1">
            <x v="47"/>
          </reference>
        </references>
      </pivotArea>
    </format>
    <format dxfId="1020">
      <pivotArea dataOnly="0" labelOnly="1" fieldPosition="0">
        <references count="6">
          <reference field="1" count="1" selected="0">
            <x v="122"/>
          </reference>
          <reference field="2" count="1" selected="0">
            <x v="7"/>
          </reference>
          <reference field="3" count="1" selected="0">
            <x v="6"/>
          </reference>
          <reference field="4" count="1" selected="0">
            <x v="210"/>
          </reference>
          <reference field="5" count="1" selected="0">
            <x v="719"/>
          </reference>
          <reference field="6" count="1">
            <x v="47"/>
          </reference>
        </references>
      </pivotArea>
    </format>
    <format dxfId="1019">
      <pivotArea dataOnly="0" labelOnly="1" fieldPosition="0">
        <references count="6">
          <reference field="1" count="1" selected="0">
            <x v="122"/>
          </reference>
          <reference field="2" count="1" selected="0">
            <x v="8"/>
          </reference>
          <reference field="3" count="1" selected="0">
            <x v="38"/>
          </reference>
          <reference field="4" count="1" selected="0">
            <x v="210"/>
          </reference>
          <reference field="5" count="1" selected="0">
            <x v="1144"/>
          </reference>
          <reference field="6" count="1">
            <x v="47"/>
          </reference>
        </references>
      </pivotArea>
    </format>
    <format dxfId="1018">
      <pivotArea dataOnly="0" labelOnly="1" fieldPosition="0">
        <references count="6">
          <reference field="1" count="1" selected="0">
            <x v="122"/>
          </reference>
          <reference field="2" count="1" selected="0">
            <x v="12"/>
          </reference>
          <reference field="3" count="1" selected="0">
            <x v="1"/>
          </reference>
          <reference field="4" count="1" selected="0">
            <x v="210"/>
          </reference>
          <reference field="5" count="1" selected="0">
            <x v="80"/>
          </reference>
          <reference field="6" count="1">
            <x v="47"/>
          </reference>
        </references>
      </pivotArea>
    </format>
    <format dxfId="1017">
      <pivotArea dataOnly="0" labelOnly="1" fieldPosition="0">
        <references count="6">
          <reference field="1" count="1" selected="0">
            <x v="122"/>
          </reference>
          <reference field="2" count="1" selected="0">
            <x v="12"/>
          </reference>
          <reference field="3" count="1" selected="0">
            <x v="1"/>
          </reference>
          <reference field="4" count="1" selected="0">
            <x v="210"/>
          </reference>
          <reference field="5" count="1" selected="0">
            <x v="213"/>
          </reference>
          <reference field="6" count="1">
            <x v="47"/>
          </reference>
        </references>
      </pivotArea>
    </format>
    <format dxfId="1016">
      <pivotArea dataOnly="0" labelOnly="1" fieldPosition="0">
        <references count="6">
          <reference field="1" count="1" selected="0">
            <x v="122"/>
          </reference>
          <reference field="2" count="1" selected="0">
            <x v="12"/>
          </reference>
          <reference field="3" count="1" selected="0">
            <x v="1"/>
          </reference>
          <reference field="4" count="1" selected="0">
            <x v="210"/>
          </reference>
          <reference field="5" count="1" selected="0">
            <x v="702"/>
          </reference>
          <reference field="6" count="1">
            <x v="47"/>
          </reference>
        </references>
      </pivotArea>
    </format>
    <format dxfId="1015">
      <pivotArea dataOnly="0" labelOnly="1" fieldPosition="0">
        <references count="6">
          <reference field="1" count="1" selected="0">
            <x v="122"/>
          </reference>
          <reference field="2" count="1" selected="0">
            <x v="12"/>
          </reference>
          <reference field="3" count="1" selected="0">
            <x v="1"/>
          </reference>
          <reference field="4" count="1" selected="0">
            <x v="210"/>
          </reference>
          <reference field="5" count="1" selected="0">
            <x v="911"/>
          </reference>
          <reference field="6" count="1">
            <x v="47"/>
          </reference>
        </references>
      </pivotArea>
    </format>
    <format dxfId="1014">
      <pivotArea dataOnly="0" labelOnly="1" fieldPosition="0">
        <references count="6">
          <reference field="1" count="1" selected="0">
            <x v="122"/>
          </reference>
          <reference field="2" count="1" selected="0">
            <x v="12"/>
          </reference>
          <reference field="3" count="1" selected="0">
            <x v="1"/>
          </reference>
          <reference field="4" count="1" selected="0">
            <x v="210"/>
          </reference>
          <reference field="5" count="1" selected="0">
            <x v="1114"/>
          </reference>
          <reference field="6" count="1">
            <x v="47"/>
          </reference>
        </references>
      </pivotArea>
    </format>
    <format dxfId="1013">
      <pivotArea dataOnly="0" labelOnly="1" fieldPosition="0">
        <references count="6">
          <reference field="1" count="1" selected="0">
            <x v="122"/>
          </reference>
          <reference field="2" count="1" selected="0">
            <x v="17"/>
          </reference>
          <reference field="3" count="1" selected="0">
            <x v="6"/>
          </reference>
          <reference field="4" count="1" selected="0">
            <x v="210"/>
          </reference>
          <reference field="5" count="1" selected="0">
            <x v="1627"/>
          </reference>
          <reference field="6" count="1">
            <x v="47"/>
          </reference>
        </references>
      </pivotArea>
    </format>
    <format dxfId="1012">
      <pivotArea dataOnly="0" labelOnly="1" fieldPosition="0">
        <references count="6">
          <reference field="1" count="1" selected="0">
            <x v="122"/>
          </reference>
          <reference field="2" count="1" selected="0">
            <x v="18"/>
          </reference>
          <reference field="3" count="1" selected="0">
            <x v="38"/>
          </reference>
          <reference field="4" count="1" selected="0">
            <x v="210"/>
          </reference>
          <reference field="5" count="1" selected="0">
            <x v="1337"/>
          </reference>
          <reference field="6" count="1">
            <x v="47"/>
          </reference>
        </references>
      </pivotArea>
    </format>
    <format dxfId="1011">
      <pivotArea dataOnly="0" labelOnly="1" fieldPosition="0">
        <references count="6">
          <reference field="1" count="1" selected="0">
            <x v="122"/>
          </reference>
          <reference field="2" count="1" selected="0">
            <x v="19"/>
          </reference>
          <reference field="3" count="1" selected="0">
            <x v="6"/>
          </reference>
          <reference field="4" count="1" selected="0">
            <x v="210"/>
          </reference>
          <reference field="5" count="1" selected="0">
            <x v="1288"/>
          </reference>
          <reference field="6" count="1">
            <x v="47"/>
          </reference>
        </references>
      </pivotArea>
    </format>
    <format dxfId="1010">
      <pivotArea dataOnly="0" labelOnly="1" fieldPosition="0">
        <references count="6">
          <reference field="1" count="1" selected="0">
            <x v="122"/>
          </reference>
          <reference field="2" count="1" selected="0">
            <x v="23"/>
          </reference>
          <reference field="3" count="1" selected="0">
            <x v="38"/>
          </reference>
          <reference field="4" count="1" selected="0">
            <x v="210"/>
          </reference>
          <reference field="5" count="1" selected="0">
            <x v="38"/>
          </reference>
          <reference field="6" count="1">
            <x v="47"/>
          </reference>
        </references>
      </pivotArea>
    </format>
    <format dxfId="1009">
      <pivotArea dataOnly="0" labelOnly="1" fieldPosition="0">
        <references count="6">
          <reference field="1" count="1" selected="0">
            <x v="122"/>
          </reference>
          <reference field="2" count="1" selected="0">
            <x v="32"/>
          </reference>
          <reference field="3" count="1" selected="0">
            <x v="6"/>
          </reference>
          <reference field="4" count="1" selected="0">
            <x v="210"/>
          </reference>
          <reference field="5" count="1" selected="0">
            <x v="1875"/>
          </reference>
          <reference field="6" count="1">
            <x v="47"/>
          </reference>
        </references>
      </pivotArea>
    </format>
    <format dxfId="1008">
      <pivotArea dataOnly="0" labelOnly="1" fieldPosition="0">
        <references count="6">
          <reference field="1" count="1" selected="0">
            <x v="123"/>
          </reference>
          <reference field="2" count="1" selected="0">
            <x v="5"/>
          </reference>
          <reference field="3" count="1" selected="0">
            <x v="37"/>
          </reference>
          <reference field="4" count="1" selected="0">
            <x v="211"/>
          </reference>
          <reference field="5" count="1" selected="0">
            <x v="1824"/>
          </reference>
          <reference field="6" count="1">
            <x v="47"/>
          </reference>
        </references>
      </pivotArea>
    </format>
    <format dxfId="1007">
      <pivotArea dataOnly="0" labelOnly="1" fieldPosition="0">
        <references count="6">
          <reference field="1" count="1" selected="0">
            <x v="123"/>
          </reference>
          <reference field="2" count="1" selected="0">
            <x v="6"/>
          </reference>
          <reference field="3" count="1" selected="0">
            <x v="38"/>
          </reference>
          <reference field="4" count="1" selected="0">
            <x v="211"/>
          </reference>
          <reference field="5" count="1" selected="0">
            <x v="982"/>
          </reference>
          <reference field="6" count="1">
            <x v="47"/>
          </reference>
        </references>
      </pivotArea>
    </format>
    <format dxfId="1006">
      <pivotArea dataOnly="0" labelOnly="1" fieldPosition="0">
        <references count="6">
          <reference field="1" count="1" selected="0">
            <x v="123"/>
          </reference>
          <reference field="2" count="1" selected="0">
            <x v="12"/>
          </reference>
          <reference field="3" count="1" selected="0">
            <x v="1"/>
          </reference>
          <reference field="4" count="1" selected="0">
            <x v="211"/>
          </reference>
          <reference field="5" count="1" selected="0">
            <x v="80"/>
          </reference>
          <reference field="6" count="1">
            <x v="47"/>
          </reference>
        </references>
      </pivotArea>
    </format>
    <format dxfId="1005">
      <pivotArea dataOnly="0" labelOnly="1" fieldPosition="0">
        <references count="6">
          <reference field="1" count="1" selected="0">
            <x v="123"/>
          </reference>
          <reference field="2" count="1" selected="0">
            <x v="12"/>
          </reference>
          <reference field="3" count="1" selected="0">
            <x v="1"/>
          </reference>
          <reference field="4" count="1" selected="0">
            <x v="211"/>
          </reference>
          <reference field="5" count="1" selected="0">
            <x v="352"/>
          </reference>
          <reference field="6" count="1">
            <x v="47"/>
          </reference>
        </references>
      </pivotArea>
    </format>
    <format dxfId="1004">
      <pivotArea dataOnly="0" labelOnly="1" fieldPosition="0">
        <references count="6">
          <reference field="1" count="1" selected="0">
            <x v="123"/>
          </reference>
          <reference field="2" count="1" selected="0">
            <x v="14"/>
          </reference>
          <reference field="3" count="1" selected="0">
            <x v="1"/>
          </reference>
          <reference field="4" count="1" selected="0">
            <x v="211"/>
          </reference>
          <reference field="5" count="1" selected="0">
            <x v="605"/>
          </reference>
          <reference field="6" count="1">
            <x v="47"/>
          </reference>
        </references>
      </pivotArea>
    </format>
    <format dxfId="1003">
      <pivotArea dataOnly="0" labelOnly="1" fieldPosition="0">
        <references count="6">
          <reference field="1" count="1" selected="0">
            <x v="123"/>
          </reference>
          <reference field="2" count="1" selected="0">
            <x v="14"/>
          </reference>
          <reference field="3" count="1" selected="0">
            <x v="9"/>
          </reference>
          <reference field="4" count="1" selected="0">
            <x v="211"/>
          </reference>
          <reference field="5" count="1" selected="0">
            <x v="0"/>
          </reference>
          <reference field="6" count="1">
            <x v="4"/>
          </reference>
        </references>
      </pivotArea>
    </format>
    <format dxfId="1002">
      <pivotArea dataOnly="0" labelOnly="1" fieldPosition="0">
        <references count="6">
          <reference field="1" count="1" selected="0">
            <x v="123"/>
          </reference>
          <reference field="2" count="1" selected="0">
            <x v="15"/>
          </reference>
          <reference field="3" count="1" selected="0">
            <x v="10"/>
          </reference>
          <reference field="4" count="1" selected="0">
            <x v="211"/>
          </reference>
          <reference field="5" count="1" selected="0">
            <x v="31"/>
          </reference>
          <reference field="6" count="1">
            <x v="47"/>
          </reference>
        </references>
      </pivotArea>
    </format>
    <format dxfId="1001">
      <pivotArea dataOnly="0" labelOnly="1" fieldPosition="0">
        <references count="6">
          <reference field="1" count="1" selected="0">
            <x v="123"/>
          </reference>
          <reference field="2" count="1" selected="0">
            <x v="27"/>
          </reference>
          <reference field="3" count="1" selected="0">
            <x v="6"/>
          </reference>
          <reference field="4" count="1" selected="0">
            <x v="211"/>
          </reference>
          <reference field="5" count="1" selected="0">
            <x v="1532"/>
          </reference>
          <reference field="6" count="1">
            <x v="47"/>
          </reference>
        </references>
      </pivotArea>
    </format>
    <format dxfId="1000">
      <pivotArea dataOnly="0" labelOnly="1" fieldPosition="0">
        <references count="6">
          <reference field="1" count="1" selected="0">
            <x v="123"/>
          </reference>
          <reference field="2" count="1" selected="0">
            <x v="29"/>
          </reference>
          <reference field="3" count="1" selected="0">
            <x v="10"/>
          </reference>
          <reference field="4" count="1" selected="0">
            <x v="211"/>
          </reference>
          <reference field="5" count="1" selected="0">
            <x v="1839"/>
          </reference>
          <reference field="6" count="1">
            <x v="47"/>
          </reference>
        </references>
      </pivotArea>
    </format>
    <format dxfId="999">
      <pivotArea dataOnly="0" labelOnly="1" fieldPosition="0">
        <references count="6">
          <reference field="1" count="1" selected="0">
            <x v="123"/>
          </reference>
          <reference field="2" count="1" selected="0">
            <x v="35"/>
          </reference>
          <reference field="3" count="1" selected="0">
            <x v="1"/>
          </reference>
          <reference field="4" count="1" selected="0">
            <x v="211"/>
          </reference>
          <reference field="5" count="1" selected="0">
            <x v="80"/>
          </reference>
          <reference field="6" count="1">
            <x v="47"/>
          </reference>
        </references>
      </pivotArea>
    </format>
    <format dxfId="998">
      <pivotArea dataOnly="0" labelOnly="1" fieldPosition="0">
        <references count="6">
          <reference field="1" count="1" selected="0">
            <x v="123"/>
          </reference>
          <reference field="2" count="1" selected="0">
            <x v="37"/>
          </reference>
          <reference field="3" count="1" selected="0">
            <x v="10"/>
          </reference>
          <reference field="4" count="1" selected="0">
            <x v="211"/>
          </reference>
          <reference field="5" count="1" selected="0">
            <x v="1321"/>
          </reference>
          <reference field="6" count="1">
            <x v="47"/>
          </reference>
        </references>
      </pivotArea>
    </format>
    <format dxfId="997">
      <pivotArea dataOnly="0" labelOnly="1" fieldPosition="0">
        <references count="6">
          <reference field="1" count="1" selected="0">
            <x v="124"/>
          </reference>
          <reference field="2" count="1" selected="0">
            <x v="0"/>
          </reference>
          <reference field="3" count="1" selected="0">
            <x v="12"/>
          </reference>
          <reference field="4" count="1" selected="0">
            <x v="38"/>
          </reference>
          <reference field="5" count="1" selected="0">
            <x v="11"/>
          </reference>
          <reference field="6" count="1">
            <x v="47"/>
          </reference>
        </references>
      </pivotArea>
    </format>
    <format dxfId="996">
      <pivotArea dataOnly="0" labelOnly="1" fieldPosition="0">
        <references count="6">
          <reference field="1" count="1" selected="0">
            <x v="124"/>
          </reference>
          <reference field="2" count="1" selected="0">
            <x v="0"/>
          </reference>
          <reference field="3" count="1" selected="0">
            <x v="12"/>
          </reference>
          <reference field="4" count="1" selected="0">
            <x v="64"/>
          </reference>
          <reference field="5" count="1" selected="0">
            <x v="53"/>
          </reference>
          <reference field="6" count="1">
            <x v="47"/>
          </reference>
        </references>
      </pivotArea>
    </format>
    <format dxfId="995">
      <pivotArea dataOnly="0" labelOnly="1" fieldPosition="0">
        <references count="6">
          <reference field="1" count="1" selected="0">
            <x v="124"/>
          </reference>
          <reference field="2" count="1" selected="0">
            <x v="0"/>
          </reference>
          <reference field="3" count="1" selected="0">
            <x v="38"/>
          </reference>
          <reference field="4" count="1" selected="0">
            <x v="212"/>
          </reference>
          <reference field="5" count="1" selected="0">
            <x v="138"/>
          </reference>
          <reference field="6" count="1">
            <x v="47"/>
          </reference>
        </references>
      </pivotArea>
    </format>
    <format dxfId="994">
      <pivotArea dataOnly="0" labelOnly="1" fieldPosition="0">
        <references count="6">
          <reference field="1" count="1" selected="0">
            <x v="124"/>
          </reference>
          <reference field="2" count="1" selected="0">
            <x v="2"/>
          </reference>
          <reference field="3" count="1" selected="0">
            <x v="6"/>
          </reference>
          <reference field="4" count="1" selected="0">
            <x v="212"/>
          </reference>
          <reference field="5" count="1" selected="0">
            <x v="1339"/>
          </reference>
          <reference field="6" count="1">
            <x v="47"/>
          </reference>
        </references>
      </pivotArea>
    </format>
    <format dxfId="993">
      <pivotArea dataOnly="0" labelOnly="1" fieldPosition="0">
        <references count="6">
          <reference field="1" count="1" selected="0">
            <x v="124"/>
          </reference>
          <reference field="2" count="1" selected="0">
            <x v="6"/>
          </reference>
          <reference field="3" count="1" selected="0">
            <x v="38"/>
          </reference>
          <reference field="4" count="1" selected="0">
            <x v="212"/>
          </reference>
          <reference field="5" count="1" selected="0">
            <x v="561"/>
          </reference>
          <reference field="6" count="1">
            <x v="47"/>
          </reference>
        </references>
      </pivotArea>
    </format>
    <format dxfId="992">
      <pivotArea dataOnly="0" labelOnly="1" fieldPosition="0">
        <references count="6">
          <reference field="1" count="1" selected="0">
            <x v="124"/>
          </reference>
          <reference field="2" count="1" selected="0">
            <x v="12"/>
          </reference>
          <reference field="3" count="1" selected="0">
            <x v="1"/>
          </reference>
          <reference field="4" count="1" selected="0">
            <x v="212"/>
          </reference>
          <reference field="5" count="1" selected="0">
            <x v="80"/>
          </reference>
          <reference field="6" count="1">
            <x v="47"/>
          </reference>
        </references>
      </pivotArea>
    </format>
    <format dxfId="991">
      <pivotArea dataOnly="0" labelOnly="1" fieldPosition="0">
        <references count="6">
          <reference field="1" count="1" selected="0">
            <x v="124"/>
          </reference>
          <reference field="2" count="1" selected="0">
            <x v="12"/>
          </reference>
          <reference field="3" count="1" selected="0">
            <x v="1"/>
          </reference>
          <reference field="4" count="1" selected="0">
            <x v="212"/>
          </reference>
          <reference field="5" count="1" selected="0">
            <x v="213"/>
          </reference>
          <reference field="6" count="1">
            <x v="47"/>
          </reference>
        </references>
      </pivotArea>
    </format>
    <format dxfId="990">
      <pivotArea dataOnly="0" labelOnly="1" fieldPosition="0">
        <references count="6">
          <reference field="1" count="1" selected="0">
            <x v="124"/>
          </reference>
          <reference field="2" count="1" selected="0">
            <x v="12"/>
          </reference>
          <reference field="3" count="1" selected="0">
            <x v="1"/>
          </reference>
          <reference field="4" count="1" selected="0">
            <x v="212"/>
          </reference>
          <reference field="5" count="1" selected="0">
            <x v="500"/>
          </reference>
          <reference field="6" count="1">
            <x v="47"/>
          </reference>
        </references>
      </pivotArea>
    </format>
    <format dxfId="989">
      <pivotArea dataOnly="0" labelOnly="1" fieldPosition="0">
        <references count="6">
          <reference field="1" count="1" selected="0">
            <x v="124"/>
          </reference>
          <reference field="2" count="1" selected="0">
            <x v="12"/>
          </reference>
          <reference field="3" count="1" selected="0">
            <x v="3"/>
          </reference>
          <reference field="4" count="1" selected="0">
            <x v="0"/>
          </reference>
          <reference field="5" count="1" selected="0">
            <x v="80"/>
          </reference>
          <reference field="6" count="1">
            <x v="47"/>
          </reference>
        </references>
      </pivotArea>
    </format>
    <format dxfId="988">
      <pivotArea dataOnly="0" labelOnly="1" fieldPosition="0">
        <references count="6">
          <reference field="1" count="1" selected="0">
            <x v="124"/>
          </reference>
          <reference field="2" count="1" selected="0">
            <x v="12"/>
          </reference>
          <reference field="3" count="1" selected="0">
            <x v="4"/>
          </reference>
          <reference field="4" count="1" selected="0">
            <x v="0"/>
          </reference>
          <reference field="5" count="1" selected="0">
            <x v="352"/>
          </reference>
          <reference field="6" count="1">
            <x v="47"/>
          </reference>
        </references>
      </pivotArea>
    </format>
    <format dxfId="987">
      <pivotArea dataOnly="0" labelOnly="1" fieldPosition="0">
        <references count="6">
          <reference field="1" count="1" selected="0">
            <x v="124"/>
          </reference>
          <reference field="2" count="1" selected="0">
            <x v="12"/>
          </reference>
          <reference field="3" count="1" selected="0">
            <x v="4"/>
          </reference>
          <reference field="4" count="1" selected="0">
            <x v="0"/>
          </reference>
          <reference field="5" count="1" selected="0">
            <x v="500"/>
          </reference>
          <reference field="6" count="1">
            <x v="47"/>
          </reference>
        </references>
      </pivotArea>
    </format>
    <format dxfId="986">
      <pivotArea dataOnly="0" labelOnly="1" fieldPosition="0">
        <references count="6">
          <reference field="1" count="1" selected="0">
            <x v="124"/>
          </reference>
          <reference field="2" count="1" selected="0">
            <x v="12"/>
          </reference>
          <reference field="3" count="1" selected="0">
            <x v="4"/>
          </reference>
          <reference field="4" count="1" selected="0">
            <x v="0"/>
          </reference>
          <reference field="5" count="1" selected="0">
            <x v="964"/>
          </reference>
          <reference field="6" count="1">
            <x v="47"/>
          </reference>
        </references>
      </pivotArea>
    </format>
    <format dxfId="985">
      <pivotArea dataOnly="0" labelOnly="1" fieldPosition="0">
        <references count="6">
          <reference field="1" count="1" selected="0">
            <x v="124"/>
          </reference>
          <reference field="2" count="1" selected="0">
            <x v="21"/>
          </reference>
          <reference field="3" count="1" selected="0">
            <x v="38"/>
          </reference>
          <reference field="4" count="1" selected="0">
            <x v="212"/>
          </reference>
          <reference field="5" count="1" selected="0">
            <x v="1274"/>
          </reference>
          <reference field="6" count="1">
            <x v="47"/>
          </reference>
        </references>
      </pivotArea>
    </format>
    <format dxfId="984">
      <pivotArea dataOnly="0" labelOnly="1" fieldPosition="0">
        <references count="6">
          <reference field="1" count="1" selected="0">
            <x v="124"/>
          </reference>
          <reference field="2" count="1" selected="0">
            <x v="23"/>
          </reference>
          <reference field="3" count="1" selected="0">
            <x v="38"/>
          </reference>
          <reference field="4" count="1" selected="0">
            <x v="212"/>
          </reference>
          <reference field="5" count="1" selected="0">
            <x v="1854"/>
          </reference>
          <reference field="6" count="1">
            <x v="47"/>
          </reference>
        </references>
      </pivotArea>
    </format>
    <format dxfId="983">
      <pivotArea dataOnly="0" labelOnly="1" fieldPosition="0">
        <references count="6">
          <reference field="1" count="1" selected="0">
            <x v="124"/>
          </reference>
          <reference field="2" count="1" selected="0">
            <x v="35"/>
          </reference>
          <reference field="3" count="1" selected="0">
            <x v="1"/>
          </reference>
          <reference field="4" count="1" selected="0">
            <x v="212"/>
          </reference>
          <reference field="5" count="1" selected="0">
            <x v="80"/>
          </reference>
          <reference field="6" count="1">
            <x v="47"/>
          </reference>
        </references>
      </pivotArea>
    </format>
    <format dxfId="982">
      <pivotArea dataOnly="0" labelOnly="1" fieldPosition="0">
        <references count="6">
          <reference field="1" count="1" selected="0">
            <x v="124"/>
          </reference>
          <reference field="2" count="1" selected="0">
            <x v="36"/>
          </reference>
          <reference field="3" count="1" selected="0">
            <x v="38"/>
          </reference>
          <reference field="4" count="1" selected="0">
            <x v="212"/>
          </reference>
          <reference field="5" count="1" selected="0">
            <x v="153"/>
          </reference>
          <reference field="6" count="1">
            <x v="47"/>
          </reference>
        </references>
      </pivotArea>
    </format>
    <format dxfId="981">
      <pivotArea dataOnly="0" labelOnly="1" fieldPosition="0">
        <references count="6">
          <reference field="1" count="1" selected="0">
            <x v="125"/>
          </reference>
          <reference field="2" count="1" selected="0">
            <x v="0"/>
          </reference>
          <reference field="3" count="1" selected="0">
            <x v="12"/>
          </reference>
          <reference field="4" count="1" selected="0">
            <x v="26"/>
          </reference>
          <reference field="5" count="1" selected="0">
            <x v="25"/>
          </reference>
          <reference field="6" count="1">
            <x v="47"/>
          </reference>
        </references>
      </pivotArea>
    </format>
    <format dxfId="980">
      <pivotArea dataOnly="0" labelOnly="1" fieldPosition="0">
        <references count="6">
          <reference field="1" count="1" selected="0">
            <x v="125"/>
          </reference>
          <reference field="2" count="1" selected="0">
            <x v="0"/>
          </reference>
          <reference field="3" count="1" selected="0">
            <x v="12"/>
          </reference>
          <reference field="4" count="1" selected="0">
            <x v="57"/>
          </reference>
          <reference field="5" count="1" selected="0">
            <x v="6"/>
          </reference>
          <reference field="6" count="1">
            <x v="47"/>
          </reference>
        </references>
      </pivotArea>
    </format>
    <format dxfId="979">
      <pivotArea dataOnly="0" labelOnly="1" fieldPosition="0">
        <references count="6">
          <reference field="1" count="1" selected="0">
            <x v="125"/>
          </reference>
          <reference field="2" count="1" selected="0">
            <x v="5"/>
          </reference>
          <reference field="3" count="1" selected="0">
            <x v="10"/>
          </reference>
          <reference field="4" count="1" selected="0">
            <x v="213"/>
          </reference>
          <reference field="5" count="1" selected="0">
            <x v="1332"/>
          </reference>
          <reference field="6" count="1">
            <x v="47"/>
          </reference>
        </references>
      </pivotArea>
    </format>
    <format dxfId="978">
      <pivotArea dataOnly="0" labelOnly="1" fieldPosition="0">
        <references count="6">
          <reference field="1" count="1" selected="0">
            <x v="125"/>
          </reference>
          <reference field="2" count="1" selected="0">
            <x v="12"/>
          </reference>
          <reference field="3" count="1" selected="0">
            <x v="1"/>
          </reference>
          <reference field="4" count="1" selected="0">
            <x v="213"/>
          </reference>
          <reference field="5" count="1" selected="0">
            <x v="80"/>
          </reference>
          <reference field="6" count="1">
            <x v="47"/>
          </reference>
        </references>
      </pivotArea>
    </format>
    <format dxfId="977">
      <pivotArea dataOnly="0" labelOnly="1" fieldPosition="0">
        <references count="6">
          <reference field="1" count="1" selected="0">
            <x v="125"/>
          </reference>
          <reference field="2" count="1" selected="0">
            <x v="12"/>
          </reference>
          <reference field="3" count="1" selected="0">
            <x v="1"/>
          </reference>
          <reference field="4" count="1" selected="0">
            <x v="213"/>
          </reference>
          <reference field="5" count="1" selected="0">
            <x v="213"/>
          </reference>
          <reference field="6" count="1">
            <x v="47"/>
          </reference>
        </references>
      </pivotArea>
    </format>
    <format dxfId="976">
      <pivotArea dataOnly="0" labelOnly="1" fieldPosition="0">
        <references count="6">
          <reference field="1" count="1" selected="0">
            <x v="125"/>
          </reference>
          <reference field="2" count="1" selected="0">
            <x v="12"/>
          </reference>
          <reference field="3" count="1" selected="0">
            <x v="1"/>
          </reference>
          <reference field="4" count="1" selected="0">
            <x v="213"/>
          </reference>
          <reference field="5" count="1" selected="0">
            <x v="500"/>
          </reference>
          <reference field="6" count="1">
            <x v="47"/>
          </reference>
        </references>
      </pivotArea>
    </format>
    <format dxfId="975">
      <pivotArea dataOnly="0" labelOnly="1" fieldPosition="0">
        <references count="6">
          <reference field="1" count="1" selected="0">
            <x v="125"/>
          </reference>
          <reference field="2" count="1" selected="0">
            <x v="12"/>
          </reference>
          <reference field="3" count="1" selected="0">
            <x v="1"/>
          </reference>
          <reference field="4" count="1" selected="0">
            <x v="213"/>
          </reference>
          <reference field="5" count="1" selected="0">
            <x v="702"/>
          </reference>
          <reference field="6" count="1">
            <x v="47"/>
          </reference>
        </references>
      </pivotArea>
    </format>
    <format dxfId="974">
      <pivotArea dataOnly="0" labelOnly="1" fieldPosition="0">
        <references count="6">
          <reference field="1" count="1" selected="0">
            <x v="125"/>
          </reference>
          <reference field="2" count="1" selected="0">
            <x v="14"/>
          </reference>
          <reference field="3" count="1" selected="0">
            <x v="38"/>
          </reference>
          <reference field="4" count="1" selected="0">
            <x v="213"/>
          </reference>
          <reference field="5" count="1" selected="0">
            <x v="1429"/>
          </reference>
          <reference field="6" count="1">
            <x v="47"/>
          </reference>
        </references>
      </pivotArea>
    </format>
    <format dxfId="973">
      <pivotArea dataOnly="0" labelOnly="1" fieldPosition="0">
        <references count="6">
          <reference field="1" count="1" selected="0">
            <x v="125"/>
          </reference>
          <reference field="2" count="1" selected="0">
            <x v="21"/>
          </reference>
          <reference field="3" count="1" selected="0">
            <x v="38"/>
          </reference>
          <reference field="4" count="1" selected="0">
            <x v="213"/>
          </reference>
          <reference field="5" count="1" selected="0">
            <x v="755"/>
          </reference>
          <reference field="6" count="1">
            <x v="47"/>
          </reference>
        </references>
      </pivotArea>
    </format>
    <format dxfId="972">
      <pivotArea dataOnly="0" labelOnly="1" fieldPosition="0">
        <references count="6">
          <reference field="1" count="1" selected="0">
            <x v="125"/>
          </reference>
          <reference field="2" count="1" selected="0">
            <x v="23"/>
          </reference>
          <reference field="3" count="1" selected="0">
            <x v="38"/>
          </reference>
          <reference field="4" count="1" selected="0">
            <x v="213"/>
          </reference>
          <reference field="5" count="1" selected="0">
            <x v="87"/>
          </reference>
          <reference field="6" count="1">
            <x v="47"/>
          </reference>
        </references>
      </pivotArea>
    </format>
    <format dxfId="971">
      <pivotArea dataOnly="0" labelOnly="1" fieldPosition="0">
        <references count="6">
          <reference field="1" count="1" selected="0">
            <x v="125"/>
          </reference>
          <reference field="2" count="1" selected="0">
            <x v="24"/>
          </reference>
          <reference field="3" count="1" selected="0">
            <x v="38"/>
          </reference>
          <reference field="4" count="1" selected="0">
            <x v="213"/>
          </reference>
          <reference field="5" count="1" selected="0">
            <x v="94"/>
          </reference>
          <reference field="6" count="1">
            <x v="47"/>
          </reference>
        </references>
      </pivotArea>
    </format>
    <format dxfId="970">
      <pivotArea dataOnly="0" labelOnly="1" fieldPosition="0">
        <references count="6">
          <reference field="1" count="1" selected="0">
            <x v="125"/>
          </reference>
          <reference field="2" count="1" selected="0">
            <x v="26"/>
          </reference>
          <reference field="3" count="1" selected="0">
            <x v="38"/>
          </reference>
          <reference field="4" count="1" selected="0">
            <x v="213"/>
          </reference>
          <reference field="5" count="1" selected="0">
            <x v="352"/>
          </reference>
          <reference field="6" count="1">
            <x v="47"/>
          </reference>
        </references>
      </pivotArea>
    </format>
    <format dxfId="969">
      <pivotArea dataOnly="0" labelOnly="1" fieldPosition="0">
        <references count="6">
          <reference field="1" count="1" selected="0">
            <x v="125"/>
          </reference>
          <reference field="2" count="1" selected="0">
            <x v="29"/>
          </reference>
          <reference field="3" count="1" selected="0">
            <x v="10"/>
          </reference>
          <reference field="4" count="1" selected="0">
            <x v="213"/>
          </reference>
          <reference field="5" count="1" selected="0">
            <x v="1601"/>
          </reference>
          <reference field="6" count="1">
            <x v="47"/>
          </reference>
        </references>
      </pivotArea>
    </format>
    <format dxfId="968">
      <pivotArea dataOnly="0" labelOnly="1" fieldPosition="0">
        <references count="6">
          <reference field="1" count="1" selected="0">
            <x v="125"/>
          </reference>
          <reference field="2" count="1" selected="0">
            <x v="35"/>
          </reference>
          <reference field="3" count="1" selected="0">
            <x v="1"/>
          </reference>
          <reference field="4" count="1" selected="0">
            <x v="213"/>
          </reference>
          <reference field="5" count="1" selected="0">
            <x v="80"/>
          </reference>
          <reference field="6" count="1">
            <x v="47"/>
          </reference>
        </references>
      </pivotArea>
    </format>
    <format dxfId="967">
      <pivotArea dataOnly="0" labelOnly="1" fieldPosition="0">
        <references count="6">
          <reference field="1" count="1" selected="0">
            <x v="126"/>
          </reference>
          <reference field="2" count="1" selected="0">
            <x v="0"/>
          </reference>
          <reference field="3" count="1" selected="0">
            <x v="12"/>
          </reference>
          <reference field="4" count="1" selected="0">
            <x v="38"/>
          </reference>
          <reference field="5" count="1" selected="0">
            <x v="18"/>
          </reference>
          <reference field="6" count="1">
            <x v="47"/>
          </reference>
        </references>
      </pivotArea>
    </format>
    <format dxfId="966">
      <pivotArea dataOnly="0" labelOnly="1" fieldPosition="0">
        <references count="6">
          <reference field="1" count="1" selected="0">
            <x v="126"/>
          </reference>
          <reference field="2" count="1" selected="0">
            <x v="12"/>
          </reference>
          <reference field="3" count="1" selected="0">
            <x v="1"/>
          </reference>
          <reference field="4" count="1" selected="0">
            <x v="214"/>
          </reference>
          <reference field="5" count="1" selected="0">
            <x v="80"/>
          </reference>
          <reference field="6" count="1">
            <x v="47"/>
          </reference>
        </references>
      </pivotArea>
    </format>
    <format dxfId="965">
      <pivotArea dataOnly="0" labelOnly="1" fieldPosition="0">
        <references count="6">
          <reference field="1" count="1" selected="0">
            <x v="126"/>
          </reference>
          <reference field="2" count="1" selected="0">
            <x v="12"/>
          </reference>
          <reference field="3" count="1" selected="0">
            <x v="1"/>
          </reference>
          <reference field="4" count="1" selected="0">
            <x v="214"/>
          </reference>
          <reference field="5" count="1" selected="0">
            <x v="213"/>
          </reference>
          <reference field="6" count="1">
            <x v="47"/>
          </reference>
        </references>
      </pivotArea>
    </format>
    <format dxfId="964">
      <pivotArea dataOnly="0" labelOnly="1" fieldPosition="0">
        <references count="6">
          <reference field="1" count="1" selected="0">
            <x v="126"/>
          </reference>
          <reference field="2" count="1" selected="0">
            <x v="12"/>
          </reference>
          <reference field="3" count="1" selected="0">
            <x v="1"/>
          </reference>
          <reference field="4" count="1" selected="0">
            <x v="214"/>
          </reference>
          <reference field="5" count="1" selected="0">
            <x v="607"/>
          </reference>
          <reference field="6" count="1">
            <x v="47"/>
          </reference>
        </references>
      </pivotArea>
    </format>
    <format dxfId="963">
      <pivotArea dataOnly="0" labelOnly="1" fieldPosition="0">
        <references count="6">
          <reference field="1" count="1" selected="0">
            <x v="126"/>
          </reference>
          <reference field="2" count="1" selected="0">
            <x v="12"/>
          </reference>
          <reference field="3" count="1" selected="0">
            <x v="8"/>
          </reference>
          <reference field="4" count="1" selected="0">
            <x v="214"/>
          </reference>
          <reference field="5" count="1" selected="0">
            <x v="80"/>
          </reference>
          <reference field="6" count="1">
            <x v="47"/>
          </reference>
        </references>
      </pivotArea>
    </format>
    <format dxfId="962">
      <pivotArea dataOnly="0" labelOnly="1" fieldPosition="0">
        <references count="6">
          <reference field="1" count="1" selected="0">
            <x v="126"/>
          </reference>
          <reference field="2" count="1" selected="0">
            <x v="12"/>
          </reference>
          <reference field="3" count="1" selected="0">
            <x v="8"/>
          </reference>
          <reference field="4" count="1" selected="0">
            <x v="214"/>
          </reference>
          <reference field="5" count="1" selected="0">
            <x v="352"/>
          </reference>
          <reference field="6" count="1">
            <x v="47"/>
          </reference>
        </references>
      </pivotArea>
    </format>
    <format dxfId="961">
      <pivotArea dataOnly="0" labelOnly="1" fieldPosition="0">
        <references count="6">
          <reference field="1" count="1" selected="0">
            <x v="126"/>
          </reference>
          <reference field="2" count="1" selected="0">
            <x v="12"/>
          </reference>
          <reference field="3" count="1" selected="0">
            <x v="8"/>
          </reference>
          <reference field="4" count="1" selected="0">
            <x v="214"/>
          </reference>
          <reference field="5" count="1" selected="0">
            <x v="500"/>
          </reference>
          <reference field="6" count="1">
            <x v="47"/>
          </reference>
        </references>
      </pivotArea>
    </format>
    <format dxfId="960">
      <pivotArea dataOnly="0" labelOnly="1" fieldPosition="0">
        <references count="6">
          <reference field="1" count="1" selected="0">
            <x v="126"/>
          </reference>
          <reference field="2" count="1" selected="0">
            <x v="12"/>
          </reference>
          <reference field="3" count="1" selected="0">
            <x v="8"/>
          </reference>
          <reference field="4" count="1" selected="0">
            <x v="214"/>
          </reference>
          <reference field="5" count="1" selected="0">
            <x v="964"/>
          </reference>
          <reference field="6" count="1">
            <x v="47"/>
          </reference>
        </references>
      </pivotArea>
    </format>
    <format dxfId="959">
      <pivotArea dataOnly="0" labelOnly="1" fieldPosition="0">
        <references count="6">
          <reference field="1" count="1" selected="0">
            <x v="126"/>
          </reference>
          <reference field="2" count="1" selected="0">
            <x v="15"/>
          </reference>
          <reference field="3" count="1" selected="0">
            <x v="38"/>
          </reference>
          <reference field="4" count="1" selected="0">
            <x v="214"/>
          </reference>
          <reference field="5" count="1" selected="0">
            <x v="809"/>
          </reference>
          <reference field="6" count="1">
            <x v="47"/>
          </reference>
        </references>
      </pivotArea>
    </format>
    <format dxfId="958">
      <pivotArea dataOnly="0" labelOnly="1" fieldPosition="0">
        <references count="6">
          <reference field="1" count="1" selected="0">
            <x v="126"/>
          </reference>
          <reference field="2" count="1" selected="0">
            <x v="26"/>
          </reference>
          <reference field="3" count="1" selected="0">
            <x v="38"/>
          </reference>
          <reference field="4" count="1" selected="0">
            <x v="214"/>
          </reference>
          <reference field="5" count="1" selected="0">
            <x v="278"/>
          </reference>
          <reference field="6" count="1">
            <x v="47"/>
          </reference>
        </references>
      </pivotArea>
    </format>
    <format dxfId="957">
      <pivotArea dataOnly="0" labelOnly="1" fieldPosition="0">
        <references count="6">
          <reference field="1" count="1" selected="0">
            <x v="126"/>
          </reference>
          <reference field="2" count="1" selected="0">
            <x v="29"/>
          </reference>
          <reference field="3" count="1" selected="0">
            <x v="38"/>
          </reference>
          <reference field="4" count="1" selected="0">
            <x v="214"/>
          </reference>
          <reference field="5" count="1" selected="0">
            <x v="1170"/>
          </reference>
          <reference field="6" count="1">
            <x v="47"/>
          </reference>
        </references>
      </pivotArea>
    </format>
    <format dxfId="956">
      <pivotArea dataOnly="0" labelOnly="1" fieldPosition="0">
        <references count="6">
          <reference field="1" count="1" selected="0">
            <x v="126"/>
          </reference>
          <reference field="2" count="1" selected="0">
            <x v="35"/>
          </reference>
          <reference field="3" count="1" selected="0">
            <x v="1"/>
          </reference>
          <reference field="4" count="1" selected="0">
            <x v="214"/>
          </reference>
          <reference field="5" count="1" selected="0">
            <x v="80"/>
          </reference>
          <reference field="6" count="1">
            <x v="47"/>
          </reference>
        </references>
      </pivotArea>
    </format>
    <format dxfId="955">
      <pivotArea dataOnly="0" labelOnly="1" fieldPosition="0">
        <references count="6">
          <reference field="1" count="1" selected="0">
            <x v="126"/>
          </reference>
          <reference field="2" count="1" selected="0">
            <x v="35"/>
          </reference>
          <reference field="3" count="1" selected="0">
            <x v="8"/>
          </reference>
          <reference field="4" count="1" selected="0">
            <x v="214"/>
          </reference>
          <reference field="5" count="1" selected="0">
            <x v="80"/>
          </reference>
          <reference field="6" count="1">
            <x v="47"/>
          </reference>
        </references>
      </pivotArea>
    </format>
    <format dxfId="954">
      <pivotArea dataOnly="0" labelOnly="1" fieldPosition="0">
        <references count="6">
          <reference field="1" count="1" selected="0">
            <x v="127"/>
          </reference>
          <reference field="2" count="1" selected="0">
            <x v="0"/>
          </reference>
          <reference field="3" count="1" selected="0">
            <x v="1"/>
          </reference>
          <reference field="4" count="1" selected="0">
            <x v="216"/>
          </reference>
          <reference field="5" count="1" selected="0">
            <x v="80"/>
          </reference>
          <reference field="6" count="1">
            <x v="47"/>
          </reference>
        </references>
      </pivotArea>
    </format>
    <format dxfId="953">
      <pivotArea dataOnly="0" labelOnly="1" fieldPosition="0">
        <references count="6">
          <reference field="1" count="1" selected="0">
            <x v="127"/>
          </reference>
          <reference field="2" count="1" selected="0">
            <x v="0"/>
          </reference>
          <reference field="3" count="1" selected="0">
            <x v="8"/>
          </reference>
          <reference field="4" count="1" selected="0">
            <x v="216"/>
          </reference>
          <reference field="5" count="1" selected="0">
            <x v="473"/>
          </reference>
          <reference field="6" count="1">
            <x v="47"/>
          </reference>
        </references>
      </pivotArea>
    </format>
    <format dxfId="952">
      <pivotArea dataOnly="0" labelOnly="1" fieldPosition="0">
        <references count="6">
          <reference field="1" count="1" selected="0">
            <x v="127"/>
          </reference>
          <reference field="2" count="1" selected="0">
            <x v="0"/>
          </reference>
          <reference field="3" count="1" selected="0">
            <x v="8"/>
          </reference>
          <reference field="4" count="1" selected="0">
            <x v="216"/>
          </reference>
          <reference field="5" count="1" selected="0">
            <x v="881"/>
          </reference>
          <reference field="6" count="1">
            <x v="47"/>
          </reference>
        </references>
      </pivotArea>
    </format>
    <format dxfId="951">
      <pivotArea dataOnly="0" labelOnly="1" fieldPosition="0">
        <references count="6">
          <reference field="1" count="1" selected="0">
            <x v="127"/>
          </reference>
          <reference field="2" count="1" selected="0">
            <x v="0"/>
          </reference>
          <reference field="3" count="1" selected="0">
            <x v="8"/>
          </reference>
          <reference field="4" count="1" selected="0">
            <x v="216"/>
          </reference>
          <reference field="5" count="1" selected="0">
            <x v="992"/>
          </reference>
          <reference field="6" count="1">
            <x v="47"/>
          </reference>
        </references>
      </pivotArea>
    </format>
    <format dxfId="950">
      <pivotArea dataOnly="0" labelOnly="1" fieldPosition="0">
        <references count="6">
          <reference field="1" count="1" selected="0">
            <x v="127"/>
          </reference>
          <reference field="2" count="1" selected="0">
            <x v="0"/>
          </reference>
          <reference field="3" count="1" selected="0">
            <x v="9"/>
          </reference>
          <reference field="4" count="1" selected="0">
            <x v="216"/>
          </reference>
          <reference field="5" count="1" selected="0">
            <x v="1"/>
          </reference>
          <reference field="6" count="1">
            <x v="47"/>
          </reference>
        </references>
      </pivotArea>
    </format>
    <format dxfId="949">
      <pivotArea dataOnly="0" labelOnly="1" fieldPosition="0">
        <references count="6">
          <reference field="1" count="1" selected="0">
            <x v="127"/>
          </reference>
          <reference field="2" count="1" selected="0">
            <x v="0"/>
          </reference>
          <reference field="3" count="1" selected="0">
            <x v="9"/>
          </reference>
          <reference field="4" count="1" selected="0">
            <x v="216"/>
          </reference>
          <reference field="5" count="1" selected="0">
            <x v="233"/>
          </reference>
          <reference field="6" count="1">
            <x v="47"/>
          </reference>
        </references>
      </pivotArea>
    </format>
    <format dxfId="948">
      <pivotArea dataOnly="0" labelOnly="1" fieldPosition="0">
        <references count="6">
          <reference field="1" count="1" selected="0">
            <x v="127"/>
          </reference>
          <reference field="2" count="1" selected="0">
            <x v="0"/>
          </reference>
          <reference field="3" count="1" selected="0">
            <x v="9"/>
          </reference>
          <reference field="4" count="1" selected="0">
            <x v="216"/>
          </reference>
          <reference field="5" count="1" selected="0">
            <x v="263"/>
          </reference>
          <reference field="6" count="1">
            <x v="47"/>
          </reference>
        </references>
      </pivotArea>
    </format>
    <format dxfId="947">
      <pivotArea dataOnly="0" labelOnly="1" fieldPosition="0">
        <references count="6">
          <reference field="1" count="1" selected="0">
            <x v="127"/>
          </reference>
          <reference field="2" count="1" selected="0">
            <x v="0"/>
          </reference>
          <reference field="3" count="1" selected="0">
            <x v="9"/>
          </reference>
          <reference field="4" count="1" selected="0">
            <x v="216"/>
          </reference>
          <reference field="5" count="1" selected="0">
            <x v="462"/>
          </reference>
          <reference field="6" count="1">
            <x v="47"/>
          </reference>
        </references>
      </pivotArea>
    </format>
    <format dxfId="946">
      <pivotArea dataOnly="0" labelOnly="1" fieldPosition="0">
        <references count="6">
          <reference field="1" count="1" selected="0">
            <x v="127"/>
          </reference>
          <reference field="2" count="1" selected="0">
            <x v="0"/>
          </reference>
          <reference field="3" count="1" selected="0">
            <x v="9"/>
          </reference>
          <reference field="4" count="1" selected="0">
            <x v="216"/>
          </reference>
          <reference field="5" count="1" selected="0">
            <x v="538"/>
          </reference>
          <reference field="6" count="1">
            <x v="47"/>
          </reference>
        </references>
      </pivotArea>
    </format>
    <format dxfId="945">
      <pivotArea dataOnly="0" labelOnly="1" fieldPosition="0">
        <references count="6">
          <reference field="1" count="1" selected="0">
            <x v="127"/>
          </reference>
          <reference field="2" count="1" selected="0">
            <x v="0"/>
          </reference>
          <reference field="3" count="1" selected="0">
            <x v="9"/>
          </reference>
          <reference field="4" count="1" selected="0">
            <x v="216"/>
          </reference>
          <reference field="5" count="1" selected="0">
            <x v="635"/>
          </reference>
          <reference field="6" count="1">
            <x v="47"/>
          </reference>
        </references>
      </pivotArea>
    </format>
    <format dxfId="944">
      <pivotArea dataOnly="0" labelOnly="1" fieldPosition="0">
        <references count="6">
          <reference field="1" count="1" selected="0">
            <x v="127"/>
          </reference>
          <reference field="2" count="1" selected="0">
            <x v="0"/>
          </reference>
          <reference field="3" count="1" selected="0">
            <x v="9"/>
          </reference>
          <reference field="4" count="1" selected="0">
            <x v="216"/>
          </reference>
          <reference field="5" count="1" selected="0">
            <x v="732"/>
          </reference>
          <reference field="6" count="1">
            <x v="47"/>
          </reference>
        </references>
      </pivotArea>
    </format>
    <format dxfId="943">
      <pivotArea dataOnly="0" labelOnly="1" fieldPosition="0">
        <references count="6">
          <reference field="1" count="1" selected="0">
            <x v="127"/>
          </reference>
          <reference field="2" count="1" selected="0">
            <x v="0"/>
          </reference>
          <reference field="3" count="1" selected="0">
            <x v="9"/>
          </reference>
          <reference field="4" count="1" selected="0">
            <x v="216"/>
          </reference>
          <reference field="5" count="1" selected="0">
            <x v="1087"/>
          </reference>
          <reference field="6" count="1">
            <x v="47"/>
          </reference>
        </references>
      </pivotArea>
    </format>
    <format dxfId="942">
      <pivotArea dataOnly="0" labelOnly="1" fieldPosition="0">
        <references count="6">
          <reference field="1" count="1" selected="0">
            <x v="127"/>
          </reference>
          <reference field="2" count="1" selected="0">
            <x v="0"/>
          </reference>
          <reference field="3" count="1" selected="0">
            <x v="9"/>
          </reference>
          <reference field="4" count="1" selected="0">
            <x v="216"/>
          </reference>
          <reference field="5" count="1" selected="0">
            <x v="1425"/>
          </reference>
          <reference field="6" count="1">
            <x v="47"/>
          </reference>
        </references>
      </pivotArea>
    </format>
    <format dxfId="941">
      <pivotArea dataOnly="0" labelOnly="1" fieldPosition="0">
        <references count="6">
          <reference field="1" count="1" selected="0">
            <x v="127"/>
          </reference>
          <reference field="2" count="1" selected="0">
            <x v="0"/>
          </reference>
          <reference field="3" count="1" selected="0">
            <x v="12"/>
          </reference>
          <reference field="4" count="1" selected="0">
            <x v="21"/>
          </reference>
          <reference field="5" count="1" selected="0">
            <x v="11"/>
          </reference>
          <reference field="6" count="1">
            <x v="47"/>
          </reference>
        </references>
      </pivotArea>
    </format>
    <format dxfId="940">
      <pivotArea dataOnly="0" labelOnly="1" fieldPosition="0">
        <references count="6">
          <reference field="1" count="1" selected="0">
            <x v="127"/>
          </reference>
          <reference field="2" count="1" selected="0">
            <x v="0"/>
          </reference>
          <reference field="3" count="1" selected="0">
            <x v="12"/>
          </reference>
          <reference field="4" count="1" selected="0">
            <x v="22"/>
          </reference>
          <reference field="5" count="1" selected="0">
            <x v="18"/>
          </reference>
          <reference field="6" count="1">
            <x v="47"/>
          </reference>
        </references>
      </pivotArea>
    </format>
    <format dxfId="939">
      <pivotArea dataOnly="0" labelOnly="1" fieldPosition="0">
        <references count="6">
          <reference field="1" count="1" selected="0">
            <x v="127"/>
          </reference>
          <reference field="2" count="1" selected="0">
            <x v="0"/>
          </reference>
          <reference field="3" count="1" selected="0">
            <x v="17"/>
          </reference>
          <reference field="4" count="1" selected="0">
            <x v="215"/>
          </reference>
          <reference field="5" count="1" selected="0">
            <x v="379"/>
          </reference>
          <reference field="6" count="1">
            <x v="47"/>
          </reference>
        </references>
      </pivotArea>
    </format>
    <format dxfId="938">
      <pivotArea dataOnly="0" labelOnly="1" fieldPosition="0">
        <references count="6">
          <reference field="1" count="1" selected="0">
            <x v="127"/>
          </reference>
          <reference field="2" count="1" selected="0">
            <x v="0"/>
          </reference>
          <reference field="3" count="1" selected="0">
            <x v="17"/>
          </reference>
          <reference field="4" count="1" selected="0">
            <x v="215"/>
          </reference>
          <reference field="5" count="1" selected="0">
            <x v="414"/>
          </reference>
          <reference field="6" count="1">
            <x v="47"/>
          </reference>
        </references>
      </pivotArea>
    </format>
    <format dxfId="937">
      <pivotArea dataOnly="0" labelOnly="1" fieldPosition="0">
        <references count="6">
          <reference field="1" count="1" selected="0">
            <x v="127"/>
          </reference>
          <reference field="2" count="1" selected="0">
            <x v="0"/>
          </reference>
          <reference field="3" count="1" selected="0">
            <x v="17"/>
          </reference>
          <reference field="4" count="1" selected="0">
            <x v="215"/>
          </reference>
          <reference field="5" count="1" selected="0">
            <x v="425"/>
          </reference>
          <reference field="6" count="1">
            <x v="47"/>
          </reference>
        </references>
      </pivotArea>
    </format>
    <format dxfId="936">
      <pivotArea dataOnly="0" labelOnly="1" fieldPosition="0">
        <references count="6">
          <reference field="1" count="1" selected="0">
            <x v="127"/>
          </reference>
          <reference field="2" count="1" selected="0">
            <x v="0"/>
          </reference>
          <reference field="3" count="1" selected="0">
            <x v="17"/>
          </reference>
          <reference field="4" count="1" selected="0">
            <x v="215"/>
          </reference>
          <reference field="5" count="1" selected="0">
            <x v="639"/>
          </reference>
          <reference field="6" count="1">
            <x v="47"/>
          </reference>
        </references>
      </pivotArea>
    </format>
    <format dxfId="935">
      <pivotArea dataOnly="0" labelOnly="1" fieldPosition="0">
        <references count="6">
          <reference field="1" count="1" selected="0">
            <x v="127"/>
          </reference>
          <reference field="2" count="1" selected="0">
            <x v="0"/>
          </reference>
          <reference field="3" count="1" selected="0">
            <x v="17"/>
          </reference>
          <reference field="4" count="1" selected="0">
            <x v="215"/>
          </reference>
          <reference field="5" count="1" selected="0">
            <x v="847"/>
          </reference>
          <reference field="6" count="1">
            <x v="47"/>
          </reference>
        </references>
      </pivotArea>
    </format>
    <format dxfId="934">
      <pivotArea dataOnly="0" labelOnly="1" fieldPosition="0">
        <references count="6">
          <reference field="1" count="1" selected="0">
            <x v="127"/>
          </reference>
          <reference field="2" count="1" selected="0">
            <x v="0"/>
          </reference>
          <reference field="3" count="1" selected="0">
            <x v="17"/>
          </reference>
          <reference field="4" count="1" selected="0">
            <x v="215"/>
          </reference>
          <reference field="5" count="1" selected="0">
            <x v="1065"/>
          </reference>
          <reference field="6" count="1">
            <x v="47"/>
          </reference>
        </references>
      </pivotArea>
    </format>
    <format dxfId="933">
      <pivotArea dataOnly="0" labelOnly="1" fieldPosition="0">
        <references count="6">
          <reference field="1" count="1" selected="0">
            <x v="127"/>
          </reference>
          <reference field="2" count="1" selected="0">
            <x v="0"/>
          </reference>
          <reference field="3" count="1" selected="0">
            <x v="17"/>
          </reference>
          <reference field="4" count="1" selected="0">
            <x v="215"/>
          </reference>
          <reference field="5" count="1" selected="0">
            <x v="1720"/>
          </reference>
          <reference field="6" count="1">
            <x v="47"/>
          </reference>
        </references>
      </pivotArea>
    </format>
    <format dxfId="932">
      <pivotArea dataOnly="0" labelOnly="1" fieldPosition="0">
        <references count="6">
          <reference field="1" count="1" selected="0">
            <x v="127"/>
          </reference>
          <reference field="2" count="1" selected="0">
            <x v="2"/>
          </reference>
          <reference field="3" count="1" selected="0">
            <x v="17"/>
          </reference>
          <reference field="4" count="1" selected="0">
            <x v="215"/>
          </reference>
          <reference field="5" count="1" selected="0">
            <x v="1869"/>
          </reference>
          <reference field="6" count="1">
            <x v="47"/>
          </reference>
        </references>
      </pivotArea>
    </format>
    <format dxfId="931">
      <pivotArea dataOnly="0" labelOnly="1" fieldPosition="0">
        <references count="6">
          <reference field="1" count="1" selected="0">
            <x v="127"/>
          </reference>
          <reference field="2" count="1" selected="0">
            <x v="5"/>
          </reference>
          <reference field="3" count="1" selected="0">
            <x v="8"/>
          </reference>
          <reference field="4" count="1" selected="0">
            <x v="216"/>
          </reference>
          <reference field="5" count="1" selected="0">
            <x v="1108"/>
          </reference>
          <reference field="6" count="1">
            <x v="47"/>
          </reference>
        </references>
      </pivotArea>
    </format>
    <format dxfId="930">
      <pivotArea dataOnly="0" labelOnly="1" fieldPosition="0">
        <references count="6">
          <reference field="1" count="1" selected="0">
            <x v="127"/>
          </reference>
          <reference field="2" count="1" selected="0">
            <x v="7"/>
          </reference>
          <reference field="3" count="1" selected="0">
            <x v="10"/>
          </reference>
          <reference field="4" count="1" selected="0">
            <x v="216"/>
          </reference>
          <reference field="5" count="1" selected="0">
            <x v="1468"/>
          </reference>
          <reference field="6" count="1">
            <x v="47"/>
          </reference>
        </references>
      </pivotArea>
    </format>
    <format dxfId="929">
      <pivotArea dataOnly="0" labelOnly="1" fieldPosition="0">
        <references count="6">
          <reference field="1" count="1" selected="0">
            <x v="127"/>
          </reference>
          <reference field="2" count="1" selected="0">
            <x v="7"/>
          </reference>
          <reference field="3" count="1" selected="0">
            <x v="38"/>
          </reference>
          <reference field="4" count="1" selected="0">
            <x v="216"/>
          </reference>
          <reference field="5" count="1" selected="0">
            <x v="144"/>
          </reference>
          <reference field="6" count="1">
            <x v="47"/>
          </reference>
        </references>
      </pivotArea>
    </format>
    <format dxfId="928">
      <pivotArea dataOnly="0" labelOnly="1" fieldPosition="0">
        <references count="6">
          <reference field="1" count="1" selected="0">
            <x v="127"/>
          </reference>
          <reference field="2" count="1" selected="0">
            <x v="8"/>
          </reference>
          <reference field="3" count="1" selected="0">
            <x v="10"/>
          </reference>
          <reference field="4" count="1" selected="0">
            <x v="216"/>
          </reference>
          <reference field="5" count="1" selected="0">
            <x v="1488"/>
          </reference>
          <reference field="6" count="1">
            <x v="47"/>
          </reference>
        </references>
      </pivotArea>
    </format>
    <format dxfId="927">
      <pivotArea dataOnly="0" labelOnly="1" fieldPosition="0">
        <references count="6">
          <reference field="1" count="1" selected="0">
            <x v="127"/>
          </reference>
          <reference field="2" count="1" selected="0">
            <x v="10"/>
          </reference>
          <reference field="3" count="1" selected="0">
            <x v="10"/>
          </reference>
          <reference field="4" count="1" selected="0">
            <x v="216"/>
          </reference>
          <reference field="5" count="1" selected="0">
            <x v="1864"/>
          </reference>
          <reference field="6" count="1">
            <x v="47"/>
          </reference>
        </references>
      </pivotArea>
    </format>
    <format dxfId="926">
      <pivotArea dataOnly="0" labelOnly="1" fieldPosition="0">
        <references count="6">
          <reference field="1" count="1" selected="0">
            <x v="127"/>
          </reference>
          <reference field="2" count="1" selected="0">
            <x v="12"/>
          </reference>
          <reference field="3" count="1" selected="0">
            <x v="1"/>
          </reference>
          <reference field="4" count="1" selected="0">
            <x v="216"/>
          </reference>
          <reference field="5" count="1" selected="0">
            <x v="80"/>
          </reference>
          <reference field="6" count="1">
            <x v="47"/>
          </reference>
        </references>
      </pivotArea>
    </format>
    <format dxfId="925">
      <pivotArea dataOnly="0" labelOnly="1" fieldPosition="0">
        <references count="6">
          <reference field="1" count="1" selected="0">
            <x v="127"/>
          </reference>
          <reference field="2" count="1" selected="0">
            <x v="12"/>
          </reference>
          <reference field="3" count="1" selected="0">
            <x v="1"/>
          </reference>
          <reference field="4" count="1" selected="0">
            <x v="216"/>
          </reference>
          <reference field="5" count="1" selected="0">
            <x v="213"/>
          </reference>
          <reference field="6" count="1">
            <x v="47"/>
          </reference>
        </references>
      </pivotArea>
    </format>
    <format dxfId="924">
      <pivotArea dataOnly="0" labelOnly="1" fieldPosition="0">
        <references count="6">
          <reference field="1" count="1" selected="0">
            <x v="127"/>
          </reference>
          <reference field="2" count="1" selected="0">
            <x v="12"/>
          </reference>
          <reference field="3" count="1" selected="0">
            <x v="2"/>
          </reference>
          <reference field="4" count="1" selected="0">
            <x v="75"/>
          </reference>
          <reference field="5" count="1" selected="0">
            <x v="0"/>
          </reference>
          <reference field="6" count="4">
            <x v="19"/>
            <x v="27"/>
            <x v="33"/>
            <x v="42"/>
          </reference>
        </references>
      </pivotArea>
    </format>
    <format dxfId="923">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96"/>
          </reference>
          <reference field="6" count="1">
            <x v="47"/>
          </reference>
        </references>
      </pivotArea>
    </format>
    <format dxfId="922">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03"/>
          </reference>
          <reference field="6" count="1">
            <x v="47"/>
          </reference>
        </references>
      </pivotArea>
    </format>
    <format dxfId="921">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42"/>
          </reference>
          <reference field="6" count="1">
            <x v="47"/>
          </reference>
        </references>
      </pivotArea>
    </format>
    <format dxfId="920">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497"/>
          </reference>
          <reference field="6" count="1">
            <x v="47"/>
          </reference>
        </references>
      </pivotArea>
    </format>
    <format dxfId="919">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938"/>
          </reference>
          <reference field="6" count="1">
            <x v="47"/>
          </reference>
        </references>
      </pivotArea>
    </format>
    <format dxfId="918">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123"/>
          </reference>
          <reference field="6" count="1">
            <x v="47"/>
          </reference>
        </references>
      </pivotArea>
    </format>
    <format dxfId="917">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245"/>
          </reference>
          <reference field="6" count="1">
            <x v="47"/>
          </reference>
        </references>
      </pivotArea>
    </format>
    <format dxfId="916">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376"/>
          </reference>
          <reference field="6" count="1">
            <x v="47"/>
          </reference>
        </references>
      </pivotArea>
    </format>
    <format dxfId="915">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382"/>
          </reference>
          <reference field="6" count="1">
            <x v="47"/>
          </reference>
        </references>
      </pivotArea>
    </format>
    <format dxfId="914">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395"/>
          </reference>
          <reference field="6" count="1">
            <x v="47"/>
          </reference>
        </references>
      </pivotArea>
    </format>
    <format dxfId="913">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482"/>
          </reference>
          <reference field="6" count="1">
            <x v="47"/>
          </reference>
        </references>
      </pivotArea>
    </format>
    <format dxfId="912">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504"/>
          </reference>
          <reference field="6" count="1">
            <x v="47"/>
          </reference>
        </references>
      </pivotArea>
    </format>
    <format dxfId="911">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505"/>
          </reference>
          <reference field="6" count="1">
            <x v="47"/>
          </reference>
        </references>
      </pivotArea>
    </format>
    <format dxfId="910">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522"/>
          </reference>
          <reference field="6" count="1">
            <x v="47"/>
          </reference>
        </references>
      </pivotArea>
    </format>
    <format dxfId="909">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527"/>
          </reference>
          <reference field="6" count="1">
            <x v="47"/>
          </reference>
        </references>
      </pivotArea>
    </format>
    <format dxfId="908">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572"/>
          </reference>
          <reference field="6" count="1">
            <x v="47"/>
          </reference>
        </references>
      </pivotArea>
    </format>
    <format dxfId="907">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584"/>
          </reference>
          <reference field="6" count="1">
            <x v="47"/>
          </reference>
        </references>
      </pivotArea>
    </format>
    <format dxfId="906">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653"/>
          </reference>
          <reference field="6" count="1">
            <x v="47"/>
          </reference>
        </references>
      </pivotArea>
    </format>
    <format dxfId="905">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661"/>
          </reference>
          <reference field="6" count="1">
            <x v="47"/>
          </reference>
        </references>
      </pivotArea>
    </format>
    <format dxfId="904">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732"/>
          </reference>
          <reference field="6" count="1">
            <x v="47"/>
          </reference>
        </references>
      </pivotArea>
    </format>
    <format dxfId="903">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738"/>
          </reference>
          <reference field="6" count="1">
            <x v="47"/>
          </reference>
        </references>
      </pivotArea>
    </format>
    <format dxfId="902">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772"/>
          </reference>
          <reference field="6" count="1">
            <x v="47"/>
          </reference>
        </references>
      </pivotArea>
    </format>
    <format dxfId="901">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791"/>
          </reference>
          <reference field="6" count="1">
            <x v="47"/>
          </reference>
        </references>
      </pivotArea>
    </format>
    <format dxfId="900">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804"/>
          </reference>
          <reference field="6" count="1">
            <x v="47"/>
          </reference>
        </references>
      </pivotArea>
    </format>
    <format dxfId="899">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815"/>
          </reference>
          <reference field="6" count="1">
            <x v="47"/>
          </reference>
        </references>
      </pivotArea>
    </format>
    <format dxfId="898">
      <pivotArea dataOnly="0" labelOnly="1" fieldPosition="0">
        <references count="6">
          <reference field="1" count="1" selected="0">
            <x v="127"/>
          </reference>
          <reference field="2" count="1" selected="0">
            <x v="12"/>
          </reference>
          <reference field="3" count="1" selected="0">
            <x v="17"/>
          </reference>
          <reference field="4" count="1" selected="0">
            <x v="215"/>
          </reference>
          <reference field="5" count="1" selected="0">
            <x v="1849"/>
          </reference>
          <reference field="6" count="1">
            <x v="47"/>
          </reference>
        </references>
      </pivotArea>
    </format>
    <format dxfId="897">
      <pivotArea dataOnly="0" labelOnly="1" fieldPosition="0">
        <references count="6">
          <reference field="1" count="1" selected="0">
            <x v="127"/>
          </reference>
          <reference field="2" count="1" selected="0">
            <x v="14"/>
          </reference>
          <reference field="3" count="1" selected="0">
            <x v="17"/>
          </reference>
          <reference field="4" count="1" selected="0">
            <x v="215"/>
          </reference>
          <reference field="5" count="1" selected="0">
            <x v="1218"/>
          </reference>
          <reference field="6" count="1">
            <x v="47"/>
          </reference>
        </references>
      </pivotArea>
    </format>
    <format dxfId="896">
      <pivotArea dataOnly="0" labelOnly="1" fieldPosition="0">
        <references count="6">
          <reference field="1" count="1" selected="0">
            <x v="127"/>
          </reference>
          <reference field="2" count="1" selected="0">
            <x v="15"/>
          </reference>
          <reference field="3" count="1" selected="0">
            <x v="38"/>
          </reference>
          <reference field="4" count="1" selected="0">
            <x v="216"/>
          </reference>
          <reference field="5" count="1" selected="0">
            <x v="1460"/>
          </reference>
          <reference field="6" count="1">
            <x v="47"/>
          </reference>
        </references>
      </pivotArea>
    </format>
    <format dxfId="895">
      <pivotArea dataOnly="0" labelOnly="1" fieldPosition="0">
        <references count="6">
          <reference field="1" count="1" selected="0">
            <x v="127"/>
          </reference>
          <reference field="2" count="1" selected="0">
            <x v="17"/>
          </reference>
          <reference field="3" count="1" selected="0">
            <x v="17"/>
          </reference>
          <reference field="4" count="1" selected="0">
            <x v="215"/>
          </reference>
          <reference field="5" count="1" selected="0">
            <x v="360"/>
          </reference>
          <reference field="6" count="1">
            <x v="47"/>
          </reference>
        </references>
      </pivotArea>
    </format>
    <format dxfId="894">
      <pivotArea dataOnly="0" labelOnly="1" fieldPosition="0">
        <references count="6">
          <reference field="1" count="1" selected="0">
            <x v="127"/>
          </reference>
          <reference field="2" count="1" selected="0">
            <x v="19"/>
          </reference>
          <reference field="3" count="1" selected="0">
            <x v="9"/>
          </reference>
          <reference field="4" count="1" selected="0">
            <x v="216"/>
          </reference>
          <reference field="5" count="1" selected="0">
            <x v="607"/>
          </reference>
          <reference field="6" count="1">
            <x v="47"/>
          </reference>
        </references>
      </pivotArea>
    </format>
    <format dxfId="893">
      <pivotArea dataOnly="0" labelOnly="1" fieldPosition="0">
        <references count="6">
          <reference field="1" count="1" selected="0">
            <x v="127"/>
          </reference>
          <reference field="2" count="1" selected="0">
            <x v="21"/>
          </reference>
          <reference field="3" count="1" selected="0">
            <x v="17"/>
          </reference>
          <reference field="4" count="1" selected="0">
            <x v="215"/>
          </reference>
          <reference field="5" count="1" selected="0">
            <x v="1521"/>
          </reference>
          <reference field="6" count="1">
            <x v="47"/>
          </reference>
        </references>
      </pivotArea>
    </format>
    <format dxfId="892">
      <pivotArea dataOnly="0" labelOnly="1" fieldPosition="0">
        <references count="6">
          <reference field="1" count="1" selected="0">
            <x v="127"/>
          </reference>
          <reference field="2" count="1" selected="0">
            <x v="23"/>
          </reference>
          <reference field="3" count="1" selected="0">
            <x v="17"/>
          </reference>
          <reference field="4" count="1" selected="0">
            <x v="215"/>
          </reference>
          <reference field="5" count="1" selected="0">
            <x v="1676"/>
          </reference>
          <reference field="6" count="1">
            <x v="47"/>
          </reference>
        </references>
      </pivotArea>
    </format>
    <format dxfId="891">
      <pivotArea dataOnly="0" labelOnly="1" fieldPosition="0">
        <references count="6">
          <reference field="1" count="1" selected="0">
            <x v="127"/>
          </reference>
          <reference field="2" count="1" selected="0">
            <x v="24"/>
          </reference>
          <reference field="3" count="1" selected="0">
            <x v="17"/>
          </reference>
          <reference field="4" count="1" selected="0">
            <x v="215"/>
          </reference>
          <reference field="5" count="1" selected="0">
            <x v="1509"/>
          </reference>
          <reference field="6" count="1">
            <x v="47"/>
          </reference>
        </references>
      </pivotArea>
    </format>
    <format dxfId="890">
      <pivotArea dataOnly="0" labelOnly="1" fieldPosition="0">
        <references count="6">
          <reference field="1" count="1" selected="0">
            <x v="127"/>
          </reference>
          <reference field="2" count="1" selected="0">
            <x v="27"/>
          </reference>
          <reference field="3" count="1" selected="0">
            <x v="17"/>
          </reference>
          <reference field="4" count="1" selected="0">
            <x v="215"/>
          </reference>
          <reference field="5" count="1" selected="0">
            <x v="449"/>
          </reference>
          <reference field="6" count="1">
            <x v="47"/>
          </reference>
        </references>
      </pivotArea>
    </format>
    <format dxfId="889">
      <pivotArea dataOnly="0" labelOnly="1" fieldPosition="0">
        <references count="6">
          <reference field="1" count="1" selected="0">
            <x v="127"/>
          </reference>
          <reference field="2" count="1" selected="0">
            <x v="33"/>
          </reference>
          <reference field="3" count="1" selected="0">
            <x v="38"/>
          </reference>
          <reference field="4" count="1" selected="0">
            <x v="216"/>
          </reference>
          <reference field="5" count="1" selected="0">
            <x v="403"/>
          </reference>
          <reference field="6" count="1">
            <x v="47"/>
          </reference>
        </references>
      </pivotArea>
    </format>
    <format dxfId="888">
      <pivotArea dataOnly="0" labelOnly="1" fieldPosition="0">
        <references count="6">
          <reference field="1" count="1" selected="0">
            <x v="127"/>
          </reference>
          <reference field="2" count="1" selected="0">
            <x v="35"/>
          </reference>
          <reference field="3" count="1" selected="0">
            <x v="1"/>
          </reference>
          <reference field="4" count="1" selected="0">
            <x v="216"/>
          </reference>
          <reference field="5" count="1" selected="0">
            <x v="80"/>
          </reference>
          <reference field="6" count="1">
            <x v="47"/>
          </reference>
        </references>
      </pivotArea>
    </format>
    <format dxfId="887">
      <pivotArea dataOnly="0" labelOnly="1" fieldPosition="0">
        <references count="6">
          <reference field="1" count="1" selected="0">
            <x v="127"/>
          </reference>
          <reference field="2" count="1" selected="0">
            <x v="35"/>
          </reference>
          <reference field="3" count="1" selected="0">
            <x v="17"/>
          </reference>
          <reference field="4" count="1" selected="0">
            <x v="215"/>
          </reference>
          <reference field="5" count="1" selected="0">
            <x v="157"/>
          </reference>
          <reference field="6" count="1">
            <x v="47"/>
          </reference>
        </references>
      </pivotArea>
    </format>
    <format dxfId="886">
      <pivotArea dataOnly="0" labelOnly="1" fieldPosition="0">
        <references count="6">
          <reference field="1" count="1" selected="0">
            <x v="127"/>
          </reference>
          <reference field="2" count="1" selected="0">
            <x v="35"/>
          </reference>
          <reference field="3" count="1" selected="0">
            <x v="17"/>
          </reference>
          <reference field="4" count="1" selected="0">
            <x v="215"/>
          </reference>
          <reference field="5" count="1" selected="0">
            <x v="328"/>
          </reference>
          <reference field="6" count="1">
            <x v="47"/>
          </reference>
        </references>
      </pivotArea>
    </format>
    <format dxfId="885">
      <pivotArea dataOnly="0" labelOnly="1" fieldPosition="0">
        <references count="6">
          <reference field="1" count="1" selected="0">
            <x v="127"/>
          </reference>
          <reference field="2" count="1" selected="0">
            <x v="35"/>
          </reference>
          <reference field="3" count="1" selected="0">
            <x v="17"/>
          </reference>
          <reference field="4" count="1" selected="0">
            <x v="215"/>
          </reference>
          <reference field="5" count="1" selected="0">
            <x v="438"/>
          </reference>
          <reference field="6" count="1">
            <x v="47"/>
          </reference>
        </references>
      </pivotArea>
    </format>
    <format dxfId="884">
      <pivotArea dataOnly="0" labelOnly="1" fieldPosition="0">
        <references count="6">
          <reference field="1" count="1" selected="0">
            <x v="127"/>
          </reference>
          <reference field="2" count="1" selected="0">
            <x v="35"/>
          </reference>
          <reference field="3" count="1" selected="0">
            <x v="17"/>
          </reference>
          <reference field="4" count="1" selected="0">
            <x v="215"/>
          </reference>
          <reference field="5" count="1" selected="0">
            <x v="495"/>
          </reference>
          <reference field="6" count="1">
            <x v="47"/>
          </reference>
        </references>
      </pivotArea>
    </format>
    <format dxfId="883">
      <pivotArea dataOnly="0" labelOnly="1" fieldPosition="0">
        <references count="6">
          <reference field="1" count="1" selected="0">
            <x v="127"/>
          </reference>
          <reference field="2" count="1" selected="0">
            <x v="35"/>
          </reference>
          <reference field="3" count="1" selected="0">
            <x v="17"/>
          </reference>
          <reference field="4" count="1" selected="0">
            <x v="215"/>
          </reference>
          <reference field="5" count="1" selected="0">
            <x v="708"/>
          </reference>
          <reference field="6" count="1">
            <x v="47"/>
          </reference>
        </references>
      </pivotArea>
    </format>
    <format dxfId="882">
      <pivotArea dataOnly="0" labelOnly="1" fieldPosition="0">
        <references count="6">
          <reference field="1" count="1" selected="0">
            <x v="127"/>
          </reference>
          <reference field="2" count="1" selected="0">
            <x v="35"/>
          </reference>
          <reference field="3" count="1" selected="0">
            <x v="17"/>
          </reference>
          <reference field="4" count="1" selected="0">
            <x v="215"/>
          </reference>
          <reference field="5" count="1" selected="0">
            <x v="709"/>
          </reference>
          <reference field="6" count="1">
            <x v="47"/>
          </reference>
        </references>
      </pivotArea>
    </format>
    <format dxfId="881">
      <pivotArea dataOnly="0" labelOnly="1" fieldPosition="0">
        <references count="6">
          <reference field="1" count="1" selected="0">
            <x v="127"/>
          </reference>
          <reference field="2" count="1" selected="0">
            <x v="35"/>
          </reference>
          <reference field="3" count="1" selected="0">
            <x v="17"/>
          </reference>
          <reference field="4" count="1" selected="0">
            <x v="215"/>
          </reference>
          <reference field="5" count="1" selected="0">
            <x v="770"/>
          </reference>
          <reference field="6" count="1">
            <x v="47"/>
          </reference>
        </references>
      </pivotArea>
    </format>
    <format dxfId="880">
      <pivotArea dataOnly="0" labelOnly="1" fieldPosition="0">
        <references count="6">
          <reference field="1" count="1" selected="0">
            <x v="127"/>
          </reference>
          <reference field="2" count="1" selected="0">
            <x v="35"/>
          </reference>
          <reference field="3" count="1" selected="0">
            <x v="17"/>
          </reference>
          <reference field="4" count="1" selected="0">
            <x v="215"/>
          </reference>
          <reference field="5" count="1" selected="0">
            <x v="918"/>
          </reference>
          <reference field="6" count="1">
            <x v="47"/>
          </reference>
        </references>
      </pivotArea>
    </format>
    <format dxfId="879">
      <pivotArea dataOnly="0" labelOnly="1" fieldPosition="0">
        <references count="6">
          <reference field="1" count="1" selected="0">
            <x v="127"/>
          </reference>
          <reference field="2" count="1" selected="0">
            <x v="35"/>
          </reference>
          <reference field="3" count="1" selected="0">
            <x v="17"/>
          </reference>
          <reference field="4" count="1" selected="0">
            <x v="215"/>
          </reference>
          <reference field="5" count="1" selected="0">
            <x v="1231"/>
          </reference>
          <reference field="6" count="1">
            <x v="47"/>
          </reference>
        </references>
      </pivotArea>
    </format>
    <format dxfId="878">
      <pivotArea dataOnly="0" labelOnly="1" fieldPosition="0">
        <references count="6">
          <reference field="1" count="1" selected="0">
            <x v="128"/>
          </reference>
          <reference field="2" count="1" selected="0">
            <x v="0"/>
          </reference>
          <reference field="3" count="1" selected="0">
            <x v="38"/>
          </reference>
          <reference field="4" count="1" selected="0">
            <x v="217"/>
          </reference>
          <reference field="5" count="1" selected="0">
            <x v="391"/>
          </reference>
          <reference field="6" count="1">
            <x v="47"/>
          </reference>
        </references>
      </pivotArea>
    </format>
    <format dxfId="877">
      <pivotArea dataOnly="0" labelOnly="1" fieldPosition="0">
        <references count="6">
          <reference field="1" count="1" selected="0">
            <x v="128"/>
          </reference>
          <reference field="2" count="1" selected="0">
            <x v="8"/>
          </reference>
          <reference field="3" count="1" selected="0">
            <x v="38"/>
          </reference>
          <reference field="4" count="1" selected="0">
            <x v="217"/>
          </reference>
          <reference field="5" count="1" selected="0">
            <x v="803"/>
          </reference>
          <reference field="6" count="1">
            <x v="47"/>
          </reference>
        </references>
      </pivotArea>
    </format>
    <format dxfId="876">
      <pivotArea dataOnly="0" labelOnly="1" fieldPosition="0">
        <references count="6">
          <reference field="1" count="1" selected="0">
            <x v="128"/>
          </reference>
          <reference field="2" count="1" selected="0">
            <x v="10"/>
          </reference>
          <reference field="3" count="1" selected="0">
            <x v="38"/>
          </reference>
          <reference field="4" count="1" selected="0">
            <x v="217"/>
          </reference>
          <reference field="5" count="1" selected="0">
            <x v="1563"/>
          </reference>
          <reference field="6" count="1">
            <x v="47"/>
          </reference>
        </references>
      </pivotArea>
    </format>
    <format dxfId="875">
      <pivotArea dataOnly="0" labelOnly="1" fieldPosition="0">
        <references count="6">
          <reference field="1" count="1" selected="0">
            <x v="128"/>
          </reference>
          <reference field="2" count="1" selected="0">
            <x v="12"/>
          </reference>
          <reference field="3" count="1" selected="0">
            <x v="1"/>
          </reference>
          <reference field="4" count="1" selected="0">
            <x v="217"/>
          </reference>
          <reference field="5" count="1" selected="0">
            <x v="213"/>
          </reference>
          <reference field="6" count="1">
            <x v="47"/>
          </reference>
        </references>
      </pivotArea>
    </format>
    <format dxfId="874">
      <pivotArea dataOnly="0" labelOnly="1" fieldPosition="0">
        <references count="6">
          <reference field="1" count="1" selected="0">
            <x v="128"/>
          </reference>
          <reference field="2" count="1" selected="0">
            <x v="35"/>
          </reference>
          <reference field="3" count="1" selected="0">
            <x v="1"/>
          </reference>
          <reference field="4" count="1" selected="0">
            <x v="217"/>
          </reference>
          <reference field="5" count="1" selected="0">
            <x v="80"/>
          </reference>
          <reference field="6" count="1">
            <x v="47"/>
          </reference>
        </references>
      </pivotArea>
    </format>
    <format dxfId="873">
      <pivotArea dataOnly="0" labelOnly="1" fieldPosition="0">
        <references count="6">
          <reference field="1" count="1" selected="0">
            <x v="129"/>
          </reference>
          <reference field="2" count="1" selected="0">
            <x v="0"/>
          </reference>
          <reference field="3" count="1" selected="0">
            <x v="12"/>
          </reference>
          <reference field="4" count="1" selected="0">
            <x v="15"/>
          </reference>
          <reference field="5" count="1" selected="0">
            <x v="18"/>
          </reference>
          <reference field="6" count="1">
            <x v="47"/>
          </reference>
        </references>
      </pivotArea>
    </format>
    <format dxfId="872">
      <pivotArea dataOnly="0" labelOnly="1" fieldPosition="0">
        <references count="6">
          <reference field="1" count="1" selected="0">
            <x v="129"/>
          </reference>
          <reference field="2" count="1" selected="0">
            <x v="0"/>
          </reference>
          <reference field="3" count="1" selected="0">
            <x v="12"/>
          </reference>
          <reference field="4" count="1" selected="0">
            <x v="39"/>
          </reference>
          <reference field="5" count="1" selected="0">
            <x v="180"/>
          </reference>
          <reference field="6" count="1">
            <x v="47"/>
          </reference>
        </references>
      </pivotArea>
    </format>
    <format dxfId="871">
      <pivotArea dataOnly="0" labelOnly="1" fieldPosition="0">
        <references count="6">
          <reference field="1" count="1" selected="0">
            <x v="129"/>
          </reference>
          <reference field="2" count="1" selected="0">
            <x v="8"/>
          </reference>
          <reference field="3" count="1" selected="0">
            <x v="38"/>
          </reference>
          <reference field="4" count="1" selected="0">
            <x v="218"/>
          </reference>
          <reference field="5" count="1" selected="0">
            <x v="168"/>
          </reference>
          <reference field="6" count="1">
            <x v="47"/>
          </reference>
        </references>
      </pivotArea>
    </format>
    <format dxfId="870">
      <pivotArea dataOnly="0" labelOnly="1" fieldPosition="0">
        <references count="6">
          <reference field="1" count="1" selected="0">
            <x v="129"/>
          </reference>
          <reference field="2" count="1" selected="0">
            <x v="12"/>
          </reference>
          <reference field="3" count="1" selected="0">
            <x v="1"/>
          </reference>
          <reference field="4" count="1" selected="0">
            <x v="218"/>
          </reference>
          <reference field="5" count="1" selected="0">
            <x v="80"/>
          </reference>
          <reference field="6" count="1">
            <x v="47"/>
          </reference>
        </references>
      </pivotArea>
    </format>
    <format dxfId="869">
      <pivotArea dataOnly="0" labelOnly="1" fieldPosition="0">
        <references count="6">
          <reference field="1" count="1" selected="0">
            <x v="129"/>
          </reference>
          <reference field="2" count="1" selected="0">
            <x v="12"/>
          </reference>
          <reference field="3" count="1" selected="0">
            <x v="1"/>
          </reference>
          <reference field="4" count="1" selected="0">
            <x v="218"/>
          </reference>
          <reference field="5" count="1" selected="0">
            <x v="213"/>
          </reference>
          <reference field="6" count="1">
            <x v="47"/>
          </reference>
        </references>
      </pivotArea>
    </format>
    <format dxfId="868">
      <pivotArea dataOnly="0" labelOnly="1" fieldPosition="0">
        <references count="6">
          <reference field="1" count="1" selected="0">
            <x v="129"/>
          </reference>
          <reference field="2" count="1" selected="0">
            <x v="14"/>
          </reference>
          <reference field="3" count="1" selected="0">
            <x v="1"/>
          </reference>
          <reference field="4" count="1" selected="0">
            <x v="218"/>
          </reference>
          <reference field="5" count="1" selected="0">
            <x v="1260"/>
          </reference>
          <reference field="6" count="1">
            <x v="47"/>
          </reference>
        </references>
      </pivotArea>
    </format>
    <format dxfId="867">
      <pivotArea dataOnly="0" labelOnly="1" fieldPosition="0">
        <references count="6">
          <reference field="1" count="1" selected="0">
            <x v="129"/>
          </reference>
          <reference field="2" count="1" selected="0">
            <x v="15"/>
          </reference>
          <reference field="3" count="1" selected="0">
            <x v="6"/>
          </reference>
          <reference field="4" count="1" selected="0">
            <x v="218"/>
          </reference>
          <reference field="5" count="1" selected="0">
            <x v="592"/>
          </reference>
          <reference field="6" count="1">
            <x v="47"/>
          </reference>
        </references>
      </pivotArea>
    </format>
    <format dxfId="866">
      <pivotArea dataOnly="0" labelOnly="1" fieldPosition="0">
        <references count="6">
          <reference field="1" count="1" selected="0">
            <x v="129"/>
          </reference>
          <reference field="2" count="1" selected="0">
            <x v="19"/>
          </reference>
          <reference field="3" count="1" selected="0">
            <x v="6"/>
          </reference>
          <reference field="4" count="1" selected="0">
            <x v="218"/>
          </reference>
          <reference field="5" count="1" selected="0">
            <x v="1099"/>
          </reference>
          <reference field="6" count="1">
            <x v="47"/>
          </reference>
        </references>
      </pivotArea>
    </format>
    <format dxfId="865">
      <pivotArea dataOnly="0" labelOnly="1" fieldPosition="0">
        <references count="6">
          <reference field="1" count="1" selected="0">
            <x v="129"/>
          </reference>
          <reference field="2" count="1" selected="0">
            <x v="27"/>
          </reference>
          <reference field="3" count="1" selected="0">
            <x v="38"/>
          </reference>
          <reference field="4" count="1" selected="0">
            <x v="218"/>
          </reference>
          <reference field="5" count="1" selected="0">
            <x v="633"/>
          </reference>
          <reference field="6" count="1">
            <x v="47"/>
          </reference>
        </references>
      </pivotArea>
    </format>
    <format dxfId="864">
      <pivotArea dataOnly="0" labelOnly="1" fieldPosition="0">
        <references count="6">
          <reference field="1" count="1" selected="0">
            <x v="129"/>
          </reference>
          <reference field="2" count="1" selected="0">
            <x v="34"/>
          </reference>
          <reference field="3" count="1" selected="0">
            <x v="38"/>
          </reference>
          <reference field="4" count="1" selected="0">
            <x v="218"/>
          </reference>
          <reference field="5" count="1" selected="0">
            <x v="228"/>
          </reference>
          <reference field="6" count="1">
            <x v="47"/>
          </reference>
        </references>
      </pivotArea>
    </format>
    <format dxfId="863">
      <pivotArea dataOnly="0" labelOnly="1" fieldPosition="0">
        <references count="6">
          <reference field="1" count="1" selected="0">
            <x v="129"/>
          </reference>
          <reference field="2" count="1" selected="0">
            <x v="36"/>
          </reference>
          <reference field="3" count="1" selected="0">
            <x v="6"/>
          </reference>
          <reference field="4" count="1" selected="0">
            <x v="218"/>
          </reference>
          <reference field="5" count="1" selected="0">
            <x v="387"/>
          </reference>
          <reference field="6" count="1">
            <x v="47"/>
          </reference>
        </references>
      </pivotArea>
    </format>
    <format dxfId="862">
      <pivotArea dataOnly="0" labelOnly="1" fieldPosition="0">
        <references count="6">
          <reference field="1" count="1" selected="0">
            <x v="130"/>
          </reference>
          <reference field="2" count="1" selected="0">
            <x v="0"/>
          </reference>
          <reference field="3" count="1" selected="0">
            <x v="12"/>
          </reference>
          <reference field="4" count="1" selected="0">
            <x v="23"/>
          </reference>
          <reference field="5" count="1" selected="0">
            <x v="114"/>
          </reference>
          <reference field="6" count="1">
            <x v="47"/>
          </reference>
        </references>
      </pivotArea>
    </format>
    <format dxfId="861">
      <pivotArea dataOnly="0" labelOnly="1" fieldPosition="0">
        <references count="6">
          <reference field="1" count="1" selected="0">
            <x v="130"/>
          </reference>
          <reference field="2" count="1" selected="0">
            <x v="0"/>
          </reference>
          <reference field="3" count="1" selected="0">
            <x v="12"/>
          </reference>
          <reference field="4" count="1" selected="0">
            <x v="26"/>
          </reference>
          <reference field="5" count="1" selected="0">
            <x v="20"/>
          </reference>
          <reference field="6" count="1">
            <x v="47"/>
          </reference>
        </references>
      </pivotArea>
    </format>
    <format dxfId="860">
      <pivotArea dataOnly="0" labelOnly="1" fieldPosition="0">
        <references count="6">
          <reference field="1" count="1" selected="0">
            <x v="130"/>
          </reference>
          <reference field="2" count="1" selected="0">
            <x v="0"/>
          </reference>
          <reference field="3" count="1" selected="0">
            <x v="12"/>
          </reference>
          <reference field="4" count="1" selected="0">
            <x v="35"/>
          </reference>
          <reference field="5" count="1" selected="0">
            <x v="15"/>
          </reference>
          <reference field="6" count="1">
            <x v="47"/>
          </reference>
        </references>
      </pivotArea>
    </format>
    <format dxfId="859">
      <pivotArea dataOnly="0" labelOnly="1" fieldPosition="0">
        <references count="6">
          <reference field="1" count="1" selected="0">
            <x v="130"/>
          </reference>
          <reference field="2" count="1" selected="0">
            <x v="0"/>
          </reference>
          <reference field="3" count="1" selected="0">
            <x v="12"/>
          </reference>
          <reference field="4" count="1" selected="0">
            <x v="64"/>
          </reference>
          <reference field="5" count="1" selected="0">
            <x v="49"/>
          </reference>
          <reference field="6" count="1">
            <x v="47"/>
          </reference>
        </references>
      </pivotArea>
    </format>
    <format dxfId="858">
      <pivotArea dataOnly="0" labelOnly="1" fieldPosition="0">
        <references count="6">
          <reference field="1" count="1" selected="0">
            <x v="130"/>
          </reference>
          <reference field="2" count="1" selected="0">
            <x v="0"/>
          </reference>
          <reference field="3" count="1" selected="0">
            <x v="38"/>
          </reference>
          <reference field="4" count="1" selected="0">
            <x v="219"/>
          </reference>
          <reference field="5" count="1" selected="0">
            <x v="138"/>
          </reference>
          <reference field="6" count="1">
            <x v="47"/>
          </reference>
        </references>
      </pivotArea>
    </format>
    <format dxfId="857">
      <pivotArea dataOnly="0" labelOnly="1" fieldPosition="0">
        <references count="6">
          <reference field="1" count="1" selected="0">
            <x v="130"/>
          </reference>
          <reference field="2" count="1" selected="0">
            <x v="5"/>
          </reference>
          <reference field="3" count="1" selected="0">
            <x v="10"/>
          </reference>
          <reference field="4" count="1" selected="0">
            <x v="219"/>
          </reference>
          <reference field="5" count="1" selected="0">
            <x v="1537"/>
          </reference>
          <reference field="6" count="1">
            <x v="47"/>
          </reference>
        </references>
      </pivotArea>
    </format>
    <format dxfId="856">
      <pivotArea dataOnly="0" labelOnly="1" fieldPosition="0">
        <references count="6">
          <reference field="1" count="1" selected="0">
            <x v="130"/>
          </reference>
          <reference field="2" count="1" selected="0">
            <x v="12"/>
          </reference>
          <reference field="3" count="1" selected="0">
            <x v="1"/>
          </reference>
          <reference field="4" count="1" selected="0">
            <x v="219"/>
          </reference>
          <reference field="5" count="1" selected="0">
            <x v="80"/>
          </reference>
          <reference field="6" count="1">
            <x v="47"/>
          </reference>
        </references>
      </pivotArea>
    </format>
    <format dxfId="855">
      <pivotArea dataOnly="0" labelOnly="1" fieldPosition="0">
        <references count="6">
          <reference field="1" count="1" selected="0">
            <x v="130"/>
          </reference>
          <reference field="2" count="1" selected="0">
            <x v="12"/>
          </reference>
          <reference field="3" count="1" selected="0">
            <x v="1"/>
          </reference>
          <reference field="4" count="1" selected="0">
            <x v="219"/>
          </reference>
          <reference field="5" count="1" selected="0">
            <x v="213"/>
          </reference>
          <reference field="6" count="1">
            <x v="47"/>
          </reference>
        </references>
      </pivotArea>
    </format>
    <format dxfId="854">
      <pivotArea dataOnly="0" labelOnly="1" fieldPosition="0">
        <references count="6">
          <reference field="1" count="1" selected="0">
            <x v="130"/>
          </reference>
          <reference field="2" count="1" selected="0">
            <x v="15"/>
          </reference>
          <reference field="3" count="1" selected="0">
            <x v="38"/>
          </reference>
          <reference field="4" count="1" selected="0">
            <x v="219"/>
          </reference>
          <reference field="5" count="1" selected="0">
            <x v="579"/>
          </reference>
          <reference field="6" count="1">
            <x v="47"/>
          </reference>
        </references>
      </pivotArea>
    </format>
    <format dxfId="853">
      <pivotArea dataOnly="0" labelOnly="1" fieldPosition="0">
        <references count="6">
          <reference field="1" count="1" selected="0">
            <x v="130"/>
          </reference>
          <reference field="2" count="1" selected="0">
            <x v="23"/>
          </reference>
          <reference field="3" count="1" selected="0">
            <x v="38"/>
          </reference>
          <reference field="4" count="1" selected="0">
            <x v="219"/>
          </reference>
          <reference field="5" count="1" selected="0">
            <x v="906"/>
          </reference>
          <reference field="6" count="1">
            <x v="47"/>
          </reference>
        </references>
      </pivotArea>
    </format>
    <format dxfId="852">
      <pivotArea dataOnly="0" labelOnly="1" fieldPosition="0">
        <references count="6">
          <reference field="1" count="1" selected="0">
            <x v="130"/>
          </reference>
          <reference field="2" count="1" selected="0">
            <x v="26"/>
          </reference>
          <reference field="3" count="1" selected="0">
            <x v="38"/>
          </reference>
          <reference field="4" count="1" selected="0">
            <x v="219"/>
          </reference>
          <reference field="5" count="1" selected="0">
            <x v="318"/>
          </reference>
          <reference field="6" count="1">
            <x v="47"/>
          </reference>
        </references>
      </pivotArea>
    </format>
    <format dxfId="851">
      <pivotArea dataOnly="0" labelOnly="1" fieldPosition="0">
        <references count="6">
          <reference field="1" count="1" selected="0">
            <x v="130"/>
          </reference>
          <reference field="2" count="1" selected="0">
            <x v="29"/>
          </reference>
          <reference field="3" count="1" selected="0">
            <x v="10"/>
          </reference>
          <reference field="4" count="1" selected="0">
            <x v="219"/>
          </reference>
          <reference field="5" count="1" selected="0">
            <x v="914"/>
          </reference>
          <reference field="6" count="1">
            <x v="47"/>
          </reference>
        </references>
      </pivotArea>
    </format>
    <format dxfId="850">
      <pivotArea dataOnly="0" labelOnly="1" fieldPosition="0">
        <references count="6">
          <reference field="1" count="1" selected="0">
            <x v="130"/>
          </reference>
          <reference field="2" count="1" selected="0">
            <x v="33"/>
          </reference>
          <reference field="3" count="1" selected="0">
            <x v="38"/>
          </reference>
          <reference field="4" count="1" selected="0">
            <x v="219"/>
          </reference>
          <reference field="5" count="1" selected="0">
            <x v="88"/>
          </reference>
          <reference field="6" count="1">
            <x v="47"/>
          </reference>
        </references>
      </pivotArea>
    </format>
    <format dxfId="849">
      <pivotArea dataOnly="0" labelOnly="1" fieldPosition="0">
        <references count="6">
          <reference field="1" count="1" selected="0">
            <x v="130"/>
          </reference>
          <reference field="2" count="1" selected="0">
            <x v="35"/>
          </reference>
          <reference field="3" count="1" selected="0">
            <x v="1"/>
          </reference>
          <reference field="4" count="1" selected="0">
            <x v="219"/>
          </reference>
          <reference field="5" count="1" selected="0">
            <x v="352"/>
          </reference>
          <reference field="6" count="1">
            <x v="47"/>
          </reference>
        </references>
      </pivotArea>
    </format>
    <format dxfId="848">
      <pivotArea dataOnly="0" labelOnly="1" fieldPosition="0">
        <references count="6">
          <reference field="1" count="1" selected="0">
            <x v="131"/>
          </reference>
          <reference field="2" count="1" selected="0">
            <x v="0"/>
          </reference>
          <reference field="3" count="1" selected="0">
            <x v="12"/>
          </reference>
          <reference field="4" count="1" selected="0">
            <x v="23"/>
          </reference>
          <reference field="5" count="1" selected="0">
            <x v="11"/>
          </reference>
          <reference field="6" count="1">
            <x v="47"/>
          </reference>
        </references>
      </pivotArea>
    </format>
    <format dxfId="847">
      <pivotArea dataOnly="0" labelOnly="1" fieldPosition="0">
        <references count="6">
          <reference field="1" count="1" selected="0">
            <x v="131"/>
          </reference>
          <reference field="2" count="1" selected="0">
            <x v="0"/>
          </reference>
          <reference field="3" count="1" selected="0">
            <x v="12"/>
          </reference>
          <reference field="4" count="1" selected="0">
            <x v="30"/>
          </reference>
          <reference field="5" count="1" selected="0">
            <x v="81"/>
          </reference>
          <reference field="6" count="1">
            <x v="47"/>
          </reference>
        </references>
      </pivotArea>
    </format>
    <format dxfId="846">
      <pivotArea dataOnly="0" labelOnly="1" fieldPosition="0">
        <references count="6">
          <reference field="1" count="1" selected="0">
            <x v="131"/>
          </reference>
          <reference field="2" count="1" selected="0">
            <x v="0"/>
          </reference>
          <reference field="3" count="1" selected="0">
            <x v="38"/>
          </reference>
          <reference field="4" count="1" selected="0">
            <x v="220"/>
          </reference>
          <reference field="5" count="1" selected="0">
            <x v="138"/>
          </reference>
          <reference field="6" count="1">
            <x v="47"/>
          </reference>
        </references>
      </pivotArea>
    </format>
    <format dxfId="845">
      <pivotArea dataOnly="0" labelOnly="1" fieldPosition="0">
        <references count="6">
          <reference field="1" count="1" selected="0">
            <x v="131"/>
          </reference>
          <reference field="2" count="1" selected="0">
            <x v="0"/>
          </reference>
          <reference field="3" count="1" selected="0">
            <x v="38"/>
          </reference>
          <reference field="4" count="1" selected="0">
            <x v="220"/>
          </reference>
          <reference field="5" count="1" selected="0">
            <x v="433"/>
          </reference>
          <reference field="6" count="1">
            <x v="47"/>
          </reference>
        </references>
      </pivotArea>
    </format>
    <format dxfId="844">
      <pivotArea dataOnly="0" labelOnly="1" fieldPosition="0">
        <references count="6">
          <reference field="1" count="1" selected="0">
            <x v="131"/>
          </reference>
          <reference field="2" count="1" selected="0">
            <x v="0"/>
          </reference>
          <reference field="3" count="1" selected="0">
            <x v="38"/>
          </reference>
          <reference field="4" count="1" selected="0">
            <x v="220"/>
          </reference>
          <reference field="5" count="1" selected="0">
            <x v="1212"/>
          </reference>
          <reference field="6" count="1">
            <x v="47"/>
          </reference>
        </references>
      </pivotArea>
    </format>
    <format dxfId="843">
      <pivotArea dataOnly="0" labelOnly="1" fieldPosition="0">
        <references count="6">
          <reference field="1" count="1" selected="0">
            <x v="131"/>
          </reference>
          <reference field="2" count="1" selected="0">
            <x v="5"/>
          </reference>
          <reference field="3" count="1" selected="0">
            <x v="38"/>
          </reference>
          <reference field="4" count="1" selected="0">
            <x v="220"/>
          </reference>
          <reference field="5" count="1" selected="0">
            <x v="1077"/>
          </reference>
          <reference field="6" count="1">
            <x v="47"/>
          </reference>
        </references>
      </pivotArea>
    </format>
    <format dxfId="842">
      <pivotArea dataOnly="0" labelOnly="1" fieldPosition="0">
        <references count="6">
          <reference field="1" count="1" selected="0">
            <x v="131"/>
          </reference>
          <reference field="2" count="1" selected="0">
            <x v="6"/>
          </reference>
          <reference field="3" count="1" selected="0">
            <x v="1"/>
          </reference>
          <reference field="4" count="1" selected="0">
            <x v="220"/>
          </reference>
          <reference field="5" count="1" selected="0">
            <x v="322"/>
          </reference>
          <reference field="6" count="1">
            <x v="47"/>
          </reference>
        </references>
      </pivotArea>
    </format>
    <format dxfId="841">
      <pivotArea dataOnly="0" labelOnly="1" fieldPosition="0">
        <references count="6">
          <reference field="1" count="1" selected="0">
            <x v="131"/>
          </reference>
          <reference field="2" count="1" selected="0">
            <x v="12"/>
          </reference>
          <reference field="3" count="1" selected="0">
            <x v="1"/>
          </reference>
          <reference field="4" count="1" selected="0">
            <x v="220"/>
          </reference>
          <reference field="5" count="1" selected="0">
            <x v="80"/>
          </reference>
          <reference field="6" count="1">
            <x v="47"/>
          </reference>
        </references>
      </pivotArea>
    </format>
    <format dxfId="840">
      <pivotArea dataOnly="0" labelOnly="1" fieldPosition="0">
        <references count="6">
          <reference field="1" count="1" selected="0">
            <x v="131"/>
          </reference>
          <reference field="2" count="1" selected="0">
            <x v="12"/>
          </reference>
          <reference field="3" count="1" selected="0">
            <x v="1"/>
          </reference>
          <reference field="4" count="1" selected="0">
            <x v="220"/>
          </reference>
          <reference field="5" count="1" selected="0">
            <x v="213"/>
          </reference>
          <reference field="6" count="1">
            <x v="47"/>
          </reference>
        </references>
      </pivotArea>
    </format>
    <format dxfId="839">
      <pivotArea dataOnly="0" labelOnly="1" fieldPosition="0">
        <references count="6">
          <reference field="1" count="1" selected="0">
            <x v="131"/>
          </reference>
          <reference field="2" count="1" selected="0">
            <x v="12"/>
          </reference>
          <reference field="3" count="1" selected="0">
            <x v="1"/>
          </reference>
          <reference field="4" count="1" selected="0">
            <x v="220"/>
          </reference>
          <reference field="5" count="1" selected="0">
            <x v="352"/>
          </reference>
          <reference field="6" count="1">
            <x v="47"/>
          </reference>
        </references>
      </pivotArea>
    </format>
    <format dxfId="838">
      <pivotArea dataOnly="0" labelOnly="1" fieldPosition="0">
        <references count="6">
          <reference field="1" count="1" selected="0">
            <x v="131"/>
          </reference>
          <reference field="2" count="1" selected="0">
            <x v="12"/>
          </reference>
          <reference field="3" count="1" selected="0">
            <x v="1"/>
          </reference>
          <reference field="4" count="1" selected="0">
            <x v="220"/>
          </reference>
          <reference field="5" count="1" selected="0">
            <x v="702"/>
          </reference>
          <reference field="6" count="1">
            <x v="47"/>
          </reference>
        </references>
      </pivotArea>
    </format>
    <format dxfId="837">
      <pivotArea dataOnly="0" labelOnly="1" fieldPosition="0">
        <references count="6">
          <reference field="1" count="1" selected="0">
            <x v="131"/>
          </reference>
          <reference field="2" count="1" selected="0">
            <x v="23"/>
          </reference>
          <reference field="3" count="1" selected="0">
            <x v="38"/>
          </reference>
          <reference field="4" count="1" selected="0">
            <x v="220"/>
          </reference>
          <reference field="5" count="1" selected="0">
            <x v="371"/>
          </reference>
          <reference field="6" count="1">
            <x v="47"/>
          </reference>
        </references>
      </pivotArea>
    </format>
    <format dxfId="836">
      <pivotArea dataOnly="0" labelOnly="1" fieldPosition="0">
        <references count="6">
          <reference field="1" count="1" selected="0">
            <x v="131"/>
          </reference>
          <reference field="2" count="1" selected="0">
            <x v="35"/>
          </reference>
          <reference field="3" count="1" selected="0">
            <x v="1"/>
          </reference>
          <reference field="4" count="1" selected="0">
            <x v="220"/>
          </reference>
          <reference field="5" count="1" selected="0">
            <x v="80"/>
          </reference>
          <reference field="6" count="1">
            <x v="47"/>
          </reference>
        </references>
      </pivotArea>
    </format>
    <format dxfId="835">
      <pivotArea dataOnly="0" labelOnly="1" fieldPosition="0">
        <references count="6">
          <reference field="1" count="1" selected="0">
            <x v="131"/>
          </reference>
          <reference field="2" count="1" selected="0">
            <x v="35"/>
          </reference>
          <reference field="3" count="1" selected="0">
            <x v="1"/>
          </reference>
          <reference field="4" count="1" selected="0">
            <x v="220"/>
          </reference>
          <reference field="5" count="1" selected="0">
            <x v="500"/>
          </reference>
          <reference field="6" count="1">
            <x v="47"/>
          </reference>
        </references>
      </pivotArea>
    </format>
    <format dxfId="834">
      <pivotArea dataOnly="0" labelOnly="1" fieldPosition="0">
        <references count="6">
          <reference field="1" count="1" selected="0">
            <x v="131"/>
          </reference>
          <reference field="2" count="1" selected="0">
            <x v="36"/>
          </reference>
          <reference field="3" count="1" selected="0">
            <x v="38"/>
          </reference>
          <reference field="4" count="1" selected="0">
            <x v="220"/>
          </reference>
          <reference field="5" count="1" selected="0">
            <x v="214"/>
          </reference>
          <reference field="6" count="1">
            <x v="47"/>
          </reference>
        </references>
      </pivotArea>
    </format>
    <format dxfId="833">
      <pivotArea dataOnly="0" labelOnly="1" fieldPosition="0">
        <references count="6">
          <reference field="1" count="1" selected="0">
            <x v="132"/>
          </reference>
          <reference field="2" count="1" selected="0">
            <x v="0"/>
          </reference>
          <reference field="3" count="1" selected="0">
            <x v="38"/>
          </reference>
          <reference field="4" count="1" selected="0">
            <x v="221"/>
          </reference>
          <reference field="5" count="1" selected="0">
            <x v="138"/>
          </reference>
          <reference field="6" count="1">
            <x v="47"/>
          </reference>
        </references>
      </pivotArea>
    </format>
    <format dxfId="832">
      <pivotArea dataOnly="0" labelOnly="1" fieldPosition="0">
        <references count="6">
          <reference field="1" count="1" selected="0">
            <x v="132"/>
          </reference>
          <reference field="2" count="1" selected="0">
            <x v="0"/>
          </reference>
          <reference field="3" count="1" selected="0">
            <x v="38"/>
          </reference>
          <reference field="4" count="1" selected="0">
            <x v="221"/>
          </reference>
          <reference field="5" count="1" selected="0">
            <x v="1508"/>
          </reference>
          <reference field="6" count="1">
            <x v="47"/>
          </reference>
        </references>
      </pivotArea>
    </format>
    <format dxfId="831">
      <pivotArea dataOnly="0" labelOnly="1" fieldPosition="0">
        <references count="6">
          <reference field="1" count="1" selected="0">
            <x v="132"/>
          </reference>
          <reference field="2" count="1" selected="0">
            <x v="0"/>
          </reference>
          <reference field="3" count="1" selected="0">
            <x v="38"/>
          </reference>
          <reference field="4" count="1" selected="0">
            <x v="221"/>
          </reference>
          <reference field="5" count="1" selected="0">
            <x v="1546"/>
          </reference>
          <reference field="6" count="1">
            <x v="47"/>
          </reference>
        </references>
      </pivotArea>
    </format>
    <format dxfId="830">
      <pivotArea dataOnly="0" labelOnly="1" fieldPosition="0">
        <references count="6">
          <reference field="1" count="1" selected="0">
            <x v="132"/>
          </reference>
          <reference field="2" count="1" selected="0">
            <x v="3"/>
          </reference>
          <reference field="3" count="1" selected="0">
            <x v="38"/>
          </reference>
          <reference field="4" count="1" selected="0">
            <x v="221"/>
          </reference>
          <reference field="5" count="1" selected="0">
            <x v="926"/>
          </reference>
          <reference field="6" count="1">
            <x v="47"/>
          </reference>
        </references>
      </pivotArea>
    </format>
    <format dxfId="829">
      <pivotArea dataOnly="0" labelOnly="1" fieldPosition="0">
        <references count="6">
          <reference field="1" count="1" selected="0">
            <x v="132"/>
          </reference>
          <reference field="2" count="1" selected="0">
            <x v="6"/>
          </reference>
          <reference field="3" count="1" selected="0">
            <x v="38"/>
          </reference>
          <reference field="4" count="1" selected="0">
            <x v="221"/>
          </reference>
          <reference field="5" count="1" selected="0">
            <x v="1385"/>
          </reference>
          <reference field="6" count="1">
            <x v="47"/>
          </reference>
        </references>
      </pivotArea>
    </format>
    <format dxfId="828">
      <pivotArea dataOnly="0" labelOnly="1" fieldPosition="0">
        <references count="6">
          <reference field="1" count="1" selected="0">
            <x v="132"/>
          </reference>
          <reference field="2" count="1" selected="0">
            <x v="12"/>
          </reference>
          <reference field="3" count="1" selected="0">
            <x v="1"/>
          </reference>
          <reference field="4" count="1" selected="0">
            <x v="221"/>
          </reference>
          <reference field="5" count="1" selected="0">
            <x v="80"/>
          </reference>
          <reference field="6" count="1">
            <x v="47"/>
          </reference>
        </references>
      </pivotArea>
    </format>
    <format dxfId="827">
      <pivotArea dataOnly="0" labelOnly="1" fieldPosition="0">
        <references count="6">
          <reference field="1" count="1" selected="0">
            <x v="132"/>
          </reference>
          <reference field="2" count="1" selected="0">
            <x v="12"/>
          </reference>
          <reference field="3" count="1" selected="0">
            <x v="1"/>
          </reference>
          <reference field="4" count="1" selected="0">
            <x v="221"/>
          </reference>
          <reference field="5" count="1" selected="0">
            <x v="607"/>
          </reference>
          <reference field="6" count="1">
            <x v="47"/>
          </reference>
        </references>
      </pivotArea>
    </format>
    <format dxfId="826">
      <pivotArea dataOnly="0" labelOnly="1" fieldPosition="0">
        <references count="6">
          <reference field="1" count="1" selected="0">
            <x v="132"/>
          </reference>
          <reference field="2" count="1" selected="0">
            <x v="12"/>
          </reference>
          <reference field="3" count="1" selected="0">
            <x v="1"/>
          </reference>
          <reference field="4" count="1" selected="0">
            <x v="221"/>
          </reference>
          <reference field="5" count="1" selected="0">
            <x v="702"/>
          </reference>
          <reference field="6" count="1">
            <x v="47"/>
          </reference>
        </references>
      </pivotArea>
    </format>
    <format dxfId="825">
      <pivotArea dataOnly="0" labelOnly="1" fieldPosition="0">
        <references count="6">
          <reference field="1" count="1" selected="0">
            <x v="132"/>
          </reference>
          <reference field="2" count="1" selected="0">
            <x v="12"/>
          </reference>
          <reference field="3" count="1" selected="0">
            <x v="38"/>
          </reference>
          <reference field="4" count="1" selected="0">
            <x v="221"/>
          </reference>
          <reference field="5" count="1" selected="0">
            <x v="1394"/>
          </reference>
          <reference field="6" count="1">
            <x v="47"/>
          </reference>
        </references>
      </pivotArea>
    </format>
    <format dxfId="824">
      <pivotArea dataOnly="0" labelOnly="1" fieldPosition="0">
        <references count="6">
          <reference field="1" count="1" selected="0">
            <x v="132"/>
          </reference>
          <reference field="2" count="1" selected="0">
            <x v="12"/>
          </reference>
          <reference field="3" count="1" selected="0">
            <x v="38"/>
          </reference>
          <reference field="4" count="1" selected="0">
            <x v="221"/>
          </reference>
          <reference field="5" count="1" selected="0">
            <x v="1607"/>
          </reference>
          <reference field="6" count="1">
            <x v="47"/>
          </reference>
        </references>
      </pivotArea>
    </format>
    <format dxfId="823">
      <pivotArea dataOnly="0" labelOnly="1" fieldPosition="0">
        <references count="6">
          <reference field="1" count="1" selected="0">
            <x v="132"/>
          </reference>
          <reference field="2" count="1" selected="0">
            <x v="17"/>
          </reference>
          <reference field="3" count="1" selected="0">
            <x v="6"/>
          </reference>
          <reference field="4" count="1" selected="0">
            <x v="221"/>
          </reference>
          <reference field="5" count="1" selected="0">
            <x v="268"/>
          </reference>
          <reference field="6" count="1">
            <x v="47"/>
          </reference>
        </references>
      </pivotArea>
    </format>
    <format dxfId="822">
      <pivotArea dataOnly="0" labelOnly="1" fieldPosition="0">
        <references count="6">
          <reference field="1" count="1" selected="0">
            <x v="132"/>
          </reference>
          <reference field="2" count="1" selected="0">
            <x v="33"/>
          </reference>
          <reference field="3" count="1" selected="0">
            <x v="38"/>
          </reference>
          <reference field="4" count="1" selected="0">
            <x v="221"/>
          </reference>
          <reference field="5" count="1" selected="0">
            <x v="679"/>
          </reference>
          <reference field="6" count="1">
            <x v="47"/>
          </reference>
        </references>
      </pivotArea>
    </format>
    <format dxfId="821">
      <pivotArea dataOnly="0" labelOnly="1" fieldPosition="0">
        <references count="6">
          <reference field="1" count="1" selected="0">
            <x v="132"/>
          </reference>
          <reference field="2" count="1" selected="0">
            <x v="35"/>
          </reference>
          <reference field="3" count="1" selected="0">
            <x v="1"/>
          </reference>
          <reference field="4" count="1" selected="0">
            <x v="221"/>
          </reference>
          <reference field="5" count="1" selected="0">
            <x v="80"/>
          </reference>
          <reference field="6" count="1">
            <x v="47"/>
          </reference>
        </references>
      </pivotArea>
    </format>
    <format dxfId="820">
      <pivotArea dataOnly="0" labelOnly="1" fieldPosition="0">
        <references count="6">
          <reference field="1" count="1" selected="0">
            <x v="133"/>
          </reference>
          <reference field="2" count="1" selected="0">
            <x v="0"/>
          </reference>
          <reference field="3" count="1" selected="0">
            <x v="8"/>
          </reference>
          <reference field="4" count="1" selected="0">
            <x v="222"/>
          </reference>
          <reference field="5" count="1" selected="0">
            <x v="127"/>
          </reference>
          <reference field="6" count="1">
            <x v="47"/>
          </reference>
        </references>
      </pivotArea>
    </format>
    <format dxfId="819">
      <pivotArea dataOnly="0" labelOnly="1" fieldPosition="0">
        <references count="6">
          <reference field="1" count="1" selected="0">
            <x v="133"/>
          </reference>
          <reference field="2" count="1" selected="0">
            <x v="0"/>
          </reference>
          <reference field="3" count="1" selected="0">
            <x v="8"/>
          </reference>
          <reference field="4" count="1" selected="0">
            <x v="222"/>
          </reference>
          <reference field="5" count="1" selected="0">
            <x v="316"/>
          </reference>
          <reference field="6" count="1">
            <x v="47"/>
          </reference>
        </references>
      </pivotArea>
    </format>
    <format dxfId="818">
      <pivotArea dataOnly="0" labelOnly="1" fieldPosition="0">
        <references count="6">
          <reference field="1" count="1" selected="0">
            <x v="133"/>
          </reference>
          <reference field="2" count="1" selected="0">
            <x v="0"/>
          </reference>
          <reference field="3" count="1" selected="0">
            <x v="8"/>
          </reference>
          <reference field="4" count="1" selected="0">
            <x v="222"/>
          </reference>
          <reference field="5" count="1" selected="0">
            <x v="700"/>
          </reference>
          <reference field="6" count="1">
            <x v="47"/>
          </reference>
        </references>
      </pivotArea>
    </format>
    <format dxfId="817">
      <pivotArea dataOnly="0" labelOnly="1" fieldPosition="0">
        <references count="6">
          <reference field="1" count="1" selected="0">
            <x v="133"/>
          </reference>
          <reference field="2" count="1" selected="0">
            <x v="0"/>
          </reference>
          <reference field="3" count="1" selected="0">
            <x v="8"/>
          </reference>
          <reference field="4" count="1" selected="0">
            <x v="222"/>
          </reference>
          <reference field="5" count="1" selected="0">
            <x v="1097"/>
          </reference>
          <reference field="6" count="1">
            <x v="47"/>
          </reference>
        </references>
      </pivotArea>
    </format>
    <format dxfId="816">
      <pivotArea dataOnly="0" labelOnly="1" fieldPosition="0">
        <references count="6">
          <reference field="1" count="1" selected="0">
            <x v="133"/>
          </reference>
          <reference field="2" count="1" selected="0">
            <x v="0"/>
          </reference>
          <reference field="3" count="1" selected="0">
            <x v="8"/>
          </reference>
          <reference field="4" count="1" selected="0">
            <x v="222"/>
          </reference>
          <reference field="5" count="1" selected="0">
            <x v="1240"/>
          </reference>
          <reference field="6" count="1">
            <x v="47"/>
          </reference>
        </references>
      </pivotArea>
    </format>
    <format dxfId="815">
      <pivotArea dataOnly="0" labelOnly="1" fieldPosition="0">
        <references count="6">
          <reference field="1" count="1" selected="0">
            <x v="133"/>
          </reference>
          <reference field="2" count="1" selected="0">
            <x v="0"/>
          </reference>
          <reference field="3" count="1" selected="0">
            <x v="9"/>
          </reference>
          <reference field="4" count="1" selected="0">
            <x v="222"/>
          </reference>
          <reference field="5" count="1" selected="0">
            <x v="62"/>
          </reference>
          <reference field="6" count="1">
            <x v="47"/>
          </reference>
        </references>
      </pivotArea>
    </format>
    <format dxfId="814">
      <pivotArea dataOnly="0" labelOnly="1" fieldPosition="0">
        <references count="6">
          <reference field="1" count="1" selected="0">
            <x v="133"/>
          </reference>
          <reference field="2" count="1" selected="0">
            <x v="0"/>
          </reference>
          <reference field="3" count="1" selected="0">
            <x v="9"/>
          </reference>
          <reference field="4" count="1" selected="0">
            <x v="222"/>
          </reference>
          <reference field="5" count="1" selected="0">
            <x v="292"/>
          </reference>
          <reference field="6" count="1">
            <x v="47"/>
          </reference>
        </references>
      </pivotArea>
    </format>
    <format dxfId="813">
      <pivotArea dataOnly="0" labelOnly="1" fieldPosition="0">
        <references count="6">
          <reference field="1" count="1" selected="0">
            <x v="133"/>
          </reference>
          <reference field="2" count="1" selected="0">
            <x v="0"/>
          </reference>
          <reference field="3" count="1" selected="0">
            <x v="9"/>
          </reference>
          <reference field="4" count="1" selected="0">
            <x v="222"/>
          </reference>
          <reference field="5" count="1" selected="0">
            <x v="520"/>
          </reference>
          <reference field="6" count="1">
            <x v="47"/>
          </reference>
        </references>
      </pivotArea>
    </format>
    <format dxfId="812">
      <pivotArea dataOnly="0" labelOnly="1" fieldPosition="0">
        <references count="6">
          <reference field="1" count="1" selected="0">
            <x v="133"/>
          </reference>
          <reference field="2" count="1" selected="0">
            <x v="0"/>
          </reference>
          <reference field="3" count="1" selected="0">
            <x v="9"/>
          </reference>
          <reference field="4" count="1" selected="0">
            <x v="222"/>
          </reference>
          <reference field="5" count="1" selected="0">
            <x v="540"/>
          </reference>
          <reference field="6" count="1">
            <x v="47"/>
          </reference>
        </references>
      </pivotArea>
    </format>
    <format dxfId="811">
      <pivotArea dataOnly="0" labelOnly="1" fieldPosition="0">
        <references count="6">
          <reference field="1" count="1" selected="0">
            <x v="133"/>
          </reference>
          <reference field="2" count="1" selected="0">
            <x v="0"/>
          </reference>
          <reference field="3" count="1" selected="0">
            <x v="9"/>
          </reference>
          <reference field="4" count="1" selected="0">
            <x v="222"/>
          </reference>
          <reference field="5" count="1" selected="0">
            <x v="629"/>
          </reference>
          <reference field="6" count="1">
            <x v="47"/>
          </reference>
        </references>
      </pivotArea>
    </format>
    <format dxfId="810">
      <pivotArea dataOnly="0" labelOnly="1" fieldPosition="0">
        <references count="6">
          <reference field="1" count="1" selected="0">
            <x v="133"/>
          </reference>
          <reference field="2" count="1" selected="0">
            <x v="0"/>
          </reference>
          <reference field="3" count="1" selected="0">
            <x v="9"/>
          </reference>
          <reference field="4" count="1" selected="0">
            <x v="222"/>
          </reference>
          <reference field="5" count="1" selected="0">
            <x v="687"/>
          </reference>
          <reference field="6" count="1">
            <x v="47"/>
          </reference>
        </references>
      </pivotArea>
    </format>
    <format dxfId="809">
      <pivotArea dataOnly="0" labelOnly="1" fieldPosition="0">
        <references count="6">
          <reference field="1" count="1" selected="0">
            <x v="133"/>
          </reference>
          <reference field="2" count="1" selected="0">
            <x v="0"/>
          </reference>
          <reference field="3" count="1" selected="0">
            <x v="9"/>
          </reference>
          <reference field="4" count="1" selected="0">
            <x v="222"/>
          </reference>
          <reference field="5" count="1" selected="0">
            <x v="925"/>
          </reference>
          <reference field="6" count="1">
            <x v="47"/>
          </reference>
        </references>
      </pivotArea>
    </format>
    <format dxfId="808">
      <pivotArea dataOnly="0" labelOnly="1" fieldPosition="0">
        <references count="6">
          <reference field="1" count="1" selected="0">
            <x v="133"/>
          </reference>
          <reference field="2" count="1" selected="0">
            <x v="0"/>
          </reference>
          <reference field="3" count="1" selected="0">
            <x v="9"/>
          </reference>
          <reference field="4" count="1" selected="0">
            <x v="222"/>
          </reference>
          <reference field="5" count="1" selected="0">
            <x v="958"/>
          </reference>
          <reference field="6" count="1">
            <x v="47"/>
          </reference>
        </references>
      </pivotArea>
    </format>
    <format dxfId="807">
      <pivotArea dataOnly="0" labelOnly="1" fieldPosition="0">
        <references count="6">
          <reference field="1" count="1" selected="0">
            <x v="133"/>
          </reference>
          <reference field="2" count="1" selected="0">
            <x v="0"/>
          </reference>
          <reference field="3" count="1" selected="0">
            <x v="9"/>
          </reference>
          <reference field="4" count="1" selected="0">
            <x v="222"/>
          </reference>
          <reference field="5" count="1" selected="0">
            <x v="962"/>
          </reference>
          <reference field="6" count="1">
            <x v="47"/>
          </reference>
        </references>
      </pivotArea>
    </format>
    <format dxfId="806">
      <pivotArea dataOnly="0" labelOnly="1" fieldPosition="0">
        <references count="6">
          <reference field="1" count="1" selected="0">
            <x v="133"/>
          </reference>
          <reference field="2" count="1" selected="0">
            <x v="0"/>
          </reference>
          <reference field="3" count="1" selected="0">
            <x v="9"/>
          </reference>
          <reference field="4" count="1" selected="0">
            <x v="222"/>
          </reference>
          <reference field="5" count="1" selected="0">
            <x v="985"/>
          </reference>
          <reference field="6" count="1">
            <x v="47"/>
          </reference>
        </references>
      </pivotArea>
    </format>
    <format dxfId="805">
      <pivotArea dataOnly="0" labelOnly="1" fieldPosition="0">
        <references count="6">
          <reference field="1" count="1" selected="0">
            <x v="133"/>
          </reference>
          <reference field="2" count="1" selected="0">
            <x v="0"/>
          </reference>
          <reference field="3" count="1" selected="0">
            <x v="9"/>
          </reference>
          <reference field="4" count="1" selected="0">
            <x v="222"/>
          </reference>
          <reference field="5" count="1" selected="0">
            <x v="1141"/>
          </reference>
          <reference field="6" count="1">
            <x v="47"/>
          </reference>
        </references>
      </pivotArea>
    </format>
    <format dxfId="804">
      <pivotArea dataOnly="0" labelOnly="1" fieldPosition="0">
        <references count="6">
          <reference field="1" count="1" selected="0">
            <x v="133"/>
          </reference>
          <reference field="2" count="1" selected="0">
            <x v="0"/>
          </reference>
          <reference field="3" count="1" selected="0">
            <x v="9"/>
          </reference>
          <reference field="4" count="1" selected="0">
            <x v="222"/>
          </reference>
          <reference field="5" count="1" selected="0">
            <x v="1246"/>
          </reference>
          <reference field="6" count="1">
            <x v="47"/>
          </reference>
        </references>
      </pivotArea>
    </format>
    <format dxfId="803">
      <pivotArea dataOnly="0" labelOnly="1" fieldPosition="0">
        <references count="6">
          <reference field="1" count="1" selected="0">
            <x v="133"/>
          </reference>
          <reference field="2" count="1" selected="0">
            <x v="0"/>
          </reference>
          <reference field="3" count="1" selected="0">
            <x v="12"/>
          </reference>
          <reference field="4" count="1" selected="0">
            <x v="50"/>
          </reference>
          <reference field="5" count="1" selected="0">
            <x v="248"/>
          </reference>
          <reference field="6" count="1">
            <x v="47"/>
          </reference>
        </references>
      </pivotArea>
    </format>
    <format dxfId="802">
      <pivotArea dataOnly="0" labelOnly="1" fieldPosition="0">
        <references count="6">
          <reference field="1" count="1" selected="0">
            <x v="133"/>
          </reference>
          <reference field="2" count="1" selected="0">
            <x v="0"/>
          </reference>
          <reference field="3" count="1" selected="0">
            <x v="12"/>
          </reference>
          <reference field="4" count="1" selected="0">
            <x v="56"/>
          </reference>
          <reference field="5" count="1" selected="0">
            <x v="29"/>
          </reference>
          <reference field="6" count="1">
            <x v="47"/>
          </reference>
        </references>
      </pivotArea>
    </format>
    <format dxfId="801">
      <pivotArea dataOnly="0" labelOnly="1" fieldPosition="0">
        <references count="6">
          <reference field="1" count="1" selected="0">
            <x v="133"/>
          </reference>
          <reference field="2" count="1" selected="0">
            <x v="5"/>
          </reference>
          <reference field="3" count="1" selected="0">
            <x v="8"/>
          </reference>
          <reference field="4" count="1" selected="0">
            <x v="222"/>
          </reference>
          <reference field="5" count="1" selected="0">
            <x v="1283"/>
          </reference>
          <reference field="6" count="1">
            <x v="47"/>
          </reference>
        </references>
      </pivotArea>
    </format>
    <format dxfId="800">
      <pivotArea dataOnly="0" labelOnly="1" fieldPosition="0">
        <references count="6">
          <reference field="1" count="1" selected="0">
            <x v="133"/>
          </reference>
          <reference field="2" count="1" selected="0">
            <x v="8"/>
          </reference>
          <reference field="3" count="1" selected="0">
            <x v="10"/>
          </reference>
          <reference field="4" count="1" selected="0">
            <x v="222"/>
          </reference>
          <reference field="5" count="1" selected="0">
            <x v="772"/>
          </reference>
          <reference field="6" count="1">
            <x v="47"/>
          </reference>
        </references>
      </pivotArea>
    </format>
    <format dxfId="799">
      <pivotArea dataOnly="0" labelOnly="1" fieldPosition="0">
        <references count="6">
          <reference field="1" count="1" selected="0">
            <x v="133"/>
          </reference>
          <reference field="2" count="1" selected="0">
            <x v="11"/>
          </reference>
          <reference field="3" count="1" selected="0">
            <x v="9"/>
          </reference>
          <reference field="4" count="1" selected="0">
            <x v="222"/>
          </reference>
          <reference field="5" count="1" selected="0">
            <x v="410"/>
          </reference>
          <reference field="6" count="1">
            <x v="47"/>
          </reference>
        </references>
      </pivotArea>
    </format>
    <format dxfId="798">
      <pivotArea dataOnly="0" labelOnly="1" fieldPosition="0">
        <references count="6">
          <reference field="1" count="1" selected="0">
            <x v="133"/>
          </reference>
          <reference field="2" count="1" selected="0">
            <x v="12"/>
          </reference>
          <reference field="3" count="1" selected="0">
            <x v="1"/>
          </reference>
          <reference field="4" count="1" selected="0">
            <x v="222"/>
          </reference>
          <reference field="5" count="1" selected="0">
            <x v="352"/>
          </reference>
          <reference field="6" count="1">
            <x v="47"/>
          </reference>
        </references>
      </pivotArea>
    </format>
    <format dxfId="797">
      <pivotArea dataOnly="0" labelOnly="1" fieldPosition="0">
        <references count="6">
          <reference field="1" count="1" selected="0">
            <x v="133"/>
          </reference>
          <reference field="2" count="1" selected="0">
            <x v="12"/>
          </reference>
          <reference field="3" count="1" selected="0">
            <x v="1"/>
          </reference>
          <reference field="4" count="1" selected="0">
            <x v="222"/>
          </reference>
          <reference field="5" count="1" selected="0">
            <x v="846"/>
          </reference>
          <reference field="6" count="1">
            <x v="47"/>
          </reference>
        </references>
      </pivotArea>
    </format>
    <format dxfId="796">
      <pivotArea dataOnly="0" labelOnly="1" fieldPosition="0">
        <references count="6">
          <reference field="1" count="1" selected="0">
            <x v="133"/>
          </reference>
          <reference field="2" count="1" selected="0">
            <x v="15"/>
          </reference>
          <reference field="3" count="1" selected="0">
            <x v="8"/>
          </reference>
          <reference field="4" count="1" selected="0">
            <x v="222"/>
          </reference>
          <reference field="5" count="1" selected="0">
            <x v="789"/>
          </reference>
          <reference field="6" count="1">
            <x v="47"/>
          </reference>
        </references>
      </pivotArea>
    </format>
    <format dxfId="795">
      <pivotArea dataOnly="0" labelOnly="1" fieldPosition="0">
        <references count="6">
          <reference field="1" count="1" selected="0">
            <x v="133"/>
          </reference>
          <reference field="2" count="1" selected="0">
            <x v="29"/>
          </reference>
          <reference field="3" count="1" selected="0">
            <x v="10"/>
          </reference>
          <reference field="4" count="1" selected="0">
            <x v="222"/>
          </reference>
          <reference field="5" count="1" selected="0">
            <x v="1456"/>
          </reference>
          <reference field="6" count="1">
            <x v="47"/>
          </reference>
        </references>
      </pivotArea>
    </format>
    <format dxfId="794">
      <pivotArea dataOnly="0" labelOnly="1" fieldPosition="0">
        <references count="6">
          <reference field="1" count="1" selected="0">
            <x v="133"/>
          </reference>
          <reference field="2" count="1" selected="0">
            <x v="37"/>
          </reference>
          <reference field="3" count="1" selected="0">
            <x v="8"/>
          </reference>
          <reference field="4" count="1" selected="0">
            <x v="222"/>
          </reference>
          <reference field="5" count="1" selected="0">
            <x v="1328"/>
          </reference>
          <reference field="6" count="1">
            <x v="47"/>
          </reference>
        </references>
      </pivotArea>
    </format>
    <format dxfId="793">
      <pivotArea dataOnly="0" labelOnly="1" fieldPosition="0">
        <references count="6">
          <reference field="1" count="1" selected="0">
            <x v="133"/>
          </reference>
          <reference field="2" count="1" selected="0">
            <x v="37"/>
          </reference>
          <reference field="3" count="1" selected="0">
            <x v="9"/>
          </reference>
          <reference field="4" count="1" selected="0">
            <x v="222"/>
          </reference>
          <reference field="5" count="1" selected="0">
            <x v="1291"/>
          </reference>
          <reference field="6" count="1">
            <x v="47"/>
          </reference>
        </references>
      </pivotArea>
    </format>
    <format dxfId="792">
      <pivotArea dataOnly="0" labelOnly="1" fieldPosition="0">
        <references count="6">
          <reference field="1" count="1" selected="0">
            <x v="134"/>
          </reference>
          <reference field="2" count="1" selected="0">
            <x v="0"/>
          </reference>
          <reference field="3" count="1" selected="0">
            <x v="1"/>
          </reference>
          <reference field="4" count="1" selected="0">
            <x v="223"/>
          </reference>
          <reference field="5" count="1" selected="0">
            <x v="80"/>
          </reference>
          <reference field="6" count="1">
            <x v="47"/>
          </reference>
        </references>
      </pivotArea>
    </format>
    <format dxfId="791">
      <pivotArea dataOnly="0" labelOnly="1" fieldPosition="0">
        <references count="6">
          <reference field="1" count="1" selected="0">
            <x v="134"/>
          </reference>
          <reference field="2" count="1" selected="0">
            <x v="0"/>
          </reference>
          <reference field="3" count="1" selected="0">
            <x v="6"/>
          </reference>
          <reference field="4" count="1" selected="0">
            <x v="223"/>
          </reference>
          <reference field="5" count="1" selected="0">
            <x v="371"/>
          </reference>
          <reference field="6" count="1">
            <x v="47"/>
          </reference>
        </references>
      </pivotArea>
    </format>
    <format dxfId="790">
      <pivotArea dataOnly="0" labelOnly="1" fieldPosition="0">
        <references count="6">
          <reference field="1" count="1" selected="0">
            <x v="134"/>
          </reference>
          <reference field="2" count="1" selected="0">
            <x v="0"/>
          </reference>
          <reference field="3" count="1" selected="0">
            <x v="12"/>
          </reference>
          <reference field="4" count="1" selected="0">
            <x v="10"/>
          </reference>
          <reference field="5" count="1" selected="0">
            <x v="138"/>
          </reference>
          <reference field="6" count="1">
            <x v="47"/>
          </reference>
        </references>
      </pivotArea>
    </format>
    <format dxfId="789">
      <pivotArea dataOnly="0" labelOnly="1" fieldPosition="0">
        <references count="6">
          <reference field="1" count="1" selected="0">
            <x v="134"/>
          </reference>
          <reference field="2" count="1" selected="0">
            <x v="0"/>
          </reference>
          <reference field="3" count="1" selected="0">
            <x v="12"/>
          </reference>
          <reference field="4" count="1" selected="0">
            <x v="16"/>
          </reference>
          <reference field="5" count="1" selected="0">
            <x v="332"/>
          </reference>
          <reference field="6" count="1">
            <x v="47"/>
          </reference>
        </references>
      </pivotArea>
    </format>
    <format dxfId="788">
      <pivotArea dataOnly="0" labelOnly="1" fieldPosition="0">
        <references count="6">
          <reference field="1" count="1" selected="0">
            <x v="134"/>
          </reference>
          <reference field="2" count="1" selected="0">
            <x v="0"/>
          </reference>
          <reference field="3" count="1" selected="0">
            <x v="12"/>
          </reference>
          <reference field="4" count="1" selected="0">
            <x v="17"/>
          </reference>
          <reference field="5" count="1" selected="0">
            <x v="96"/>
          </reference>
          <reference field="6" count="1">
            <x v="47"/>
          </reference>
        </references>
      </pivotArea>
    </format>
    <format dxfId="787">
      <pivotArea dataOnly="0" labelOnly="1" fieldPosition="0">
        <references count="6">
          <reference field="1" count="1" selected="0">
            <x v="134"/>
          </reference>
          <reference field="2" count="1" selected="0">
            <x v="0"/>
          </reference>
          <reference field="3" count="1" selected="0">
            <x v="12"/>
          </reference>
          <reference field="4" count="1" selected="0">
            <x v="26"/>
          </reference>
          <reference field="5" count="1" selected="0">
            <x v="20"/>
          </reference>
          <reference field="6" count="1">
            <x v="47"/>
          </reference>
        </references>
      </pivotArea>
    </format>
    <format dxfId="786">
      <pivotArea dataOnly="0" labelOnly="1" fieldPosition="0">
        <references count="6">
          <reference field="1" count="1" selected="0">
            <x v="134"/>
          </reference>
          <reference field="2" count="1" selected="0">
            <x v="0"/>
          </reference>
          <reference field="3" count="1" selected="0">
            <x v="38"/>
          </reference>
          <reference field="4" count="1" selected="0">
            <x v="223"/>
          </reference>
          <reference field="5" count="1" selected="0">
            <x v="138"/>
          </reference>
          <reference field="6" count="1">
            <x v="47"/>
          </reference>
        </references>
      </pivotArea>
    </format>
    <format dxfId="785">
      <pivotArea dataOnly="0" labelOnly="1" fieldPosition="0">
        <references count="6">
          <reference field="1" count="1" selected="0">
            <x v="134"/>
          </reference>
          <reference field="2" count="1" selected="0">
            <x v="6"/>
          </reference>
          <reference field="3" count="1" selected="0">
            <x v="38"/>
          </reference>
          <reference field="4" count="1" selected="0">
            <x v="223"/>
          </reference>
          <reference field="5" count="1" selected="0">
            <x v="592"/>
          </reference>
          <reference field="6" count="1">
            <x v="47"/>
          </reference>
        </references>
      </pivotArea>
    </format>
    <format dxfId="784">
      <pivotArea dataOnly="0" labelOnly="1" fieldPosition="0">
        <references count="6">
          <reference field="1" count="1" selected="0">
            <x v="134"/>
          </reference>
          <reference field="2" count="1" selected="0">
            <x v="12"/>
          </reference>
          <reference field="3" count="1" selected="0">
            <x v="1"/>
          </reference>
          <reference field="4" count="1" selected="0">
            <x v="223"/>
          </reference>
          <reference field="5" count="1" selected="0">
            <x v="80"/>
          </reference>
          <reference field="6" count="1">
            <x v="47"/>
          </reference>
        </references>
      </pivotArea>
    </format>
    <format dxfId="783">
      <pivotArea dataOnly="0" labelOnly="1" fieldPosition="0">
        <references count="6">
          <reference field="1" count="1" selected="0">
            <x v="134"/>
          </reference>
          <reference field="2" count="1" selected="0">
            <x v="12"/>
          </reference>
          <reference field="3" count="1" selected="0">
            <x v="1"/>
          </reference>
          <reference field="4" count="1" selected="0">
            <x v="223"/>
          </reference>
          <reference field="5" count="1" selected="0">
            <x v="213"/>
          </reference>
          <reference field="6" count="1">
            <x v="47"/>
          </reference>
        </references>
      </pivotArea>
    </format>
    <format dxfId="782">
      <pivotArea dataOnly="0" labelOnly="1" fieldPosition="0">
        <references count="6">
          <reference field="1" count="1" selected="0">
            <x v="134"/>
          </reference>
          <reference field="2" count="1" selected="0">
            <x v="12"/>
          </reference>
          <reference field="3" count="1" selected="0">
            <x v="1"/>
          </reference>
          <reference field="4" count="1" selected="0">
            <x v="223"/>
          </reference>
          <reference field="5" count="1" selected="0">
            <x v="352"/>
          </reference>
          <reference field="6" count="1">
            <x v="47"/>
          </reference>
        </references>
      </pivotArea>
    </format>
    <format dxfId="781">
      <pivotArea dataOnly="0" labelOnly="1" fieldPosition="0">
        <references count="6">
          <reference field="1" count="1" selected="0">
            <x v="134"/>
          </reference>
          <reference field="2" count="1" selected="0">
            <x v="12"/>
          </reference>
          <reference field="3" count="1" selected="0">
            <x v="1"/>
          </reference>
          <reference field="4" count="1" selected="0">
            <x v="223"/>
          </reference>
          <reference field="5" count="1" selected="0">
            <x v="500"/>
          </reference>
          <reference field="6" count="1">
            <x v="47"/>
          </reference>
        </references>
      </pivotArea>
    </format>
    <format dxfId="780">
      <pivotArea dataOnly="0" labelOnly="1" fieldPosition="0">
        <references count="6">
          <reference field="1" count="1" selected="0">
            <x v="134"/>
          </reference>
          <reference field="2" count="1" selected="0">
            <x v="12"/>
          </reference>
          <reference field="3" count="1" selected="0">
            <x v="1"/>
          </reference>
          <reference field="4" count="1" selected="0">
            <x v="223"/>
          </reference>
          <reference field="5" count="1" selected="0">
            <x v="607"/>
          </reference>
          <reference field="6" count="1">
            <x v="47"/>
          </reference>
        </references>
      </pivotArea>
    </format>
    <format dxfId="779">
      <pivotArea dataOnly="0" labelOnly="1" fieldPosition="0">
        <references count="6">
          <reference field="1" count="1" selected="0">
            <x v="134"/>
          </reference>
          <reference field="2" count="1" selected="0">
            <x v="14"/>
          </reference>
          <reference field="3" count="1" selected="0">
            <x v="6"/>
          </reference>
          <reference field="4" count="1" selected="0">
            <x v="223"/>
          </reference>
          <reference field="5" count="1" selected="0">
            <x v="1139"/>
          </reference>
          <reference field="6" count="1">
            <x v="47"/>
          </reference>
        </references>
      </pivotArea>
    </format>
    <format dxfId="778">
      <pivotArea dataOnly="0" labelOnly="1" fieldPosition="0">
        <references count="6">
          <reference field="1" count="1" selected="0">
            <x v="134"/>
          </reference>
          <reference field="2" count="1" selected="0">
            <x v="20"/>
          </reference>
          <reference field="3" count="1" selected="0">
            <x v="10"/>
          </reference>
          <reference field="4" count="1" selected="0">
            <x v="223"/>
          </reference>
          <reference field="5" count="1" selected="0">
            <x v="1866"/>
          </reference>
          <reference field="6" count="1">
            <x v="47"/>
          </reference>
        </references>
      </pivotArea>
    </format>
    <format dxfId="777">
      <pivotArea dataOnly="0" labelOnly="1" fieldPosition="0">
        <references count="6">
          <reference field="1" count="1" selected="0">
            <x v="134"/>
          </reference>
          <reference field="2" count="1" selected="0">
            <x v="23"/>
          </reference>
          <reference field="3" count="1" selected="0">
            <x v="38"/>
          </reference>
          <reference field="4" count="1" selected="0">
            <x v="223"/>
          </reference>
          <reference field="5" count="1" selected="0">
            <x v="19"/>
          </reference>
          <reference field="6" count="1">
            <x v="47"/>
          </reference>
        </references>
      </pivotArea>
    </format>
    <format dxfId="776">
      <pivotArea dataOnly="0" labelOnly="1" fieldPosition="0">
        <references count="6">
          <reference field="1" count="1" selected="0">
            <x v="134"/>
          </reference>
          <reference field="2" count="1" selected="0">
            <x v="29"/>
          </reference>
          <reference field="3" count="1" selected="0">
            <x v="10"/>
          </reference>
          <reference field="4" count="1" selected="0">
            <x v="223"/>
          </reference>
          <reference field="5" count="1" selected="0">
            <x v="1598"/>
          </reference>
          <reference field="6" count="1">
            <x v="47"/>
          </reference>
        </references>
      </pivotArea>
    </format>
    <format dxfId="775">
      <pivotArea dataOnly="0" labelOnly="1" fieldPosition="0">
        <references count="6">
          <reference field="1" count="1" selected="0">
            <x v="134"/>
          </reference>
          <reference field="2" count="1" selected="0">
            <x v="36"/>
          </reference>
          <reference field="3" count="1" selected="0">
            <x v="6"/>
          </reference>
          <reference field="4" count="1" selected="0">
            <x v="223"/>
          </reference>
          <reference field="5" count="1" selected="0">
            <x v="576"/>
          </reference>
          <reference field="6" count="1">
            <x v="47"/>
          </reference>
        </references>
      </pivotArea>
    </format>
    <format dxfId="774">
      <pivotArea dataOnly="0" labelOnly="1" fieldPosition="0">
        <references count="6">
          <reference field="1" count="1" selected="0">
            <x v="135"/>
          </reference>
          <reference field="2" count="1" selected="0">
            <x v="0"/>
          </reference>
          <reference field="3" count="1" selected="0">
            <x v="12"/>
          </reference>
          <reference field="4" count="1" selected="0">
            <x v="18"/>
          </reference>
          <reference field="5" count="1" selected="0">
            <x v="18"/>
          </reference>
          <reference field="6" count="1">
            <x v="47"/>
          </reference>
        </references>
      </pivotArea>
    </format>
    <format dxfId="773">
      <pivotArea dataOnly="0" labelOnly="1" fieldPosition="0">
        <references count="6">
          <reference field="1" count="1" selected="0">
            <x v="135"/>
          </reference>
          <reference field="2" count="1" selected="0">
            <x v="0"/>
          </reference>
          <reference field="3" count="1" selected="0">
            <x v="12"/>
          </reference>
          <reference field="4" count="1" selected="0">
            <x v="34"/>
          </reference>
          <reference field="5" count="1" selected="0">
            <x v="325"/>
          </reference>
          <reference field="6" count="1">
            <x v="47"/>
          </reference>
        </references>
      </pivotArea>
    </format>
    <format dxfId="772">
      <pivotArea dataOnly="0" labelOnly="1" fieldPosition="0">
        <references count="6">
          <reference field="1" count="1" selected="0">
            <x v="135"/>
          </reference>
          <reference field="2" count="1" selected="0">
            <x v="0"/>
          </reference>
          <reference field="3" count="1" selected="0">
            <x v="12"/>
          </reference>
          <reference field="4" count="1" selected="0">
            <x v="38"/>
          </reference>
          <reference field="5" count="1" selected="0">
            <x v="11"/>
          </reference>
          <reference field="6" count="1">
            <x v="47"/>
          </reference>
        </references>
      </pivotArea>
    </format>
    <format dxfId="771">
      <pivotArea dataOnly="0" labelOnly="1" fieldPosition="0">
        <references count="6">
          <reference field="1" count="1" selected="0">
            <x v="135"/>
          </reference>
          <reference field="2" count="1" selected="0">
            <x v="0"/>
          </reference>
          <reference field="3" count="1" selected="0">
            <x v="12"/>
          </reference>
          <reference field="4" count="1" selected="0">
            <x v="50"/>
          </reference>
          <reference field="5" count="1" selected="0">
            <x v="352"/>
          </reference>
          <reference field="6" count="1">
            <x v="47"/>
          </reference>
        </references>
      </pivotArea>
    </format>
    <format dxfId="770">
      <pivotArea dataOnly="0" labelOnly="1" fieldPosition="0">
        <references count="6">
          <reference field="1" count="1" selected="0">
            <x v="135"/>
          </reference>
          <reference field="2" count="1" selected="0">
            <x v="0"/>
          </reference>
          <reference field="3" count="1" selected="0">
            <x v="12"/>
          </reference>
          <reference field="4" count="1" selected="0">
            <x v="52"/>
          </reference>
          <reference field="5" count="1" selected="0">
            <x v="75"/>
          </reference>
          <reference field="6" count="1">
            <x v="47"/>
          </reference>
        </references>
      </pivotArea>
    </format>
    <format dxfId="769">
      <pivotArea dataOnly="0" labelOnly="1" fieldPosition="0">
        <references count="6">
          <reference field="1" count="1" selected="0">
            <x v="135"/>
          </reference>
          <reference field="2" count="1" selected="0">
            <x v="5"/>
          </reference>
          <reference field="3" count="1" selected="0">
            <x v="37"/>
          </reference>
          <reference field="4" count="1" selected="0">
            <x v="224"/>
          </reference>
          <reference field="5" count="1" selected="0">
            <x v="1207"/>
          </reference>
          <reference field="6" count="1">
            <x v="47"/>
          </reference>
        </references>
      </pivotArea>
    </format>
    <format dxfId="768">
      <pivotArea dataOnly="0" labelOnly="1" fieldPosition="0">
        <references count="6">
          <reference field="1" count="1" selected="0">
            <x v="135"/>
          </reference>
          <reference field="2" count="1" selected="0">
            <x v="6"/>
          </reference>
          <reference field="3" count="1" selected="0">
            <x v="38"/>
          </reference>
          <reference field="4" count="1" selected="0">
            <x v="224"/>
          </reference>
          <reference field="5" count="1" selected="0">
            <x v="619"/>
          </reference>
          <reference field="6" count="1">
            <x v="47"/>
          </reference>
        </references>
      </pivotArea>
    </format>
    <format dxfId="767">
      <pivotArea dataOnly="0" labelOnly="1" fieldPosition="0">
        <references count="6">
          <reference field="1" count="1" selected="0">
            <x v="135"/>
          </reference>
          <reference field="2" count="1" selected="0">
            <x v="12"/>
          </reference>
          <reference field="3" count="1" selected="0">
            <x v="1"/>
          </reference>
          <reference field="4" count="1" selected="0">
            <x v="224"/>
          </reference>
          <reference field="5" count="1" selected="0">
            <x v="80"/>
          </reference>
          <reference field="6" count="1">
            <x v="47"/>
          </reference>
        </references>
      </pivotArea>
    </format>
    <format dxfId="766">
      <pivotArea dataOnly="0" labelOnly="1" fieldPosition="0">
        <references count="6">
          <reference field="1" count="1" selected="0">
            <x v="135"/>
          </reference>
          <reference field="2" count="1" selected="0">
            <x v="12"/>
          </reference>
          <reference field="3" count="1" selected="0">
            <x v="1"/>
          </reference>
          <reference field="4" count="1" selected="0">
            <x v="224"/>
          </reference>
          <reference field="5" count="1" selected="0">
            <x v="213"/>
          </reference>
          <reference field="6" count="1">
            <x v="47"/>
          </reference>
        </references>
      </pivotArea>
    </format>
    <format dxfId="765">
      <pivotArea dataOnly="0" labelOnly="1" fieldPosition="0">
        <references count="6">
          <reference field="1" count="1" selected="0">
            <x v="135"/>
          </reference>
          <reference field="2" count="1" selected="0">
            <x v="12"/>
          </reference>
          <reference field="3" count="1" selected="0">
            <x v="1"/>
          </reference>
          <reference field="4" count="1" selected="0">
            <x v="224"/>
          </reference>
          <reference field="5" count="1" selected="0">
            <x v="352"/>
          </reference>
          <reference field="6" count="1">
            <x v="47"/>
          </reference>
        </references>
      </pivotArea>
    </format>
    <format dxfId="764">
      <pivotArea dataOnly="0" labelOnly="1" fieldPosition="0">
        <references count="6">
          <reference field="1" count="1" selected="0">
            <x v="135"/>
          </reference>
          <reference field="2" count="1" selected="0">
            <x v="12"/>
          </reference>
          <reference field="3" count="1" selected="0">
            <x v="1"/>
          </reference>
          <reference field="4" count="1" selected="0">
            <x v="224"/>
          </reference>
          <reference field="5" count="1" selected="0">
            <x v="771"/>
          </reference>
          <reference field="6" count="1">
            <x v="47"/>
          </reference>
        </references>
      </pivotArea>
    </format>
    <format dxfId="763">
      <pivotArea dataOnly="0" labelOnly="1" fieldPosition="0">
        <references count="6">
          <reference field="1" count="1" selected="0">
            <x v="135"/>
          </reference>
          <reference field="2" count="1" selected="0">
            <x v="12"/>
          </reference>
          <reference field="3" count="1" selected="0">
            <x v="1"/>
          </reference>
          <reference field="4" count="1" selected="0">
            <x v="224"/>
          </reference>
          <reference field="5" count="1" selected="0">
            <x v="964"/>
          </reference>
          <reference field="6" count="1">
            <x v="47"/>
          </reference>
        </references>
      </pivotArea>
    </format>
    <format dxfId="762">
      <pivotArea dataOnly="0" labelOnly="1" fieldPosition="0">
        <references count="6">
          <reference field="1" count="1" selected="0">
            <x v="135"/>
          </reference>
          <reference field="2" count="1" selected="0">
            <x v="17"/>
          </reference>
          <reference field="3" count="1" selected="0">
            <x v="6"/>
          </reference>
          <reference field="4" count="1" selected="0">
            <x v="224"/>
          </reference>
          <reference field="5" count="1" selected="0">
            <x v="1649"/>
          </reference>
          <reference field="6" count="1">
            <x v="47"/>
          </reference>
        </references>
      </pivotArea>
    </format>
    <format dxfId="761">
      <pivotArea dataOnly="0" labelOnly="1" fieldPosition="0">
        <references count="6">
          <reference field="1" count="1" selected="0">
            <x v="135"/>
          </reference>
          <reference field="2" count="1" selected="0">
            <x v="33"/>
          </reference>
          <reference field="3" count="1" selected="0">
            <x v="38"/>
          </reference>
          <reference field="4" count="1" selected="0">
            <x v="224"/>
          </reference>
          <reference field="5" count="1" selected="0">
            <x v="249"/>
          </reference>
          <reference field="6" count="1">
            <x v="47"/>
          </reference>
        </references>
      </pivotArea>
    </format>
    <format dxfId="760">
      <pivotArea dataOnly="0" labelOnly="1" fieldPosition="0">
        <references count="6">
          <reference field="1" count="1" selected="0">
            <x v="136"/>
          </reference>
          <reference field="2" count="1" selected="0">
            <x v="0"/>
          </reference>
          <reference field="3" count="1" selected="0">
            <x v="7"/>
          </reference>
          <reference field="4" count="1" selected="0">
            <x v="225"/>
          </reference>
          <reference field="5" count="1" selected="0">
            <x v="329"/>
          </reference>
          <reference field="6" count="1">
            <x v="47"/>
          </reference>
        </references>
      </pivotArea>
    </format>
    <format dxfId="759">
      <pivotArea dataOnly="0" labelOnly="1" fieldPosition="0">
        <references count="6">
          <reference field="1" count="1" selected="0">
            <x v="136"/>
          </reference>
          <reference field="2" count="1" selected="0">
            <x v="0"/>
          </reference>
          <reference field="3" count="1" selected="0">
            <x v="8"/>
          </reference>
          <reference field="4" count="1" selected="0">
            <x v="225"/>
          </reference>
          <reference field="5" count="1" selected="0">
            <x v="247"/>
          </reference>
          <reference field="6" count="1">
            <x v="47"/>
          </reference>
        </references>
      </pivotArea>
    </format>
    <format dxfId="758">
      <pivotArea dataOnly="0" labelOnly="1" fieldPosition="0">
        <references count="6">
          <reference field="1" count="1" selected="0">
            <x v="136"/>
          </reference>
          <reference field="2" count="1" selected="0">
            <x v="0"/>
          </reference>
          <reference field="3" count="1" selected="0">
            <x v="9"/>
          </reference>
          <reference field="4" count="1" selected="0">
            <x v="225"/>
          </reference>
          <reference field="5" count="1" selected="0">
            <x v="309"/>
          </reference>
          <reference field="6" count="1">
            <x v="47"/>
          </reference>
        </references>
      </pivotArea>
    </format>
    <format dxfId="757">
      <pivotArea dataOnly="0" labelOnly="1" fieldPosition="0">
        <references count="6">
          <reference field="1" count="1" selected="0">
            <x v="136"/>
          </reference>
          <reference field="2" count="1" selected="0">
            <x v="0"/>
          </reference>
          <reference field="3" count="1" selected="0">
            <x v="9"/>
          </reference>
          <reference field="4" count="1" selected="0">
            <x v="225"/>
          </reference>
          <reference field="5" count="1" selected="0">
            <x v="450"/>
          </reference>
          <reference field="6" count="1">
            <x v="47"/>
          </reference>
        </references>
      </pivotArea>
    </format>
    <format dxfId="756">
      <pivotArea dataOnly="0" labelOnly="1" fieldPosition="0">
        <references count="6">
          <reference field="1" count="1" selected="0">
            <x v="136"/>
          </reference>
          <reference field="2" count="1" selected="0">
            <x v="0"/>
          </reference>
          <reference field="3" count="1" selected="0">
            <x v="9"/>
          </reference>
          <reference field="4" count="1" selected="0">
            <x v="225"/>
          </reference>
          <reference field="5" count="1" selected="0">
            <x v="470"/>
          </reference>
          <reference field="6" count="1">
            <x v="47"/>
          </reference>
        </references>
      </pivotArea>
    </format>
    <format dxfId="755">
      <pivotArea dataOnly="0" labelOnly="1" fieldPosition="0">
        <references count="6">
          <reference field="1" count="1" selected="0">
            <x v="136"/>
          </reference>
          <reference field="2" count="1" selected="0">
            <x v="0"/>
          </reference>
          <reference field="3" count="1" selected="0">
            <x v="9"/>
          </reference>
          <reference field="4" count="1" selected="0">
            <x v="225"/>
          </reference>
          <reference field="5" count="1" selected="0">
            <x v="545"/>
          </reference>
          <reference field="6" count="1">
            <x v="47"/>
          </reference>
        </references>
      </pivotArea>
    </format>
    <format dxfId="754">
      <pivotArea dataOnly="0" labelOnly="1" fieldPosition="0">
        <references count="6">
          <reference field="1" count="1" selected="0">
            <x v="136"/>
          </reference>
          <reference field="2" count="1" selected="0">
            <x v="0"/>
          </reference>
          <reference field="3" count="1" selected="0">
            <x v="9"/>
          </reference>
          <reference field="4" count="1" selected="0">
            <x v="225"/>
          </reference>
          <reference field="5" count="1" selected="0">
            <x v="609"/>
          </reference>
          <reference field="6" count="1">
            <x v="47"/>
          </reference>
        </references>
      </pivotArea>
    </format>
    <format dxfId="753">
      <pivotArea dataOnly="0" labelOnly="1" fieldPosition="0">
        <references count="6">
          <reference field="1" count="1" selected="0">
            <x v="136"/>
          </reference>
          <reference field="2" count="1" selected="0">
            <x v="0"/>
          </reference>
          <reference field="3" count="1" selected="0">
            <x v="9"/>
          </reference>
          <reference field="4" count="1" selected="0">
            <x v="225"/>
          </reference>
          <reference field="5" count="1" selected="0">
            <x v="1004"/>
          </reference>
          <reference field="6" count="1">
            <x v="47"/>
          </reference>
        </references>
      </pivotArea>
    </format>
    <format dxfId="752">
      <pivotArea dataOnly="0" labelOnly="1" fieldPosition="0">
        <references count="6">
          <reference field="1" count="1" selected="0">
            <x v="136"/>
          </reference>
          <reference field="2" count="1" selected="0">
            <x v="0"/>
          </reference>
          <reference field="3" count="1" selected="0">
            <x v="12"/>
          </reference>
          <reference field="4" count="1" selected="0">
            <x v="63"/>
          </reference>
          <reference field="5" count="1" selected="0">
            <x v="6"/>
          </reference>
          <reference field="6" count="1">
            <x v="47"/>
          </reference>
        </references>
      </pivotArea>
    </format>
    <format dxfId="751">
      <pivotArea dataOnly="0" labelOnly="1" fieldPosition="0">
        <references count="6">
          <reference field="1" count="1" selected="0">
            <x v="136"/>
          </reference>
          <reference field="2" count="1" selected="0">
            <x v="0"/>
          </reference>
          <reference field="3" count="1" selected="0">
            <x v="38"/>
          </reference>
          <reference field="4" count="1" selected="0">
            <x v="225"/>
          </reference>
          <reference field="5" count="1" selected="0">
            <x v="138"/>
          </reference>
          <reference field="6" count="1">
            <x v="47"/>
          </reference>
        </references>
      </pivotArea>
    </format>
    <format dxfId="750">
      <pivotArea dataOnly="0" labelOnly="1" fieldPosition="0">
        <references count="6">
          <reference field="1" count="1" selected="0">
            <x v="136"/>
          </reference>
          <reference field="2" count="1" selected="0">
            <x v="2"/>
          </reference>
          <reference field="3" count="1" selected="0">
            <x v="10"/>
          </reference>
          <reference field="4" count="1" selected="0">
            <x v="225"/>
          </reference>
          <reference field="5" count="1" selected="0">
            <x v="1750"/>
          </reference>
          <reference field="6" count="1">
            <x v="47"/>
          </reference>
        </references>
      </pivotArea>
    </format>
    <format dxfId="749">
      <pivotArea dataOnly="0" labelOnly="1" fieldPosition="0">
        <references count="6">
          <reference field="1" count="1" selected="0">
            <x v="136"/>
          </reference>
          <reference field="2" count="1" selected="0">
            <x v="3"/>
          </reference>
          <reference field="3" count="1" selected="0">
            <x v="10"/>
          </reference>
          <reference field="4" count="1" selected="0">
            <x v="225"/>
          </reference>
          <reference field="5" count="1" selected="0">
            <x v="1355"/>
          </reference>
          <reference field="6" count="1">
            <x v="47"/>
          </reference>
        </references>
      </pivotArea>
    </format>
    <format dxfId="748">
      <pivotArea dataOnly="0" labelOnly="1" fieldPosition="0">
        <references count="6">
          <reference field="1" count="1" selected="0">
            <x v="136"/>
          </reference>
          <reference field="2" count="1" selected="0">
            <x v="8"/>
          </reference>
          <reference field="3" count="1" selected="0">
            <x v="10"/>
          </reference>
          <reference field="4" count="1" selected="0">
            <x v="225"/>
          </reference>
          <reference field="5" count="1" selected="0">
            <x v="1555"/>
          </reference>
          <reference field="6" count="1">
            <x v="47"/>
          </reference>
        </references>
      </pivotArea>
    </format>
    <format dxfId="747">
      <pivotArea dataOnly="0" labelOnly="1" fieldPosition="0">
        <references count="6">
          <reference field="1" count="1" selected="0">
            <x v="136"/>
          </reference>
          <reference field="2" count="1" selected="0">
            <x v="9"/>
          </reference>
          <reference field="3" count="1" selected="0">
            <x v="10"/>
          </reference>
          <reference field="4" count="1" selected="0">
            <x v="225"/>
          </reference>
          <reference field="5" count="1" selected="0">
            <x v="33"/>
          </reference>
          <reference field="6" count="1">
            <x v="47"/>
          </reference>
        </references>
      </pivotArea>
    </format>
    <format dxfId="746">
      <pivotArea dataOnly="0" labelOnly="1" fieldPosition="0">
        <references count="6">
          <reference field="1" count="1" selected="0">
            <x v="136"/>
          </reference>
          <reference field="2" count="1" selected="0">
            <x v="12"/>
          </reference>
          <reference field="3" count="1" selected="0">
            <x v="1"/>
          </reference>
          <reference field="4" count="1" selected="0">
            <x v="225"/>
          </reference>
          <reference field="5" count="1" selected="0">
            <x v="80"/>
          </reference>
          <reference field="6" count="1">
            <x v="47"/>
          </reference>
        </references>
      </pivotArea>
    </format>
    <format dxfId="745">
      <pivotArea dataOnly="0" labelOnly="1" fieldPosition="0">
        <references count="6">
          <reference field="1" count="1" selected="0">
            <x v="136"/>
          </reference>
          <reference field="2" count="1" selected="0">
            <x v="12"/>
          </reference>
          <reference field="3" count="1" selected="0">
            <x v="1"/>
          </reference>
          <reference field="4" count="1" selected="0">
            <x v="225"/>
          </reference>
          <reference field="5" count="1" selected="0">
            <x v="213"/>
          </reference>
          <reference field="6" count="1">
            <x v="47"/>
          </reference>
        </references>
      </pivotArea>
    </format>
    <format dxfId="744">
      <pivotArea dataOnly="0" labelOnly="1" fieldPosition="0">
        <references count="6">
          <reference field="1" count="1" selected="0">
            <x v="136"/>
          </reference>
          <reference field="2" count="1" selected="0">
            <x v="15"/>
          </reference>
          <reference field="3" count="1" selected="0">
            <x v="8"/>
          </reference>
          <reference field="4" count="1" selected="0">
            <x v="225"/>
          </reference>
          <reference field="5" count="1" selected="0">
            <x v="1119"/>
          </reference>
          <reference field="6" count="1">
            <x v="47"/>
          </reference>
        </references>
      </pivotArea>
    </format>
    <format dxfId="743">
      <pivotArea dataOnly="0" labelOnly="1" fieldPosition="0">
        <references count="6">
          <reference field="1" count="1" selected="0">
            <x v="136"/>
          </reference>
          <reference field="2" count="1" selected="0">
            <x v="18"/>
          </reference>
          <reference field="3" count="1" selected="0">
            <x v="10"/>
          </reference>
          <reference field="4" count="1" selected="0">
            <x v="225"/>
          </reference>
          <reference field="5" count="1" selected="0">
            <x v="1874"/>
          </reference>
          <reference field="6" count="1">
            <x v="47"/>
          </reference>
        </references>
      </pivotArea>
    </format>
    <format dxfId="742">
      <pivotArea dataOnly="0" labelOnly="1" fieldPosition="0">
        <references count="6">
          <reference field="1" count="1" selected="0">
            <x v="136"/>
          </reference>
          <reference field="2" count="1" selected="0">
            <x v="19"/>
          </reference>
          <reference field="3" count="1" selected="0">
            <x v="6"/>
          </reference>
          <reference field="4" count="1" selected="0">
            <x v="225"/>
          </reference>
          <reference field="5" count="1" selected="0">
            <x v="433"/>
          </reference>
          <reference field="6" count="1">
            <x v="47"/>
          </reference>
        </references>
      </pivotArea>
    </format>
    <format dxfId="741">
      <pivotArea dataOnly="0" labelOnly="1" fieldPosition="0">
        <references count="6">
          <reference field="1" count="1" selected="0">
            <x v="136"/>
          </reference>
          <reference field="2" count="1" selected="0">
            <x v="22"/>
          </reference>
          <reference field="3" count="1" selected="0">
            <x v="38"/>
          </reference>
          <reference field="4" count="1" selected="0">
            <x v="225"/>
          </reference>
          <reference field="5" count="1" selected="0">
            <x v="1453"/>
          </reference>
          <reference field="6" count="1">
            <x v="47"/>
          </reference>
        </references>
      </pivotArea>
    </format>
    <format dxfId="740">
      <pivotArea dataOnly="0" labelOnly="1" fieldPosition="0">
        <references count="6">
          <reference field="1" count="1" selected="0">
            <x v="136"/>
          </reference>
          <reference field="2" count="1" selected="0">
            <x v="23"/>
          </reference>
          <reference field="3" count="1" selected="0">
            <x v="38"/>
          </reference>
          <reference field="4" count="1" selected="0">
            <x v="225"/>
          </reference>
          <reference field="5" count="1" selected="0">
            <x v="30"/>
          </reference>
          <reference field="6" count="1">
            <x v="47"/>
          </reference>
        </references>
      </pivotArea>
    </format>
    <format dxfId="739">
      <pivotArea dataOnly="0" labelOnly="1" fieldPosition="0">
        <references count="6">
          <reference field="1" count="1" selected="0">
            <x v="136"/>
          </reference>
          <reference field="2" count="1" selected="0">
            <x v="35"/>
          </reference>
          <reference field="3" count="1" selected="0">
            <x v="1"/>
          </reference>
          <reference field="4" count="1" selected="0">
            <x v="225"/>
          </reference>
          <reference field="5" count="1" selected="0">
            <x v="80"/>
          </reference>
          <reference field="6" count="1">
            <x v="47"/>
          </reference>
        </references>
      </pivotArea>
    </format>
    <format dxfId="738">
      <pivotArea dataOnly="0" labelOnly="1" fieldPosition="0">
        <references count="6">
          <reference field="1" count="1" selected="0">
            <x v="136"/>
          </reference>
          <reference field="2" count="1" selected="0">
            <x v="36"/>
          </reference>
          <reference field="3" count="1" selected="0">
            <x v="10"/>
          </reference>
          <reference field="4" count="1" selected="0">
            <x v="225"/>
          </reference>
          <reference field="5" count="1" selected="0">
            <x v="1576"/>
          </reference>
          <reference field="6" count="1">
            <x v="47"/>
          </reference>
        </references>
      </pivotArea>
    </format>
    <format dxfId="737">
      <pivotArea dataOnly="0" labelOnly="1" fieldPosition="0">
        <references count="6">
          <reference field="1" count="1" selected="0">
            <x v="136"/>
          </reference>
          <reference field="2" count="1" selected="0">
            <x v="38"/>
          </reference>
          <reference field="3" count="1" selected="0">
            <x v="10"/>
          </reference>
          <reference field="4" count="1" selected="0">
            <x v="225"/>
          </reference>
          <reference field="5" count="1" selected="0">
            <x v="1276"/>
          </reference>
          <reference field="6" count="1">
            <x v="47"/>
          </reference>
        </references>
      </pivotArea>
    </format>
    <format dxfId="736">
      <pivotArea dataOnly="0" labelOnly="1" fieldPosition="0">
        <references count="6">
          <reference field="1" count="1" selected="0">
            <x v="137"/>
          </reference>
          <reference field="2" count="1" selected="0">
            <x v="0"/>
          </reference>
          <reference field="3" count="1" selected="0">
            <x v="12"/>
          </reference>
          <reference field="4" count="1" selected="0">
            <x v="21"/>
          </reference>
          <reference field="5" count="1" selected="0">
            <x v="194"/>
          </reference>
          <reference field="6" count="1">
            <x v="47"/>
          </reference>
        </references>
      </pivotArea>
    </format>
    <format dxfId="735">
      <pivotArea dataOnly="0" labelOnly="1" fieldPosition="0">
        <references count="6">
          <reference field="1" count="1" selected="0">
            <x v="137"/>
          </reference>
          <reference field="2" count="1" selected="0">
            <x v="0"/>
          </reference>
          <reference field="3" count="1" selected="0">
            <x v="12"/>
          </reference>
          <reference field="4" count="1" selected="0">
            <x v="24"/>
          </reference>
          <reference field="5" count="1" selected="0">
            <x v="23"/>
          </reference>
          <reference field="6" count="1">
            <x v="47"/>
          </reference>
        </references>
      </pivotArea>
    </format>
    <format dxfId="734">
      <pivotArea dataOnly="0" labelOnly="1" fieldPosition="0">
        <references count="6">
          <reference field="1" count="1" selected="0">
            <x v="137"/>
          </reference>
          <reference field="2" count="1" selected="0">
            <x v="0"/>
          </reference>
          <reference field="3" count="1" selected="0">
            <x v="12"/>
          </reference>
          <reference field="4" count="1" selected="0">
            <x v="32"/>
          </reference>
          <reference field="5" count="1" selected="0">
            <x v="744"/>
          </reference>
          <reference field="6" count="1">
            <x v="47"/>
          </reference>
        </references>
      </pivotArea>
    </format>
    <format dxfId="733">
      <pivotArea dataOnly="0" labelOnly="1" fieldPosition="0">
        <references count="6">
          <reference field="1" count="1" selected="0">
            <x v="137"/>
          </reference>
          <reference field="2" count="1" selected="0">
            <x v="0"/>
          </reference>
          <reference field="3" count="1" selected="0">
            <x v="12"/>
          </reference>
          <reference field="4" count="1" selected="0">
            <x v="71"/>
          </reference>
          <reference field="5" count="1" selected="0">
            <x v="139"/>
          </reference>
          <reference field="6" count="1">
            <x v="47"/>
          </reference>
        </references>
      </pivotArea>
    </format>
    <format dxfId="732">
      <pivotArea dataOnly="0" labelOnly="1" fieldPosition="0">
        <references count="6">
          <reference field="1" count="1" selected="0">
            <x v="137"/>
          </reference>
          <reference field="2" count="1" selected="0">
            <x v="3"/>
          </reference>
          <reference field="3" count="1" selected="0">
            <x v="38"/>
          </reference>
          <reference field="4" count="1" selected="0">
            <x v="226"/>
          </reference>
          <reference field="5" count="1" selected="0">
            <x v="561"/>
          </reference>
          <reference field="6" count="1">
            <x v="47"/>
          </reference>
        </references>
      </pivotArea>
    </format>
    <format dxfId="731">
      <pivotArea dataOnly="0" labelOnly="1" fieldPosition="0">
        <references count="6">
          <reference field="1" count="1" selected="0">
            <x v="137"/>
          </reference>
          <reference field="2" count="1" selected="0">
            <x v="5"/>
          </reference>
          <reference field="3" count="1" selected="0">
            <x v="37"/>
          </reference>
          <reference field="4" count="1" selected="0">
            <x v="226"/>
          </reference>
          <reference field="5" count="1" selected="0">
            <x v="1832"/>
          </reference>
          <reference field="6" count="1">
            <x v="47"/>
          </reference>
        </references>
      </pivotArea>
    </format>
    <format dxfId="730">
      <pivotArea dataOnly="0" labelOnly="1" fieldPosition="0">
        <references count="6">
          <reference field="1" count="1" selected="0">
            <x v="137"/>
          </reference>
          <reference field="2" count="1" selected="0">
            <x v="5"/>
          </reference>
          <reference field="3" count="1" selected="0">
            <x v="38"/>
          </reference>
          <reference field="4" count="1" selected="0">
            <x v="226"/>
          </reference>
          <reference field="5" count="1" selected="0">
            <x v="1707"/>
          </reference>
          <reference field="6" count="1">
            <x v="47"/>
          </reference>
        </references>
      </pivotArea>
    </format>
    <format dxfId="729">
      <pivotArea dataOnly="0" labelOnly="1" fieldPosition="0">
        <references count="6">
          <reference field="1" count="1" selected="0">
            <x v="137"/>
          </reference>
          <reference field="2" count="1" selected="0">
            <x v="6"/>
          </reference>
          <reference field="3" count="1" selected="0">
            <x v="38"/>
          </reference>
          <reference field="4" count="1" selected="0">
            <x v="226"/>
          </reference>
          <reference field="5" count="1" selected="0">
            <x v="947"/>
          </reference>
          <reference field="6" count="1">
            <x v="47"/>
          </reference>
        </references>
      </pivotArea>
    </format>
    <format dxfId="728">
      <pivotArea dataOnly="0" labelOnly="1" fieldPosition="0">
        <references count="6">
          <reference field="1" count="1" selected="0">
            <x v="137"/>
          </reference>
          <reference field="2" count="1" selected="0">
            <x v="8"/>
          </reference>
          <reference field="3" count="1" selected="0">
            <x v="38"/>
          </reference>
          <reference field="4" count="1" selected="0">
            <x v="226"/>
          </reference>
          <reference field="5" count="1" selected="0">
            <x v="532"/>
          </reference>
          <reference field="6" count="1">
            <x v="47"/>
          </reference>
        </references>
      </pivotArea>
    </format>
    <format dxfId="727">
      <pivotArea dataOnly="0" labelOnly="1" fieldPosition="0">
        <references count="6">
          <reference field="1" count="1" selected="0">
            <x v="137"/>
          </reference>
          <reference field="2" count="1" selected="0">
            <x v="12"/>
          </reference>
          <reference field="3" count="1" selected="0">
            <x v="1"/>
          </reference>
          <reference field="4" count="1" selected="0">
            <x v="226"/>
          </reference>
          <reference field="5" count="1" selected="0">
            <x v="80"/>
          </reference>
          <reference field="6" count="1">
            <x v="47"/>
          </reference>
        </references>
      </pivotArea>
    </format>
    <format dxfId="726">
      <pivotArea dataOnly="0" labelOnly="1" fieldPosition="0">
        <references count="6">
          <reference field="1" count="1" selected="0">
            <x v="137"/>
          </reference>
          <reference field="2" count="1" selected="0">
            <x v="12"/>
          </reference>
          <reference field="3" count="1" selected="0">
            <x v="1"/>
          </reference>
          <reference field="4" count="1" selected="0">
            <x v="226"/>
          </reference>
          <reference field="5" count="1" selected="0">
            <x v="213"/>
          </reference>
          <reference field="6" count="1">
            <x v="47"/>
          </reference>
        </references>
      </pivotArea>
    </format>
    <format dxfId="725">
      <pivotArea dataOnly="0" labelOnly="1" fieldPosition="0">
        <references count="6">
          <reference field="1" count="1" selected="0">
            <x v="137"/>
          </reference>
          <reference field="2" count="1" selected="0">
            <x v="12"/>
          </reference>
          <reference field="3" count="1" selected="0">
            <x v="1"/>
          </reference>
          <reference field="4" count="1" selected="0">
            <x v="226"/>
          </reference>
          <reference field="5" count="1" selected="0">
            <x v="500"/>
          </reference>
          <reference field="6" count="1">
            <x v="47"/>
          </reference>
        </references>
      </pivotArea>
    </format>
    <format dxfId="724">
      <pivotArea dataOnly="0" labelOnly="1" fieldPosition="0">
        <references count="6">
          <reference field="1" count="1" selected="0">
            <x v="137"/>
          </reference>
          <reference field="2" count="1" selected="0">
            <x v="12"/>
          </reference>
          <reference field="3" count="1" selected="0">
            <x v="1"/>
          </reference>
          <reference field="4" count="1" selected="0">
            <x v="226"/>
          </reference>
          <reference field="5" count="1" selected="0">
            <x v="846"/>
          </reference>
          <reference field="6" count="1">
            <x v="47"/>
          </reference>
        </references>
      </pivotArea>
    </format>
    <format dxfId="723">
      <pivotArea dataOnly="0" labelOnly="1" fieldPosition="0">
        <references count="6">
          <reference field="1" count="1" selected="0">
            <x v="137"/>
          </reference>
          <reference field="2" count="1" selected="0">
            <x v="14"/>
          </reference>
          <reference field="3" count="1" selected="0">
            <x v="1"/>
          </reference>
          <reference field="4" count="1" selected="0">
            <x v="226"/>
          </reference>
          <reference field="5" count="1" selected="0">
            <x v="1169"/>
          </reference>
          <reference field="6" count="1">
            <x v="47"/>
          </reference>
        </references>
      </pivotArea>
    </format>
    <format dxfId="722">
      <pivotArea dataOnly="0" labelOnly="1" fieldPosition="0">
        <references count="6">
          <reference field="1" count="1" selected="0">
            <x v="137"/>
          </reference>
          <reference field="2" count="1" selected="0">
            <x v="15"/>
          </reference>
          <reference field="3" count="1" selected="0">
            <x v="37"/>
          </reference>
          <reference field="4" count="1" selected="0">
            <x v="226"/>
          </reference>
          <reference field="5" count="1" selected="0">
            <x v="897"/>
          </reference>
          <reference field="6" count="1">
            <x v="47"/>
          </reference>
        </references>
      </pivotArea>
    </format>
    <format dxfId="721">
      <pivotArea dataOnly="0" labelOnly="1" fieldPosition="0">
        <references count="6">
          <reference field="1" count="1" selected="0">
            <x v="137"/>
          </reference>
          <reference field="2" count="1" selected="0">
            <x v="15"/>
          </reference>
          <reference field="3" count="1" selected="0">
            <x v="38"/>
          </reference>
          <reference field="4" count="1" selected="0">
            <x v="226"/>
          </reference>
          <reference field="5" count="1" selected="0">
            <x v="607"/>
          </reference>
          <reference field="6" count="1">
            <x v="47"/>
          </reference>
        </references>
      </pivotArea>
    </format>
    <format dxfId="720">
      <pivotArea dataOnly="0" labelOnly="1" fieldPosition="0">
        <references count="6">
          <reference field="1" count="1" selected="0">
            <x v="137"/>
          </reference>
          <reference field="2" count="1" selected="0">
            <x v="17"/>
          </reference>
          <reference field="3" count="1" selected="0">
            <x v="38"/>
          </reference>
          <reference field="4" count="1" selected="0">
            <x v="226"/>
          </reference>
          <reference field="5" count="1" selected="0">
            <x v="1453"/>
          </reference>
          <reference field="6" count="1">
            <x v="47"/>
          </reference>
        </references>
      </pivotArea>
    </format>
    <format dxfId="719">
      <pivotArea dataOnly="0" labelOnly="1" fieldPosition="0">
        <references count="6">
          <reference field="1" count="1" selected="0">
            <x v="137"/>
          </reference>
          <reference field="2" count="1" selected="0">
            <x v="24"/>
          </reference>
          <reference field="3" count="1" selected="0">
            <x v="38"/>
          </reference>
          <reference field="4" count="1" selected="0">
            <x v="226"/>
          </reference>
          <reference field="5" count="1" selected="0">
            <x v="1592"/>
          </reference>
          <reference field="6" count="1">
            <x v="47"/>
          </reference>
        </references>
      </pivotArea>
    </format>
    <format dxfId="718">
      <pivotArea dataOnly="0" labelOnly="1" fieldPosition="0">
        <references count="6">
          <reference field="1" count="1" selected="0">
            <x v="137"/>
          </reference>
          <reference field="2" count="1" selected="0">
            <x v="26"/>
          </reference>
          <reference field="3" count="1" selected="0">
            <x v="38"/>
          </reference>
          <reference field="4" count="1" selected="0">
            <x v="226"/>
          </reference>
          <reference field="5" count="1" selected="0">
            <x v="371"/>
          </reference>
          <reference field="6" count="1">
            <x v="47"/>
          </reference>
        </references>
      </pivotArea>
    </format>
    <format dxfId="717">
      <pivotArea dataOnly="0" labelOnly="1" fieldPosition="0">
        <references count="6">
          <reference field="1" count="1" selected="0">
            <x v="137"/>
          </reference>
          <reference field="2" count="1" selected="0">
            <x v="33"/>
          </reference>
          <reference field="3" count="1" selected="0">
            <x v="38"/>
          </reference>
          <reference field="4" count="1" selected="0">
            <x v="226"/>
          </reference>
          <reference field="5" count="1" selected="0">
            <x v="1280"/>
          </reference>
          <reference field="6" count="1">
            <x v="47"/>
          </reference>
        </references>
      </pivotArea>
    </format>
    <format dxfId="716">
      <pivotArea dataOnly="0" labelOnly="1" fieldPosition="0">
        <references count="6">
          <reference field="1" count="1" selected="0">
            <x v="137"/>
          </reference>
          <reference field="2" count="1" selected="0">
            <x v="35"/>
          </reference>
          <reference field="3" count="1" selected="0">
            <x v="1"/>
          </reference>
          <reference field="4" count="1" selected="0">
            <x v="226"/>
          </reference>
          <reference field="5" count="1" selected="0">
            <x v="213"/>
          </reference>
          <reference field="6" count="1">
            <x v="47"/>
          </reference>
        </references>
      </pivotArea>
    </format>
    <format dxfId="715">
      <pivotArea dataOnly="0" labelOnly="1" fieldPosition="0">
        <references count="6">
          <reference field="1" count="1" selected="0">
            <x v="138"/>
          </reference>
          <reference field="2" count="1" selected="0">
            <x v="12"/>
          </reference>
          <reference field="3" count="1" selected="0">
            <x v="1"/>
          </reference>
          <reference field="4" count="1" selected="0">
            <x v="227"/>
          </reference>
          <reference field="5" count="1" selected="0">
            <x v="80"/>
          </reference>
          <reference field="6" count="1">
            <x v="47"/>
          </reference>
        </references>
      </pivotArea>
    </format>
    <format dxfId="714">
      <pivotArea dataOnly="0" labelOnly="1" fieldPosition="0">
        <references count="6">
          <reference field="1" count="1" selected="0">
            <x v="138"/>
          </reference>
          <reference field="2" count="1" selected="0">
            <x v="12"/>
          </reference>
          <reference field="3" count="1" selected="0">
            <x v="1"/>
          </reference>
          <reference field="4" count="1" selected="0">
            <x v="227"/>
          </reference>
          <reference field="5" count="1" selected="0">
            <x v="213"/>
          </reference>
          <reference field="6" count="1">
            <x v="47"/>
          </reference>
        </references>
      </pivotArea>
    </format>
    <format dxfId="713">
      <pivotArea dataOnly="0" labelOnly="1" fieldPosition="0">
        <references count="6">
          <reference field="1" count="1" selected="0">
            <x v="138"/>
          </reference>
          <reference field="2" count="1" selected="0">
            <x v="12"/>
          </reference>
          <reference field="3" count="1" selected="0">
            <x v="38"/>
          </reference>
          <reference field="4" count="1" selected="0">
            <x v="227"/>
          </reference>
          <reference field="5" count="1" selected="0">
            <x v="1066"/>
          </reference>
          <reference field="6" count="1">
            <x v="47"/>
          </reference>
        </references>
      </pivotArea>
    </format>
    <format dxfId="712">
      <pivotArea dataOnly="0" labelOnly="1" fieldPosition="0">
        <references count="6">
          <reference field="1" count="1" selected="0">
            <x v="138"/>
          </reference>
          <reference field="2" count="1" selected="0">
            <x v="15"/>
          </reference>
          <reference field="3" count="1" selected="0">
            <x v="38"/>
          </reference>
          <reference field="4" count="1" selected="0">
            <x v="227"/>
          </reference>
          <reference field="5" count="1" selected="0">
            <x v="469"/>
          </reference>
          <reference field="6" count="1">
            <x v="47"/>
          </reference>
        </references>
      </pivotArea>
    </format>
    <format dxfId="711">
      <pivotArea dataOnly="0" labelOnly="1" fieldPosition="0">
        <references count="6">
          <reference field="1" count="1" selected="0">
            <x v="138"/>
          </reference>
          <reference field="2" count="1" selected="0">
            <x v="23"/>
          </reference>
          <reference field="3" count="1" selected="0">
            <x v="38"/>
          </reference>
          <reference field="4" count="1" selected="0">
            <x v="227"/>
          </reference>
          <reference field="5" count="1" selected="0">
            <x v="1188"/>
          </reference>
          <reference field="6" count="1">
            <x v="47"/>
          </reference>
        </references>
      </pivotArea>
    </format>
    <format dxfId="710">
      <pivotArea dataOnly="0" labelOnly="1" fieldPosition="0">
        <references count="6">
          <reference field="1" count="1" selected="0">
            <x v="138"/>
          </reference>
          <reference field="2" count="1" selected="0">
            <x v="33"/>
          </reference>
          <reference field="3" count="1" selected="0">
            <x v="6"/>
          </reference>
          <reference field="4" count="1" selected="0">
            <x v="227"/>
          </reference>
          <reference field="5" count="1" selected="0">
            <x v="469"/>
          </reference>
          <reference field="6" count="1">
            <x v="47"/>
          </reference>
        </references>
      </pivotArea>
    </format>
    <format dxfId="709">
      <pivotArea dataOnly="0" labelOnly="1" fieldPosition="0">
        <references count="6">
          <reference field="1" count="1" selected="0">
            <x v="138"/>
          </reference>
          <reference field="2" count="1" selected="0">
            <x v="35"/>
          </reference>
          <reference field="3" count="1" selected="0">
            <x v="1"/>
          </reference>
          <reference field="4" count="1" selected="0">
            <x v="227"/>
          </reference>
          <reference field="5" count="1" selected="0">
            <x v="80"/>
          </reference>
          <reference field="6" count="1">
            <x v="47"/>
          </reference>
        </references>
      </pivotArea>
    </format>
    <format dxfId="708">
      <pivotArea dataOnly="0" labelOnly="1" fieldPosition="0">
        <references count="6">
          <reference field="1" count="1" selected="0">
            <x v="138"/>
          </reference>
          <reference field="2" count="1" selected="0">
            <x v="36"/>
          </reference>
          <reference field="3" count="1" selected="0">
            <x v="6"/>
          </reference>
          <reference field="4" count="1" selected="0">
            <x v="227"/>
          </reference>
          <reference field="5" count="1" selected="0">
            <x v="404"/>
          </reference>
          <reference field="6" count="1">
            <x v="47"/>
          </reference>
        </references>
      </pivotArea>
    </format>
    <format dxfId="707">
      <pivotArea dataOnly="0" labelOnly="1" fieldPosition="0">
        <references count="6">
          <reference field="1" count="1" selected="0">
            <x v="138"/>
          </reference>
          <reference field="2" count="1" selected="0">
            <x v="36"/>
          </reference>
          <reference field="3" count="1" selected="0">
            <x v="38"/>
          </reference>
          <reference field="4" count="1" selected="0">
            <x v="227"/>
          </reference>
          <reference field="5" count="1" selected="0">
            <x v="567"/>
          </reference>
          <reference field="6" count="1">
            <x v="47"/>
          </reference>
        </references>
      </pivotArea>
    </format>
    <format dxfId="706">
      <pivotArea dataOnly="0" labelOnly="1" fieldPosition="0">
        <references count="6">
          <reference field="1" count="1" selected="0">
            <x v="139"/>
          </reference>
          <reference field="2" count="1" selected="0">
            <x v="0"/>
          </reference>
          <reference field="3" count="1" selected="0">
            <x v="12"/>
          </reference>
          <reference field="4" count="1" selected="0">
            <x v="38"/>
          </reference>
          <reference field="5" count="1" selected="0">
            <x v="9"/>
          </reference>
          <reference field="6" count="1">
            <x v="47"/>
          </reference>
        </references>
      </pivotArea>
    </format>
    <format dxfId="705">
      <pivotArea dataOnly="0" labelOnly="1" fieldPosition="0">
        <references count="6">
          <reference field="1" count="1" selected="0">
            <x v="139"/>
          </reference>
          <reference field="2" count="1" selected="0">
            <x v="0"/>
          </reference>
          <reference field="3" count="1" selected="0">
            <x v="12"/>
          </reference>
          <reference field="4" count="1" selected="0">
            <x v="56"/>
          </reference>
          <reference field="5" count="1" selected="0">
            <x v="6"/>
          </reference>
          <reference field="6" count="1">
            <x v="47"/>
          </reference>
        </references>
      </pivotArea>
    </format>
    <format dxfId="704">
      <pivotArea dataOnly="0" labelOnly="1" fieldPosition="0">
        <references count="6">
          <reference field="1" count="1" selected="0">
            <x v="139"/>
          </reference>
          <reference field="2" count="1" selected="0">
            <x v="12"/>
          </reference>
          <reference field="3" count="1" selected="0">
            <x v="1"/>
          </reference>
          <reference field="4" count="1" selected="0">
            <x v="228"/>
          </reference>
          <reference field="5" count="1" selected="0">
            <x v="352"/>
          </reference>
          <reference field="6" count="1">
            <x v="47"/>
          </reference>
        </references>
      </pivotArea>
    </format>
    <format dxfId="703">
      <pivotArea dataOnly="0" labelOnly="1" fieldPosition="0">
        <references count="6">
          <reference field="1" count="1" selected="0">
            <x v="139"/>
          </reference>
          <reference field="2" count="1" selected="0">
            <x v="35"/>
          </reference>
          <reference field="3" count="1" selected="0">
            <x v="1"/>
          </reference>
          <reference field="4" count="1" selected="0">
            <x v="228"/>
          </reference>
          <reference field="5" count="1" selected="0">
            <x v="213"/>
          </reference>
          <reference field="6" count="1">
            <x v="47"/>
          </reference>
        </references>
      </pivotArea>
    </format>
    <format dxfId="702">
      <pivotArea dataOnly="0" labelOnly="1" fieldPosition="0">
        <references count="6">
          <reference field="1" count="1" selected="0">
            <x v="139"/>
          </reference>
          <reference field="2" count="1" selected="0">
            <x v="35"/>
          </reference>
          <reference field="3" count="1" selected="0">
            <x v="1"/>
          </reference>
          <reference field="4" count="1" selected="0">
            <x v="228"/>
          </reference>
          <reference field="5" count="1" selected="0">
            <x v="352"/>
          </reference>
          <reference field="6" count="1">
            <x v="47"/>
          </reference>
        </references>
      </pivotArea>
    </format>
    <format dxfId="701">
      <pivotArea dataOnly="0" labelOnly="1" fieldPosition="0">
        <references count="6">
          <reference field="1" count="1" selected="0">
            <x v="139"/>
          </reference>
          <reference field="2" count="1" selected="0">
            <x v="36"/>
          </reference>
          <reference field="3" count="1" selected="0">
            <x v="38"/>
          </reference>
          <reference field="4" count="1" selected="0">
            <x v="228"/>
          </reference>
          <reference field="5" count="1" selected="0">
            <x v="125"/>
          </reference>
          <reference field="6" count="1">
            <x v="47"/>
          </reference>
        </references>
      </pivotArea>
    </format>
    <format dxfId="700">
      <pivotArea dataOnly="0" labelOnly="1" fieldPosition="0">
        <references count="6">
          <reference field="1" count="1" selected="0">
            <x v="140"/>
          </reference>
          <reference field="2" count="1" selected="0">
            <x v="0"/>
          </reference>
          <reference field="3" count="1" selected="0">
            <x v="6"/>
          </reference>
          <reference field="4" count="1" selected="0">
            <x v="230"/>
          </reference>
          <reference field="5" count="1" selected="0">
            <x v="913"/>
          </reference>
          <reference field="6" count="1">
            <x v="47"/>
          </reference>
        </references>
      </pivotArea>
    </format>
    <format dxfId="699">
      <pivotArea dataOnly="0" labelOnly="1" fieldPosition="0">
        <references count="6">
          <reference field="1" count="1" selected="0">
            <x v="140"/>
          </reference>
          <reference field="2" count="1" selected="0">
            <x v="0"/>
          </reference>
          <reference field="3" count="1" selected="0">
            <x v="6"/>
          </reference>
          <reference field="4" count="1" selected="0">
            <x v="230"/>
          </reference>
          <reference field="5" count="1" selected="0">
            <x v="934"/>
          </reference>
          <reference field="6" count="1">
            <x v="47"/>
          </reference>
        </references>
      </pivotArea>
    </format>
    <format dxfId="698">
      <pivotArea dataOnly="0" labelOnly="1" fieldPosition="0">
        <references count="6">
          <reference field="1" count="1" selected="0">
            <x v="140"/>
          </reference>
          <reference field="2" count="1" selected="0">
            <x v="0"/>
          </reference>
          <reference field="3" count="1" selected="0">
            <x v="8"/>
          </reference>
          <reference field="4" count="1" selected="0">
            <x v="230"/>
          </reference>
          <reference field="5" count="1" selected="0">
            <x v="248"/>
          </reference>
          <reference field="6" count="1">
            <x v="47"/>
          </reference>
        </references>
      </pivotArea>
    </format>
    <format dxfId="697">
      <pivotArea dataOnly="0" labelOnly="1" fieldPosition="0">
        <references count="6">
          <reference field="1" count="1" selected="0">
            <x v="140"/>
          </reference>
          <reference field="2" count="1" selected="0">
            <x v="0"/>
          </reference>
          <reference field="3" count="1" selected="0">
            <x v="8"/>
          </reference>
          <reference field="4" count="1" selected="0">
            <x v="230"/>
          </reference>
          <reference field="5" count="1" selected="0">
            <x v="550"/>
          </reference>
          <reference field="6" count="1">
            <x v="47"/>
          </reference>
        </references>
      </pivotArea>
    </format>
    <format dxfId="696">
      <pivotArea dataOnly="0" labelOnly="1" fieldPosition="0">
        <references count="6">
          <reference field="1" count="1" selected="0">
            <x v="140"/>
          </reference>
          <reference field="2" count="1" selected="0">
            <x v="0"/>
          </reference>
          <reference field="3" count="1" selected="0">
            <x v="9"/>
          </reference>
          <reference field="4" count="1" selected="0">
            <x v="230"/>
          </reference>
          <reference field="5" count="1" selected="0">
            <x v="136"/>
          </reference>
          <reference field="6" count="1">
            <x v="47"/>
          </reference>
        </references>
      </pivotArea>
    </format>
    <format dxfId="695">
      <pivotArea dataOnly="0" labelOnly="1" fieldPosition="0">
        <references count="6">
          <reference field="1" count="1" selected="0">
            <x v="140"/>
          </reference>
          <reference field="2" count="1" selected="0">
            <x v="0"/>
          </reference>
          <reference field="3" count="1" selected="0">
            <x v="9"/>
          </reference>
          <reference field="4" count="1" selected="0">
            <x v="230"/>
          </reference>
          <reference field="5" count="1" selected="0">
            <x v="248"/>
          </reference>
          <reference field="6" count="1">
            <x v="47"/>
          </reference>
        </references>
      </pivotArea>
    </format>
    <format dxfId="694">
      <pivotArea dataOnly="0" labelOnly="1" fieldPosition="0">
        <references count="6">
          <reference field="1" count="1" selected="0">
            <x v="140"/>
          </reference>
          <reference field="2" count="1" selected="0">
            <x v="0"/>
          </reference>
          <reference field="3" count="1" selected="0">
            <x v="9"/>
          </reference>
          <reference field="4" count="1" selected="0">
            <x v="230"/>
          </reference>
          <reference field="5" count="1" selected="0">
            <x v="321"/>
          </reference>
          <reference field="6" count="1">
            <x v="47"/>
          </reference>
        </references>
      </pivotArea>
    </format>
    <format dxfId="693">
      <pivotArea dataOnly="0" labelOnly="1" fieldPosition="0">
        <references count="6">
          <reference field="1" count="1" selected="0">
            <x v="140"/>
          </reference>
          <reference field="2" count="1" selected="0">
            <x v="0"/>
          </reference>
          <reference field="3" count="1" selected="0">
            <x v="9"/>
          </reference>
          <reference field="4" count="1" selected="0">
            <x v="230"/>
          </reference>
          <reference field="5" count="1" selected="0">
            <x v="611"/>
          </reference>
          <reference field="6" count="1">
            <x v="47"/>
          </reference>
        </references>
      </pivotArea>
    </format>
    <format dxfId="692">
      <pivotArea dataOnly="0" labelOnly="1" fieldPosition="0">
        <references count="6">
          <reference field="1" count="1" selected="0">
            <x v="140"/>
          </reference>
          <reference field="2" count="1" selected="0">
            <x v="0"/>
          </reference>
          <reference field="3" count="1" selected="0">
            <x v="9"/>
          </reference>
          <reference field="4" count="1" selected="0">
            <x v="230"/>
          </reference>
          <reference field="5" count="1" selected="0">
            <x v="688"/>
          </reference>
          <reference field="6" count="1">
            <x v="47"/>
          </reference>
        </references>
      </pivotArea>
    </format>
    <format dxfId="691">
      <pivotArea dataOnly="0" labelOnly="1" fieldPosition="0">
        <references count="6">
          <reference field="1" count="1" selected="0">
            <x v="140"/>
          </reference>
          <reference field="2" count="1" selected="0">
            <x v="0"/>
          </reference>
          <reference field="3" count="1" selected="0">
            <x v="9"/>
          </reference>
          <reference field="4" count="1" selected="0">
            <x v="230"/>
          </reference>
          <reference field="5" count="1" selected="0">
            <x v="747"/>
          </reference>
          <reference field="6" count="1">
            <x v="47"/>
          </reference>
        </references>
      </pivotArea>
    </format>
    <format dxfId="690">
      <pivotArea dataOnly="0" labelOnly="1" fieldPosition="0">
        <references count="6">
          <reference field="1" count="1" selected="0">
            <x v="140"/>
          </reference>
          <reference field="2" count="1" selected="0">
            <x v="0"/>
          </reference>
          <reference field="3" count="1" selected="0">
            <x v="9"/>
          </reference>
          <reference field="4" count="1" selected="0">
            <x v="230"/>
          </reference>
          <reference field="5" count="1" selected="0">
            <x v="1067"/>
          </reference>
          <reference field="6" count="1">
            <x v="47"/>
          </reference>
        </references>
      </pivotArea>
    </format>
    <format dxfId="689">
      <pivotArea dataOnly="0" labelOnly="1" fieldPosition="0">
        <references count="6">
          <reference field="1" count="1" selected="0">
            <x v="140"/>
          </reference>
          <reference field="2" count="1" selected="0">
            <x v="0"/>
          </reference>
          <reference field="3" count="1" selected="0">
            <x v="9"/>
          </reference>
          <reference field="4" count="1" selected="0">
            <x v="230"/>
          </reference>
          <reference field="5" count="1" selected="0">
            <x v="1075"/>
          </reference>
          <reference field="6" count="1">
            <x v="47"/>
          </reference>
        </references>
      </pivotArea>
    </format>
    <format dxfId="688">
      <pivotArea dataOnly="0" labelOnly="1" fieldPosition="0">
        <references count="6">
          <reference field="1" count="1" selected="0">
            <x v="140"/>
          </reference>
          <reference field="2" count="1" selected="0">
            <x v="0"/>
          </reference>
          <reference field="3" count="1" selected="0">
            <x v="24"/>
          </reference>
          <reference field="4" count="1" selected="0">
            <x v="229"/>
          </reference>
          <reference field="5" count="1" selected="0">
            <x v="293"/>
          </reference>
          <reference field="6" count="1">
            <x v="47"/>
          </reference>
        </references>
      </pivotArea>
    </format>
    <format dxfId="687">
      <pivotArea dataOnly="0" labelOnly="1" fieldPosition="0">
        <references count="6">
          <reference field="1" count="1" selected="0">
            <x v="140"/>
          </reference>
          <reference field="2" count="1" selected="0">
            <x v="0"/>
          </reference>
          <reference field="3" count="1" selected="0">
            <x v="24"/>
          </reference>
          <reference field="4" count="1" selected="0">
            <x v="229"/>
          </reference>
          <reference field="5" count="1" selected="0">
            <x v="833"/>
          </reference>
          <reference field="6" count="1">
            <x v="47"/>
          </reference>
        </references>
      </pivotArea>
    </format>
    <format dxfId="686">
      <pivotArea dataOnly="0" labelOnly="1" fieldPosition="0">
        <references count="6">
          <reference field="1" count="1" selected="0">
            <x v="140"/>
          </reference>
          <reference field="2" count="1" selected="0">
            <x v="0"/>
          </reference>
          <reference field="3" count="1" selected="0">
            <x v="24"/>
          </reference>
          <reference field="4" count="1" selected="0">
            <x v="229"/>
          </reference>
          <reference field="5" count="1" selected="0">
            <x v="860"/>
          </reference>
          <reference field="6" count="1">
            <x v="47"/>
          </reference>
        </references>
      </pivotArea>
    </format>
    <format dxfId="685">
      <pivotArea dataOnly="0" labelOnly="1" fieldPosition="0">
        <references count="6">
          <reference field="1" count="1" selected="0">
            <x v="140"/>
          </reference>
          <reference field="2" count="1" selected="0">
            <x v="0"/>
          </reference>
          <reference field="3" count="1" selected="0">
            <x v="24"/>
          </reference>
          <reference field="4" count="1" selected="0">
            <x v="229"/>
          </reference>
          <reference field="5" count="1" selected="0">
            <x v="1121"/>
          </reference>
          <reference field="6" count="1">
            <x v="47"/>
          </reference>
        </references>
      </pivotArea>
    </format>
    <format dxfId="684">
      <pivotArea dataOnly="0" labelOnly="1" fieldPosition="0">
        <references count="6">
          <reference field="1" count="1" selected="0">
            <x v="140"/>
          </reference>
          <reference field="2" count="1" selected="0">
            <x v="0"/>
          </reference>
          <reference field="3" count="1" selected="0">
            <x v="24"/>
          </reference>
          <reference field="4" count="1" selected="0">
            <x v="229"/>
          </reference>
          <reference field="5" count="1" selected="0">
            <x v="1201"/>
          </reference>
          <reference field="6" count="1">
            <x v="47"/>
          </reference>
        </references>
      </pivotArea>
    </format>
    <format dxfId="683">
      <pivotArea dataOnly="0" labelOnly="1" fieldPosition="0">
        <references count="6">
          <reference field="1" count="1" selected="0">
            <x v="140"/>
          </reference>
          <reference field="2" count="1" selected="0">
            <x v="2"/>
          </reference>
          <reference field="3" count="1" selected="0">
            <x v="9"/>
          </reference>
          <reference field="4" count="1" selected="0">
            <x v="230"/>
          </reference>
          <reference field="5" count="1" selected="0">
            <x v="663"/>
          </reference>
          <reference field="6" count="1">
            <x v="47"/>
          </reference>
        </references>
      </pivotArea>
    </format>
    <format dxfId="682">
      <pivotArea dataOnly="0" labelOnly="1" fieldPosition="0">
        <references count="6">
          <reference field="1" count="1" selected="0">
            <x v="140"/>
          </reference>
          <reference field="2" count="1" selected="0">
            <x v="2"/>
          </reference>
          <reference field="3" count="1" selected="0">
            <x v="24"/>
          </reference>
          <reference field="4" count="1" selected="0">
            <x v="229"/>
          </reference>
          <reference field="5" count="1" selected="0">
            <x v="1783"/>
          </reference>
          <reference field="6" count="1">
            <x v="47"/>
          </reference>
        </references>
      </pivotArea>
    </format>
    <format dxfId="681">
      <pivotArea dataOnly="0" labelOnly="1" fieldPosition="0">
        <references count="6">
          <reference field="1" count="1" selected="0">
            <x v="140"/>
          </reference>
          <reference field="2" count="1" selected="0">
            <x v="3"/>
          </reference>
          <reference field="3" count="1" selected="0">
            <x v="24"/>
          </reference>
          <reference field="4" count="1" selected="0">
            <x v="229"/>
          </reference>
          <reference field="5" count="1" selected="0">
            <x v="330"/>
          </reference>
          <reference field="6" count="1">
            <x v="47"/>
          </reference>
        </references>
      </pivotArea>
    </format>
    <format dxfId="680">
      <pivotArea dataOnly="0" labelOnly="1" fieldPosition="0">
        <references count="6">
          <reference field="1" count="1" selected="0">
            <x v="140"/>
          </reference>
          <reference field="2" count="1" selected="0">
            <x v="5"/>
          </reference>
          <reference field="3" count="1" selected="0">
            <x v="38"/>
          </reference>
          <reference field="4" count="1" selected="0">
            <x v="230"/>
          </reference>
          <reference field="5" count="1" selected="0">
            <x v="1682"/>
          </reference>
          <reference field="6" count="1">
            <x v="47"/>
          </reference>
        </references>
      </pivotArea>
    </format>
    <format dxfId="679">
      <pivotArea dataOnly="0" labelOnly="1" fieldPosition="0">
        <references count="6">
          <reference field="1" count="1" selected="0">
            <x v="140"/>
          </reference>
          <reference field="2" count="1" selected="0">
            <x v="12"/>
          </reference>
          <reference field="3" count="1" selected="0">
            <x v="1"/>
          </reference>
          <reference field="4" count="1" selected="0">
            <x v="230"/>
          </reference>
          <reference field="5" count="1" selected="0">
            <x v="80"/>
          </reference>
          <reference field="6" count="1">
            <x v="47"/>
          </reference>
        </references>
      </pivotArea>
    </format>
    <format dxfId="678">
      <pivotArea dataOnly="0" labelOnly="1" fieldPosition="0">
        <references count="6">
          <reference field="1" count="1" selected="0">
            <x v="140"/>
          </reference>
          <reference field="2" count="1" selected="0">
            <x v="12"/>
          </reference>
          <reference field="3" count="1" selected="0">
            <x v="1"/>
          </reference>
          <reference field="4" count="1" selected="0">
            <x v="230"/>
          </reference>
          <reference field="5" count="1" selected="0">
            <x v="213"/>
          </reference>
          <reference field="6" count="1">
            <x v="47"/>
          </reference>
        </references>
      </pivotArea>
    </format>
    <format dxfId="677">
      <pivotArea dataOnly="0" labelOnly="1" fieldPosition="0">
        <references count="6">
          <reference field="1" count="1" selected="0">
            <x v="140"/>
          </reference>
          <reference field="2" count="1" selected="0">
            <x v="12"/>
          </reference>
          <reference field="3" count="1" selected="0">
            <x v="1"/>
          </reference>
          <reference field="4" count="1" selected="0">
            <x v="230"/>
          </reference>
          <reference field="5" count="1" selected="0">
            <x v="500"/>
          </reference>
          <reference field="6" count="1">
            <x v="47"/>
          </reference>
        </references>
      </pivotArea>
    </format>
    <format dxfId="676">
      <pivotArea dataOnly="0" labelOnly="1" fieldPosition="0">
        <references count="6">
          <reference field="1" count="1" selected="0">
            <x v="140"/>
          </reference>
          <reference field="2" count="1" selected="0">
            <x v="12"/>
          </reference>
          <reference field="3" count="1" selected="0">
            <x v="1"/>
          </reference>
          <reference field="4" count="1" selected="0">
            <x v="230"/>
          </reference>
          <reference field="5" count="1" selected="0">
            <x v="702"/>
          </reference>
          <reference field="6" count="1">
            <x v="47"/>
          </reference>
        </references>
      </pivotArea>
    </format>
    <format dxfId="675">
      <pivotArea dataOnly="0" labelOnly="1" fieldPosition="0">
        <references count="6">
          <reference field="1" count="1" selected="0">
            <x v="140"/>
          </reference>
          <reference field="2" count="1" selected="0">
            <x v="12"/>
          </reference>
          <reference field="3" count="1" selected="0">
            <x v="1"/>
          </reference>
          <reference field="4" count="1" selected="0">
            <x v="230"/>
          </reference>
          <reference field="5" count="1" selected="0">
            <x v="964"/>
          </reference>
          <reference field="6" count="1">
            <x v="47"/>
          </reference>
        </references>
      </pivotArea>
    </format>
    <format dxfId="674">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58"/>
          </reference>
          <reference field="6" count="1">
            <x v="47"/>
          </reference>
        </references>
      </pivotArea>
    </format>
    <format dxfId="673">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444"/>
          </reference>
          <reference field="6" count="1">
            <x v="47"/>
          </reference>
        </references>
      </pivotArea>
    </format>
    <format dxfId="672">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508"/>
          </reference>
          <reference field="6" count="1">
            <x v="47"/>
          </reference>
        </references>
      </pivotArea>
    </format>
    <format dxfId="671">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186"/>
          </reference>
          <reference field="6" count="1">
            <x v="47"/>
          </reference>
        </references>
      </pivotArea>
    </format>
    <format dxfId="670">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273"/>
          </reference>
          <reference field="6" count="1">
            <x v="47"/>
          </reference>
        </references>
      </pivotArea>
    </format>
    <format dxfId="669">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346"/>
          </reference>
          <reference field="6" count="1">
            <x v="47"/>
          </reference>
        </references>
      </pivotArea>
    </format>
    <format dxfId="668">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420"/>
          </reference>
          <reference field="6" count="1">
            <x v="47"/>
          </reference>
        </references>
      </pivotArea>
    </format>
    <format dxfId="667">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511"/>
          </reference>
          <reference field="6" count="1">
            <x v="47"/>
          </reference>
        </references>
      </pivotArea>
    </format>
    <format dxfId="666">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513"/>
          </reference>
          <reference field="6" count="1">
            <x v="47"/>
          </reference>
        </references>
      </pivotArea>
    </format>
    <format dxfId="665">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524"/>
          </reference>
          <reference field="6" count="1">
            <x v="47"/>
          </reference>
        </references>
      </pivotArea>
    </format>
    <format dxfId="664">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541"/>
          </reference>
          <reference field="6" count="1">
            <x v="47"/>
          </reference>
        </references>
      </pivotArea>
    </format>
    <format dxfId="663">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585"/>
          </reference>
          <reference field="6" count="1">
            <x v="47"/>
          </reference>
        </references>
      </pivotArea>
    </format>
    <format dxfId="662">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596"/>
          </reference>
          <reference field="6" count="1">
            <x v="47"/>
          </reference>
        </references>
      </pivotArea>
    </format>
    <format dxfId="661">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636"/>
          </reference>
          <reference field="6" count="1">
            <x v="47"/>
          </reference>
        </references>
      </pivotArea>
    </format>
    <format dxfId="660">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651"/>
          </reference>
          <reference field="6" count="1">
            <x v="47"/>
          </reference>
        </references>
      </pivotArea>
    </format>
    <format dxfId="659">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700"/>
          </reference>
          <reference field="6" count="1">
            <x v="47"/>
          </reference>
        </references>
      </pivotArea>
    </format>
    <format dxfId="658">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702"/>
          </reference>
          <reference field="6" count="1">
            <x v="47"/>
          </reference>
        </references>
      </pivotArea>
    </format>
    <format dxfId="657">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710"/>
          </reference>
          <reference field="6" count="1">
            <x v="47"/>
          </reference>
        </references>
      </pivotArea>
    </format>
    <format dxfId="656">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717"/>
          </reference>
          <reference field="6" count="1">
            <x v="47"/>
          </reference>
        </references>
      </pivotArea>
    </format>
    <format dxfId="655">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734"/>
          </reference>
          <reference field="6" count="1">
            <x v="47"/>
          </reference>
        </references>
      </pivotArea>
    </format>
    <format dxfId="654">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775"/>
          </reference>
          <reference field="6" count="1">
            <x v="47"/>
          </reference>
        </references>
      </pivotArea>
    </format>
    <format dxfId="653">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818"/>
          </reference>
          <reference field="6" count="1">
            <x v="47"/>
          </reference>
        </references>
      </pivotArea>
    </format>
    <format dxfId="652">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831"/>
          </reference>
          <reference field="6" count="1">
            <x v="47"/>
          </reference>
        </references>
      </pivotArea>
    </format>
    <format dxfId="651">
      <pivotArea dataOnly="0" labelOnly="1" fieldPosition="0">
        <references count="6">
          <reference field="1" count="1" selected="0">
            <x v="140"/>
          </reference>
          <reference field="2" count="1" selected="0">
            <x v="12"/>
          </reference>
          <reference field="3" count="1" selected="0">
            <x v="24"/>
          </reference>
          <reference field="4" count="1" selected="0">
            <x v="229"/>
          </reference>
          <reference field="5" count="1" selected="0">
            <x v="1838"/>
          </reference>
          <reference field="6" count="1">
            <x v="47"/>
          </reference>
        </references>
      </pivotArea>
    </format>
    <format dxfId="650">
      <pivotArea dataOnly="0" labelOnly="1" fieldPosition="0">
        <references count="6">
          <reference field="1" count="1" selected="0">
            <x v="140"/>
          </reference>
          <reference field="2" count="1" selected="0">
            <x v="12"/>
          </reference>
          <reference field="3" count="1" selected="0">
            <x v="38"/>
          </reference>
          <reference field="4" count="1" selected="0">
            <x v="230"/>
          </reference>
          <reference field="5" count="1" selected="0">
            <x v="892"/>
          </reference>
          <reference field="6" count="1">
            <x v="47"/>
          </reference>
        </references>
      </pivotArea>
    </format>
    <format dxfId="649">
      <pivotArea dataOnly="0" labelOnly="1" fieldPosition="0">
        <references count="6">
          <reference field="1" count="1" selected="0">
            <x v="140"/>
          </reference>
          <reference field="2" count="1" selected="0">
            <x v="14"/>
          </reference>
          <reference field="3" count="1" selected="0">
            <x v="38"/>
          </reference>
          <reference field="4" count="1" selected="0">
            <x v="230"/>
          </reference>
          <reference field="5" count="1" selected="0">
            <x v="418"/>
          </reference>
          <reference field="6" count="1">
            <x v="47"/>
          </reference>
        </references>
      </pivotArea>
    </format>
    <format dxfId="648">
      <pivotArea dataOnly="0" labelOnly="1" fieldPosition="0">
        <references count="6">
          <reference field="1" count="1" selected="0">
            <x v="140"/>
          </reference>
          <reference field="2" count="1" selected="0">
            <x v="15"/>
          </reference>
          <reference field="3" count="1" selected="0">
            <x v="8"/>
          </reference>
          <reference field="4" count="1" selected="0">
            <x v="230"/>
          </reference>
          <reference field="5" count="1" selected="0">
            <x v="173"/>
          </reference>
          <reference field="6" count="1">
            <x v="47"/>
          </reference>
        </references>
      </pivotArea>
    </format>
    <format dxfId="647">
      <pivotArea dataOnly="0" labelOnly="1" fieldPosition="0">
        <references count="6">
          <reference field="1" count="1" selected="0">
            <x v="140"/>
          </reference>
          <reference field="2" count="1" selected="0">
            <x v="15"/>
          </reference>
          <reference field="3" count="1" selected="0">
            <x v="24"/>
          </reference>
          <reference field="4" count="1" selected="0">
            <x v="229"/>
          </reference>
          <reference field="5" count="1" selected="0">
            <x v="1663"/>
          </reference>
          <reference field="6" count="1">
            <x v="47"/>
          </reference>
        </references>
      </pivotArea>
    </format>
    <format dxfId="646">
      <pivotArea dataOnly="0" labelOnly="1" fieldPosition="0">
        <references count="6">
          <reference field="1" count="1" selected="0">
            <x v="140"/>
          </reference>
          <reference field="2" count="1" selected="0">
            <x v="15"/>
          </reference>
          <reference field="3" count="1" selected="0">
            <x v="38"/>
          </reference>
          <reference field="4" count="1" selected="0">
            <x v="230"/>
          </reference>
          <reference field="5" count="1" selected="0">
            <x v="1800"/>
          </reference>
          <reference field="6" count="1">
            <x v="47"/>
          </reference>
        </references>
      </pivotArea>
    </format>
    <format dxfId="645">
      <pivotArea dataOnly="0" labelOnly="1" fieldPosition="0">
        <references count="6">
          <reference field="1" count="1" selected="0">
            <x v="140"/>
          </reference>
          <reference field="2" count="1" selected="0">
            <x v="17"/>
          </reference>
          <reference field="3" count="1" selected="0">
            <x v="6"/>
          </reference>
          <reference field="4" count="1" selected="0">
            <x v="230"/>
          </reference>
          <reference field="5" count="1" selected="0">
            <x v="1834"/>
          </reference>
          <reference field="6" count="1">
            <x v="47"/>
          </reference>
        </references>
      </pivotArea>
    </format>
    <format dxfId="644">
      <pivotArea dataOnly="0" labelOnly="1" fieldPosition="0">
        <references count="6">
          <reference field="1" count="1" selected="0">
            <x v="140"/>
          </reference>
          <reference field="2" count="1" selected="0">
            <x v="21"/>
          </reference>
          <reference field="3" count="1" selected="0">
            <x v="24"/>
          </reference>
          <reference field="4" count="1" selected="0">
            <x v="229"/>
          </reference>
          <reference field="5" count="1" selected="0">
            <x v="1846"/>
          </reference>
          <reference field="6" count="1">
            <x v="47"/>
          </reference>
        </references>
      </pivotArea>
    </format>
    <format dxfId="643">
      <pivotArea dataOnly="0" labelOnly="1" fieldPosition="0">
        <references count="6">
          <reference field="1" count="1" selected="0">
            <x v="140"/>
          </reference>
          <reference field="2" count="1" selected="0">
            <x v="23"/>
          </reference>
          <reference field="3" count="1" selected="0">
            <x v="24"/>
          </reference>
          <reference field="4" count="1" selected="0">
            <x v="229"/>
          </reference>
          <reference field="5" count="1" selected="0">
            <x v="1779"/>
          </reference>
          <reference field="6" count="1">
            <x v="47"/>
          </reference>
        </references>
      </pivotArea>
    </format>
    <format dxfId="642">
      <pivotArea dataOnly="0" labelOnly="1" fieldPosition="0">
        <references count="6">
          <reference field="1" count="1" selected="0">
            <x v="140"/>
          </reference>
          <reference field="2" count="1" selected="0">
            <x v="24"/>
          </reference>
          <reference field="3" count="1" selected="0">
            <x v="24"/>
          </reference>
          <reference field="4" count="1" selected="0">
            <x v="229"/>
          </reference>
          <reference field="5" count="1" selected="0">
            <x v="1733"/>
          </reference>
          <reference field="6" count="1">
            <x v="47"/>
          </reference>
        </references>
      </pivotArea>
    </format>
    <format dxfId="641">
      <pivotArea dataOnly="0" labelOnly="1" fieldPosition="0">
        <references count="6">
          <reference field="1" count="1" selected="0">
            <x v="140"/>
          </reference>
          <reference field="2" count="1" selected="0">
            <x v="26"/>
          </reference>
          <reference field="3" count="1" selected="0">
            <x v="38"/>
          </reference>
          <reference field="4" count="1" selected="0">
            <x v="230"/>
          </reference>
          <reference field="5" count="1" selected="0">
            <x v="1380"/>
          </reference>
          <reference field="6" count="1">
            <x v="47"/>
          </reference>
        </references>
      </pivotArea>
    </format>
    <format dxfId="640">
      <pivotArea dataOnly="0" labelOnly="1" fieldPosition="0">
        <references count="6">
          <reference field="1" count="1" selected="0">
            <x v="140"/>
          </reference>
          <reference field="2" count="1" selected="0">
            <x v="29"/>
          </reference>
          <reference field="3" count="1" selected="0">
            <x v="38"/>
          </reference>
          <reference field="4" count="1" selected="0">
            <x v="230"/>
          </reference>
          <reference field="5" count="1" selected="0">
            <x v="1766"/>
          </reference>
          <reference field="6" count="1">
            <x v="47"/>
          </reference>
        </references>
      </pivotArea>
    </format>
    <format dxfId="639">
      <pivotArea dataOnly="0" labelOnly="1" fieldPosition="0">
        <references count="6">
          <reference field="1" count="1" selected="0">
            <x v="140"/>
          </reference>
          <reference field="2" count="1" selected="0">
            <x v="35"/>
          </reference>
          <reference field="3" count="1" selected="0">
            <x v="1"/>
          </reference>
          <reference field="4" count="1" selected="0">
            <x v="230"/>
          </reference>
          <reference field="5" count="1" selected="0">
            <x v="80"/>
          </reference>
          <reference field="6" count="1">
            <x v="47"/>
          </reference>
        </references>
      </pivotArea>
    </format>
    <format dxfId="638">
      <pivotArea dataOnly="0" labelOnly="1" fieldPosition="0">
        <references count="6">
          <reference field="1" count="1" selected="0">
            <x v="140"/>
          </reference>
          <reference field="2" count="1" selected="0">
            <x v="35"/>
          </reference>
          <reference field="3" count="1" selected="0">
            <x v="24"/>
          </reference>
          <reference field="4" count="1" selected="0">
            <x v="229"/>
          </reference>
          <reference field="5" count="1" selected="0">
            <x v="141"/>
          </reference>
          <reference field="6" count="1">
            <x v="47"/>
          </reference>
        </references>
      </pivotArea>
    </format>
    <format dxfId="637">
      <pivotArea dataOnly="0" labelOnly="1" fieldPosition="0">
        <references count="6">
          <reference field="1" count="1" selected="0">
            <x v="140"/>
          </reference>
          <reference field="2" count="1" selected="0">
            <x v="35"/>
          </reference>
          <reference field="3" count="1" selected="0">
            <x v="24"/>
          </reference>
          <reference field="4" count="1" selected="0">
            <x v="229"/>
          </reference>
          <reference field="5" count="1" selected="0">
            <x v="204"/>
          </reference>
          <reference field="6" count="1">
            <x v="47"/>
          </reference>
        </references>
      </pivotArea>
    </format>
    <format dxfId="636">
      <pivotArea dataOnly="0" labelOnly="1" fieldPosition="0">
        <references count="6">
          <reference field="1" count="1" selected="0">
            <x v="140"/>
          </reference>
          <reference field="2" count="1" selected="0">
            <x v="35"/>
          </reference>
          <reference field="3" count="1" selected="0">
            <x v="24"/>
          </reference>
          <reference field="4" count="1" selected="0">
            <x v="229"/>
          </reference>
          <reference field="5" count="1" selected="0">
            <x v="319"/>
          </reference>
          <reference field="6" count="1">
            <x v="47"/>
          </reference>
        </references>
      </pivotArea>
    </format>
    <format dxfId="635">
      <pivotArea dataOnly="0" labelOnly="1" fieldPosition="0">
        <references count="6">
          <reference field="1" count="1" selected="0">
            <x v="140"/>
          </reference>
          <reference field="2" count="1" selected="0">
            <x v="35"/>
          </reference>
          <reference field="3" count="1" selected="0">
            <x v="24"/>
          </reference>
          <reference field="4" count="1" selected="0">
            <x v="229"/>
          </reference>
          <reference field="5" count="1" selected="0">
            <x v="357"/>
          </reference>
          <reference field="6" count="1">
            <x v="47"/>
          </reference>
        </references>
      </pivotArea>
    </format>
    <format dxfId="634">
      <pivotArea dataOnly="0" labelOnly="1" fieldPosition="0">
        <references count="6">
          <reference field="1" count="1" selected="0">
            <x v="140"/>
          </reference>
          <reference field="2" count="1" selected="0">
            <x v="35"/>
          </reference>
          <reference field="3" count="1" selected="0">
            <x v="24"/>
          </reference>
          <reference field="4" count="1" selected="0">
            <x v="229"/>
          </reference>
          <reference field="5" count="1" selected="0">
            <x v="447"/>
          </reference>
          <reference field="6" count="1">
            <x v="47"/>
          </reference>
        </references>
      </pivotArea>
    </format>
    <format dxfId="633">
      <pivotArea dataOnly="0" labelOnly="1" fieldPosition="0">
        <references count="6">
          <reference field="1" count="1" selected="0">
            <x v="140"/>
          </reference>
          <reference field="2" count="1" selected="0">
            <x v="35"/>
          </reference>
          <reference field="3" count="1" selected="0">
            <x v="24"/>
          </reference>
          <reference field="4" count="1" selected="0">
            <x v="229"/>
          </reference>
          <reference field="5" count="1" selected="0">
            <x v="448"/>
          </reference>
          <reference field="6" count="1">
            <x v="47"/>
          </reference>
        </references>
      </pivotArea>
    </format>
    <format dxfId="632">
      <pivotArea dataOnly="0" labelOnly="1" fieldPosition="0">
        <references count="6">
          <reference field="1" count="1" selected="0">
            <x v="140"/>
          </reference>
          <reference field="2" count="1" selected="0">
            <x v="35"/>
          </reference>
          <reference field="3" count="1" selected="0">
            <x v="24"/>
          </reference>
          <reference field="4" count="1" selected="0">
            <x v="229"/>
          </reference>
          <reference field="5" count="1" selected="0">
            <x v="479"/>
          </reference>
          <reference field="6" count="1">
            <x v="47"/>
          </reference>
        </references>
      </pivotArea>
    </format>
    <format dxfId="631">
      <pivotArea dataOnly="0" labelOnly="1" fieldPosition="0">
        <references count="6">
          <reference field="1" count="1" selected="0">
            <x v="140"/>
          </reference>
          <reference field="2" count="1" selected="0">
            <x v="35"/>
          </reference>
          <reference field="3" count="1" selected="0">
            <x v="24"/>
          </reference>
          <reference field="4" count="1" selected="0">
            <x v="229"/>
          </reference>
          <reference field="5" count="1" selected="0">
            <x v="536"/>
          </reference>
          <reference field="6" count="1">
            <x v="47"/>
          </reference>
        </references>
      </pivotArea>
    </format>
    <format dxfId="630">
      <pivotArea dataOnly="0" labelOnly="1" fieldPosition="0">
        <references count="6">
          <reference field="1" count="1" selected="0">
            <x v="140"/>
          </reference>
          <reference field="2" count="1" selected="0">
            <x v="35"/>
          </reference>
          <reference field="3" count="1" selected="0">
            <x v="24"/>
          </reference>
          <reference field="4" count="1" selected="0">
            <x v="229"/>
          </reference>
          <reference field="5" count="1" selected="0">
            <x v="722"/>
          </reference>
          <reference field="6" count="1">
            <x v="47"/>
          </reference>
        </references>
      </pivotArea>
    </format>
    <format dxfId="629">
      <pivotArea dataOnly="0" labelOnly="1" fieldPosition="0">
        <references count="6">
          <reference field="1" count="1" selected="0">
            <x v="140"/>
          </reference>
          <reference field="2" count="1" selected="0">
            <x v="35"/>
          </reference>
          <reference field="3" count="1" selected="0">
            <x v="24"/>
          </reference>
          <reference field="4" count="1" selected="0">
            <x v="229"/>
          </reference>
          <reference field="5" count="1" selected="0">
            <x v="792"/>
          </reference>
          <reference field="6" count="1">
            <x v="47"/>
          </reference>
        </references>
      </pivotArea>
    </format>
    <format dxfId="628">
      <pivotArea dataOnly="0" labelOnly="1" fieldPosition="0">
        <references count="6">
          <reference field="1" count="1" selected="0">
            <x v="140"/>
          </reference>
          <reference field="2" count="1" selected="0">
            <x v="35"/>
          </reference>
          <reference field="3" count="1" selected="0">
            <x v="24"/>
          </reference>
          <reference field="4" count="1" selected="0">
            <x v="229"/>
          </reference>
          <reference field="5" count="1" selected="0">
            <x v="976"/>
          </reference>
          <reference field="6" count="1">
            <x v="47"/>
          </reference>
        </references>
      </pivotArea>
    </format>
    <format dxfId="627">
      <pivotArea dataOnly="0" labelOnly="1" fieldPosition="0">
        <references count="6">
          <reference field="1" count="1" selected="0">
            <x v="140"/>
          </reference>
          <reference field="2" count="1" selected="0">
            <x v="35"/>
          </reference>
          <reference field="3" count="1" selected="0">
            <x v="24"/>
          </reference>
          <reference field="4" count="1" selected="0">
            <x v="229"/>
          </reference>
          <reference field="5" count="1" selected="0">
            <x v="1168"/>
          </reference>
          <reference field="6" count="1">
            <x v="47"/>
          </reference>
        </references>
      </pivotArea>
    </format>
    <format dxfId="626">
      <pivotArea dataOnly="0" labelOnly="1" fieldPosition="0">
        <references count="6">
          <reference field="1" count="1" selected="0">
            <x v="140"/>
          </reference>
          <reference field="2" count="1" selected="0">
            <x v="35"/>
          </reference>
          <reference field="3" count="1" selected="0">
            <x v="24"/>
          </reference>
          <reference field="4" count="1" selected="0">
            <x v="229"/>
          </reference>
          <reference field="5" count="1" selected="0">
            <x v="1472"/>
          </reference>
          <reference field="6" count="1">
            <x v="47"/>
          </reference>
        </references>
      </pivotArea>
    </format>
    <format dxfId="625">
      <pivotArea dataOnly="0" labelOnly="1" fieldPosition="0">
        <references count="6">
          <reference field="1" count="1" selected="0">
            <x v="140"/>
          </reference>
          <reference field="2" count="1" selected="0">
            <x v="36"/>
          </reference>
          <reference field="3" count="1" selected="0">
            <x v="9"/>
          </reference>
          <reference field="4" count="1" selected="0">
            <x v="230"/>
          </reference>
          <reference field="5" count="1" selected="0">
            <x v="1204"/>
          </reference>
          <reference field="6" count="1">
            <x v="47"/>
          </reference>
        </references>
      </pivotArea>
    </format>
    <format dxfId="624">
      <pivotArea dataOnly="0" labelOnly="1" fieldPosition="0">
        <references count="6">
          <reference field="1" count="1" selected="0">
            <x v="140"/>
          </reference>
          <reference field="2" count="1" selected="0">
            <x v="37"/>
          </reference>
          <reference field="3" count="1" selected="0">
            <x v="24"/>
          </reference>
          <reference field="4" count="1" selected="0">
            <x v="229"/>
          </reference>
          <reference field="5" count="1" selected="0">
            <x v="993"/>
          </reference>
          <reference field="6" count="1">
            <x v="47"/>
          </reference>
        </references>
      </pivotArea>
    </format>
    <format dxfId="623">
      <pivotArea dataOnly="0" labelOnly="1" fieldPosition="0">
        <references count="6">
          <reference field="1" count="1" selected="0">
            <x v="141"/>
          </reference>
          <reference field="2" count="1" selected="0">
            <x v="0"/>
          </reference>
          <reference field="3" count="1" selected="0">
            <x v="9"/>
          </reference>
          <reference field="4" count="1" selected="0">
            <x v="231"/>
          </reference>
          <reference field="5" count="1" selected="0">
            <x v="351"/>
          </reference>
          <reference field="6" count="1">
            <x v="47"/>
          </reference>
        </references>
      </pivotArea>
    </format>
    <format dxfId="622">
      <pivotArea dataOnly="0" labelOnly="1" fieldPosition="0">
        <references count="6">
          <reference field="1" count="1" selected="0">
            <x v="141"/>
          </reference>
          <reference field="2" count="1" selected="0">
            <x v="0"/>
          </reference>
          <reference field="3" count="1" selected="0">
            <x v="9"/>
          </reference>
          <reference field="4" count="1" selected="0">
            <x v="231"/>
          </reference>
          <reference field="5" count="1" selected="0">
            <x v="807"/>
          </reference>
          <reference field="6" count="1">
            <x v="47"/>
          </reference>
        </references>
      </pivotArea>
    </format>
    <format dxfId="621">
      <pivotArea dataOnly="0" labelOnly="1" fieldPosition="0">
        <references count="6">
          <reference field="1" count="1" selected="0">
            <x v="141"/>
          </reference>
          <reference field="2" count="1" selected="0">
            <x v="0"/>
          </reference>
          <reference field="3" count="1" selected="0">
            <x v="9"/>
          </reference>
          <reference field="4" count="1" selected="0">
            <x v="231"/>
          </reference>
          <reference field="5" count="1" selected="0">
            <x v="812"/>
          </reference>
          <reference field="6" count="1">
            <x v="47"/>
          </reference>
        </references>
      </pivotArea>
    </format>
    <format dxfId="620">
      <pivotArea dataOnly="0" labelOnly="1" fieldPosition="0">
        <references count="6">
          <reference field="1" count="1" selected="0">
            <x v="141"/>
          </reference>
          <reference field="2" count="1" selected="0">
            <x v="0"/>
          </reference>
          <reference field="3" count="1" selected="0">
            <x v="12"/>
          </reference>
          <reference field="4" count="1" selected="0">
            <x v="25"/>
          </reference>
          <reference field="5" count="1" selected="0">
            <x v="180"/>
          </reference>
          <reference field="6" count="1">
            <x v="47"/>
          </reference>
        </references>
      </pivotArea>
    </format>
    <format dxfId="619">
      <pivotArea dataOnly="0" labelOnly="1" fieldPosition="0">
        <references count="6">
          <reference field="1" count="1" selected="0">
            <x v="141"/>
          </reference>
          <reference field="2" count="1" selected="0">
            <x v="0"/>
          </reference>
          <reference field="3" count="1" selected="0">
            <x v="12"/>
          </reference>
          <reference field="4" count="1" selected="0">
            <x v="52"/>
          </reference>
          <reference field="5" count="1" selected="0">
            <x v="35"/>
          </reference>
          <reference field="6" count="1">
            <x v="47"/>
          </reference>
        </references>
      </pivotArea>
    </format>
    <format dxfId="618">
      <pivotArea dataOnly="0" labelOnly="1" fieldPosition="0">
        <references count="6">
          <reference field="1" count="1" selected="0">
            <x v="141"/>
          </reference>
          <reference field="2" count="1" selected="0">
            <x v="10"/>
          </reference>
          <reference field="3" count="1" selected="0">
            <x v="38"/>
          </reference>
          <reference field="4" count="1" selected="0">
            <x v="231"/>
          </reference>
          <reference field="5" count="1" selected="0">
            <x v="1861"/>
          </reference>
          <reference field="6" count="1">
            <x v="47"/>
          </reference>
        </references>
      </pivotArea>
    </format>
    <format dxfId="617">
      <pivotArea dataOnly="0" labelOnly="1" fieldPosition="0">
        <references count="6">
          <reference field="1" count="1" selected="0">
            <x v="141"/>
          </reference>
          <reference field="2" count="1" selected="0">
            <x v="11"/>
          </reference>
          <reference field="3" count="1" selected="0">
            <x v="8"/>
          </reference>
          <reference field="4" count="1" selected="0">
            <x v="231"/>
          </reference>
          <reference field="5" count="1" selected="0">
            <x v="1233"/>
          </reference>
          <reference field="6" count="1">
            <x v="47"/>
          </reference>
        </references>
      </pivotArea>
    </format>
    <format dxfId="616">
      <pivotArea dataOnly="0" labelOnly="1" fieldPosition="0">
        <references count="6">
          <reference field="1" count="1" selected="0">
            <x v="141"/>
          </reference>
          <reference field="2" count="1" selected="0">
            <x v="12"/>
          </reference>
          <reference field="3" count="1" selected="0">
            <x v="1"/>
          </reference>
          <reference field="4" count="1" selected="0">
            <x v="231"/>
          </reference>
          <reference field="5" count="1" selected="0">
            <x v="80"/>
          </reference>
          <reference field="6" count="1">
            <x v="47"/>
          </reference>
        </references>
      </pivotArea>
    </format>
    <format dxfId="615">
      <pivotArea dataOnly="0" labelOnly="1" fieldPosition="0">
        <references count="6">
          <reference field="1" count="1" selected="0">
            <x v="141"/>
          </reference>
          <reference field="2" count="1" selected="0">
            <x v="12"/>
          </reference>
          <reference field="3" count="1" selected="0">
            <x v="1"/>
          </reference>
          <reference field="4" count="1" selected="0">
            <x v="231"/>
          </reference>
          <reference field="5" count="1" selected="0">
            <x v="352"/>
          </reference>
          <reference field="6" count="1">
            <x v="47"/>
          </reference>
        </references>
      </pivotArea>
    </format>
    <format dxfId="614">
      <pivotArea dataOnly="0" labelOnly="1" fieldPosition="0">
        <references count="6">
          <reference field="1" count="1" selected="0">
            <x v="141"/>
          </reference>
          <reference field="2" count="1" selected="0">
            <x v="27"/>
          </reference>
          <reference field="3" count="1" selected="0">
            <x v="38"/>
          </reference>
          <reference field="4" count="1" selected="0">
            <x v="231"/>
          </reference>
          <reference field="5" count="1" selected="0">
            <x v="1634"/>
          </reference>
          <reference field="6" count="1">
            <x v="47"/>
          </reference>
        </references>
      </pivotArea>
    </format>
    <format dxfId="613">
      <pivotArea dataOnly="0" labelOnly="1" fieldPosition="0">
        <references count="6">
          <reference field="1" count="1" selected="0">
            <x v="142"/>
          </reference>
          <reference field="2" count="1" selected="0">
            <x v="0"/>
          </reference>
          <reference field="3" count="1" selected="0">
            <x v="6"/>
          </reference>
          <reference field="4" count="1" selected="0">
            <x v="232"/>
          </reference>
          <reference field="5" count="1" selected="0">
            <x v="933"/>
          </reference>
          <reference field="6" count="1">
            <x v="47"/>
          </reference>
        </references>
      </pivotArea>
    </format>
    <format dxfId="612">
      <pivotArea dataOnly="0" labelOnly="1" fieldPosition="0">
        <references count="6">
          <reference field="1" count="1" selected="0">
            <x v="142"/>
          </reference>
          <reference field="2" count="1" selected="0">
            <x v="0"/>
          </reference>
          <reference field="3" count="1" selected="0">
            <x v="12"/>
          </reference>
          <reference field="4" count="1" selected="0">
            <x v="11"/>
          </reference>
          <reference field="5" count="1" selected="0">
            <x v="138"/>
          </reference>
          <reference field="6" count="1">
            <x v="47"/>
          </reference>
        </references>
      </pivotArea>
    </format>
    <format dxfId="611">
      <pivotArea dataOnly="0" labelOnly="1" fieldPosition="0">
        <references count="6">
          <reference field="1" count="1" selected="0">
            <x v="142"/>
          </reference>
          <reference field="2" count="1" selected="0">
            <x v="0"/>
          </reference>
          <reference field="3" count="1" selected="0">
            <x v="12"/>
          </reference>
          <reference field="4" count="1" selected="0">
            <x v="23"/>
          </reference>
          <reference field="5" count="1" selected="0">
            <x v="114"/>
          </reference>
          <reference field="6" count="1">
            <x v="47"/>
          </reference>
        </references>
      </pivotArea>
    </format>
    <format dxfId="610">
      <pivotArea dataOnly="0" labelOnly="1" fieldPosition="0">
        <references count="6">
          <reference field="1" count="1" selected="0">
            <x v="142"/>
          </reference>
          <reference field="2" count="1" selected="0">
            <x v="0"/>
          </reference>
          <reference field="3" count="1" selected="0">
            <x v="12"/>
          </reference>
          <reference field="4" count="1" selected="0">
            <x v="47"/>
          </reference>
          <reference field="5" count="1" selected="0">
            <x v="314"/>
          </reference>
          <reference field="6" count="1">
            <x v="47"/>
          </reference>
        </references>
      </pivotArea>
    </format>
    <format dxfId="609">
      <pivotArea dataOnly="0" labelOnly="1" fieldPosition="0">
        <references count="6">
          <reference field="1" count="1" selected="0">
            <x v="142"/>
          </reference>
          <reference field="2" count="1" selected="0">
            <x v="0"/>
          </reference>
          <reference field="3" count="1" selected="0">
            <x v="12"/>
          </reference>
          <reference field="4" count="1" selected="0">
            <x v="49"/>
          </reference>
          <reference field="5" count="1" selected="0">
            <x v="52"/>
          </reference>
          <reference field="6" count="1">
            <x v="47"/>
          </reference>
        </references>
      </pivotArea>
    </format>
    <format dxfId="608">
      <pivotArea dataOnly="0" labelOnly="1" fieldPosition="0">
        <references count="6">
          <reference field="1" count="1" selected="0">
            <x v="142"/>
          </reference>
          <reference field="2" count="1" selected="0">
            <x v="0"/>
          </reference>
          <reference field="3" count="1" selected="0">
            <x v="12"/>
          </reference>
          <reference field="4" count="1" selected="0">
            <x v="63"/>
          </reference>
          <reference field="5" count="1" selected="0">
            <x v="6"/>
          </reference>
          <reference field="6" count="1">
            <x v="47"/>
          </reference>
        </references>
      </pivotArea>
    </format>
    <format dxfId="607">
      <pivotArea dataOnly="0" labelOnly="1" fieldPosition="0">
        <references count="6">
          <reference field="1" count="1" selected="0">
            <x v="142"/>
          </reference>
          <reference field="2" count="1" selected="0">
            <x v="0"/>
          </reference>
          <reference field="3" count="1" selected="0">
            <x v="38"/>
          </reference>
          <reference field="4" count="1" selected="0">
            <x v="232"/>
          </reference>
          <reference field="5" count="1" selected="0">
            <x v="109"/>
          </reference>
          <reference field="6" count="1">
            <x v="47"/>
          </reference>
        </references>
      </pivotArea>
    </format>
    <format dxfId="606">
      <pivotArea dataOnly="0" labelOnly="1" fieldPosition="0">
        <references count="6">
          <reference field="1" count="1" selected="0">
            <x v="142"/>
          </reference>
          <reference field="2" count="1" selected="0">
            <x v="0"/>
          </reference>
          <reference field="3" count="1" selected="0">
            <x v="38"/>
          </reference>
          <reference field="4" count="1" selected="0">
            <x v="232"/>
          </reference>
          <reference field="5" count="1" selected="0">
            <x v="500"/>
          </reference>
          <reference field="6" count="1">
            <x v="47"/>
          </reference>
        </references>
      </pivotArea>
    </format>
    <format dxfId="605">
      <pivotArea dataOnly="0" labelOnly="1" fieldPosition="0">
        <references count="6">
          <reference field="1" count="1" selected="0">
            <x v="142"/>
          </reference>
          <reference field="2" count="1" selected="0">
            <x v="0"/>
          </reference>
          <reference field="3" count="1" selected="0">
            <x v="38"/>
          </reference>
          <reference field="4" count="1" selected="0">
            <x v="232"/>
          </reference>
          <reference field="5" count="1" selected="0">
            <x v="943"/>
          </reference>
          <reference field="6" count="1">
            <x v="47"/>
          </reference>
        </references>
      </pivotArea>
    </format>
    <format dxfId="604">
      <pivotArea dataOnly="0" labelOnly="1" fieldPosition="0">
        <references count="6">
          <reference field="1" count="1" selected="0">
            <x v="142"/>
          </reference>
          <reference field="2" count="1" selected="0">
            <x v="0"/>
          </reference>
          <reference field="3" count="1" selected="0">
            <x v="38"/>
          </reference>
          <reference field="4" count="1" selected="0">
            <x v="232"/>
          </reference>
          <reference field="5" count="1" selected="0">
            <x v="1093"/>
          </reference>
          <reference field="6" count="1">
            <x v="47"/>
          </reference>
        </references>
      </pivotArea>
    </format>
    <format dxfId="603">
      <pivotArea dataOnly="0" labelOnly="1" fieldPosition="0">
        <references count="6">
          <reference field="1" count="1" selected="0">
            <x v="142"/>
          </reference>
          <reference field="2" count="1" selected="0">
            <x v="0"/>
          </reference>
          <reference field="3" count="1" selected="0">
            <x v="38"/>
          </reference>
          <reference field="4" count="1" selected="0">
            <x v="232"/>
          </reference>
          <reference field="5" count="1" selected="0">
            <x v="1150"/>
          </reference>
          <reference field="6" count="1">
            <x v="47"/>
          </reference>
        </references>
      </pivotArea>
    </format>
    <format dxfId="602">
      <pivotArea dataOnly="0" labelOnly="1" fieldPosition="0">
        <references count="6">
          <reference field="1" count="1" selected="0">
            <x v="142"/>
          </reference>
          <reference field="2" count="1" selected="0">
            <x v="2"/>
          </reference>
          <reference field="3" count="1" selected="0">
            <x v="1"/>
          </reference>
          <reference field="4" count="1" selected="0">
            <x v="232"/>
          </reference>
          <reference field="5" count="1" selected="0">
            <x v="257"/>
          </reference>
          <reference field="6" count="1">
            <x v="47"/>
          </reference>
        </references>
      </pivotArea>
    </format>
    <format dxfId="601">
      <pivotArea dataOnly="0" labelOnly="1" fieldPosition="0">
        <references count="6">
          <reference field="1" count="1" selected="0">
            <x v="142"/>
          </reference>
          <reference field="2" count="1" selected="0">
            <x v="2"/>
          </reference>
          <reference field="3" count="1" selected="0">
            <x v="6"/>
          </reference>
          <reference field="4" count="1" selected="0">
            <x v="232"/>
          </reference>
          <reference field="5" count="1" selected="0">
            <x v="325"/>
          </reference>
          <reference field="6" count="1">
            <x v="47"/>
          </reference>
        </references>
      </pivotArea>
    </format>
    <format dxfId="600">
      <pivotArea dataOnly="0" labelOnly="1" fieldPosition="0">
        <references count="6">
          <reference field="1" count="1" selected="0">
            <x v="142"/>
          </reference>
          <reference field="2" count="1" selected="0">
            <x v="7"/>
          </reference>
          <reference field="3" count="1" selected="0">
            <x v="38"/>
          </reference>
          <reference field="4" count="1" selected="0">
            <x v="232"/>
          </reference>
          <reference field="5" count="1" selected="0">
            <x v="776"/>
          </reference>
          <reference field="6" count="1">
            <x v="47"/>
          </reference>
        </references>
      </pivotArea>
    </format>
    <format dxfId="599">
      <pivotArea dataOnly="0" labelOnly="1" fieldPosition="0">
        <references count="6">
          <reference field="1" count="1" selected="0">
            <x v="142"/>
          </reference>
          <reference field="2" count="1" selected="0">
            <x v="8"/>
          </reference>
          <reference field="3" count="1" selected="0">
            <x v="10"/>
          </reference>
          <reference field="4" count="1" selected="0">
            <x v="232"/>
          </reference>
          <reference field="5" count="1" selected="0">
            <x v="0"/>
          </reference>
          <reference field="6" count="1">
            <x v="6"/>
          </reference>
        </references>
      </pivotArea>
    </format>
    <format dxfId="598">
      <pivotArea dataOnly="0" labelOnly="1" fieldPosition="0">
        <references count="6">
          <reference field="1" count="1" selected="0">
            <x v="142"/>
          </reference>
          <reference field="2" count="1" selected="0">
            <x v="10"/>
          </reference>
          <reference field="3" count="1" selected="0">
            <x v="38"/>
          </reference>
          <reference field="4" count="1" selected="0">
            <x v="232"/>
          </reference>
          <reference field="5" count="1" selected="0">
            <x v="1744"/>
          </reference>
          <reference field="6" count="1">
            <x v="47"/>
          </reference>
        </references>
      </pivotArea>
    </format>
    <format dxfId="597">
      <pivotArea dataOnly="0" labelOnly="1" fieldPosition="0">
        <references count="6">
          <reference field="1" count="1" selected="0">
            <x v="142"/>
          </reference>
          <reference field="2" count="1" selected="0">
            <x v="12"/>
          </reference>
          <reference field="3" count="1" selected="0">
            <x v="1"/>
          </reference>
          <reference field="4" count="1" selected="0">
            <x v="232"/>
          </reference>
          <reference field="5" count="1" selected="0">
            <x v="80"/>
          </reference>
          <reference field="6" count="1">
            <x v="47"/>
          </reference>
        </references>
      </pivotArea>
    </format>
    <format dxfId="596">
      <pivotArea dataOnly="0" labelOnly="1" fieldPosition="0">
        <references count="6">
          <reference field="1" count="1" selected="0">
            <x v="142"/>
          </reference>
          <reference field="2" count="1" selected="0">
            <x v="12"/>
          </reference>
          <reference field="3" count="1" selected="0">
            <x v="1"/>
          </reference>
          <reference field="4" count="1" selected="0">
            <x v="232"/>
          </reference>
          <reference field="5" count="1" selected="0">
            <x v="213"/>
          </reference>
          <reference field="6" count="1">
            <x v="47"/>
          </reference>
        </references>
      </pivotArea>
    </format>
    <format dxfId="595">
      <pivotArea dataOnly="0" labelOnly="1" fieldPosition="0">
        <references count="6">
          <reference field="1" count="1" selected="0">
            <x v="142"/>
          </reference>
          <reference field="2" count="1" selected="0">
            <x v="12"/>
          </reference>
          <reference field="3" count="1" selected="0">
            <x v="1"/>
          </reference>
          <reference field="4" count="1" selected="0">
            <x v="232"/>
          </reference>
          <reference field="5" count="1" selected="0">
            <x v="352"/>
          </reference>
          <reference field="6" count="1">
            <x v="47"/>
          </reference>
        </references>
      </pivotArea>
    </format>
    <format dxfId="594">
      <pivotArea dataOnly="0" labelOnly="1" fieldPosition="0">
        <references count="6">
          <reference field="1" count="1" selected="0">
            <x v="142"/>
          </reference>
          <reference field="2" count="1" selected="0">
            <x v="12"/>
          </reference>
          <reference field="3" count="1" selected="0">
            <x v="38"/>
          </reference>
          <reference field="4" count="1" selected="0">
            <x v="232"/>
          </reference>
          <reference field="5" count="1" selected="0">
            <x v="278"/>
          </reference>
          <reference field="6" count="1">
            <x v="47"/>
          </reference>
        </references>
      </pivotArea>
    </format>
    <format dxfId="593">
      <pivotArea dataOnly="0" labelOnly="1" fieldPosition="0">
        <references count="6">
          <reference field="1" count="1" selected="0">
            <x v="142"/>
          </reference>
          <reference field="2" count="1" selected="0">
            <x v="12"/>
          </reference>
          <reference field="3" count="1" selected="0">
            <x v="38"/>
          </reference>
          <reference field="4" count="1" selected="0">
            <x v="232"/>
          </reference>
          <reference field="5" count="1" selected="0">
            <x v="500"/>
          </reference>
          <reference field="6" count="1">
            <x v="47"/>
          </reference>
        </references>
      </pivotArea>
    </format>
    <format dxfId="592">
      <pivotArea dataOnly="0" labelOnly="1" fieldPosition="0">
        <references count="6">
          <reference field="1" count="1" selected="0">
            <x v="142"/>
          </reference>
          <reference field="2" count="1" selected="0">
            <x v="15"/>
          </reference>
          <reference field="3" count="1" selected="0">
            <x v="38"/>
          </reference>
          <reference field="4" count="1" selected="0">
            <x v="232"/>
          </reference>
          <reference field="5" count="1" selected="0">
            <x v="1319"/>
          </reference>
          <reference field="6" count="1">
            <x v="47"/>
          </reference>
        </references>
      </pivotArea>
    </format>
    <format dxfId="591">
      <pivotArea dataOnly="0" labelOnly="1" fieldPosition="0">
        <references count="6">
          <reference field="1" count="1" selected="0">
            <x v="142"/>
          </reference>
          <reference field="2" count="1" selected="0">
            <x v="23"/>
          </reference>
          <reference field="3" count="1" selected="0">
            <x v="38"/>
          </reference>
          <reference field="4" count="1" selected="0">
            <x v="232"/>
          </reference>
          <reference field="5" count="1" selected="0">
            <x v="93"/>
          </reference>
          <reference field="6" count="1">
            <x v="47"/>
          </reference>
        </references>
      </pivotArea>
    </format>
    <format dxfId="590">
      <pivotArea dataOnly="0" labelOnly="1" fieldPosition="0">
        <references count="6">
          <reference field="1" count="1" selected="0">
            <x v="142"/>
          </reference>
          <reference field="2" count="1" selected="0">
            <x v="26"/>
          </reference>
          <reference field="3" count="1" selected="0">
            <x v="38"/>
          </reference>
          <reference field="4" count="1" selected="0">
            <x v="232"/>
          </reference>
          <reference field="5" count="1" selected="0">
            <x v="371"/>
          </reference>
          <reference field="6" count="1">
            <x v="47"/>
          </reference>
        </references>
      </pivotArea>
    </format>
    <format dxfId="589">
      <pivotArea dataOnly="0" labelOnly="1" fieldPosition="0">
        <references count="6">
          <reference field="1" count="1" selected="0">
            <x v="142"/>
          </reference>
          <reference field="2" count="1" selected="0">
            <x v="34"/>
          </reference>
          <reference field="3" count="1" selected="0">
            <x v="38"/>
          </reference>
          <reference field="4" count="1" selected="0">
            <x v="232"/>
          </reference>
          <reference field="5" count="1" selected="0">
            <x v="39"/>
          </reference>
          <reference field="6" count="1">
            <x v="47"/>
          </reference>
        </references>
      </pivotArea>
    </format>
    <format dxfId="588">
      <pivotArea dataOnly="0" labelOnly="1" fieldPosition="0">
        <references count="6">
          <reference field="1" count="1" selected="0">
            <x v="142"/>
          </reference>
          <reference field="2" count="1" selected="0">
            <x v="35"/>
          </reference>
          <reference field="3" count="1" selected="0">
            <x v="1"/>
          </reference>
          <reference field="4" count="1" selected="0">
            <x v="232"/>
          </reference>
          <reference field="5" count="1" selected="0">
            <x v="80"/>
          </reference>
          <reference field="6" count="1">
            <x v="47"/>
          </reference>
        </references>
      </pivotArea>
    </format>
    <format dxfId="587">
      <pivotArea dataOnly="0" labelOnly="1" fieldPosition="0">
        <references count="6">
          <reference field="1" count="1" selected="0">
            <x v="142"/>
          </reference>
          <reference field="2" count="1" selected="0">
            <x v="35"/>
          </reference>
          <reference field="3" count="1" selected="0">
            <x v="1"/>
          </reference>
          <reference field="4" count="1" selected="0">
            <x v="232"/>
          </reference>
          <reference field="5" count="1" selected="0">
            <x v="213"/>
          </reference>
          <reference field="6" count="1">
            <x v="47"/>
          </reference>
        </references>
      </pivotArea>
    </format>
    <format dxfId="586">
      <pivotArea dataOnly="0" labelOnly="1" fieldPosition="0">
        <references count="6">
          <reference field="1" count="1" selected="0">
            <x v="142"/>
          </reference>
          <reference field="2" count="1" selected="0">
            <x v="35"/>
          </reference>
          <reference field="3" count="1" selected="0">
            <x v="38"/>
          </reference>
          <reference field="4" count="1" selected="0">
            <x v="232"/>
          </reference>
          <reference field="5" count="1" selected="0">
            <x v="846"/>
          </reference>
          <reference field="6" count="1">
            <x v="47"/>
          </reference>
        </references>
      </pivotArea>
    </format>
    <format dxfId="585">
      <pivotArea dataOnly="0" labelOnly="1" fieldPosition="0">
        <references count="6">
          <reference field="1" count="1" selected="0">
            <x v="142"/>
          </reference>
          <reference field="2" count="1" selected="0">
            <x v="38"/>
          </reference>
          <reference field="3" count="1" selected="0">
            <x v="38"/>
          </reference>
          <reference field="4" count="1" selected="0">
            <x v="232"/>
          </reference>
          <reference field="5" count="1" selected="0">
            <x v="500"/>
          </reference>
          <reference field="6" count="1">
            <x v="47"/>
          </reference>
        </references>
      </pivotArea>
    </format>
    <format dxfId="584">
      <pivotArea dataOnly="0" labelOnly="1" fieldPosition="0">
        <references count="6">
          <reference field="1" count="1" selected="0">
            <x v="143"/>
          </reference>
          <reference field="2" count="1" selected="0">
            <x v="0"/>
          </reference>
          <reference field="3" count="1" selected="0">
            <x v="12"/>
          </reference>
          <reference field="4" count="1" selected="0">
            <x v="41"/>
          </reference>
          <reference field="5" count="1" selected="0">
            <x v="213"/>
          </reference>
          <reference field="6" count="1">
            <x v="47"/>
          </reference>
        </references>
      </pivotArea>
    </format>
    <format dxfId="583">
      <pivotArea dataOnly="0" labelOnly="1" fieldPosition="0">
        <references count="6">
          <reference field="1" count="1" selected="0">
            <x v="143"/>
          </reference>
          <reference field="2" count="1" selected="0">
            <x v="0"/>
          </reference>
          <reference field="3" count="1" selected="0">
            <x v="12"/>
          </reference>
          <reference field="4" count="1" selected="0">
            <x v="50"/>
          </reference>
          <reference field="5" count="1" selected="0">
            <x v="248"/>
          </reference>
          <reference field="6" count="1">
            <x v="47"/>
          </reference>
        </references>
      </pivotArea>
    </format>
    <format dxfId="582">
      <pivotArea dataOnly="0" labelOnly="1" fieldPosition="0">
        <references count="6">
          <reference field="1" count="1" selected="0">
            <x v="143"/>
          </reference>
          <reference field="2" count="1" selected="0">
            <x v="10"/>
          </reference>
          <reference field="3" count="1" selected="0">
            <x v="10"/>
          </reference>
          <reference field="4" count="1" selected="0">
            <x v="233"/>
          </reference>
          <reference field="5" count="1" selected="0">
            <x v="0"/>
          </reference>
          <reference field="6" count="1">
            <x v="8"/>
          </reference>
        </references>
      </pivotArea>
    </format>
    <format dxfId="581">
      <pivotArea dataOnly="0" labelOnly="1" fieldPosition="0">
        <references count="6">
          <reference field="1" count="1" selected="0">
            <x v="143"/>
          </reference>
          <reference field="2" count="1" selected="0">
            <x v="14"/>
          </reference>
          <reference field="3" count="1" selected="0">
            <x v="37"/>
          </reference>
          <reference field="4" count="1" selected="0">
            <x v="233"/>
          </reference>
          <reference field="5" count="1" selected="0">
            <x v="1181"/>
          </reference>
          <reference field="6" count="1">
            <x v="47"/>
          </reference>
        </references>
      </pivotArea>
    </format>
    <format dxfId="580">
      <pivotArea dataOnly="0" labelOnly="1" fieldPosition="0">
        <references count="6">
          <reference field="1" count="1" selected="0">
            <x v="143"/>
          </reference>
          <reference field="2" count="1" selected="0">
            <x v="32"/>
          </reference>
          <reference field="3" count="1" selected="0">
            <x v="9"/>
          </reference>
          <reference field="4" count="1" selected="0">
            <x v="233"/>
          </reference>
          <reference field="5" count="1" selected="0">
            <x v="1793"/>
          </reference>
          <reference field="6" count="1">
            <x v="47"/>
          </reference>
        </references>
      </pivotArea>
    </format>
    <format dxfId="579">
      <pivotArea dataOnly="0" labelOnly="1" fieldPosition="0">
        <references count="6">
          <reference field="1" count="1" selected="0">
            <x v="144"/>
          </reference>
          <reference field="2" count="1" selected="0">
            <x v="0"/>
          </reference>
          <reference field="3" count="1" selected="0">
            <x v="12"/>
          </reference>
          <reference field="4" count="1" selected="0">
            <x v="7"/>
          </reference>
          <reference field="5" count="1" selected="0">
            <x v="90"/>
          </reference>
          <reference field="6" count="1">
            <x v="47"/>
          </reference>
        </references>
      </pivotArea>
    </format>
    <format dxfId="578">
      <pivotArea dataOnly="0" labelOnly="1" fieldPosition="0">
        <references count="6">
          <reference field="1" count="1" selected="0">
            <x v="144"/>
          </reference>
          <reference field="2" count="1" selected="0">
            <x v="0"/>
          </reference>
          <reference field="3" count="1" selected="0">
            <x v="12"/>
          </reference>
          <reference field="4" count="1" selected="0">
            <x v="62"/>
          </reference>
          <reference field="5" count="1" selected="0">
            <x v="85"/>
          </reference>
          <reference field="6" count="1">
            <x v="47"/>
          </reference>
        </references>
      </pivotArea>
    </format>
    <format dxfId="577">
      <pivotArea dataOnly="0" labelOnly="1" fieldPosition="0">
        <references count="6">
          <reference field="1" count="1" selected="0">
            <x v="145"/>
          </reference>
          <reference field="2" count="1" selected="0">
            <x v="0"/>
          </reference>
          <reference field="3" count="1" selected="0">
            <x v="1"/>
          </reference>
          <reference field="4" count="1" selected="0">
            <x v="234"/>
          </reference>
          <reference field="5" count="1" selected="0">
            <x v="80"/>
          </reference>
          <reference field="6" count="1">
            <x v="47"/>
          </reference>
        </references>
      </pivotArea>
    </format>
    <format dxfId="576">
      <pivotArea dataOnly="0" labelOnly="1" fieldPosition="0">
        <references count="6">
          <reference field="1" count="1" selected="0">
            <x v="145"/>
          </reference>
          <reference field="2" count="1" selected="0">
            <x v="0"/>
          </reference>
          <reference field="3" count="1" selected="0">
            <x v="6"/>
          </reference>
          <reference field="4" count="1" selected="0">
            <x v="234"/>
          </reference>
          <reference field="5" count="1" selected="0">
            <x v="469"/>
          </reference>
          <reference field="6" count="1">
            <x v="47"/>
          </reference>
        </references>
      </pivotArea>
    </format>
    <format dxfId="575">
      <pivotArea dataOnly="0" labelOnly="1" fieldPosition="0">
        <references count="6">
          <reference field="1" count="1" selected="0">
            <x v="145"/>
          </reference>
          <reference field="2" count="1" selected="0">
            <x v="0"/>
          </reference>
          <reference field="3" count="1" selected="0">
            <x v="11"/>
          </reference>
          <reference field="4" count="1" selected="0">
            <x v="14"/>
          </reference>
          <reference field="5" count="1" selected="0">
            <x v="213"/>
          </reference>
          <reference field="6" count="1">
            <x v="47"/>
          </reference>
        </references>
      </pivotArea>
    </format>
    <format dxfId="574">
      <pivotArea dataOnly="0" labelOnly="1" fieldPosition="0">
        <references count="6">
          <reference field="1" count="1" selected="0">
            <x v="145"/>
          </reference>
          <reference field="2" count="1" selected="0">
            <x v="0"/>
          </reference>
          <reference field="3" count="1" selected="0">
            <x v="12"/>
          </reference>
          <reference field="4" count="1" selected="0">
            <x v="19"/>
          </reference>
          <reference field="5" count="1" selected="0">
            <x v="35"/>
          </reference>
          <reference field="6" count="1">
            <x v="47"/>
          </reference>
        </references>
      </pivotArea>
    </format>
    <format dxfId="573">
      <pivotArea dataOnly="0" labelOnly="1" fieldPosition="0">
        <references count="6">
          <reference field="1" count="1" selected="0">
            <x v="145"/>
          </reference>
          <reference field="2" count="1" selected="0">
            <x v="0"/>
          </reference>
          <reference field="3" count="1" selected="0">
            <x v="12"/>
          </reference>
          <reference field="4" count="1" selected="0">
            <x v="34"/>
          </reference>
          <reference field="5" count="1" selected="0">
            <x v="719"/>
          </reference>
          <reference field="6" count="1">
            <x v="47"/>
          </reference>
        </references>
      </pivotArea>
    </format>
    <format dxfId="572">
      <pivotArea dataOnly="0" labelOnly="1" fieldPosition="0">
        <references count="6">
          <reference field="1" count="1" selected="0">
            <x v="145"/>
          </reference>
          <reference field="2" count="1" selected="0">
            <x v="0"/>
          </reference>
          <reference field="3" count="1" selected="0">
            <x v="38"/>
          </reference>
          <reference field="4" count="1" selected="0">
            <x v="234"/>
          </reference>
          <reference field="5" count="1" selected="0">
            <x v="1170"/>
          </reference>
          <reference field="6" count="1">
            <x v="47"/>
          </reference>
        </references>
      </pivotArea>
    </format>
    <format dxfId="571">
      <pivotArea dataOnly="0" labelOnly="1" fieldPosition="0">
        <references count="6">
          <reference field="1" count="1" selected="0">
            <x v="145"/>
          </reference>
          <reference field="2" count="1" selected="0">
            <x v="3"/>
          </reference>
          <reference field="3" count="1" selected="0">
            <x v="38"/>
          </reference>
          <reference field="4" count="1" selected="0">
            <x v="234"/>
          </reference>
          <reference field="5" count="1" selected="0">
            <x v="106"/>
          </reference>
          <reference field="6" count="1">
            <x v="47"/>
          </reference>
        </references>
      </pivotArea>
    </format>
    <format dxfId="570">
      <pivotArea dataOnly="0" labelOnly="1" fieldPosition="0">
        <references count="6">
          <reference field="1" count="1" selected="0">
            <x v="145"/>
          </reference>
          <reference field="2" count="1" selected="0">
            <x v="7"/>
          </reference>
          <reference field="3" count="1" selected="0">
            <x v="6"/>
          </reference>
          <reference field="4" count="1" selected="0">
            <x v="234"/>
          </reference>
          <reference field="5" count="1" selected="0">
            <x v="539"/>
          </reference>
          <reference field="6" count="1">
            <x v="47"/>
          </reference>
        </references>
      </pivotArea>
    </format>
    <format dxfId="569">
      <pivotArea dataOnly="0" labelOnly="1" fieldPosition="0">
        <references count="6">
          <reference field="1" count="1" selected="0">
            <x v="145"/>
          </reference>
          <reference field="2" count="1" selected="0">
            <x v="8"/>
          </reference>
          <reference field="3" count="1" selected="0">
            <x v="38"/>
          </reference>
          <reference field="4" count="1" selected="0">
            <x v="234"/>
          </reference>
          <reference field="5" count="1" selected="0">
            <x v="642"/>
          </reference>
          <reference field="6" count="1">
            <x v="47"/>
          </reference>
        </references>
      </pivotArea>
    </format>
    <format dxfId="568">
      <pivotArea dataOnly="0" labelOnly="1" fieldPosition="0">
        <references count="6">
          <reference field="1" count="1" selected="0">
            <x v="145"/>
          </reference>
          <reference field="2" count="1" selected="0">
            <x v="12"/>
          </reference>
          <reference field="3" count="1" selected="0">
            <x v="1"/>
          </reference>
          <reference field="4" count="1" selected="0">
            <x v="234"/>
          </reference>
          <reference field="5" count="1" selected="0">
            <x v="213"/>
          </reference>
          <reference field="6" count="1">
            <x v="47"/>
          </reference>
        </references>
      </pivotArea>
    </format>
    <format dxfId="567">
      <pivotArea dataOnly="0" labelOnly="1" fieldPosition="0">
        <references count="6">
          <reference field="1" count="1" selected="0">
            <x v="145"/>
          </reference>
          <reference field="2" count="1" selected="0">
            <x v="12"/>
          </reference>
          <reference field="3" count="1" selected="0">
            <x v="1"/>
          </reference>
          <reference field="4" count="1" selected="0">
            <x v="234"/>
          </reference>
          <reference field="5" count="1" selected="0">
            <x v="500"/>
          </reference>
          <reference field="6" count="1">
            <x v="47"/>
          </reference>
        </references>
      </pivotArea>
    </format>
    <format dxfId="566">
      <pivotArea dataOnly="0" labelOnly="1" fieldPosition="0">
        <references count="6">
          <reference field="1" count="1" selected="0">
            <x v="145"/>
          </reference>
          <reference field="2" count="1" selected="0">
            <x v="12"/>
          </reference>
          <reference field="3" count="1" selected="0">
            <x v="1"/>
          </reference>
          <reference field="4" count="1" selected="0">
            <x v="234"/>
          </reference>
          <reference field="5" count="1" selected="0">
            <x v="607"/>
          </reference>
          <reference field="6" count="1">
            <x v="47"/>
          </reference>
        </references>
      </pivotArea>
    </format>
    <format dxfId="565">
      <pivotArea dataOnly="0" labelOnly="1" fieldPosition="0">
        <references count="6">
          <reference field="1" count="1" selected="0">
            <x v="145"/>
          </reference>
          <reference field="2" count="1" selected="0">
            <x v="12"/>
          </reference>
          <reference field="3" count="1" selected="0">
            <x v="1"/>
          </reference>
          <reference field="4" count="1" selected="0">
            <x v="234"/>
          </reference>
          <reference field="5" count="1" selected="0">
            <x v="771"/>
          </reference>
          <reference field="6" count="1">
            <x v="47"/>
          </reference>
        </references>
      </pivotArea>
    </format>
    <format dxfId="564">
      <pivotArea dataOnly="0" labelOnly="1" fieldPosition="0">
        <references count="6">
          <reference field="1" count="1" selected="0">
            <x v="145"/>
          </reference>
          <reference field="2" count="1" selected="0">
            <x v="12"/>
          </reference>
          <reference field="3" count="1" selected="0">
            <x v="38"/>
          </reference>
          <reference field="4" count="1" selected="0">
            <x v="234"/>
          </reference>
          <reference field="5" count="1" selected="0">
            <x v="1343"/>
          </reference>
          <reference field="6" count="1">
            <x v="47"/>
          </reference>
        </references>
      </pivotArea>
    </format>
    <format dxfId="563">
      <pivotArea dataOnly="0" labelOnly="1" fieldPosition="0">
        <references count="6">
          <reference field="1" count="1" selected="0">
            <x v="145"/>
          </reference>
          <reference field="2" count="1" selected="0">
            <x v="12"/>
          </reference>
          <reference field="3" count="1" selected="0">
            <x v="38"/>
          </reference>
          <reference field="4" count="1" selected="0">
            <x v="234"/>
          </reference>
          <reference field="5" count="1" selected="0">
            <x v="1528"/>
          </reference>
          <reference field="6" count="1">
            <x v="47"/>
          </reference>
        </references>
      </pivotArea>
    </format>
    <format dxfId="562">
      <pivotArea dataOnly="0" labelOnly="1" fieldPosition="0">
        <references count="6">
          <reference field="1" count="1" selected="0">
            <x v="145"/>
          </reference>
          <reference field="2" count="1" selected="0">
            <x v="15"/>
          </reference>
          <reference field="3" count="1" selected="0">
            <x v="38"/>
          </reference>
          <reference field="4" count="1" selected="0">
            <x v="234"/>
          </reference>
          <reference field="5" count="1" selected="0">
            <x v="744"/>
          </reference>
          <reference field="6" count="1">
            <x v="47"/>
          </reference>
        </references>
      </pivotArea>
    </format>
    <format dxfId="561">
      <pivotArea dataOnly="0" labelOnly="1" fieldPosition="0">
        <references count="6">
          <reference field="1" count="1" selected="0">
            <x v="145"/>
          </reference>
          <reference field="2" count="1" selected="0">
            <x v="27"/>
          </reference>
          <reference field="3" count="1" selected="0">
            <x v="38"/>
          </reference>
          <reference field="4" count="1" selected="0">
            <x v="234"/>
          </reference>
          <reference field="5" count="1" selected="0">
            <x v="39"/>
          </reference>
          <reference field="6" count="1">
            <x v="47"/>
          </reference>
        </references>
      </pivotArea>
    </format>
    <format dxfId="560">
      <pivotArea dataOnly="0" labelOnly="1" fieldPosition="0">
        <references count="6">
          <reference field="1" count="1" selected="0">
            <x v="145"/>
          </reference>
          <reference field="2" count="1" selected="0">
            <x v="35"/>
          </reference>
          <reference field="3" count="1" selected="0">
            <x v="1"/>
          </reference>
          <reference field="4" count="1" selected="0">
            <x v="234"/>
          </reference>
          <reference field="5" count="1" selected="0">
            <x v="80"/>
          </reference>
          <reference field="6" count="1">
            <x v="47"/>
          </reference>
        </references>
      </pivotArea>
    </format>
    <format dxfId="559">
      <pivotArea dataOnly="0" labelOnly="1" fieldPosition="0">
        <references count="6">
          <reference field="1" count="1" selected="0">
            <x v="145"/>
          </reference>
          <reference field="2" count="1" selected="0">
            <x v="35"/>
          </reference>
          <reference field="3" count="1" selected="0">
            <x v="1"/>
          </reference>
          <reference field="4" count="1" selected="0">
            <x v="234"/>
          </reference>
          <reference field="5" count="1" selected="0">
            <x v="846"/>
          </reference>
          <reference field="6" count="1">
            <x v="47"/>
          </reference>
        </references>
      </pivotArea>
    </format>
    <format dxfId="558">
      <pivotArea dataOnly="0" labelOnly="1" fieldPosition="0">
        <references count="6">
          <reference field="1" count="1" selected="0">
            <x v="146"/>
          </reference>
          <reference field="2" count="1" selected="0">
            <x v="0"/>
          </reference>
          <reference field="3" count="1" selected="0">
            <x v="8"/>
          </reference>
          <reference field="4" count="1" selected="0">
            <x v="235"/>
          </reference>
          <reference field="5" count="1" selected="0">
            <x v="1028"/>
          </reference>
          <reference field="6" count="1">
            <x v="47"/>
          </reference>
        </references>
      </pivotArea>
    </format>
    <format dxfId="557">
      <pivotArea dataOnly="0" labelOnly="1" fieldPosition="0">
        <references count="6">
          <reference field="1" count="1" selected="0">
            <x v="146"/>
          </reference>
          <reference field="2" count="1" selected="0">
            <x v="0"/>
          </reference>
          <reference field="3" count="1" selected="0">
            <x v="9"/>
          </reference>
          <reference field="4" count="1" selected="0">
            <x v="235"/>
          </reference>
          <reference field="5" count="1" selected="0">
            <x v="128"/>
          </reference>
          <reference field="6" count="1">
            <x v="47"/>
          </reference>
        </references>
      </pivotArea>
    </format>
    <format dxfId="556">
      <pivotArea dataOnly="0" labelOnly="1" fieldPosition="0">
        <references count="6">
          <reference field="1" count="1" selected="0">
            <x v="146"/>
          </reference>
          <reference field="2" count="1" selected="0">
            <x v="0"/>
          </reference>
          <reference field="3" count="1" selected="0">
            <x v="9"/>
          </reference>
          <reference field="4" count="1" selected="0">
            <x v="235"/>
          </reference>
          <reference field="5" count="1" selected="0">
            <x v="257"/>
          </reference>
          <reference field="6" count="1">
            <x v="47"/>
          </reference>
        </references>
      </pivotArea>
    </format>
    <format dxfId="555">
      <pivotArea dataOnly="0" labelOnly="1" fieldPosition="0">
        <references count="6">
          <reference field="1" count="1" selected="0">
            <x v="146"/>
          </reference>
          <reference field="2" count="1" selected="0">
            <x v="0"/>
          </reference>
          <reference field="3" count="1" selected="0">
            <x v="9"/>
          </reference>
          <reference field="4" count="1" selected="0">
            <x v="235"/>
          </reference>
          <reference field="5" count="1" selected="0">
            <x v="267"/>
          </reference>
          <reference field="6" count="1">
            <x v="47"/>
          </reference>
        </references>
      </pivotArea>
    </format>
    <format dxfId="554">
      <pivotArea dataOnly="0" labelOnly="1" fieldPosition="0">
        <references count="6">
          <reference field="1" count="1" selected="0">
            <x v="146"/>
          </reference>
          <reference field="2" count="1" selected="0">
            <x v="0"/>
          </reference>
          <reference field="3" count="1" selected="0">
            <x v="9"/>
          </reference>
          <reference field="4" count="1" selected="0">
            <x v="235"/>
          </reference>
          <reference field="5" count="1" selected="0">
            <x v="824"/>
          </reference>
          <reference field="6" count="1">
            <x v="47"/>
          </reference>
        </references>
      </pivotArea>
    </format>
    <format dxfId="553">
      <pivotArea dataOnly="0" labelOnly="1" fieldPosition="0">
        <references count="6">
          <reference field="1" count="1" selected="0">
            <x v="146"/>
          </reference>
          <reference field="2" count="1" selected="0">
            <x v="0"/>
          </reference>
          <reference field="3" count="1" selected="0">
            <x v="9"/>
          </reference>
          <reference field="4" count="1" selected="0">
            <x v="235"/>
          </reference>
          <reference field="5" count="1" selected="0">
            <x v="1033"/>
          </reference>
          <reference field="6" count="1">
            <x v="47"/>
          </reference>
        </references>
      </pivotArea>
    </format>
    <format dxfId="552">
      <pivotArea dataOnly="0" labelOnly="1" fieldPosition="0">
        <references count="6">
          <reference field="1" count="1" selected="0">
            <x v="146"/>
          </reference>
          <reference field="2" count="1" selected="0">
            <x v="0"/>
          </reference>
          <reference field="3" count="1" selected="0">
            <x v="9"/>
          </reference>
          <reference field="4" count="1" selected="0">
            <x v="235"/>
          </reference>
          <reference field="5" count="1" selected="0">
            <x v="1057"/>
          </reference>
          <reference field="6" count="1">
            <x v="47"/>
          </reference>
        </references>
      </pivotArea>
    </format>
    <format dxfId="551">
      <pivotArea dataOnly="0" labelOnly="1" fieldPosition="0">
        <references count="6">
          <reference field="1" count="1" selected="0">
            <x v="146"/>
          </reference>
          <reference field="2" count="1" selected="0">
            <x v="0"/>
          </reference>
          <reference field="3" count="1" selected="0">
            <x v="9"/>
          </reference>
          <reference field="4" count="1" selected="0">
            <x v="235"/>
          </reference>
          <reference field="5" count="1" selected="0">
            <x v="1089"/>
          </reference>
          <reference field="6" count="1">
            <x v="47"/>
          </reference>
        </references>
      </pivotArea>
    </format>
    <format dxfId="550">
      <pivotArea dataOnly="0" labelOnly="1" fieldPosition="0">
        <references count="6">
          <reference field="1" count="1" selected="0">
            <x v="146"/>
          </reference>
          <reference field="2" count="1" selected="0">
            <x v="0"/>
          </reference>
          <reference field="3" count="1" selected="0">
            <x v="9"/>
          </reference>
          <reference field="4" count="1" selected="0">
            <x v="235"/>
          </reference>
          <reference field="5" count="1" selected="0">
            <x v="1105"/>
          </reference>
          <reference field="6" count="1">
            <x v="47"/>
          </reference>
        </references>
      </pivotArea>
    </format>
    <format dxfId="549">
      <pivotArea dataOnly="0" labelOnly="1" fieldPosition="0">
        <references count="6">
          <reference field="1" count="1" selected="0">
            <x v="146"/>
          </reference>
          <reference field="2" count="1" selected="0">
            <x v="0"/>
          </reference>
          <reference field="3" count="1" selected="0">
            <x v="9"/>
          </reference>
          <reference field="4" count="1" selected="0">
            <x v="235"/>
          </reference>
          <reference field="5" count="1" selected="0">
            <x v="1203"/>
          </reference>
          <reference field="6" count="1">
            <x v="47"/>
          </reference>
        </references>
      </pivotArea>
    </format>
    <format dxfId="548">
      <pivotArea dataOnly="0" labelOnly="1" fieldPosition="0">
        <references count="6">
          <reference field="1" count="1" selected="0">
            <x v="146"/>
          </reference>
          <reference field="2" count="1" selected="0">
            <x v="0"/>
          </reference>
          <reference field="3" count="1" selected="0">
            <x v="12"/>
          </reference>
          <reference field="4" count="1" selected="0">
            <x v="25"/>
          </reference>
          <reference field="5" count="1" selected="0">
            <x v="55"/>
          </reference>
          <reference field="6" count="1">
            <x v="47"/>
          </reference>
        </references>
      </pivotArea>
    </format>
    <format dxfId="547">
      <pivotArea dataOnly="0" labelOnly="1" fieldPosition="0">
        <references count="6">
          <reference field="1" count="1" selected="0">
            <x v="146"/>
          </reference>
          <reference field="2" count="1" selected="0">
            <x v="6"/>
          </reference>
          <reference field="3" count="1" selected="0">
            <x v="38"/>
          </reference>
          <reference field="4" count="1" selected="0">
            <x v="235"/>
          </reference>
          <reference field="5" count="1" selected="0">
            <x v="1229"/>
          </reference>
          <reference field="6" count="1">
            <x v="47"/>
          </reference>
        </references>
      </pivotArea>
    </format>
    <format dxfId="546">
      <pivotArea dataOnly="0" labelOnly="1" fieldPosition="0">
        <references count="6">
          <reference field="1" count="1" selected="0">
            <x v="146"/>
          </reference>
          <reference field="2" count="1" selected="0">
            <x v="8"/>
          </reference>
          <reference field="3" count="1" selected="0">
            <x v="38"/>
          </reference>
          <reference field="4" count="1" selected="0">
            <x v="235"/>
          </reference>
          <reference field="5" count="1" selected="0">
            <x v="1390"/>
          </reference>
          <reference field="6" count="1">
            <x v="47"/>
          </reference>
        </references>
      </pivotArea>
    </format>
    <format dxfId="545">
      <pivotArea dataOnly="0" labelOnly="1" fieldPosition="0">
        <references count="6">
          <reference field="1" count="1" selected="0">
            <x v="146"/>
          </reference>
          <reference field="2" count="1" selected="0">
            <x v="10"/>
          </reference>
          <reference field="3" count="1" selected="0">
            <x v="10"/>
          </reference>
          <reference field="4" count="1" selected="0">
            <x v="235"/>
          </reference>
          <reference field="5" count="1" selected="0">
            <x v="1847"/>
          </reference>
          <reference field="6" count="1">
            <x v="47"/>
          </reference>
        </references>
      </pivotArea>
    </format>
    <format dxfId="544">
      <pivotArea dataOnly="0" labelOnly="1" fieldPosition="0">
        <references count="6">
          <reference field="1" count="1" selected="0">
            <x v="146"/>
          </reference>
          <reference field="2" count="1" selected="0">
            <x v="12"/>
          </reference>
          <reference field="3" count="1" selected="0">
            <x v="1"/>
          </reference>
          <reference field="4" count="1" selected="0">
            <x v="235"/>
          </reference>
          <reference field="5" count="1" selected="0">
            <x v="80"/>
          </reference>
          <reference field="6" count="1">
            <x v="47"/>
          </reference>
        </references>
      </pivotArea>
    </format>
    <format dxfId="543">
      <pivotArea dataOnly="0" labelOnly="1" fieldPosition="0">
        <references count="6">
          <reference field="1" count="1" selected="0">
            <x v="146"/>
          </reference>
          <reference field="2" count="1" selected="0">
            <x v="12"/>
          </reference>
          <reference field="3" count="1" selected="0">
            <x v="1"/>
          </reference>
          <reference field="4" count="1" selected="0">
            <x v="235"/>
          </reference>
          <reference field="5" count="1" selected="0">
            <x v="352"/>
          </reference>
          <reference field="6" count="1">
            <x v="47"/>
          </reference>
        </references>
      </pivotArea>
    </format>
    <format dxfId="542">
      <pivotArea dataOnly="0" labelOnly="1" fieldPosition="0">
        <references count="6">
          <reference field="1" count="1" selected="0">
            <x v="146"/>
          </reference>
          <reference field="2" count="1" selected="0">
            <x v="12"/>
          </reference>
          <reference field="3" count="1" selected="0">
            <x v="1"/>
          </reference>
          <reference field="4" count="1" selected="0">
            <x v="235"/>
          </reference>
          <reference field="5" count="1" selected="0">
            <x v="500"/>
          </reference>
          <reference field="6" count="1">
            <x v="47"/>
          </reference>
        </references>
      </pivotArea>
    </format>
    <format dxfId="541">
      <pivotArea dataOnly="0" labelOnly="1" fieldPosition="0">
        <references count="6">
          <reference field="1" count="1" selected="0">
            <x v="146"/>
          </reference>
          <reference field="2" count="1" selected="0">
            <x v="12"/>
          </reference>
          <reference field="3" count="1" selected="0">
            <x v="1"/>
          </reference>
          <reference field="4" count="1" selected="0">
            <x v="235"/>
          </reference>
          <reference field="5" count="1" selected="0">
            <x v="607"/>
          </reference>
          <reference field="6" count="1">
            <x v="47"/>
          </reference>
        </references>
      </pivotArea>
    </format>
    <format dxfId="540">
      <pivotArea dataOnly="0" labelOnly="1" fieldPosition="0">
        <references count="6">
          <reference field="1" count="1" selected="0">
            <x v="146"/>
          </reference>
          <reference field="2" count="1" selected="0">
            <x v="12"/>
          </reference>
          <reference field="3" count="1" selected="0">
            <x v="1"/>
          </reference>
          <reference field="4" count="1" selected="0">
            <x v="235"/>
          </reference>
          <reference field="5" count="1" selected="0">
            <x v="702"/>
          </reference>
          <reference field="6" count="1">
            <x v="47"/>
          </reference>
        </references>
      </pivotArea>
    </format>
    <format dxfId="539">
      <pivotArea dataOnly="0" labelOnly="1" fieldPosition="0">
        <references count="6">
          <reference field="1" count="1" selected="0">
            <x v="146"/>
          </reference>
          <reference field="2" count="1" selected="0">
            <x v="12"/>
          </reference>
          <reference field="3" count="1" selected="0">
            <x v="1"/>
          </reference>
          <reference field="4" count="1" selected="0">
            <x v="235"/>
          </reference>
          <reference field="5" count="1" selected="0">
            <x v="771"/>
          </reference>
          <reference field="6" count="1">
            <x v="47"/>
          </reference>
        </references>
      </pivotArea>
    </format>
    <format dxfId="538">
      <pivotArea dataOnly="0" labelOnly="1" fieldPosition="0">
        <references count="6">
          <reference field="1" count="1" selected="0">
            <x v="146"/>
          </reference>
          <reference field="2" count="1" selected="0">
            <x v="17"/>
          </reference>
          <reference field="3" count="1" selected="0">
            <x v="6"/>
          </reference>
          <reference field="4" count="1" selected="0">
            <x v="235"/>
          </reference>
          <reference field="5" count="1" selected="0">
            <x v="1696"/>
          </reference>
          <reference field="6" count="1">
            <x v="47"/>
          </reference>
        </references>
      </pivotArea>
    </format>
    <format dxfId="537">
      <pivotArea dataOnly="0" labelOnly="1" fieldPosition="0">
        <references count="6">
          <reference field="1" count="1" selected="0">
            <x v="146"/>
          </reference>
          <reference field="2" count="1" selected="0">
            <x v="17"/>
          </reference>
          <reference field="3" count="1" selected="0">
            <x v="9"/>
          </reference>
          <reference field="4" count="1" selected="0">
            <x v="235"/>
          </reference>
          <reference field="5" count="1" selected="0">
            <x v="1433"/>
          </reference>
          <reference field="6" count="1">
            <x v="47"/>
          </reference>
        </references>
      </pivotArea>
    </format>
    <format dxfId="536">
      <pivotArea dataOnly="0" labelOnly="1" fieldPosition="0">
        <references count="6">
          <reference field="1" count="1" selected="0">
            <x v="146"/>
          </reference>
          <reference field="2" count="1" selected="0">
            <x v="19"/>
          </reference>
          <reference field="3" count="1" selected="0">
            <x v="6"/>
          </reference>
          <reference field="4" count="1" selected="0">
            <x v="235"/>
          </reference>
          <reference field="5" count="1" selected="0">
            <x v="539"/>
          </reference>
          <reference field="6" count="1">
            <x v="47"/>
          </reference>
        </references>
      </pivotArea>
    </format>
    <format dxfId="535">
      <pivotArea dataOnly="0" labelOnly="1" fieldPosition="0">
        <references count="6">
          <reference field="1" count="1" selected="0">
            <x v="146"/>
          </reference>
          <reference field="2" count="1" selected="0">
            <x v="23"/>
          </reference>
          <reference field="3" count="1" selected="0">
            <x v="6"/>
          </reference>
          <reference field="4" count="1" selected="0">
            <x v="235"/>
          </reference>
          <reference field="5" count="1" selected="0">
            <x v="325"/>
          </reference>
          <reference field="6" count="1">
            <x v="47"/>
          </reference>
        </references>
      </pivotArea>
    </format>
    <format dxfId="534">
      <pivotArea dataOnly="0" labelOnly="1" fieldPosition="0">
        <references count="6">
          <reference field="1" count="1" selected="0">
            <x v="146"/>
          </reference>
          <reference field="2" count="1" selected="0">
            <x v="33"/>
          </reference>
          <reference field="3" count="1" selected="0">
            <x v="38"/>
          </reference>
          <reference field="4" count="1" selected="0">
            <x v="235"/>
          </reference>
          <reference field="5" count="1" selected="0">
            <x v="710"/>
          </reference>
          <reference field="6" count="1">
            <x v="47"/>
          </reference>
        </references>
      </pivotArea>
    </format>
    <format dxfId="533">
      <pivotArea dataOnly="0" labelOnly="1" fieldPosition="0">
        <references count="6">
          <reference field="1" count="1" selected="0">
            <x v="146"/>
          </reference>
          <reference field="2" count="1" selected="0">
            <x v="34"/>
          </reference>
          <reference field="3" count="1" selected="0">
            <x v="38"/>
          </reference>
          <reference field="4" count="1" selected="0">
            <x v="235"/>
          </reference>
          <reference field="5" count="1" selected="0">
            <x v="1167"/>
          </reference>
          <reference field="6" count="1">
            <x v="47"/>
          </reference>
        </references>
      </pivotArea>
    </format>
    <format dxfId="532">
      <pivotArea dataOnly="0" labelOnly="1" fieldPosition="0">
        <references count="6">
          <reference field="1" count="1" selected="0">
            <x v="146"/>
          </reference>
          <reference field="2" count="1" selected="0">
            <x v="35"/>
          </reference>
          <reference field="3" count="1" selected="0">
            <x v="1"/>
          </reference>
          <reference field="4" count="1" selected="0">
            <x v="235"/>
          </reference>
          <reference field="5" count="1" selected="0">
            <x v="80"/>
          </reference>
          <reference field="6" count="1">
            <x v="47"/>
          </reference>
        </references>
      </pivotArea>
    </format>
    <format dxfId="531">
      <pivotArea dataOnly="0" labelOnly="1" fieldPosition="0">
        <references count="6">
          <reference field="1" count="1" selected="0">
            <x v="146"/>
          </reference>
          <reference field="2" count="1" selected="0">
            <x v="35"/>
          </reference>
          <reference field="3" count="1" selected="0">
            <x v="1"/>
          </reference>
          <reference field="4" count="1" selected="0">
            <x v="235"/>
          </reference>
          <reference field="5" count="1" selected="0">
            <x v="500"/>
          </reference>
          <reference field="6" count="1">
            <x v="47"/>
          </reference>
        </references>
      </pivotArea>
    </format>
    <format dxfId="530">
      <pivotArea dataOnly="0" labelOnly="1" fieldPosition="0">
        <references count="6">
          <reference field="1" count="1" selected="0">
            <x v="146"/>
          </reference>
          <reference field="2" count="1" selected="0">
            <x v="36"/>
          </reference>
          <reference field="3" count="1" selected="0">
            <x v="8"/>
          </reference>
          <reference field="4" count="1" selected="0">
            <x v="235"/>
          </reference>
          <reference field="5" count="1" selected="0">
            <x v="1463"/>
          </reference>
          <reference field="6" count="1">
            <x v="47"/>
          </reference>
        </references>
      </pivotArea>
    </format>
    <format dxfId="529">
      <pivotArea dataOnly="0" labelOnly="1" fieldPosition="0">
        <references count="6">
          <reference field="1" count="1" selected="0">
            <x v="146"/>
          </reference>
          <reference field="2" count="1" selected="0">
            <x v="36"/>
          </reference>
          <reference field="3" count="1" selected="0">
            <x v="9"/>
          </reference>
          <reference field="4" count="1" selected="0">
            <x v="235"/>
          </reference>
          <reference field="5" count="1" selected="0">
            <x v="1368"/>
          </reference>
          <reference field="6" count="1">
            <x v="47"/>
          </reference>
        </references>
      </pivotArea>
    </format>
    <format dxfId="528">
      <pivotArea dataOnly="0" labelOnly="1" fieldPosition="0">
        <references count="6">
          <reference field="1" count="1" selected="0">
            <x v="146"/>
          </reference>
          <reference field="2" count="1" selected="0">
            <x v="36"/>
          </reference>
          <reference field="3" count="1" selected="0">
            <x v="38"/>
          </reference>
          <reference field="4" count="1" selected="0">
            <x v="235"/>
          </reference>
          <reference field="5" count="1" selected="0">
            <x v="214"/>
          </reference>
          <reference field="6" count="1">
            <x v="47"/>
          </reference>
        </references>
      </pivotArea>
    </format>
    <format dxfId="527">
      <pivotArea dataOnly="0" labelOnly="1" fieldPosition="0">
        <references count="6">
          <reference field="1" count="1" selected="0">
            <x v="147"/>
          </reference>
          <reference field="2" count="1" selected="0">
            <x v="0"/>
          </reference>
          <reference field="3" count="1" selected="0">
            <x v="12"/>
          </reference>
          <reference field="4" count="1" selected="0">
            <x v="4"/>
          </reference>
          <reference field="5" count="1" selected="0">
            <x v="73"/>
          </reference>
          <reference field="6" count="1">
            <x v="47"/>
          </reference>
        </references>
      </pivotArea>
    </format>
    <format dxfId="526">
      <pivotArea dataOnly="0" labelOnly="1" fieldPosition="0">
        <references count="6">
          <reference field="1" count="1" selected="0">
            <x v="147"/>
          </reference>
          <reference field="2" count="1" selected="0">
            <x v="0"/>
          </reference>
          <reference field="3" count="1" selected="0">
            <x v="12"/>
          </reference>
          <reference field="4" count="1" selected="0">
            <x v="26"/>
          </reference>
          <reference field="5" count="1" selected="0">
            <x v="25"/>
          </reference>
          <reference field="6" count="1">
            <x v="47"/>
          </reference>
        </references>
      </pivotArea>
    </format>
    <format dxfId="525">
      <pivotArea dataOnly="0" labelOnly="1" fieldPosition="0">
        <references count="6">
          <reference field="1" count="1" selected="0">
            <x v="147"/>
          </reference>
          <reference field="2" count="1" selected="0">
            <x v="0"/>
          </reference>
          <reference field="3" count="1" selected="0">
            <x v="12"/>
          </reference>
          <reference field="4" count="1" selected="0">
            <x v="55"/>
          </reference>
          <reference field="5" count="1" selected="0">
            <x v="25"/>
          </reference>
          <reference field="6" count="1">
            <x v="47"/>
          </reference>
        </references>
      </pivotArea>
    </format>
    <format dxfId="524">
      <pivotArea dataOnly="0" labelOnly="1" fieldPosition="0">
        <references count="6">
          <reference field="1" count="1" selected="0">
            <x v="147"/>
          </reference>
          <reference field="2" count="1" selected="0">
            <x v="1"/>
          </reference>
          <reference field="3" count="1" selected="0">
            <x v="37"/>
          </reference>
          <reference field="4" count="1" selected="0">
            <x v="236"/>
          </reference>
          <reference field="5" count="1" selected="0">
            <x v="1851"/>
          </reference>
          <reference field="6" count="1">
            <x v="47"/>
          </reference>
        </references>
      </pivotArea>
    </format>
    <format dxfId="523">
      <pivotArea dataOnly="0" labelOnly="1" fieldPosition="0">
        <references count="6">
          <reference field="1" count="1" selected="0">
            <x v="147"/>
          </reference>
          <reference field="2" count="1" selected="0">
            <x v="5"/>
          </reference>
          <reference field="3" count="1" selected="0">
            <x v="37"/>
          </reference>
          <reference field="4" count="1" selected="0">
            <x v="236"/>
          </reference>
          <reference field="5" count="1" selected="0">
            <x v="960"/>
          </reference>
          <reference field="6" count="1">
            <x v="47"/>
          </reference>
        </references>
      </pivotArea>
    </format>
    <format dxfId="522">
      <pivotArea dataOnly="0" labelOnly="1" fieldPosition="0">
        <references count="6">
          <reference field="1" count="1" selected="0">
            <x v="147"/>
          </reference>
          <reference field="2" count="1" selected="0">
            <x v="12"/>
          </reference>
          <reference field="3" count="1" selected="0">
            <x v="1"/>
          </reference>
          <reference field="4" count="1" selected="0">
            <x v="236"/>
          </reference>
          <reference field="5" count="1" selected="0">
            <x v="80"/>
          </reference>
          <reference field="6" count="1">
            <x v="47"/>
          </reference>
        </references>
      </pivotArea>
    </format>
    <format dxfId="521">
      <pivotArea dataOnly="0" labelOnly="1" fieldPosition="0">
        <references count="6">
          <reference field="1" count="1" selected="0">
            <x v="147"/>
          </reference>
          <reference field="2" count="1" selected="0">
            <x v="12"/>
          </reference>
          <reference field="3" count="1" selected="0">
            <x v="1"/>
          </reference>
          <reference field="4" count="1" selected="0">
            <x v="236"/>
          </reference>
          <reference field="5" count="1" selected="0">
            <x v="213"/>
          </reference>
          <reference field="6" count="1">
            <x v="47"/>
          </reference>
        </references>
      </pivotArea>
    </format>
    <format dxfId="520">
      <pivotArea dataOnly="0" labelOnly="1" fieldPosition="0">
        <references count="6">
          <reference field="1" count="1" selected="0">
            <x v="147"/>
          </reference>
          <reference field="2" count="1" selected="0">
            <x v="12"/>
          </reference>
          <reference field="3" count="1" selected="0">
            <x v="1"/>
          </reference>
          <reference field="4" count="1" selected="0">
            <x v="236"/>
          </reference>
          <reference field="5" count="1" selected="0">
            <x v="352"/>
          </reference>
          <reference field="6" count="1">
            <x v="47"/>
          </reference>
        </references>
      </pivotArea>
    </format>
    <format dxfId="519">
      <pivotArea dataOnly="0" labelOnly="1" fieldPosition="0">
        <references count="6">
          <reference field="1" count="1" selected="0">
            <x v="147"/>
          </reference>
          <reference field="2" count="1" selected="0">
            <x v="20"/>
          </reference>
          <reference field="3" count="1" selected="0">
            <x v="10"/>
          </reference>
          <reference field="4" count="1" selected="0">
            <x v="236"/>
          </reference>
          <reference field="5" count="1" selected="0">
            <x v="0"/>
          </reference>
          <reference field="6" count="1">
            <x v="3"/>
          </reference>
        </references>
      </pivotArea>
    </format>
    <format dxfId="518">
      <pivotArea dataOnly="0" labelOnly="1" fieldPosition="0">
        <references count="6">
          <reference field="1" count="1" selected="0">
            <x v="147"/>
          </reference>
          <reference field="2" count="1" selected="0">
            <x v="29"/>
          </reference>
          <reference field="3" count="1" selected="0">
            <x v="6"/>
          </reference>
          <reference field="4" count="1" selected="0">
            <x v="236"/>
          </reference>
          <reference field="5" count="1" selected="0">
            <x v="955"/>
          </reference>
          <reference field="6" count="1">
            <x v="47"/>
          </reference>
        </references>
      </pivotArea>
    </format>
    <format dxfId="517">
      <pivotArea dataOnly="0" labelOnly="1" fieldPosition="0">
        <references count="6">
          <reference field="1" count="1" selected="0">
            <x v="147"/>
          </reference>
          <reference field="2" count="1" selected="0">
            <x v="35"/>
          </reference>
          <reference field="3" count="1" selected="0">
            <x v="1"/>
          </reference>
          <reference field="4" count="1" selected="0">
            <x v="236"/>
          </reference>
          <reference field="5" count="1" selected="0">
            <x v="80"/>
          </reference>
          <reference field="6" count="1">
            <x v="47"/>
          </reference>
        </references>
      </pivotArea>
    </format>
    <format dxfId="516">
      <pivotArea dataOnly="0" labelOnly="1" fieldPosition="0">
        <references count="6">
          <reference field="1" count="1" selected="0">
            <x v="147"/>
          </reference>
          <reference field="2" count="1" selected="0">
            <x v="36"/>
          </reference>
          <reference field="3" count="1" selected="0">
            <x v="6"/>
          </reference>
          <reference field="4" count="1" selected="0">
            <x v="236"/>
          </reference>
          <reference field="5" count="1" selected="0">
            <x v="838"/>
          </reference>
          <reference field="6" count="1">
            <x v="47"/>
          </reference>
        </references>
      </pivotArea>
    </format>
    <format dxfId="515">
      <pivotArea dataOnly="0" labelOnly="1" fieldPosition="0">
        <references count="6">
          <reference field="1" count="1" selected="0">
            <x v="148"/>
          </reference>
          <reference field="2" count="1" selected="0">
            <x v="0"/>
          </reference>
          <reference field="3" count="1" selected="0">
            <x v="1"/>
          </reference>
          <reference field="4" count="1" selected="0">
            <x v="237"/>
          </reference>
          <reference field="5" count="1" selected="0">
            <x v="80"/>
          </reference>
          <reference field="6" count="1">
            <x v="47"/>
          </reference>
        </references>
      </pivotArea>
    </format>
    <format dxfId="514">
      <pivotArea dataOnly="0" labelOnly="1" fieldPosition="0">
        <references count="6">
          <reference field="1" count="1" selected="0">
            <x v="148"/>
          </reference>
          <reference field="2" count="1" selected="0">
            <x v="0"/>
          </reference>
          <reference field="3" count="1" selected="0">
            <x v="6"/>
          </reference>
          <reference field="4" count="1" selected="0">
            <x v="237"/>
          </reference>
          <reference field="5" count="1" selected="0">
            <x v="469"/>
          </reference>
          <reference field="6" count="1">
            <x v="47"/>
          </reference>
        </references>
      </pivotArea>
    </format>
    <format dxfId="513">
      <pivotArea dataOnly="0" labelOnly="1" fieldPosition="0">
        <references count="6">
          <reference field="1" count="1" selected="0">
            <x v="148"/>
          </reference>
          <reference field="2" count="1" selected="0">
            <x v="0"/>
          </reference>
          <reference field="3" count="1" selected="0">
            <x v="8"/>
          </reference>
          <reference field="4" count="1" selected="0">
            <x v="237"/>
          </reference>
          <reference field="5" count="1" selected="0">
            <x v="682"/>
          </reference>
          <reference field="6" count="1">
            <x v="47"/>
          </reference>
        </references>
      </pivotArea>
    </format>
    <format dxfId="512">
      <pivotArea dataOnly="0" labelOnly="1" fieldPosition="0">
        <references count="6">
          <reference field="1" count="1" selected="0">
            <x v="148"/>
          </reference>
          <reference field="2" count="1" selected="0">
            <x v="0"/>
          </reference>
          <reference field="3" count="1" selected="0">
            <x v="8"/>
          </reference>
          <reference field="4" count="1" selected="0">
            <x v="237"/>
          </reference>
          <reference field="5" count="1" selected="0">
            <x v="1187"/>
          </reference>
          <reference field="6" count="1">
            <x v="47"/>
          </reference>
        </references>
      </pivotArea>
    </format>
    <format dxfId="511">
      <pivotArea dataOnly="0" labelOnly="1" fieldPosition="0">
        <references count="6">
          <reference field="1" count="1" selected="0">
            <x v="148"/>
          </reference>
          <reference field="2" count="1" selected="0">
            <x v="0"/>
          </reference>
          <reference field="3" count="1" selected="0">
            <x v="9"/>
          </reference>
          <reference field="4" count="1" selected="0">
            <x v="237"/>
          </reference>
          <reference field="5" count="1" selected="0">
            <x v="341"/>
          </reference>
          <reference field="6" count="1">
            <x v="47"/>
          </reference>
        </references>
      </pivotArea>
    </format>
    <format dxfId="510">
      <pivotArea dataOnly="0" labelOnly="1" fieldPosition="0">
        <references count="6">
          <reference field="1" count="1" selected="0">
            <x v="148"/>
          </reference>
          <reference field="2" count="1" selected="0">
            <x v="0"/>
          </reference>
          <reference field="3" count="1" selected="0">
            <x v="9"/>
          </reference>
          <reference field="4" count="1" selected="0">
            <x v="237"/>
          </reference>
          <reference field="5" count="1" selected="0">
            <x v="429"/>
          </reference>
          <reference field="6" count="1">
            <x v="47"/>
          </reference>
        </references>
      </pivotArea>
    </format>
    <format dxfId="509">
      <pivotArea dataOnly="0" labelOnly="1" fieldPosition="0">
        <references count="6">
          <reference field="1" count="1" selected="0">
            <x v="148"/>
          </reference>
          <reference field="2" count="1" selected="0">
            <x v="0"/>
          </reference>
          <reference field="3" count="1" selected="0">
            <x v="9"/>
          </reference>
          <reference field="4" count="1" selected="0">
            <x v="237"/>
          </reference>
          <reference field="5" count="1" selected="0">
            <x v="493"/>
          </reference>
          <reference field="6" count="1">
            <x v="47"/>
          </reference>
        </references>
      </pivotArea>
    </format>
    <format dxfId="508">
      <pivotArea dataOnly="0" labelOnly="1" fieldPosition="0">
        <references count="6">
          <reference field="1" count="1" selected="0">
            <x v="148"/>
          </reference>
          <reference field="2" count="1" selected="0">
            <x v="0"/>
          </reference>
          <reference field="3" count="1" selected="0">
            <x v="9"/>
          </reference>
          <reference field="4" count="1" selected="0">
            <x v="237"/>
          </reference>
          <reference field="5" count="1" selected="0">
            <x v="915"/>
          </reference>
          <reference field="6" count="1">
            <x v="47"/>
          </reference>
        </references>
      </pivotArea>
    </format>
    <format dxfId="507">
      <pivotArea dataOnly="0" labelOnly="1" fieldPosition="0">
        <references count="6">
          <reference field="1" count="1" selected="0">
            <x v="148"/>
          </reference>
          <reference field="2" count="1" selected="0">
            <x v="0"/>
          </reference>
          <reference field="3" count="1" selected="0">
            <x v="9"/>
          </reference>
          <reference field="4" count="1" selected="0">
            <x v="237"/>
          </reference>
          <reference field="5" count="1" selected="0">
            <x v="921"/>
          </reference>
          <reference field="6" count="1">
            <x v="47"/>
          </reference>
        </references>
      </pivotArea>
    </format>
    <format dxfId="506">
      <pivotArea dataOnly="0" labelOnly="1" fieldPosition="0">
        <references count="6">
          <reference field="1" count="1" selected="0">
            <x v="148"/>
          </reference>
          <reference field="2" count="1" selected="0">
            <x v="0"/>
          </reference>
          <reference field="3" count="1" selected="0">
            <x v="9"/>
          </reference>
          <reference field="4" count="1" selected="0">
            <x v="237"/>
          </reference>
          <reference field="5" count="1" selected="0">
            <x v="959"/>
          </reference>
          <reference field="6" count="1">
            <x v="47"/>
          </reference>
        </references>
      </pivotArea>
    </format>
    <format dxfId="505">
      <pivotArea dataOnly="0" labelOnly="1" fieldPosition="0">
        <references count="6">
          <reference field="1" count="1" selected="0">
            <x v="148"/>
          </reference>
          <reference field="2" count="1" selected="0">
            <x v="0"/>
          </reference>
          <reference field="3" count="1" selected="0">
            <x v="9"/>
          </reference>
          <reference field="4" count="1" selected="0">
            <x v="237"/>
          </reference>
          <reference field="5" count="1" selected="0">
            <x v="1210"/>
          </reference>
          <reference field="6" count="1">
            <x v="47"/>
          </reference>
        </references>
      </pivotArea>
    </format>
    <format dxfId="504">
      <pivotArea dataOnly="0" labelOnly="1" fieldPosition="0">
        <references count="6">
          <reference field="1" count="1" selected="0">
            <x v="148"/>
          </reference>
          <reference field="2" count="1" selected="0">
            <x v="0"/>
          </reference>
          <reference field="3" count="1" selected="0">
            <x v="12"/>
          </reference>
          <reference field="4" count="1" selected="0">
            <x v="6"/>
          </reference>
          <reference field="5" count="1" selected="0">
            <x v="186"/>
          </reference>
          <reference field="6" count="1">
            <x v="47"/>
          </reference>
        </references>
      </pivotArea>
    </format>
    <format dxfId="503">
      <pivotArea dataOnly="0" labelOnly="1" fieldPosition="0">
        <references count="6">
          <reference field="1" count="1" selected="0">
            <x v="148"/>
          </reference>
          <reference field="2" count="1" selected="0">
            <x v="0"/>
          </reference>
          <reference field="3" count="1" selected="0">
            <x v="12"/>
          </reference>
          <reference field="4" count="1" selected="0">
            <x v="28"/>
          </reference>
          <reference field="5" count="1" selected="0">
            <x v="131"/>
          </reference>
          <reference field="6" count="1">
            <x v="47"/>
          </reference>
        </references>
      </pivotArea>
    </format>
    <format dxfId="502">
      <pivotArea dataOnly="0" labelOnly="1" fieldPosition="0">
        <references count="6">
          <reference field="1" count="1" selected="0">
            <x v="148"/>
          </reference>
          <reference field="2" count="1" selected="0">
            <x v="0"/>
          </reference>
          <reference field="3" count="1" selected="0">
            <x v="12"/>
          </reference>
          <reference field="4" count="1" selected="0">
            <x v="30"/>
          </reference>
          <reference field="5" count="1" selected="0">
            <x v="92"/>
          </reference>
          <reference field="6" count="1">
            <x v="47"/>
          </reference>
        </references>
      </pivotArea>
    </format>
    <format dxfId="501">
      <pivotArea dataOnly="0" labelOnly="1" fieldPosition="0">
        <references count="6">
          <reference field="1" count="1" selected="0">
            <x v="148"/>
          </reference>
          <reference field="2" count="1" selected="0">
            <x v="0"/>
          </reference>
          <reference field="3" count="1" selected="0">
            <x v="12"/>
          </reference>
          <reference field="4" count="1" selected="0">
            <x v="35"/>
          </reference>
          <reference field="5" count="1" selected="0">
            <x v="27"/>
          </reference>
          <reference field="6" count="1">
            <x v="47"/>
          </reference>
        </references>
      </pivotArea>
    </format>
    <format dxfId="500">
      <pivotArea dataOnly="0" labelOnly="1" fieldPosition="0">
        <references count="6">
          <reference field="1" count="1" selected="0">
            <x v="148"/>
          </reference>
          <reference field="2" count="1" selected="0">
            <x v="0"/>
          </reference>
          <reference field="3" count="1" selected="0">
            <x v="38"/>
          </reference>
          <reference field="4" count="1" selected="0">
            <x v="237"/>
          </reference>
          <reference field="5" count="1" selected="0">
            <x v="1503"/>
          </reference>
          <reference field="6" count="1">
            <x v="47"/>
          </reference>
        </references>
      </pivotArea>
    </format>
    <format dxfId="499">
      <pivotArea dataOnly="0" labelOnly="1" fieldPosition="0">
        <references count="6">
          <reference field="1" count="1" selected="0">
            <x v="148"/>
          </reference>
          <reference field="2" count="1" selected="0">
            <x v="5"/>
          </reference>
          <reference field="3" count="1" selected="0">
            <x v="38"/>
          </reference>
          <reference field="4" count="1" selected="0">
            <x v="237"/>
          </reference>
          <reference field="5" count="1" selected="0">
            <x v="1665"/>
          </reference>
          <reference field="6" count="1">
            <x v="47"/>
          </reference>
        </references>
      </pivotArea>
    </format>
    <format dxfId="498">
      <pivotArea dataOnly="0" labelOnly="1" fieldPosition="0">
        <references count="6">
          <reference field="1" count="1" selected="0">
            <x v="148"/>
          </reference>
          <reference field="2" count="1" selected="0">
            <x v="8"/>
          </reference>
          <reference field="3" count="1" selected="0">
            <x v="38"/>
          </reference>
          <reference field="4" count="1" selected="0">
            <x v="237"/>
          </reference>
          <reference field="5" count="1" selected="0">
            <x v="900"/>
          </reference>
          <reference field="6" count="1">
            <x v="47"/>
          </reference>
        </references>
      </pivotArea>
    </format>
    <format dxfId="497">
      <pivotArea dataOnly="0" labelOnly="1" fieldPosition="0">
        <references count="6">
          <reference field="1" count="1" selected="0">
            <x v="148"/>
          </reference>
          <reference field="2" count="1" selected="0">
            <x v="9"/>
          </reference>
          <reference field="3" count="1" selected="0">
            <x v="8"/>
          </reference>
          <reference field="4" count="1" selected="0">
            <x v="237"/>
          </reference>
          <reference field="5" count="1" selected="0">
            <x v="683"/>
          </reference>
          <reference field="6" count="1">
            <x v="47"/>
          </reference>
        </references>
      </pivotArea>
    </format>
    <format dxfId="496">
      <pivotArea dataOnly="0" labelOnly="1" fieldPosition="0">
        <references count="6">
          <reference field="1" count="1" selected="0">
            <x v="148"/>
          </reference>
          <reference field="2" count="1" selected="0">
            <x v="12"/>
          </reference>
          <reference field="3" count="1" selected="0">
            <x v="1"/>
          </reference>
          <reference field="4" count="1" selected="0">
            <x v="237"/>
          </reference>
          <reference field="5" count="1" selected="0">
            <x v="80"/>
          </reference>
          <reference field="6" count="1">
            <x v="47"/>
          </reference>
        </references>
      </pivotArea>
    </format>
    <format dxfId="495">
      <pivotArea dataOnly="0" labelOnly="1" fieldPosition="0">
        <references count="6">
          <reference field="1" count="1" selected="0">
            <x v="148"/>
          </reference>
          <reference field="2" count="1" selected="0">
            <x v="12"/>
          </reference>
          <reference field="3" count="1" selected="0">
            <x v="1"/>
          </reference>
          <reference field="4" count="1" selected="0">
            <x v="237"/>
          </reference>
          <reference field="5" count="1" selected="0">
            <x v="213"/>
          </reference>
          <reference field="6" count="1">
            <x v="47"/>
          </reference>
        </references>
      </pivotArea>
    </format>
    <format dxfId="494">
      <pivotArea dataOnly="0" labelOnly="1" fieldPosition="0">
        <references count="6">
          <reference field="1" count="1" selected="0">
            <x v="148"/>
          </reference>
          <reference field="2" count="1" selected="0">
            <x v="12"/>
          </reference>
          <reference field="3" count="1" selected="0">
            <x v="1"/>
          </reference>
          <reference field="4" count="1" selected="0">
            <x v="237"/>
          </reference>
          <reference field="5" count="1" selected="0">
            <x v="352"/>
          </reference>
          <reference field="6" count="1">
            <x v="47"/>
          </reference>
        </references>
      </pivotArea>
    </format>
    <format dxfId="493">
      <pivotArea dataOnly="0" labelOnly="1" fieldPosition="0">
        <references count="6">
          <reference field="1" count="1" selected="0">
            <x v="148"/>
          </reference>
          <reference field="2" count="1" selected="0">
            <x v="12"/>
          </reference>
          <reference field="3" count="1" selected="0">
            <x v="1"/>
          </reference>
          <reference field="4" count="1" selected="0">
            <x v="237"/>
          </reference>
          <reference field="5" count="1" selected="0">
            <x v="500"/>
          </reference>
          <reference field="6" count="1">
            <x v="47"/>
          </reference>
        </references>
      </pivotArea>
    </format>
    <format dxfId="492">
      <pivotArea dataOnly="0" labelOnly="1" fieldPosition="0">
        <references count="6">
          <reference field="1" count="1" selected="0">
            <x v="148"/>
          </reference>
          <reference field="2" count="1" selected="0">
            <x v="12"/>
          </reference>
          <reference field="3" count="1" selected="0">
            <x v="1"/>
          </reference>
          <reference field="4" count="1" selected="0">
            <x v="237"/>
          </reference>
          <reference field="5" count="1" selected="0">
            <x v="607"/>
          </reference>
          <reference field="6" count="1">
            <x v="47"/>
          </reference>
        </references>
      </pivotArea>
    </format>
    <format dxfId="491">
      <pivotArea dataOnly="0" labelOnly="1" fieldPosition="0">
        <references count="6">
          <reference field="1" count="1" selected="0">
            <x v="148"/>
          </reference>
          <reference field="2" count="1" selected="0">
            <x v="15"/>
          </reference>
          <reference field="3" count="1" selected="0">
            <x v="8"/>
          </reference>
          <reference field="4" count="1" selected="0">
            <x v="237"/>
          </reference>
          <reference field="5" count="1" selected="0">
            <x v="224"/>
          </reference>
          <reference field="6" count="1">
            <x v="47"/>
          </reference>
        </references>
      </pivotArea>
    </format>
    <format dxfId="490">
      <pivotArea dataOnly="0" labelOnly="1" fieldPosition="0">
        <references count="6">
          <reference field="1" count="1" selected="0">
            <x v="148"/>
          </reference>
          <reference field="2" count="1" selected="0">
            <x v="15"/>
          </reference>
          <reference field="3" count="1" selected="0">
            <x v="9"/>
          </reference>
          <reference field="4" count="1" selected="0">
            <x v="237"/>
          </reference>
          <reference field="5" count="1" selected="0">
            <x v="133"/>
          </reference>
          <reference field="6" count="1">
            <x v="47"/>
          </reference>
        </references>
      </pivotArea>
    </format>
    <format dxfId="489">
      <pivotArea dataOnly="0" labelOnly="1" fieldPosition="0">
        <references count="6">
          <reference field="1" count="1" selected="0">
            <x v="148"/>
          </reference>
          <reference field="2" count="1" selected="0">
            <x v="17"/>
          </reference>
          <reference field="3" count="1" selected="0">
            <x v="7"/>
          </reference>
          <reference field="4" count="1" selected="0">
            <x v="237"/>
          </reference>
          <reference field="5" count="1" selected="0">
            <x v="1219"/>
          </reference>
          <reference field="6" count="1">
            <x v="47"/>
          </reference>
        </references>
      </pivotArea>
    </format>
    <format dxfId="488">
      <pivotArea dataOnly="0" labelOnly="1" fieldPosition="0">
        <references count="6">
          <reference field="1" count="1" selected="0">
            <x v="148"/>
          </reference>
          <reference field="2" count="1" selected="0">
            <x v="17"/>
          </reference>
          <reference field="3" count="1" selected="0">
            <x v="10"/>
          </reference>
          <reference field="4" count="1" selected="0">
            <x v="237"/>
          </reference>
          <reference field="5" count="1" selected="0">
            <x v="1852"/>
          </reference>
          <reference field="6" count="1">
            <x v="47"/>
          </reference>
        </references>
      </pivotArea>
    </format>
    <format dxfId="487">
      <pivotArea dataOnly="0" labelOnly="1" fieldPosition="0">
        <references count="6">
          <reference field="1" count="1" selected="0">
            <x v="148"/>
          </reference>
          <reference field="2" count="1" selected="0">
            <x v="23"/>
          </reference>
          <reference field="3" count="1" selected="0">
            <x v="38"/>
          </reference>
          <reference field="4" count="1" selected="0">
            <x v="237"/>
          </reference>
          <reference field="5" count="1" selected="0">
            <x v="84"/>
          </reference>
          <reference field="6" count="1">
            <x v="47"/>
          </reference>
        </references>
      </pivotArea>
    </format>
    <format dxfId="486">
      <pivotArea dataOnly="0" labelOnly="1" fieldPosition="0">
        <references count="6">
          <reference field="1" count="1" selected="0">
            <x v="148"/>
          </reference>
          <reference field="2" count="1" selected="0">
            <x v="26"/>
          </reference>
          <reference field="3" count="1" selected="0">
            <x v="38"/>
          </reference>
          <reference field="4" count="1" selected="0">
            <x v="237"/>
          </reference>
          <reference field="5" count="1" selected="0">
            <x v="109"/>
          </reference>
          <reference field="6" count="1">
            <x v="47"/>
          </reference>
        </references>
      </pivotArea>
    </format>
    <format dxfId="485">
      <pivotArea dataOnly="0" labelOnly="1" fieldPosition="0">
        <references count="6">
          <reference field="1" count="1" selected="0">
            <x v="148"/>
          </reference>
          <reference field="2" count="1" selected="0">
            <x v="27"/>
          </reference>
          <reference field="3" count="1" selected="0">
            <x v="6"/>
          </reference>
          <reference field="4" count="1" selected="0">
            <x v="237"/>
          </reference>
          <reference field="5" count="1" selected="0">
            <x v="1622"/>
          </reference>
          <reference field="6" count="1">
            <x v="47"/>
          </reference>
        </references>
      </pivotArea>
    </format>
    <format dxfId="484">
      <pivotArea dataOnly="0" labelOnly="1" fieldPosition="0">
        <references count="6">
          <reference field="1" count="1" selected="0">
            <x v="148"/>
          </reference>
          <reference field="2" count="1" selected="0">
            <x v="31"/>
          </reference>
          <reference field="3" count="1" selected="0">
            <x v="9"/>
          </reference>
          <reference field="4" count="1" selected="0">
            <x v="237"/>
          </reference>
          <reference field="5" count="1" selected="0">
            <x v="1865"/>
          </reference>
          <reference field="6" count="1">
            <x v="47"/>
          </reference>
        </references>
      </pivotArea>
    </format>
    <format dxfId="483">
      <pivotArea dataOnly="0" labelOnly="1" fieldPosition="0">
        <references count="6">
          <reference field="1" count="1" selected="0">
            <x v="148"/>
          </reference>
          <reference field="2" count="1" selected="0">
            <x v="32"/>
          </reference>
          <reference field="3" count="1" selected="0">
            <x v="9"/>
          </reference>
          <reference field="4" count="1" selected="0">
            <x v="237"/>
          </reference>
          <reference field="5" count="1" selected="0">
            <x v="0"/>
          </reference>
          <reference field="6" count="1">
            <x v="4"/>
          </reference>
        </references>
      </pivotArea>
    </format>
    <format dxfId="482">
      <pivotArea dataOnly="0" labelOnly="1" fieldPosition="0">
        <references count="6">
          <reference field="1" count="1" selected="0">
            <x v="148"/>
          </reference>
          <reference field="2" count="1" selected="0">
            <x v="35"/>
          </reference>
          <reference field="3" count="1" selected="0">
            <x v="38"/>
          </reference>
          <reference field="4" count="1" selected="0">
            <x v="237"/>
          </reference>
          <reference field="5" count="1" selected="0">
            <x v="1271"/>
          </reference>
          <reference field="6" count="1">
            <x v="47"/>
          </reference>
        </references>
      </pivotArea>
    </format>
    <format dxfId="481">
      <pivotArea dataOnly="0" labelOnly="1" fieldPosition="0">
        <references count="6">
          <reference field="1" count="1" selected="0">
            <x v="148"/>
          </reference>
          <reference field="2" count="1" selected="0">
            <x v="36"/>
          </reference>
          <reference field="3" count="1" selected="0">
            <x v="8"/>
          </reference>
          <reference field="4" count="1" selected="0">
            <x v="237"/>
          </reference>
          <reference field="5" count="1" selected="0">
            <x v="1115"/>
          </reference>
          <reference field="6" count="1">
            <x v="47"/>
          </reference>
        </references>
      </pivotArea>
    </format>
    <format dxfId="480">
      <pivotArea dataOnly="0" labelOnly="1" fieldPosition="0">
        <references count="6">
          <reference field="1" count="1" selected="0">
            <x v="148"/>
          </reference>
          <reference field="2" count="1" selected="0">
            <x v="37"/>
          </reference>
          <reference field="3" count="1" selected="0">
            <x v="8"/>
          </reference>
          <reference field="4" count="1" selected="0">
            <x v="237"/>
          </reference>
          <reference field="5" count="1" selected="0">
            <x v="327"/>
          </reference>
          <reference field="6" count="1">
            <x v="47"/>
          </reference>
        </references>
      </pivotArea>
    </format>
    <format dxfId="479">
      <pivotArea dataOnly="0" labelOnly="1" fieldPosition="0">
        <references count="6">
          <reference field="1" count="1" selected="0">
            <x v="148"/>
          </reference>
          <reference field="2" count="1" selected="0">
            <x v="37"/>
          </reference>
          <reference field="3" count="1" selected="0">
            <x v="9"/>
          </reference>
          <reference field="4" count="1" selected="0">
            <x v="237"/>
          </reference>
          <reference field="5" count="1" selected="0">
            <x v="1443"/>
          </reference>
          <reference field="6" count="1">
            <x v="47"/>
          </reference>
        </references>
      </pivotArea>
    </format>
    <format dxfId="478">
      <pivotArea dataOnly="0" labelOnly="1" fieldPosition="0">
        <references count="6">
          <reference field="1" count="1" selected="0">
            <x v="149"/>
          </reference>
          <reference field="2" count="1" selected="0">
            <x v="0"/>
          </reference>
          <reference field="3" count="1" selected="0">
            <x v="1"/>
          </reference>
          <reference field="4" count="1" selected="0">
            <x v="238"/>
          </reference>
          <reference field="5" count="1" selected="0">
            <x v="80"/>
          </reference>
          <reference field="6" count="1">
            <x v="47"/>
          </reference>
        </references>
      </pivotArea>
    </format>
    <format dxfId="477">
      <pivotArea dataOnly="0" labelOnly="1" fieldPosition="0">
        <references count="6">
          <reference field="1" count="1" selected="0">
            <x v="149"/>
          </reference>
          <reference field="2" count="1" selected="0">
            <x v="0"/>
          </reference>
          <reference field="3" count="1" selected="0">
            <x v="9"/>
          </reference>
          <reference field="4" count="1" selected="0">
            <x v="238"/>
          </reference>
          <reference field="5" count="1" selected="0">
            <x v="539"/>
          </reference>
          <reference field="6" count="1">
            <x v="47"/>
          </reference>
        </references>
      </pivotArea>
    </format>
    <format dxfId="476">
      <pivotArea dataOnly="0" labelOnly="1" fieldPosition="0">
        <references count="6">
          <reference field="1" count="1" selected="0">
            <x v="149"/>
          </reference>
          <reference field="2" count="1" selected="0">
            <x v="0"/>
          </reference>
          <reference field="3" count="1" selected="0">
            <x v="9"/>
          </reference>
          <reference field="4" count="1" selected="0">
            <x v="238"/>
          </reference>
          <reference field="5" count="1" selected="0">
            <x v="547"/>
          </reference>
          <reference field="6" count="1">
            <x v="47"/>
          </reference>
        </references>
      </pivotArea>
    </format>
    <format dxfId="475">
      <pivotArea dataOnly="0" labelOnly="1" fieldPosition="0">
        <references count="6">
          <reference field="1" count="1" selected="0">
            <x v="149"/>
          </reference>
          <reference field="2" count="1" selected="0">
            <x v="0"/>
          </reference>
          <reference field="3" count="1" selected="0">
            <x v="9"/>
          </reference>
          <reference field="4" count="1" selected="0">
            <x v="238"/>
          </reference>
          <reference field="5" count="1" selected="0">
            <x v="984"/>
          </reference>
          <reference field="6" count="1">
            <x v="47"/>
          </reference>
        </references>
      </pivotArea>
    </format>
    <format dxfId="474">
      <pivotArea dataOnly="0" labelOnly="1" fieldPosition="0">
        <references count="6">
          <reference field="1" count="1" selected="0">
            <x v="149"/>
          </reference>
          <reference field="2" count="1" selected="0">
            <x v="0"/>
          </reference>
          <reference field="3" count="1" selected="0">
            <x v="12"/>
          </reference>
          <reference field="4" count="1" selected="0">
            <x v="16"/>
          </reference>
          <reference field="5" count="1" selected="0">
            <x v="90"/>
          </reference>
          <reference field="6" count="1">
            <x v="47"/>
          </reference>
        </references>
      </pivotArea>
    </format>
    <format dxfId="473">
      <pivotArea dataOnly="0" labelOnly="1" fieldPosition="0">
        <references count="6">
          <reference field="1" count="1" selected="0">
            <x v="149"/>
          </reference>
          <reference field="2" count="1" selected="0">
            <x v="0"/>
          </reference>
          <reference field="3" count="1" selected="0">
            <x v="12"/>
          </reference>
          <reference field="4" count="1" selected="0">
            <x v="19"/>
          </reference>
          <reference field="5" count="1" selected="0">
            <x v="25"/>
          </reference>
          <reference field="6" count="1">
            <x v="47"/>
          </reference>
        </references>
      </pivotArea>
    </format>
    <format dxfId="472">
      <pivotArea dataOnly="0" labelOnly="1" fieldPosition="0">
        <references count="6">
          <reference field="1" count="1" selected="0">
            <x v="149"/>
          </reference>
          <reference field="2" count="1" selected="0">
            <x v="3"/>
          </reference>
          <reference field="3" count="1" selected="0">
            <x v="38"/>
          </reference>
          <reference field="4" count="1" selected="0">
            <x v="238"/>
          </reference>
          <reference field="5" count="1" selected="0">
            <x v="109"/>
          </reference>
          <reference field="6" count="1">
            <x v="47"/>
          </reference>
        </references>
      </pivotArea>
    </format>
    <format dxfId="471">
      <pivotArea dataOnly="0" labelOnly="1" fieldPosition="0">
        <references count="6">
          <reference field="1" count="1" selected="0">
            <x v="149"/>
          </reference>
          <reference field="2" count="1" selected="0">
            <x v="5"/>
          </reference>
          <reference field="3" count="1" selected="0">
            <x v="10"/>
          </reference>
          <reference field="4" count="1" selected="0">
            <x v="238"/>
          </reference>
          <reference field="5" count="1" selected="0">
            <x v="1362"/>
          </reference>
          <reference field="6" count="1">
            <x v="47"/>
          </reference>
        </references>
      </pivotArea>
    </format>
    <format dxfId="470">
      <pivotArea dataOnly="0" labelOnly="1" fieldPosition="0">
        <references count="6">
          <reference field="1" count="1" selected="0">
            <x v="149"/>
          </reference>
          <reference field="2" count="1" selected="0">
            <x v="5"/>
          </reference>
          <reference field="3" count="1" selected="0">
            <x v="38"/>
          </reference>
          <reference field="4" count="1" selected="0">
            <x v="238"/>
          </reference>
          <reference field="5" count="1" selected="0">
            <x v="371"/>
          </reference>
          <reference field="6" count="1">
            <x v="47"/>
          </reference>
        </references>
      </pivotArea>
    </format>
    <format dxfId="469">
      <pivotArea dataOnly="0" labelOnly="1" fieldPosition="0">
        <references count="6">
          <reference field="1" count="1" selected="0">
            <x v="149"/>
          </reference>
          <reference field="2" count="1" selected="0">
            <x v="6"/>
          </reference>
          <reference field="3" count="1" selected="0">
            <x v="38"/>
          </reference>
          <reference field="4" count="1" selected="0">
            <x v="238"/>
          </reference>
          <reference field="5" count="1" selected="0">
            <x v="919"/>
          </reference>
          <reference field="6" count="1">
            <x v="47"/>
          </reference>
        </references>
      </pivotArea>
    </format>
    <format dxfId="468">
      <pivotArea dataOnly="0" labelOnly="1" fieldPosition="0">
        <references count="6">
          <reference field="1" count="1" selected="0">
            <x v="149"/>
          </reference>
          <reference field="2" count="1" selected="0">
            <x v="12"/>
          </reference>
          <reference field="3" count="1" selected="0">
            <x v="1"/>
          </reference>
          <reference field="4" count="1" selected="0">
            <x v="238"/>
          </reference>
          <reference field="5" count="1" selected="0">
            <x v="80"/>
          </reference>
          <reference field="6" count="1">
            <x v="47"/>
          </reference>
        </references>
      </pivotArea>
    </format>
    <format dxfId="467">
      <pivotArea dataOnly="0" labelOnly="1" fieldPosition="0">
        <references count="6">
          <reference field="1" count="1" selected="0">
            <x v="149"/>
          </reference>
          <reference field="2" count="1" selected="0">
            <x v="12"/>
          </reference>
          <reference field="3" count="1" selected="0">
            <x v="1"/>
          </reference>
          <reference field="4" count="1" selected="0">
            <x v="238"/>
          </reference>
          <reference field="5" count="1" selected="0">
            <x v="352"/>
          </reference>
          <reference field="6" count="1">
            <x v="47"/>
          </reference>
        </references>
      </pivotArea>
    </format>
    <format dxfId="466">
      <pivotArea dataOnly="0" labelOnly="1" fieldPosition="0">
        <references count="6">
          <reference field="1" count="1" selected="0">
            <x v="149"/>
          </reference>
          <reference field="2" count="1" selected="0">
            <x v="12"/>
          </reference>
          <reference field="3" count="1" selected="0">
            <x v="1"/>
          </reference>
          <reference field="4" count="1" selected="0">
            <x v="238"/>
          </reference>
          <reference field="5" count="1" selected="0">
            <x v="500"/>
          </reference>
          <reference field="6" count="1">
            <x v="47"/>
          </reference>
        </references>
      </pivotArea>
    </format>
    <format dxfId="465">
      <pivotArea dataOnly="0" labelOnly="1" fieldPosition="0">
        <references count="6">
          <reference field="1" count="1" selected="0">
            <x v="149"/>
          </reference>
          <reference field="2" count="1" selected="0">
            <x v="12"/>
          </reference>
          <reference field="3" count="1" selected="0">
            <x v="1"/>
          </reference>
          <reference field="4" count="1" selected="0">
            <x v="238"/>
          </reference>
          <reference field="5" count="1" selected="0">
            <x v="607"/>
          </reference>
          <reference field="6" count="1">
            <x v="47"/>
          </reference>
        </references>
      </pivotArea>
    </format>
    <format dxfId="464">
      <pivotArea dataOnly="0" labelOnly="1" fieldPosition="0">
        <references count="6">
          <reference field="1" count="1" selected="0">
            <x v="149"/>
          </reference>
          <reference field="2" count="1" selected="0">
            <x v="15"/>
          </reference>
          <reference field="3" count="1" selected="0">
            <x v="38"/>
          </reference>
          <reference field="4" count="1" selected="0">
            <x v="238"/>
          </reference>
          <reference field="5" count="1" selected="0">
            <x v="1337"/>
          </reference>
          <reference field="6" count="1">
            <x v="47"/>
          </reference>
        </references>
      </pivotArea>
    </format>
    <format dxfId="463">
      <pivotArea dataOnly="0" labelOnly="1" fieldPosition="0">
        <references count="6">
          <reference field="1" count="1" selected="0">
            <x v="149"/>
          </reference>
          <reference field="2" count="1" selected="0">
            <x v="21"/>
          </reference>
          <reference field="3" count="1" selected="0">
            <x v="38"/>
          </reference>
          <reference field="4" count="1" selected="0">
            <x v="238"/>
          </reference>
          <reference field="5" count="1" selected="0">
            <x v="1274"/>
          </reference>
          <reference field="6" count="1">
            <x v="47"/>
          </reference>
        </references>
      </pivotArea>
    </format>
    <format dxfId="462">
      <pivotArea dataOnly="0" labelOnly="1" fieldPosition="0">
        <references count="6">
          <reference field="1" count="1" selected="0">
            <x v="149"/>
          </reference>
          <reference field="2" count="1" selected="0">
            <x v="23"/>
          </reference>
          <reference field="3" count="1" selected="0">
            <x v="7"/>
          </reference>
          <reference field="4" count="1" selected="0">
            <x v="238"/>
          </reference>
          <reference field="5" count="1" selected="0">
            <x v="371"/>
          </reference>
          <reference field="6" count="1">
            <x v="47"/>
          </reference>
        </references>
      </pivotArea>
    </format>
    <format dxfId="461">
      <pivotArea dataOnly="0" labelOnly="1" fieldPosition="0">
        <references count="6">
          <reference field="1" count="1" selected="0">
            <x v="149"/>
          </reference>
          <reference field="2" count="1" selected="0">
            <x v="23"/>
          </reference>
          <reference field="3" count="1" selected="0">
            <x v="9"/>
          </reference>
          <reference field="4" count="1" selected="0">
            <x v="238"/>
          </reference>
          <reference field="5" count="1" selected="0">
            <x v="1512"/>
          </reference>
          <reference field="6" count="1">
            <x v="47"/>
          </reference>
        </references>
      </pivotArea>
    </format>
    <format dxfId="460">
      <pivotArea dataOnly="0" labelOnly="1" fieldPosition="0">
        <references count="6">
          <reference field="1" count="1" selected="0">
            <x v="149"/>
          </reference>
          <reference field="2" count="1" selected="0">
            <x v="23"/>
          </reference>
          <reference field="3" count="1" selected="0">
            <x v="38"/>
          </reference>
          <reference field="4" count="1" selected="0">
            <x v="238"/>
          </reference>
          <reference field="5" count="1" selected="0">
            <x v="1855"/>
          </reference>
          <reference field="6" count="1">
            <x v="47"/>
          </reference>
        </references>
      </pivotArea>
    </format>
    <format dxfId="459">
      <pivotArea dataOnly="0" labelOnly="1" fieldPosition="0">
        <references count="6">
          <reference field="1" count="1" selected="0">
            <x v="149"/>
          </reference>
          <reference field="2" count="1" selected="0">
            <x v="26"/>
          </reference>
          <reference field="3" count="1" selected="0">
            <x v="38"/>
          </reference>
          <reference field="4" count="1" selected="0">
            <x v="238"/>
          </reference>
          <reference field="5" count="1" selected="0">
            <x v="278"/>
          </reference>
          <reference field="6" count="1">
            <x v="47"/>
          </reference>
        </references>
      </pivotArea>
    </format>
    <format dxfId="458">
      <pivotArea dataOnly="0" labelOnly="1" fieldPosition="0">
        <references count="6">
          <reference field="1" count="1" selected="0">
            <x v="149"/>
          </reference>
          <reference field="2" count="1" selected="0">
            <x v="33"/>
          </reference>
          <reference field="3" count="1" selected="0">
            <x v="9"/>
          </reference>
          <reference field="4" count="1" selected="0">
            <x v="238"/>
          </reference>
          <reference field="5" count="1" selected="0">
            <x v="1069"/>
          </reference>
          <reference field="6" count="1">
            <x v="47"/>
          </reference>
        </references>
      </pivotArea>
    </format>
    <format dxfId="457">
      <pivotArea dataOnly="0" labelOnly="1" fieldPosition="0">
        <references count="6">
          <reference field="1" count="1" selected="0">
            <x v="149"/>
          </reference>
          <reference field="2" count="1" selected="0">
            <x v="33"/>
          </reference>
          <reference field="3" count="1" selected="0">
            <x v="38"/>
          </reference>
          <reference field="4" count="1" selected="0">
            <x v="238"/>
          </reference>
          <reference field="5" count="1" selected="0">
            <x v="849"/>
          </reference>
          <reference field="6" count="1">
            <x v="47"/>
          </reference>
        </references>
      </pivotArea>
    </format>
    <format dxfId="456">
      <pivotArea dataOnly="0" labelOnly="1" fieldPosition="0">
        <references count="6">
          <reference field="1" count="1" selected="0">
            <x v="149"/>
          </reference>
          <reference field="2" count="1" selected="0">
            <x v="35"/>
          </reference>
          <reference field="3" count="1" selected="0">
            <x v="1"/>
          </reference>
          <reference field="4" count="1" selected="0">
            <x v="238"/>
          </reference>
          <reference field="5" count="1" selected="0">
            <x v="80"/>
          </reference>
          <reference field="6" count="1">
            <x v="47"/>
          </reference>
        </references>
      </pivotArea>
    </format>
    <format dxfId="455">
      <pivotArea dataOnly="0" labelOnly="1" fieldPosition="0">
        <references count="6">
          <reference field="1" count="1" selected="0">
            <x v="149"/>
          </reference>
          <reference field="2" count="1" selected="0">
            <x v="35"/>
          </reference>
          <reference field="3" count="1" selected="0">
            <x v="1"/>
          </reference>
          <reference field="4" count="1" selected="0">
            <x v="238"/>
          </reference>
          <reference field="5" count="1" selected="0">
            <x v="352"/>
          </reference>
          <reference field="6" count="1">
            <x v="47"/>
          </reference>
        </references>
      </pivotArea>
    </format>
    <format dxfId="454">
      <pivotArea dataOnly="0" labelOnly="1" fieldPosition="0">
        <references count="6">
          <reference field="1" count="1" selected="0">
            <x v="149"/>
          </reference>
          <reference field="2" count="1" selected="0">
            <x v="35"/>
          </reference>
          <reference field="3" count="1" selected="0">
            <x v="1"/>
          </reference>
          <reference field="4" count="1" selected="0">
            <x v="238"/>
          </reference>
          <reference field="5" count="1" selected="0">
            <x v="500"/>
          </reference>
          <reference field="6" count="1">
            <x v="47"/>
          </reference>
        </references>
      </pivotArea>
    </format>
    <format dxfId="453">
      <pivotArea dataOnly="0" labelOnly="1" fieldPosition="0">
        <references count="6">
          <reference field="1" count="1" selected="0">
            <x v="150"/>
          </reference>
          <reference field="2" count="1" selected="0">
            <x v="0"/>
          </reference>
          <reference field="3" count="1" selected="0">
            <x v="8"/>
          </reference>
          <reference field="4" count="1" selected="0">
            <x v="239"/>
          </reference>
          <reference field="5" count="1" selected="0">
            <x v="0"/>
          </reference>
          <reference field="6" count="2">
            <x v="10"/>
            <x v="22"/>
          </reference>
        </references>
      </pivotArea>
    </format>
    <format dxfId="452">
      <pivotArea dataOnly="0" labelOnly="1" fieldPosition="0">
        <references count="6">
          <reference field="1" count="1" selected="0">
            <x v="150"/>
          </reference>
          <reference field="2" count="1" selected="0">
            <x v="0"/>
          </reference>
          <reference field="3" count="1" selected="0">
            <x v="9"/>
          </reference>
          <reference field="4" count="1" selected="0">
            <x v="239"/>
          </reference>
          <reference field="5" count="1" selected="0">
            <x v="825"/>
          </reference>
          <reference field="6" count="1">
            <x v="47"/>
          </reference>
        </references>
      </pivotArea>
    </format>
    <format dxfId="451">
      <pivotArea dataOnly="0" labelOnly="1" fieldPosition="0">
        <references count="6">
          <reference field="1" count="1" selected="0">
            <x v="150"/>
          </reference>
          <reference field="2" count="1" selected="0">
            <x v="0"/>
          </reference>
          <reference field="3" count="1" selected="0">
            <x v="9"/>
          </reference>
          <reference field="4" count="1" selected="0">
            <x v="239"/>
          </reference>
          <reference field="5" count="1" selected="0">
            <x v="1494"/>
          </reference>
          <reference field="6" count="1">
            <x v="47"/>
          </reference>
        </references>
      </pivotArea>
    </format>
    <format dxfId="450">
      <pivotArea dataOnly="0" labelOnly="1" fieldPosition="0">
        <references count="6">
          <reference field="1" count="1" selected="0">
            <x v="150"/>
          </reference>
          <reference field="2" count="1" selected="0">
            <x v="0"/>
          </reference>
          <reference field="3" count="1" selected="0">
            <x v="10"/>
          </reference>
          <reference field="4" count="1" selected="0">
            <x v="239"/>
          </reference>
          <reference field="5" count="1" selected="0">
            <x v="0"/>
          </reference>
          <reference field="6" count="1">
            <x v="25"/>
          </reference>
        </references>
      </pivotArea>
    </format>
    <format dxfId="449">
      <pivotArea dataOnly="0" labelOnly="1" fieldPosition="0">
        <references count="6">
          <reference field="1" count="1" selected="0">
            <x v="150"/>
          </reference>
          <reference field="2" count="1" selected="0">
            <x v="0"/>
          </reference>
          <reference field="3" count="1" selected="0">
            <x v="12"/>
          </reference>
          <reference field="4" count="1" selected="0">
            <x v="57"/>
          </reference>
          <reference field="5" count="1" selected="0">
            <x v="11"/>
          </reference>
          <reference field="6" count="1">
            <x v="47"/>
          </reference>
        </references>
      </pivotArea>
    </format>
    <format dxfId="448">
      <pivotArea dataOnly="0" labelOnly="1" fieldPosition="0">
        <references count="6">
          <reference field="1" count="1" selected="0">
            <x v="150"/>
          </reference>
          <reference field="2" count="1" selected="0">
            <x v="8"/>
          </reference>
          <reference field="3" count="1" selected="0">
            <x v="38"/>
          </reference>
          <reference field="4" count="1" selected="0">
            <x v="239"/>
          </reference>
          <reference field="5" count="1" selected="0">
            <x v="868"/>
          </reference>
          <reference field="6" count="1">
            <x v="47"/>
          </reference>
        </references>
      </pivotArea>
    </format>
    <format dxfId="447">
      <pivotArea dataOnly="0" labelOnly="1" fieldPosition="0">
        <references count="6">
          <reference field="1" count="1" selected="0">
            <x v="150"/>
          </reference>
          <reference field="2" count="1" selected="0">
            <x v="9"/>
          </reference>
          <reference field="3" count="1" selected="0">
            <x v="1"/>
          </reference>
          <reference field="4" count="1" selected="0">
            <x v="239"/>
          </reference>
          <reference field="5" count="1" selected="0">
            <x v="72"/>
          </reference>
          <reference field="6" count="1">
            <x v="47"/>
          </reference>
        </references>
      </pivotArea>
    </format>
    <format dxfId="446">
      <pivotArea dataOnly="0" labelOnly="1" fieldPosition="0">
        <references count="6">
          <reference field="1" count="1" selected="0">
            <x v="150"/>
          </reference>
          <reference field="2" count="1" selected="0">
            <x v="11"/>
          </reference>
          <reference field="3" count="1" selected="0">
            <x v="7"/>
          </reference>
          <reference field="4" count="1" selected="0">
            <x v="239"/>
          </reference>
          <reference field="5" count="1" selected="0">
            <x v="313"/>
          </reference>
          <reference field="6" count="1">
            <x v="47"/>
          </reference>
        </references>
      </pivotArea>
    </format>
    <format dxfId="445">
      <pivotArea dataOnly="0" labelOnly="1" fieldPosition="0">
        <references count="6">
          <reference field="1" count="1" selected="0">
            <x v="150"/>
          </reference>
          <reference field="2" count="1" selected="0">
            <x v="11"/>
          </reference>
          <reference field="3" count="1" selected="0">
            <x v="8"/>
          </reference>
          <reference field="4" count="1" selected="0">
            <x v="239"/>
          </reference>
          <reference field="5" count="1" selected="0">
            <x v="0"/>
          </reference>
          <reference field="6" count="1">
            <x v="35"/>
          </reference>
        </references>
      </pivotArea>
    </format>
    <format dxfId="444">
      <pivotArea dataOnly="0" labelOnly="1" fieldPosition="0">
        <references count="6">
          <reference field="1" count="1" selected="0">
            <x v="150"/>
          </reference>
          <reference field="2" count="1" selected="0">
            <x v="12"/>
          </reference>
          <reference field="3" count="1" selected="0">
            <x v="1"/>
          </reference>
          <reference field="4" count="1" selected="0">
            <x v="239"/>
          </reference>
          <reference field="5" count="1" selected="0">
            <x v="80"/>
          </reference>
          <reference field="6" count="1">
            <x v="47"/>
          </reference>
        </references>
      </pivotArea>
    </format>
    <format dxfId="443">
      <pivotArea dataOnly="0" labelOnly="1" fieldPosition="0">
        <references count="6">
          <reference field="1" count="1" selected="0">
            <x v="150"/>
          </reference>
          <reference field="2" count="1" selected="0">
            <x v="12"/>
          </reference>
          <reference field="3" count="1" selected="0">
            <x v="1"/>
          </reference>
          <reference field="4" count="1" selected="0">
            <x v="239"/>
          </reference>
          <reference field="5" count="1" selected="0">
            <x v="213"/>
          </reference>
          <reference field="6" count="1">
            <x v="47"/>
          </reference>
        </references>
      </pivotArea>
    </format>
    <format dxfId="442">
      <pivotArea dataOnly="0" labelOnly="1" fieldPosition="0">
        <references count="6">
          <reference field="1" count="1" selected="0">
            <x v="150"/>
          </reference>
          <reference field="2" count="1" selected="0">
            <x v="12"/>
          </reference>
          <reference field="3" count="1" selected="0">
            <x v="38"/>
          </reference>
          <reference field="4" count="1" selected="0">
            <x v="239"/>
          </reference>
          <reference field="5" count="1" selected="0">
            <x v="1244"/>
          </reference>
          <reference field="6" count="1">
            <x v="47"/>
          </reference>
        </references>
      </pivotArea>
    </format>
    <format dxfId="441">
      <pivotArea dataOnly="0" labelOnly="1" fieldPosition="0">
        <references count="6">
          <reference field="1" count="1" selected="0">
            <x v="150"/>
          </reference>
          <reference field="2" count="1" selected="0">
            <x v="14"/>
          </reference>
          <reference field="3" count="1" selected="0">
            <x v="8"/>
          </reference>
          <reference field="4" count="1" selected="0">
            <x v="239"/>
          </reference>
          <reference field="5" count="1" selected="0">
            <x v="0"/>
          </reference>
          <reference field="6" count="1">
            <x v="16"/>
          </reference>
        </references>
      </pivotArea>
    </format>
    <format dxfId="440">
      <pivotArea dataOnly="0" labelOnly="1" fieldPosition="0">
        <references count="6">
          <reference field="1" count="1" selected="0">
            <x v="150"/>
          </reference>
          <reference field="2" count="1" selected="0">
            <x v="14"/>
          </reference>
          <reference field="3" count="1" selected="0">
            <x v="9"/>
          </reference>
          <reference field="4" count="1" selected="0">
            <x v="239"/>
          </reference>
          <reference field="5" count="1" selected="0">
            <x v="1169"/>
          </reference>
          <reference field="6" count="1">
            <x v="47"/>
          </reference>
        </references>
      </pivotArea>
    </format>
    <format dxfId="439">
      <pivotArea dataOnly="0" labelOnly="1" fieldPosition="0">
        <references count="6">
          <reference field="1" count="1" selected="0">
            <x v="150"/>
          </reference>
          <reference field="2" count="1" selected="0">
            <x v="15"/>
          </reference>
          <reference field="3" count="1" selected="0">
            <x v="6"/>
          </reference>
          <reference field="4" count="1" selected="0">
            <x v="239"/>
          </reference>
          <reference field="5" count="1" selected="0">
            <x v="465"/>
          </reference>
          <reference field="6" count="1">
            <x v="47"/>
          </reference>
        </references>
      </pivotArea>
    </format>
    <format dxfId="438">
      <pivotArea dataOnly="0" labelOnly="1" fieldPosition="0">
        <references count="6">
          <reference field="1" count="1" selected="0">
            <x v="150"/>
          </reference>
          <reference field="2" count="1" selected="0">
            <x v="15"/>
          </reference>
          <reference field="3" count="1" selected="0">
            <x v="37"/>
          </reference>
          <reference field="4" count="1" selected="0">
            <x v="239"/>
          </reference>
          <reference field="5" count="1" selected="0">
            <x v="1813"/>
          </reference>
          <reference field="6" count="1">
            <x v="47"/>
          </reference>
        </references>
      </pivotArea>
    </format>
    <format dxfId="437">
      <pivotArea dataOnly="0" labelOnly="1" fieldPosition="0">
        <references count="6">
          <reference field="1" count="1" selected="0">
            <x v="150"/>
          </reference>
          <reference field="2" count="1" selected="0">
            <x v="15"/>
          </reference>
          <reference field="3" count="1" selected="0">
            <x v="38"/>
          </reference>
          <reference field="4" count="1" selected="0">
            <x v="239"/>
          </reference>
          <reference field="5" count="1" selected="0">
            <x v="1114"/>
          </reference>
          <reference field="6" count="1">
            <x v="47"/>
          </reference>
        </references>
      </pivotArea>
    </format>
    <format dxfId="436">
      <pivotArea dataOnly="0" labelOnly="1" fieldPosition="0">
        <references count="6">
          <reference field="1" count="1" selected="0">
            <x v="151"/>
          </reference>
          <reference field="2" count="1" selected="0">
            <x v="0"/>
          </reference>
          <reference field="3" count="1" selected="0">
            <x v="12"/>
          </reference>
          <reference field="4" count="1" selected="0">
            <x v="29"/>
          </reference>
          <reference field="5" count="1" selected="0">
            <x v="11"/>
          </reference>
          <reference field="6" count="1">
            <x v="47"/>
          </reference>
        </references>
      </pivotArea>
    </format>
    <format dxfId="435">
      <pivotArea dataOnly="0" labelOnly="1" fieldPosition="0">
        <references count="6">
          <reference field="1" count="1" selected="0">
            <x v="151"/>
          </reference>
          <reference field="2" count="1" selected="0">
            <x v="0"/>
          </reference>
          <reference field="3" count="1" selected="0">
            <x v="16"/>
          </reference>
          <reference field="4" count="1" selected="0">
            <x v="240"/>
          </reference>
          <reference field="5" count="1" selected="0">
            <x v="636"/>
          </reference>
          <reference field="6" count="1">
            <x v="47"/>
          </reference>
        </references>
      </pivotArea>
    </format>
    <format dxfId="434">
      <pivotArea dataOnly="0" labelOnly="1" fieldPosition="0">
        <references count="6">
          <reference field="1" count="1" selected="0">
            <x v="151"/>
          </reference>
          <reference field="2" count="1" selected="0">
            <x v="0"/>
          </reference>
          <reference field="3" count="1" selected="0">
            <x v="16"/>
          </reference>
          <reference field="4" count="1" selected="0">
            <x v="240"/>
          </reference>
          <reference field="5" count="1" selected="0">
            <x v="783"/>
          </reference>
          <reference field="6" count="1">
            <x v="47"/>
          </reference>
        </references>
      </pivotArea>
    </format>
    <format dxfId="433">
      <pivotArea dataOnly="0" labelOnly="1" fieldPosition="0">
        <references count="6">
          <reference field="1" count="1" selected="0">
            <x v="151"/>
          </reference>
          <reference field="2" count="1" selected="0">
            <x v="0"/>
          </reference>
          <reference field="3" count="1" selected="0">
            <x v="16"/>
          </reference>
          <reference field="4" count="1" selected="0">
            <x v="240"/>
          </reference>
          <reference field="5" count="1" selected="0">
            <x v="811"/>
          </reference>
          <reference field="6" count="1">
            <x v="47"/>
          </reference>
        </references>
      </pivotArea>
    </format>
    <format dxfId="432">
      <pivotArea dataOnly="0" labelOnly="1" fieldPosition="0">
        <references count="6">
          <reference field="1" count="1" selected="0">
            <x v="151"/>
          </reference>
          <reference field="2" count="1" selected="0">
            <x v="0"/>
          </reference>
          <reference field="3" count="1" selected="0">
            <x v="16"/>
          </reference>
          <reference field="4" count="1" selected="0">
            <x v="240"/>
          </reference>
          <reference field="5" count="1" selected="0">
            <x v="1237"/>
          </reference>
          <reference field="6" count="1">
            <x v="47"/>
          </reference>
        </references>
      </pivotArea>
    </format>
    <format dxfId="431">
      <pivotArea dataOnly="0" labelOnly="1" fieldPosition="0">
        <references count="6">
          <reference field="1" count="1" selected="0">
            <x v="151"/>
          </reference>
          <reference field="2" count="1" selected="0">
            <x v="2"/>
          </reference>
          <reference field="3" count="1" selected="0">
            <x v="16"/>
          </reference>
          <reference field="4" count="1" selected="0">
            <x v="240"/>
          </reference>
          <reference field="5" count="1" selected="0">
            <x v="1760"/>
          </reference>
          <reference field="6" count="1">
            <x v="47"/>
          </reference>
        </references>
      </pivotArea>
    </format>
    <format dxfId="430">
      <pivotArea dataOnly="0" labelOnly="1" fieldPosition="0">
        <references count="6">
          <reference field="1" count="1" selected="0">
            <x v="151"/>
          </reference>
          <reference field="2" count="1" selected="0">
            <x v="3"/>
          </reference>
          <reference field="3" count="1" selected="0">
            <x v="16"/>
          </reference>
          <reference field="4" count="1" selected="0">
            <x v="240"/>
          </reference>
          <reference field="5" count="1" selected="0">
            <x v="477"/>
          </reference>
          <reference field="6" count="1">
            <x v="47"/>
          </reference>
        </references>
      </pivotArea>
    </format>
    <format dxfId="429">
      <pivotArea dataOnly="0" labelOnly="1" fieldPosition="0">
        <references count="6">
          <reference field="1" count="1" selected="0">
            <x v="151"/>
          </reference>
          <reference field="2" count="1" selected="0">
            <x v="3"/>
          </reference>
          <reference field="3" count="1" selected="0">
            <x v="38"/>
          </reference>
          <reference field="4" count="1" selected="0">
            <x v="241"/>
          </reference>
          <reference field="5" count="1" selected="0">
            <x v="138"/>
          </reference>
          <reference field="6" count="1">
            <x v="47"/>
          </reference>
        </references>
      </pivotArea>
    </format>
    <format dxfId="428">
      <pivotArea dataOnly="0" labelOnly="1" fieldPosition="0">
        <references count="6">
          <reference field="1" count="1" selected="0">
            <x v="151"/>
          </reference>
          <reference field="2" count="1" selected="0">
            <x v="5"/>
          </reference>
          <reference field="3" count="1" selected="0">
            <x v="38"/>
          </reference>
          <reference field="4" count="1" selected="0">
            <x v="241"/>
          </reference>
          <reference field="5" count="1" selected="0">
            <x v="1773"/>
          </reference>
          <reference field="6" count="1">
            <x v="47"/>
          </reference>
        </references>
      </pivotArea>
    </format>
    <format dxfId="427">
      <pivotArea dataOnly="0" labelOnly="1" fieldPosition="0">
        <references count="6">
          <reference field="1" count="1" selected="0">
            <x v="151"/>
          </reference>
          <reference field="2" count="1" selected="0">
            <x v="12"/>
          </reference>
          <reference field="3" count="1" selected="0">
            <x v="1"/>
          </reference>
          <reference field="4" count="1" selected="0">
            <x v="241"/>
          </reference>
          <reference field="5" count="1" selected="0">
            <x v="80"/>
          </reference>
          <reference field="6" count="1">
            <x v="47"/>
          </reference>
        </references>
      </pivotArea>
    </format>
    <format dxfId="426">
      <pivotArea dataOnly="0" labelOnly="1" fieldPosition="0">
        <references count="6">
          <reference field="1" count="1" selected="0">
            <x v="151"/>
          </reference>
          <reference field="2" count="1" selected="0">
            <x v="12"/>
          </reference>
          <reference field="3" count="1" selected="0">
            <x v="1"/>
          </reference>
          <reference field="4" count="1" selected="0">
            <x v="241"/>
          </reference>
          <reference field="5" count="1" selected="0">
            <x v="213"/>
          </reference>
          <reference field="6" count="1">
            <x v="47"/>
          </reference>
        </references>
      </pivotArea>
    </format>
    <format dxfId="425">
      <pivotArea dataOnly="0" labelOnly="1" fieldPosition="0">
        <references count="6">
          <reference field="1" count="1" selected="0">
            <x v="151"/>
          </reference>
          <reference field="2" count="1" selected="0">
            <x v="12"/>
          </reference>
          <reference field="3" count="1" selected="0">
            <x v="1"/>
          </reference>
          <reference field="4" count="1" selected="0">
            <x v="241"/>
          </reference>
          <reference field="5" count="1" selected="0">
            <x v="352"/>
          </reference>
          <reference field="6" count="1">
            <x v="47"/>
          </reference>
        </references>
      </pivotArea>
    </format>
    <format dxfId="424">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434"/>
          </reference>
          <reference field="6" count="1">
            <x v="47"/>
          </reference>
        </references>
      </pivotArea>
    </format>
    <format dxfId="423">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460"/>
          </reference>
          <reference field="6" count="1">
            <x v="47"/>
          </reference>
        </references>
      </pivotArea>
    </format>
    <format dxfId="422">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174"/>
          </reference>
          <reference field="6" count="1">
            <x v="47"/>
          </reference>
        </references>
      </pivotArea>
    </format>
    <format dxfId="421">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220"/>
          </reference>
          <reference field="6" count="1">
            <x v="47"/>
          </reference>
        </references>
      </pivotArea>
    </format>
    <format dxfId="420">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323"/>
          </reference>
          <reference field="6" count="1">
            <x v="47"/>
          </reference>
        </references>
      </pivotArea>
    </format>
    <format dxfId="419">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330"/>
          </reference>
          <reference field="6" count="1">
            <x v="47"/>
          </reference>
        </references>
      </pivotArea>
    </format>
    <format dxfId="418">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331"/>
          </reference>
          <reference field="6" count="1">
            <x v="47"/>
          </reference>
        </references>
      </pivotArea>
    </format>
    <format dxfId="417">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352"/>
          </reference>
          <reference field="6" count="1">
            <x v="47"/>
          </reference>
        </references>
      </pivotArea>
    </format>
    <format dxfId="416">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396"/>
          </reference>
          <reference field="6" count="1">
            <x v="47"/>
          </reference>
        </references>
      </pivotArea>
    </format>
    <format dxfId="415">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474"/>
          </reference>
          <reference field="6" count="1">
            <x v="47"/>
          </reference>
        </references>
      </pivotArea>
    </format>
    <format dxfId="414">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529"/>
          </reference>
          <reference field="6" count="1">
            <x v="47"/>
          </reference>
        </references>
      </pivotArea>
    </format>
    <format dxfId="413">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573"/>
          </reference>
          <reference field="6" count="1">
            <x v="47"/>
          </reference>
        </references>
      </pivotArea>
    </format>
    <format dxfId="412">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620"/>
          </reference>
          <reference field="6" count="1">
            <x v="47"/>
          </reference>
        </references>
      </pivotArea>
    </format>
    <format dxfId="411">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633"/>
          </reference>
          <reference field="6" count="1">
            <x v="47"/>
          </reference>
        </references>
      </pivotArea>
    </format>
    <format dxfId="410">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672"/>
          </reference>
          <reference field="6" count="1">
            <x v="47"/>
          </reference>
        </references>
      </pivotArea>
    </format>
    <format dxfId="409">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684"/>
          </reference>
          <reference field="6" count="1">
            <x v="47"/>
          </reference>
        </references>
      </pivotArea>
    </format>
    <format dxfId="408">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690"/>
          </reference>
          <reference field="6" count="1">
            <x v="47"/>
          </reference>
        </references>
      </pivotArea>
    </format>
    <format dxfId="407">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699"/>
          </reference>
          <reference field="6" count="1">
            <x v="47"/>
          </reference>
        </references>
      </pivotArea>
    </format>
    <format dxfId="406">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740"/>
          </reference>
          <reference field="6" count="1">
            <x v="47"/>
          </reference>
        </references>
      </pivotArea>
    </format>
    <format dxfId="405">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753"/>
          </reference>
          <reference field="6" count="1">
            <x v="47"/>
          </reference>
        </references>
      </pivotArea>
    </format>
    <format dxfId="404">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765"/>
          </reference>
          <reference field="6" count="1">
            <x v="47"/>
          </reference>
        </references>
      </pivotArea>
    </format>
    <format dxfId="403">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769"/>
          </reference>
          <reference field="6" count="1">
            <x v="47"/>
          </reference>
        </references>
      </pivotArea>
    </format>
    <format dxfId="402">
      <pivotArea dataOnly="0" labelOnly="1" fieldPosition="0">
        <references count="6">
          <reference field="1" count="1" selected="0">
            <x v="151"/>
          </reference>
          <reference field="2" count="1" selected="0">
            <x v="12"/>
          </reference>
          <reference field="3" count="1" selected="0">
            <x v="16"/>
          </reference>
          <reference field="4" count="1" selected="0">
            <x v="240"/>
          </reference>
          <reference field="5" count="1" selected="0">
            <x v="1848"/>
          </reference>
          <reference field="6" count="1">
            <x v="47"/>
          </reference>
        </references>
      </pivotArea>
    </format>
    <format dxfId="401">
      <pivotArea dataOnly="0" labelOnly="1" fieldPosition="0">
        <references count="6">
          <reference field="1" count="1" selected="0">
            <x v="151"/>
          </reference>
          <reference field="2" count="1" selected="0">
            <x v="14"/>
          </reference>
          <reference field="3" count="1" selected="0">
            <x v="16"/>
          </reference>
          <reference field="4" count="1" selected="0">
            <x v="240"/>
          </reference>
          <reference field="5" count="1" selected="0">
            <x v="107"/>
          </reference>
          <reference field="6" count="1">
            <x v="47"/>
          </reference>
        </references>
      </pivotArea>
    </format>
    <format dxfId="400">
      <pivotArea dataOnly="0" labelOnly="1" fieldPosition="0">
        <references count="6">
          <reference field="1" count="1" selected="0">
            <x v="151"/>
          </reference>
          <reference field="2" count="1" selected="0">
            <x v="14"/>
          </reference>
          <reference field="3" count="1" selected="0">
            <x v="38"/>
          </reference>
          <reference field="4" count="1" selected="0">
            <x v="241"/>
          </reference>
          <reference field="5" count="1" selected="0">
            <x v="1208"/>
          </reference>
          <reference field="6" count="1">
            <x v="47"/>
          </reference>
        </references>
      </pivotArea>
    </format>
    <format dxfId="399">
      <pivotArea dataOnly="0" labelOnly="1" fieldPosition="0">
        <references count="6">
          <reference field="1" count="1" selected="0">
            <x v="151"/>
          </reference>
          <reference field="2" count="1" selected="0">
            <x v="15"/>
          </reference>
          <reference field="3" count="1" selected="0">
            <x v="16"/>
          </reference>
          <reference field="4" count="1" selected="0">
            <x v="240"/>
          </reference>
          <reference field="5" count="1" selected="0">
            <x v="374"/>
          </reference>
          <reference field="6" count="1">
            <x v="47"/>
          </reference>
        </references>
      </pivotArea>
    </format>
    <format dxfId="398">
      <pivotArea dataOnly="0" labelOnly="1" fieldPosition="0">
        <references count="6">
          <reference field="1" count="1" selected="0">
            <x v="151"/>
          </reference>
          <reference field="2" count="1" selected="0">
            <x v="19"/>
          </reference>
          <reference field="3" count="1" selected="0">
            <x v="38"/>
          </reference>
          <reference field="4" count="1" selected="0">
            <x v="241"/>
          </reference>
          <reference field="5" count="1" selected="0">
            <x v="292"/>
          </reference>
          <reference field="6" count="1">
            <x v="47"/>
          </reference>
        </references>
      </pivotArea>
    </format>
    <format dxfId="397">
      <pivotArea dataOnly="0" labelOnly="1" fieldPosition="0">
        <references count="6">
          <reference field="1" count="1" selected="0">
            <x v="151"/>
          </reference>
          <reference field="2" count="1" selected="0">
            <x v="21"/>
          </reference>
          <reference field="3" count="1" selected="0">
            <x v="16"/>
          </reference>
          <reference field="4" count="1" selected="0">
            <x v="240"/>
          </reference>
          <reference field="5" count="1" selected="0">
            <x v="1311"/>
          </reference>
          <reference field="6" count="1">
            <x v="47"/>
          </reference>
        </references>
      </pivotArea>
    </format>
    <format dxfId="396">
      <pivotArea dataOnly="0" labelOnly="1" fieldPosition="0">
        <references count="6">
          <reference field="1" count="1" selected="0">
            <x v="151"/>
          </reference>
          <reference field="2" count="1" selected="0">
            <x v="23"/>
          </reference>
          <reference field="3" count="1" selected="0">
            <x v="16"/>
          </reference>
          <reference field="4" count="1" selected="0">
            <x v="240"/>
          </reference>
          <reference field="5" count="1" selected="0">
            <x v="1781"/>
          </reference>
          <reference field="6" count="1">
            <x v="47"/>
          </reference>
        </references>
      </pivotArea>
    </format>
    <format dxfId="395">
      <pivotArea dataOnly="0" labelOnly="1" fieldPosition="0">
        <references count="6">
          <reference field="1" count="1" selected="0">
            <x v="151"/>
          </reference>
          <reference field="2" count="1" selected="0">
            <x v="23"/>
          </reference>
          <reference field="3" count="1" selected="0">
            <x v="38"/>
          </reference>
          <reference field="4" count="1" selected="0">
            <x v="241"/>
          </reference>
          <reference field="5" count="1" selected="0">
            <x v="1379"/>
          </reference>
          <reference field="6" count="1">
            <x v="47"/>
          </reference>
        </references>
      </pivotArea>
    </format>
    <format dxfId="394">
      <pivotArea dataOnly="0" labelOnly="1" fieldPosition="0">
        <references count="6">
          <reference field="1" count="1" selected="0">
            <x v="151"/>
          </reference>
          <reference field="2" count="1" selected="0">
            <x v="24"/>
          </reference>
          <reference field="3" count="1" selected="0">
            <x v="16"/>
          </reference>
          <reference field="4" count="1" selected="0">
            <x v="240"/>
          </reference>
          <reference field="5" count="1" selected="0">
            <x v="1441"/>
          </reference>
          <reference field="6" count="1">
            <x v="47"/>
          </reference>
        </references>
      </pivotArea>
    </format>
    <format dxfId="393">
      <pivotArea dataOnly="0" labelOnly="1" fieldPosition="0">
        <references count="6">
          <reference field="1" count="1" selected="0">
            <x v="151"/>
          </reference>
          <reference field="2" count="1" selected="0">
            <x v="29"/>
          </reference>
          <reference field="3" count="1" selected="0">
            <x v="6"/>
          </reference>
          <reference field="4" count="1" selected="0">
            <x v="241"/>
          </reference>
          <reference field="5" count="1" selected="0">
            <x v="147"/>
          </reference>
          <reference field="6" count="1">
            <x v="47"/>
          </reference>
        </references>
      </pivotArea>
    </format>
    <format dxfId="392">
      <pivotArea dataOnly="0" labelOnly="1" fieldPosition="0">
        <references count="6">
          <reference field="1" count="1" selected="0">
            <x v="151"/>
          </reference>
          <reference field="2" count="1" selected="0">
            <x v="35"/>
          </reference>
          <reference field="3" count="1" selected="0">
            <x v="1"/>
          </reference>
          <reference field="4" count="1" selected="0">
            <x v="241"/>
          </reference>
          <reference field="5" count="1" selected="0">
            <x v="80"/>
          </reference>
          <reference field="6" count="1">
            <x v="47"/>
          </reference>
        </references>
      </pivotArea>
    </format>
    <format dxfId="391">
      <pivotArea dataOnly="0" labelOnly="1" fieldPosition="0">
        <references count="6">
          <reference field="1" count="1" selected="0">
            <x v="151"/>
          </reference>
          <reference field="2" count="1" selected="0">
            <x v="35"/>
          </reference>
          <reference field="3" count="1" selected="0">
            <x v="1"/>
          </reference>
          <reference field="4" count="1" selected="0">
            <x v="241"/>
          </reference>
          <reference field="5" count="1" selected="0">
            <x v="352"/>
          </reference>
          <reference field="6" count="1">
            <x v="47"/>
          </reference>
        </references>
      </pivotArea>
    </format>
    <format dxfId="390">
      <pivotArea dataOnly="0" labelOnly="1" fieldPosition="0">
        <references count="6">
          <reference field="1" count="1" selected="0">
            <x v="151"/>
          </reference>
          <reference field="2" count="1" selected="0">
            <x v="35"/>
          </reference>
          <reference field="3" count="1" selected="0">
            <x v="16"/>
          </reference>
          <reference field="4" count="1" selected="0">
            <x v="240"/>
          </reference>
          <reference field="5" count="1" selected="0">
            <x v="65"/>
          </reference>
          <reference field="6" count="1">
            <x v="47"/>
          </reference>
        </references>
      </pivotArea>
    </format>
    <format dxfId="389">
      <pivotArea dataOnly="0" labelOnly="1" fieldPosition="0">
        <references count="6">
          <reference field="1" count="1" selected="0">
            <x v="151"/>
          </reference>
          <reference field="2" count="1" selected="0">
            <x v="35"/>
          </reference>
          <reference field="3" count="1" selected="0">
            <x v="16"/>
          </reference>
          <reference field="4" count="1" selected="0">
            <x v="240"/>
          </reference>
          <reference field="5" count="1" selected="0">
            <x v="169"/>
          </reference>
          <reference field="6" count="1">
            <x v="47"/>
          </reference>
        </references>
      </pivotArea>
    </format>
    <format dxfId="388">
      <pivotArea dataOnly="0" labelOnly="1" fieldPosition="0">
        <references count="6">
          <reference field="1" count="1" selected="0">
            <x v="151"/>
          </reference>
          <reference field="2" count="1" selected="0">
            <x v="35"/>
          </reference>
          <reference field="3" count="1" selected="0">
            <x v="16"/>
          </reference>
          <reference field="4" count="1" selected="0">
            <x v="240"/>
          </reference>
          <reference field="5" count="1" selected="0">
            <x v="241"/>
          </reference>
          <reference field="6" count="1">
            <x v="47"/>
          </reference>
        </references>
      </pivotArea>
    </format>
    <format dxfId="387">
      <pivotArea dataOnly="0" labelOnly="1" fieldPosition="0">
        <references count="6">
          <reference field="1" count="1" selected="0">
            <x v="151"/>
          </reference>
          <reference field="2" count="1" selected="0">
            <x v="35"/>
          </reference>
          <reference field="3" count="1" selected="0">
            <x v="16"/>
          </reference>
          <reference field="4" count="1" selected="0">
            <x v="240"/>
          </reference>
          <reference field="5" count="1" selected="0">
            <x v="276"/>
          </reference>
          <reference field="6" count="1">
            <x v="47"/>
          </reference>
        </references>
      </pivotArea>
    </format>
    <format dxfId="386">
      <pivotArea dataOnly="0" labelOnly="1" fieldPosition="0">
        <references count="6">
          <reference field="1" count="1" selected="0">
            <x v="151"/>
          </reference>
          <reference field="2" count="1" selected="0">
            <x v="35"/>
          </reference>
          <reference field="3" count="1" selected="0">
            <x v="16"/>
          </reference>
          <reference field="4" count="1" selected="0">
            <x v="240"/>
          </reference>
          <reference field="5" count="1" selected="0">
            <x v="280"/>
          </reference>
          <reference field="6" count="1">
            <x v="47"/>
          </reference>
        </references>
      </pivotArea>
    </format>
    <format dxfId="385">
      <pivotArea dataOnly="0" labelOnly="1" fieldPosition="0">
        <references count="6">
          <reference field="1" count="1" selected="0">
            <x v="151"/>
          </reference>
          <reference field="2" count="1" selected="0">
            <x v="35"/>
          </reference>
          <reference field="3" count="1" selected="0">
            <x v="16"/>
          </reference>
          <reference field="4" count="1" selected="0">
            <x v="240"/>
          </reference>
          <reference field="5" count="1" selected="0">
            <x v="342"/>
          </reference>
          <reference field="6" count="1">
            <x v="47"/>
          </reference>
        </references>
      </pivotArea>
    </format>
    <format dxfId="384">
      <pivotArea dataOnly="0" labelOnly="1" fieldPosition="0">
        <references count="6">
          <reference field="1" count="1" selected="0">
            <x v="151"/>
          </reference>
          <reference field="2" count="1" selected="0">
            <x v="35"/>
          </reference>
          <reference field="3" count="1" selected="0">
            <x v="16"/>
          </reference>
          <reference field="4" count="1" selected="0">
            <x v="240"/>
          </reference>
          <reference field="5" count="1" selected="0">
            <x v="393"/>
          </reference>
          <reference field="6" count="1">
            <x v="47"/>
          </reference>
        </references>
      </pivotArea>
    </format>
    <format dxfId="383">
      <pivotArea dataOnly="0" labelOnly="1" fieldPosition="0">
        <references count="6">
          <reference field="1" count="1" selected="0">
            <x v="151"/>
          </reference>
          <reference field="2" count="1" selected="0">
            <x v="35"/>
          </reference>
          <reference field="3" count="1" selected="0">
            <x v="16"/>
          </reference>
          <reference field="4" count="1" selected="0">
            <x v="240"/>
          </reference>
          <reference field="5" count="1" selected="0">
            <x v="432"/>
          </reference>
          <reference field="6" count="1">
            <x v="47"/>
          </reference>
        </references>
      </pivotArea>
    </format>
    <format dxfId="382">
      <pivotArea dataOnly="0" labelOnly="1" fieldPosition="0">
        <references count="6">
          <reference field="1" count="1" selected="0">
            <x v="151"/>
          </reference>
          <reference field="2" count="1" selected="0">
            <x v="35"/>
          </reference>
          <reference field="3" count="1" selected="0">
            <x v="16"/>
          </reference>
          <reference field="4" count="1" selected="0">
            <x v="240"/>
          </reference>
          <reference field="5" count="1" selected="0">
            <x v="451"/>
          </reference>
          <reference field="6" count="1">
            <x v="47"/>
          </reference>
        </references>
      </pivotArea>
    </format>
    <format dxfId="381">
      <pivotArea dataOnly="0" labelOnly="1" fieldPosition="0">
        <references count="6">
          <reference field="1" count="1" selected="0">
            <x v="151"/>
          </reference>
          <reference field="2" count="1" selected="0">
            <x v="35"/>
          </reference>
          <reference field="3" count="1" selected="0">
            <x v="16"/>
          </reference>
          <reference field="4" count="1" selected="0">
            <x v="240"/>
          </reference>
          <reference field="5" count="1" selected="0">
            <x v="463"/>
          </reference>
          <reference field="6" count="1">
            <x v="47"/>
          </reference>
        </references>
      </pivotArea>
    </format>
    <format dxfId="380">
      <pivotArea dataOnly="0" labelOnly="1" fieldPosition="0">
        <references count="6">
          <reference field="1" count="1" selected="0">
            <x v="151"/>
          </reference>
          <reference field="2" count="1" selected="0">
            <x v="35"/>
          </reference>
          <reference field="3" count="1" selected="0">
            <x v="16"/>
          </reference>
          <reference field="4" count="1" selected="0">
            <x v="240"/>
          </reference>
          <reference field="5" count="1" selected="0">
            <x v="496"/>
          </reference>
          <reference field="6" count="1">
            <x v="47"/>
          </reference>
        </references>
      </pivotArea>
    </format>
    <format dxfId="379">
      <pivotArea dataOnly="0" labelOnly="1" fieldPosition="0">
        <references count="6">
          <reference field="1" count="1" selected="0">
            <x v="151"/>
          </reference>
          <reference field="2" count="1" selected="0">
            <x v="35"/>
          </reference>
          <reference field="3" count="1" selected="0">
            <x v="16"/>
          </reference>
          <reference field="4" count="1" selected="0">
            <x v="240"/>
          </reference>
          <reference field="5" count="1" selected="0">
            <x v="518"/>
          </reference>
          <reference field="6" count="1">
            <x v="47"/>
          </reference>
        </references>
      </pivotArea>
    </format>
    <format dxfId="378">
      <pivotArea dataOnly="0" labelOnly="1" fieldPosition="0">
        <references count="6">
          <reference field="1" count="1" selected="0">
            <x v="151"/>
          </reference>
          <reference field="2" count="1" selected="0">
            <x v="35"/>
          </reference>
          <reference field="3" count="1" selected="0">
            <x v="16"/>
          </reference>
          <reference field="4" count="1" selected="0">
            <x v="240"/>
          </reference>
          <reference field="5" count="1" selected="0">
            <x v="762"/>
          </reference>
          <reference field="6" count="1">
            <x v="47"/>
          </reference>
        </references>
      </pivotArea>
    </format>
    <format dxfId="377">
      <pivotArea dataOnly="0" labelOnly="1" fieldPosition="0">
        <references count="6">
          <reference field="1" count="1" selected="0">
            <x v="151"/>
          </reference>
          <reference field="2" count="1" selected="0">
            <x v="35"/>
          </reference>
          <reference field="3" count="1" selected="0">
            <x v="16"/>
          </reference>
          <reference field="4" count="1" selected="0">
            <x v="240"/>
          </reference>
          <reference field="5" count="1" selected="0">
            <x v="787"/>
          </reference>
          <reference field="6" count="1">
            <x v="47"/>
          </reference>
        </references>
      </pivotArea>
    </format>
    <format dxfId="376">
      <pivotArea dataOnly="0" labelOnly="1" fieldPosition="0">
        <references count="6">
          <reference field="1" count="1" selected="0">
            <x v="151"/>
          </reference>
          <reference field="2" count="1" selected="0">
            <x v="35"/>
          </reference>
          <reference field="3" count="1" selected="0">
            <x v="16"/>
          </reference>
          <reference field="4" count="1" selected="0">
            <x v="240"/>
          </reference>
          <reference field="5" count="1" selected="0">
            <x v="1161"/>
          </reference>
          <reference field="6" count="1">
            <x v="47"/>
          </reference>
        </references>
      </pivotArea>
    </format>
    <format dxfId="375">
      <pivotArea dataOnly="0" labelOnly="1" fieldPosition="0">
        <references count="6">
          <reference field="1" count="1" selected="0">
            <x v="151"/>
          </reference>
          <reference field="2" count="1" selected="0">
            <x v="35"/>
          </reference>
          <reference field="3" count="1" selected="0">
            <x v="16"/>
          </reference>
          <reference field="4" count="1" selected="0">
            <x v="240"/>
          </reference>
          <reference field="5" count="1" selected="0">
            <x v="1180"/>
          </reference>
          <reference field="6" count="1">
            <x v="47"/>
          </reference>
        </references>
      </pivotArea>
    </format>
    <format dxfId="374">
      <pivotArea dataOnly="0" labelOnly="1" fieldPosition="0">
        <references count="6">
          <reference field="1" count="1" selected="0">
            <x v="151"/>
          </reference>
          <reference field="2" count="1" selected="0">
            <x v="35"/>
          </reference>
          <reference field="3" count="1" selected="0">
            <x v="16"/>
          </reference>
          <reference field="4" count="1" selected="0">
            <x v="240"/>
          </reference>
          <reference field="5" count="1" selected="0">
            <x v="1226"/>
          </reference>
          <reference field="6" count="1">
            <x v="47"/>
          </reference>
        </references>
      </pivotArea>
    </format>
    <format dxfId="373">
      <pivotArea dataOnly="0" labelOnly="1" fieldPosition="0">
        <references count="6">
          <reference field="1" count="1" selected="0">
            <x v="151"/>
          </reference>
          <reference field="2" count="1" selected="0">
            <x v="37"/>
          </reference>
          <reference field="3" count="1" selected="0">
            <x v="38"/>
          </reference>
          <reference field="4" count="1" selected="0">
            <x v="241"/>
          </reference>
          <reference field="5" count="1" selected="0">
            <x v="1189"/>
          </reference>
          <reference field="6" count="1">
            <x v="47"/>
          </reference>
        </references>
      </pivotArea>
    </format>
    <format dxfId="372">
      <pivotArea dataOnly="0" labelOnly="1" fieldPosition="0">
        <references count="6">
          <reference field="1" count="1" selected="0">
            <x v="152"/>
          </reference>
          <reference field="2" count="1" selected="0">
            <x v="0"/>
          </reference>
          <reference field="3" count="1" selected="0">
            <x v="12"/>
          </reference>
          <reference field="4" count="1" selected="0">
            <x v="42"/>
          </reference>
          <reference field="5" count="1" selected="0">
            <x v="6"/>
          </reference>
          <reference field="6" count="1">
            <x v="47"/>
          </reference>
        </references>
      </pivotArea>
    </format>
    <format dxfId="371">
      <pivotArea dataOnly="0" labelOnly="1" fieldPosition="0">
        <references count="6">
          <reference field="1" count="1" selected="0">
            <x v="152"/>
          </reference>
          <reference field="2" count="1" selected="0">
            <x v="0"/>
          </reference>
          <reference field="3" count="1" selected="0">
            <x v="12"/>
          </reference>
          <reference field="4" count="1" selected="0">
            <x v="50"/>
          </reference>
          <reference field="5" count="1" selected="0">
            <x v="39"/>
          </reference>
          <reference field="6" count="1">
            <x v="47"/>
          </reference>
        </references>
      </pivotArea>
    </format>
    <format dxfId="370">
      <pivotArea dataOnly="0" labelOnly="1" fieldPosition="0">
        <references count="6">
          <reference field="1" count="1" selected="0">
            <x v="152"/>
          </reference>
          <reference field="2" count="1" selected="0">
            <x v="0"/>
          </reference>
          <reference field="3" count="1" selected="0">
            <x v="12"/>
          </reference>
          <reference field="4" count="1" selected="0">
            <x v="57"/>
          </reference>
          <reference field="5" count="1" selected="0">
            <x v="11"/>
          </reference>
          <reference field="6" count="1">
            <x v="47"/>
          </reference>
        </references>
      </pivotArea>
    </format>
    <format dxfId="369">
      <pivotArea dataOnly="0" labelOnly="1" fieldPosition="0">
        <references count="6">
          <reference field="1" count="1" selected="0">
            <x v="152"/>
          </reference>
          <reference field="2" count="1" selected="0">
            <x v="3"/>
          </reference>
          <reference field="3" count="1" selected="0">
            <x v="8"/>
          </reference>
          <reference field="4" count="1" selected="0">
            <x v="242"/>
          </reference>
          <reference field="5" count="1" selected="0">
            <x v="0"/>
          </reference>
          <reference field="6" count="1">
            <x v="29"/>
          </reference>
        </references>
      </pivotArea>
    </format>
    <format dxfId="368">
      <pivotArea dataOnly="0" labelOnly="1" fieldPosition="0">
        <references count="6">
          <reference field="1" count="1" selected="0">
            <x v="152"/>
          </reference>
          <reference field="2" count="1" selected="0">
            <x v="3"/>
          </reference>
          <reference field="3" count="1" selected="0">
            <x v="10"/>
          </reference>
          <reference field="4" count="1" selected="0">
            <x v="242"/>
          </reference>
          <reference field="5" count="1" selected="0">
            <x v="469"/>
          </reference>
          <reference field="6" count="1">
            <x v="47"/>
          </reference>
        </references>
      </pivotArea>
    </format>
    <format dxfId="367">
      <pivotArea dataOnly="0" labelOnly="1" fieldPosition="0">
        <references count="6">
          <reference field="1" count="1" selected="0">
            <x v="152"/>
          </reference>
          <reference field="2" count="1" selected="0">
            <x v="7"/>
          </reference>
          <reference field="3" count="1" selected="0">
            <x v="8"/>
          </reference>
          <reference field="4" count="1" selected="0">
            <x v="242"/>
          </reference>
          <reference field="5" count="1" selected="0">
            <x v="0"/>
          </reference>
          <reference field="6" count="1">
            <x v="20"/>
          </reference>
        </references>
      </pivotArea>
    </format>
    <format dxfId="366">
      <pivotArea dataOnly="0" labelOnly="1" fieldPosition="0">
        <references count="6">
          <reference field="1" count="1" selected="0">
            <x v="152"/>
          </reference>
          <reference field="2" count="1" selected="0">
            <x v="7"/>
          </reference>
          <reference field="3" count="1" selected="0">
            <x v="10"/>
          </reference>
          <reference field="4" count="1" selected="0">
            <x v="242"/>
          </reference>
          <reference field="5" count="1" selected="0">
            <x v="888"/>
          </reference>
          <reference field="6" count="1">
            <x v="47"/>
          </reference>
        </references>
      </pivotArea>
    </format>
    <format dxfId="365">
      <pivotArea dataOnly="0" labelOnly="1" fieldPosition="0">
        <references count="6">
          <reference field="1" count="1" selected="0">
            <x v="152"/>
          </reference>
          <reference field="2" count="1" selected="0">
            <x v="7"/>
          </reference>
          <reference field="3" count="1" selected="0">
            <x v="38"/>
          </reference>
          <reference field="4" count="1" selected="0">
            <x v="242"/>
          </reference>
          <reference field="5" count="1" selected="0">
            <x v="791"/>
          </reference>
          <reference field="6" count="1">
            <x v="47"/>
          </reference>
        </references>
      </pivotArea>
    </format>
    <format dxfId="364">
      <pivotArea dataOnly="0" labelOnly="1" fieldPosition="0">
        <references count="6">
          <reference field="1" count="1" selected="0">
            <x v="152"/>
          </reference>
          <reference field="2" count="1" selected="0">
            <x v="10"/>
          </reference>
          <reference field="3" count="1" selected="0">
            <x v="6"/>
          </reference>
          <reference field="4" count="1" selected="0">
            <x v="242"/>
          </reference>
          <reference field="5" count="1" selected="0">
            <x v="1263"/>
          </reference>
          <reference field="6" count="1">
            <x v="47"/>
          </reference>
        </references>
      </pivotArea>
    </format>
    <format dxfId="363">
      <pivotArea dataOnly="0" labelOnly="1" fieldPosition="0">
        <references count="6">
          <reference field="1" count="1" selected="0">
            <x v="152"/>
          </reference>
          <reference field="2" count="1" selected="0">
            <x v="12"/>
          </reference>
          <reference field="3" count="1" selected="0">
            <x v="1"/>
          </reference>
          <reference field="4" count="1" selected="0">
            <x v="242"/>
          </reference>
          <reference field="5" count="1" selected="0">
            <x v="80"/>
          </reference>
          <reference field="6" count="1">
            <x v="47"/>
          </reference>
        </references>
      </pivotArea>
    </format>
    <format dxfId="362">
      <pivotArea dataOnly="0" labelOnly="1" fieldPosition="0">
        <references count="6">
          <reference field="1" count="1" selected="0">
            <x v="152"/>
          </reference>
          <reference field="2" count="1" selected="0">
            <x v="12"/>
          </reference>
          <reference field="3" count="1" selected="0">
            <x v="1"/>
          </reference>
          <reference field="4" count="1" selected="0">
            <x v="242"/>
          </reference>
          <reference field="5" count="1" selected="0">
            <x v="213"/>
          </reference>
          <reference field="6" count="1">
            <x v="47"/>
          </reference>
        </references>
      </pivotArea>
    </format>
    <format dxfId="361">
      <pivotArea dataOnly="0" labelOnly="1" fieldPosition="0">
        <references count="6">
          <reference field="1" count="1" selected="0">
            <x v="152"/>
          </reference>
          <reference field="2" count="1" selected="0">
            <x v="13"/>
          </reference>
          <reference field="3" count="1" selected="0">
            <x v="33"/>
          </reference>
          <reference field="4" count="1" selected="0">
            <x v="242"/>
          </reference>
          <reference field="5" count="1" selected="0">
            <x v="155"/>
          </reference>
          <reference field="6" count="1">
            <x v="47"/>
          </reference>
        </references>
      </pivotArea>
    </format>
    <format dxfId="360">
      <pivotArea dataOnly="0" labelOnly="1" fieldPosition="0">
        <references count="6">
          <reference field="1" count="1" selected="0">
            <x v="152"/>
          </reference>
          <reference field="2" count="1" selected="0">
            <x v="14"/>
          </reference>
          <reference field="3" count="1" selected="0">
            <x v="8"/>
          </reference>
          <reference field="4" count="1" selected="0">
            <x v="242"/>
          </reference>
          <reference field="5" count="1" selected="0">
            <x v="0"/>
          </reference>
          <reference field="6" count="1">
            <x v="40"/>
          </reference>
        </references>
      </pivotArea>
    </format>
    <format dxfId="359">
      <pivotArea dataOnly="0" labelOnly="1" fieldPosition="0">
        <references count="6">
          <reference field="1" count="1" selected="0">
            <x v="152"/>
          </reference>
          <reference field="2" count="1" selected="0">
            <x v="14"/>
          </reference>
          <reference field="3" count="1" selected="0">
            <x v="10"/>
          </reference>
          <reference field="4" count="1" selected="0">
            <x v="242"/>
          </reference>
          <reference field="5" count="1" selected="0">
            <x v="109"/>
          </reference>
          <reference field="6" count="1">
            <x v="47"/>
          </reference>
        </references>
      </pivotArea>
    </format>
    <format dxfId="358">
      <pivotArea dataOnly="0" labelOnly="1" fieldPosition="0">
        <references count="6">
          <reference field="1" count="1" selected="0">
            <x v="152"/>
          </reference>
          <reference field="2" count="1" selected="0">
            <x v="17"/>
          </reference>
          <reference field="3" count="1" selected="0">
            <x v="38"/>
          </reference>
          <reference field="4" count="1" selected="0">
            <x v="242"/>
          </reference>
          <reference field="5" count="1" selected="0">
            <x v="469"/>
          </reference>
          <reference field="6" count="1">
            <x v="47"/>
          </reference>
        </references>
      </pivotArea>
    </format>
    <format dxfId="357">
      <pivotArea dataOnly="0" labelOnly="1" fieldPosition="0">
        <references count="6">
          <reference field="1" count="1" selected="0">
            <x v="152"/>
          </reference>
          <reference field="2" count="1" selected="0">
            <x v="19"/>
          </reference>
          <reference field="3" count="1" selected="0">
            <x v="38"/>
          </reference>
          <reference field="4" count="1" selected="0">
            <x v="242"/>
          </reference>
          <reference field="5" count="1" selected="0">
            <x v="156"/>
          </reference>
          <reference field="6" count="1">
            <x v="47"/>
          </reference>
        </references>
      </pivotArea>
    </format>
    <format dxfId="356">
      <pivotArea dataOnly="0" labelOnly="1" fieldPosition="0">
        <references count="6">
          <reference field="1" count="1" selected="0">
            <x v="152"/>
          </reference>
          <reference field="2" count="1" selected="0">
            <x v="23"/>
          </reference>
          <reference field="3" count="1" selected="0">
            <x v="38"/>
          </reference>
          <reference field="4" count="1" selected="0">
            <x v="242"/>
          </reference>
          <reference field="5" count="1" selected="0">
            <x v="278"/>
          </reference>
          <reference field="6" count="1">
            <x v="47"/>
          </reference>
        </references>
      </pivotArea>
    </format>
    <format dxfId="355">
      <pivotArea dataOnly="0" labelOnly="1" fieldPosition="0">
        <references count="6">
          <reference field="1" count="1" selected="0">
            <x v="152"/>
          </reference>
          <reference field="2" count="1" selected="0">
            <x v="24"/>
          </reference>
          <reference field="3" count="1" selected="0">
            <x v="6"/>
          </reference>
          <reference field="4" count="1" selected="0">
            <x v="242"/>
          </reference>
          <reference field="5" count="1" selected="0">
            <x v="816"/>
          </reference>
          <reference field="6" count="1">
            <x v="47"/>
          </reference>
        </references>
      </pivotArea>
    </format>
    <format dxfId="354">
      <pivotArea dataOnly="0" labelOnly="1" fieldPosition="0">
        <references count="6">
          <reference field="1" count="1" selected="0">
            <x v="152"/>
          </reference>
          <reference field="2" count="1" selected="0">
            <x v="24"/>
          </reference>
          <reference field="3" count="1" selected="0">
            <x v="8"/>
          </reference>
          <reference field="4" count="1" selected="0">
            <x v="242"/>
          </reference>
          <reference field="5" count="1" selected="0">
            <x v="0"/>
          </reference>
          <reference field="6" count="1">
            <x v="40"/>
          </reference>
        </references>
      </pivotArea>
    </format>
    <format dxfId="353">
      <pivotArea dataOnly="0" labelOnly="1" fieldPosition="0">
        <references count="6">
          <reference field="1" count="1" selected="0">
            <x v="152"/>
          </reference>
          <reference field="2" count="1" selected="0">
            <x v="24"/>
          </reference>
          <reference field="3" count="1" selected="0">
            <x v="10"/>
          </reference>
          <reference field="4" count="1" selected="0">
            <x v="242"/>
          </reference>
          <reference field="5" count="1" selected="0">
            <x v="109"/>
          </reference>
          <reference field="6" count="1">
            <x v="47"/>
          </reference>
        </references>
      </pivotArea>
    </format>
    <format dxfId="352">
      <pivotArea dataOnly="0" labelOnly="1" fieldPosition="0">
        <references count="6">
          <reference field="1" count="1" selected="0">
            <x v="152"/>
          </reference>
          <reference field="2" count="1" selected="0">
            <x v="28"/>
          </reference>
          <reference field="3" count="1" selected="0">
            <x v="8"/>
          </reference>
          <reference field="4" count="1" selected="0">
            <x v="242"/>
          </reference>
          <reference field="5" count="1" selected="0">
            <x v="0"/>
          </reference>
          <reference field="6" count="1">
            <x v="17"/>
          </reference>
        </references>
      </pivotArea>
    </format>
    <format dxfId="351">
      <pivotArea dataOnly="0" labelOnly="1" fieldPosition="0">
        <references count="6">
          <reference field="1" count="1" selected="0">
            <x v="152"/>
          </reference>
          <reference field="2" count="1" selected="0">
            <x v="28"/>
          </reference>
          <reference field="3" count="1" selected="0">
            <x v="10"/>
          </reference>
          <reference field="4" count="1" selected="0">
            <x v="242"/>
          </reference>
          <reference field="5" count="1" selected="0">
            <x v="1052"/>
          </reference>
          <reference field="6" count="1">
            <x v="47"/>
          </reference>
        </references>
      </pivotArea>
    </format>
    <format dxfId="350">
      <pivotArea dataOnly="0" labelOnly="1" fieldPosition="0">
        <references count="6">
          <reference field="1" count="1" selected="0">
            <x v="152"/>
          </reference>
          <reference field="2" count="1" selected="0">
            <x v="35"/>
          </reference>
          <reference field="3" count="1" selected="0">
            <x v="1"/>
          </reference>
          <reference field="4" count="1" selected="0">
            <x v="242"/>
          </reference>
          <reference field="5" count="1" selected="0">
            <x v="80"/>
          </reference>
          <reference field="6" count="1">
            <x v="47"/>
          </reference>
        </references>
      </pivotArea>
    </format>
    <format dxfId="349">
      <pivotArea dataOnly="0" labelOnly="1" fieldPosition="0">
        <references count="6">
          <reference field="1" count="1" selected="0">
            <x v="152"/>
          </reference>
          <reference field="2" count="1" selected="0">
            <x v="35"/>
          </reference>
          <reference field="3" count="1" selected="0">
            <x v="1"/>
          </reference>
          <reference field="4" count="1" selected="0">
            <x v="242"/>
          </reference>
          <reference field="5" count="1" selected="0">
            <x v="500"/>
          </reference>
          <reference field="6" count="1">
            <x v="47"/>
          </reference>
        </references>
      </pivotArea>
    </format>
    <format dxfId="348">
      <pivotArea dataOnly="0" labelOnly="1" fieldPosition="0">
        <references count="6">
          <reference field="1" count="1" selected="0">
            <x v="152"/>
          </reference>
          <reference field="2" count="1" selected="0">
            <x v="37"/>
          </reference>
          <reference field="3" count="1" selected="0">
            <x v="8"/>
          </reference>
          <reference field="4" count="1" selected="0">
            <x v="242"/>
          </reference>
          <reference field="5" count="1" selected="0">
            <x v="0"/>
          </reference>
          <reference field="6" count="1">
            <x v="36"/>
          </reference>
        </references>
      </pivotArea>
    </format>
    <format dxfId="347">
      <pivotArea dataOnly="0" labelOnly="1" fieldPosition="0">
        <references count="6">
          <reference field="1" count="1" selected="0">
            <x v="152"/>
          </reference>
          <reference field="2" count="1" selected="0">
            <x v="37"/>
          </reference>
          <reference field="3" count="1" selected="0">
            <x v="10"/>
          </reference>
          <reference field="4" count="1" selected="0">
            <x v="242"/>
          </reference>
          <reference field="5" count="1" selected="0">
            <x v="283"/>
          </reference>
          <reference field="6" count="1">
            <x v="47"/>
          </reference>
        </references>
      </pivotArea>
    </format>
    <format dxfId="346">
      <pivotArea dataOnly="0" labelOnly="1" fieldPosition="0">
        <references count="6">
          <reference field="1" count="1" selected="0">
            <x v="153"/>
          </reference>
          <reference field="2" count="1" selected="0">
            <x v="0"/>
          </reference>
          <reference field="3" count="1" selected="0">
            <x v="8"/>
          </reference>
          <reference field="4" count="1" selected="0">
            <x v="243"/>
          </reference>
          <reference field="5" count="1" selected="0">
            <x v="1157"/>
          </reference>
          <reference field="6" count="1">
            <x v="47"/>
          </reference>
        </references>
      </pivotArea>
    </format>
    <format dxfId="345">
      <pivotArea dataOnly="0" labelOnly="1" fieldPosition="0">
        <references count="6">
          <reference field="1" count="1" selected="0">
            <x v="153"/>
          </reference>
          <reference field="2" count="1" selected="0">
            <x v="0"/>
          </reference>
          <reference field="3" count="1" selected="0">
            <x v="9"/>
          </reference>
          <reference field="4" count="1" selected="0">
            <x v="243"/>
          </reference>
          <reference field="5" count="1" selected="0">
            <x v="371"/>
          </reference>
          <reference field="6" count="1">
            <x v="47"/>
          </reference>
        </references>
      </pivotArea>
    </format>
    <format dxfId="344">
      <pivotArea dataOnly="0" labelOnly="1" fieldPosition="0">
        <references count="6">
          <reference field="1" count="1" selected="0">
            <x v="153"/>
          </reference>
          <reference field="2" count="1" selected="0">
            <x v="0"/>
          </reference>
          <reference field="3" count="1" selected="0">
            <x v="9"/>
          </reference>
          <reference field="4" count="1" selected="0">
            <x v="243"/>
          </reference>
          <reference field="5" count="1" selected="0">
            <x v="433"/>
          </reference>
          <reference field="6" count="1">
            <x v="47"/>
          </reference>
        </references>
      </pivotArea>
    </format>
    <format dxfId="343">
      <pivotArea dataOnly="0" labelOnly="1" fieldPosition="0">
        <references count="6">
          <reference field="1" count="1" selected="0">
            <x v="153"/>
          </reference>
          <reference field="2" count="1" selected="0">
            <x v="0"/>
          </reference>
          <reference field="3" count="1" selected="0">
            <x v="9"/>
          </reference>
          <reference field="4" count="1" selected="0">
            <x v="243"/>
          </reference>
          <reference field="5" count="1" selected="0">
            <x v="605"/>
          </reference>
          <reference field="6" count="1">
            <x v="47"/>
          </reference>
        </references>
      </pivotArea>
    </format>
    <format dxfId="342">
      <pivotArea dataOnly="0" labelOnly="1" fieldPosition="0">
        <references count="6">
          <reference field="1" count="1" selected="0">
            <x v="153"/>
          </reference>
          <reference field="2" count="1" selected="0">
            <x v="0"/>
          </reference>
          <reference field="3" count="1" selected="0">
            <x v="9"/>
          </reference>
          <reference field="4" count="1" selected="0">
            <x v="243"/>
          </reference>
          <reference field="5" count="1" selected="0">
            <x v="788"/>
          </reference>
          <reference field="6" count="1">
            <x v="47"/>
          </reference>
        </references>
      </pivotArea>
    </format>
    <format dxfId="341">
      <pivotArea dataOnly="0" labelOnly="1" fieldPosition="0">
        <references count="6">
          <reference field="1" count="1" selected="0">
            <x v="153"/>
          </reference>
          <reference field="2" count="1" selected="0">
            <x v="0"/>
          </reference>
          <reference field="3" count="1" selected="0">
            <x v="9"/>
          </reference>
          <reference field="4" count="1" selected="0">
            <x v="243"/>
          </reference>
          <reference field="5" count="1" selected="0">
            <x v="939"/>
          </reference>
          <reference field="6" count="1">
            <x v="47"/>
          </reference>
        </references>
      </pivotArea>
    </format>
    <format dxfId="340">
      <pivotArea dataOnly="0" labelOnly="1" fieldPosition="0">
        <references count="6">
          <reference field="1" count="1" selected="0">
            <x v="153"/>
          </reference>
          <reference field="2" count="1" selected="0">
            <x v="0"/>
          </reference>
          <reference field="3" count="1" selected="0">
            <x v="12"/>
          </reference>
          <reference field="4" count="1" selected="0">
            <x v="17"/>
          </reference>
          <reference field="5" count="1" selected="0">
            <x v="96"/>
          </reference>
          <reference field="6" count="1">
            <x v="47"/>
          </reference>
        </references>
      </pivotArea>
    </format>
    <format dxfId="339">
      <pivotArea dataOnly="0" labelOnly="1" fieldPosition="0">
        <references count="6">
          <reference field="1" count="1" selected="0">
            <x v="153"/>
          </reference>
          <reference field="2" count="1" selected="0">
            <x v="0"/>
          </reference>
          <reference field="3" count="1" selected="0">
            <x v="12"/>
          </reference>
          <reference field="4" count="1" selected="0">
            <x v="19"/>
          </reference>
          <reference field="5" count="1" selected="0">
            <x v="46"/>
          </reference>
          <reference field="6" count="1">
            <x v="47"/>
          </reference>
        </references>
      </pivotArea>
    </format>
    <format dxfId="338">
      <pivotArea dataOnly="0" labelOnly="1" fieldPosition="0">
        <references count="6">
          <reference field="1" count="1" selected="0">
            <x v="153"/>
          </reference>
          <reference field="2" count="1" selected="0">
            <x v="0"/>
          </reference>
          <reference field="3" count="1" selected="0">
            <x v="12"/>
          </reference>
          <reference field="4" count="1" selected="0">
            <x v="71"/>
          </reference>
          <reference field="5" count="1" selected="0">
            <x v="37"/>
          </reference>
          <reference field="6" count="1">
            <x v="47"/>
          </reference>
        </references>
      </pivotArea>
    </format>
    <format dxfId="337">
      <pivotArea dataOnly="0" labelOnly="1" fieldPosition="0">
        <references count="6">
          <reference field="1" count="1" selected="0">
            <x v="153"/>
          </reference>
          <reference field="2" count="1" selected="0">
            <x v="2"/>
          </reference>
          <reference field="3" count="1" selected="0">
            <x v="10"/>
          </reference>
          <reference field="4" count="1" selected="0">
            <x v="243"/>
          </reference>
          <reference field="5" count="1" selected="0">
            <x v="1756"/>
          </reference>
          <reference field="6" count="1">
            <x v="47"/>
          </reference>
        </references>
      </pivotArea>
    </format>
    <format dxfId="336">
      <pivotArea dataOnly="0" labelOnly="1" fieldPosition="0">
        <references count="6">
          <reference field="1" count="1" selected="0">
            <x v="153"/>
          </reference>
          <reference field="2" count="1" selected="0">
            <x v="3"/>
          </reference>
          <reference field="3" count="1" selected="0">
            <x v="10"/>
          </reference>
          <reference field="4" count="1" selected="0">
            <x v="243"/>
          </reference>
          <reference field="5" count="1" selected="0">
            <x v="1401"/>
          </reference>
          <reference field="6" count="1">
            <x v="47"/>
          </reference>
        </references>
      </pivotArea>
    </format>
    <format dxfId="335">
      <pivotArea dataOnly="0" labelOnly="1" fieldPosition="0">
        <references count="6">
          <reference field="1" count="1" selected="0">
            <x v="153"/>
          </reference>
          <reference field="2" count="1" selected="0">
            <x v="7"/>
          </reference>
          <reference field="3" count="1" selected="0">
            <x v="8"/>
          </reference>
          <reference field="4" count="1" selected="0">
            <x v="243"/>
          </reference>
          <reference field="5" count="1" selected="0">
            <x v="714"/>
          </reference>
          <reference field="6" count="1">
            <x v="47"/>
          </reference>
        </references>
      </pivotArea>
    </format>
    <format dxfId="334">
      <pivotArea dataOnly="0" labelOnly="1" fieldPosition="0">
        <references count="6">
          <reference field="1" count="1" selected="0">
            <x v="153"/>
          </reference>
          <reference field="2" count="1" selected="0">
            <x v="7"/>
          </reference>
          <reference field="3" count="1" selected="0">
            <x v="9"/>
          </reference>
          <reference field="4" count="1" selected="0">
            <x v="243"/>
          </reference>
          <reference field="5" count="1" selected="0">
            <x v="40"/>
          </reference>
          <reference field="6" count="1">
            <x v="47"/>
          </reference>
        </references>
      </pivotArea>
    </format>
    <format dxfId="333">
      <pivotArea dataOnly="0" labelOnly="1" fieldPosition="0">
        <references count="6">
          <reference field="1" count="1" selected="0">
            <x v="153"/>
          </reference>
          <reference field="2" count="1" selected="0">
            <x v="9"/>
          </reference>
          <reference field="3" count="1" selected="0">
            <x v="8"/>
          </reference>
          <reference field="4" count="1" selected="0">
            <x v="243"/>
          </reference>
          <reference field="5" count="1" selected="0">
            <x v="423"/>
          </reference>
          <reference field="6" count="1">
            <x v="47"/>
          </reference>
        </references>
      </pivotArea>
    </format>
    <format dxfId="332">
      <pivotArea dataOnly="0" labelOnly="1" fieldPosition="0">
        <references count="6">
          <reference field="1" count="1" selected="0">
            <x v="153"/>
          </reference>
          <reference field="2" count="1" selected="0">
            <x v="9"/>
          </reference>
          <reference field="3" count="1" selected="0">
            <x v="10"/>
          </reference>
          <reference field="4" count="1" selected="0">
            <x v="243"/>
          </reference>
          <reference field="5" count="1" selected="0">
            <x v="60"/>
          </reference>
          <reference field="6" count="1">
            <x v="47"/>
          </reference>
        </references>
      </pivotArea>
    </format>
    <format dxfId="331">
      <pivotArea dataOnly="0" labelOnly="1" fieldPosition="0">
        <references count="6">
          <reference field="1" count="1" selected="0">
            <x v="153"/>
          </reference>
          <reference field="2" count="1" selected="0">
            <x v="15"/>
          </reference>
          <reference field="3" count="1" selected="0">
            <x v="8"/>
          </reference>
          <reference field="4" count="1" selected="0">
            <x v="243"/>
          </reference>
          <reference field="5" count="1" selected="0">
            <x v="883"/>
          </reference>
          <reference field="6" count="1">
            <x v="47"/>
          </reference>
        </references>
      </pivotArea>
    </format>
    <format dxfId="330">
      <pivotArea dataOnly="0" labelOnly="1" fieldPosition="0">
        <references count="6">
          <reference field="1" count="1" selected="0">
            <x v="153"/>
          </reference>
          <reference field="2" count="1" selected="0">
            <x v="17"/>
          </reference>
          <reference field="3" count="1" selected="0">
            <x v="10"/>
          </reference>
          <reference field="4" count="1" selected="0">
            <x v="243"/>
          </reference>
          <reference field="5" count="1" selected="0">
            <x v="1776"/>
          </reference>
          <reference field="6" count="1">
            <x v="47"/>
          </reference>
        </references>
      </pivotArea>
    </format>
    <format dxfId="329">
      <pivotArea dataOnly="0" labelOnly="1" fieldPosition="0">
        <references count="6">
          <reference field="1" count="1" selected="0">
            <x v="153"/>
          </reference>
          <reference field="2" count="1" selected="0">
            <x v="18"/>
          </reference>
          <reference field="3" count="1" selected="0">
            <x v="8"/>
          </reference>
          <reference field="4" count="1" selected="0">
            <x v="243"/>
          </reference>
          <reference field="5" count="1" selected="0">
            <x v="831"/>
          </reference>
          <reference field="6" count="1">
            <x v="47"/>
          </reference>
        </references>
      </pivotArea>
    </format>
    <format dxfId="328">
      <pivotArea dataOnly="0" labelOnly="1" fieldPosition="0">
        <references count="6">
          <reference field="1" count="1" selected="0">
            <x v="153"/>
          </reference>
          <reference field="2" count="1" selected="0">
            <x v="24"/>
          </reference>
          <reference field="3" count="1" selected="0">
            <x v="9"/>
          </reference>
          <reference field="4" count="1" selected="0">
            <x v="243"/>
          </reference>
          <reference field="5" count="1" selected="0">
            <x v="1353"/>
          </reference>
          <reference field="6" count="1">
            <x v="47"/>
          </reference>
        </references>
      </pivotArea>
    </format>
    <format dxfId="327">
      <pivotArea dataOnly="0" labelOnly="1" fieldPosition="0">
        <references count="6">
          <reference field="1" count="1" selected="0">
            <x v="153"/>
          </reference>
          <reference field="2" count="1" selected="0">
            <x v="24"/>
          </reference>
          <reference field="3" count="1" selected="0">
            <x v="10"/>
          </reference>
          <reference field="4" count="1" selected="0">
            <x v="243"/>
          </reference>
          <reference field="5" count="1" selected="0">
            <x v="287"/>
          </reference>
          <reference field="6" count="1">
            <x v="47"/>
          </reference>
        </references>
      </pivotArea>
    </format>
    <format dxfId="326">
      <pivotArea dataOnly="0" labelOnly="1" fieldPosition="0">
        <references count="6">
          <reference field="1" count="1" selected="0">
            <x v="153"/>
          </reference>
          <reference field="2" count="1" selected="0">
            <x v="26"/>
          </reference>
          <reference field="3" count="1" selected="0">
            <x v="38"/>
          </reference>
          <reference field="4" count="1" selected="0">
            <x v="243"/>
          </reference>
          <reference field="5" count="1" selected="0">
            <x v="371"/>
          </reference>
          <reference field="6" count="1">
            <x v="47"/>
          </reference>
        </references>
      </pivotArea>
    </format>
    <format dxfId="325">
      <pivotArea dataOnly="0" labelOnly="1" fieldPosition="0">
        <references count="6">
          <reference field="1" count="1" selected="0">
            <x v="153"/>
          </reference>
          <reference field="2" count="1" selected="0">
            <x v="35"/>
          </reference>
          <reference field="3" count="1" selected="0">
            <x v="1"/>
          </reference>
          <reference field="4" count="1" selected="0">
            <x v="243"/>
          </reference>
          <reference field="5" count="1" selected="0">
            <x v="213"/>
          </reference>
          <reference field="6" count="1">
            <x v="47"/>
          </reference>
        </references>
      </pivotArea>
    </format>
    <format dxfId="324">
      <pivotArea dataOnly="0" labelOnly="1" fieldPosition="0">
        <references count="6">
          <reference field="1" count="1" selected="0">
            <x v="153"/>
          </reference>
          <reference field="2" count="1" selected="0">
            <x v="36"/>
          </reference>
          <reference field="3" count="1" selected="0">
            <x v="10"/>
          </reference>
          <reference field="4" count="1" selected="0">
            <x v="243"/>
          </reference>
          <reference field="5" count="1" selected="0">
            <x v="1534"/>
          </reference>
          <reference field="6" count="1">
            <x v="47"/>
          </reference>
        </references>
      </pivotArea>
    </format>
    <format dxfId="323">
      <pivotArea dataOnly="0" labelOnly="1" fieldPosition="0">
        <references count="6">
          <reference field="1" count="1" selected="0">
            <x v="153"/>
          </reference>
          <reference field="2" count="1" selected="0">
            <x v="38"/>
          </reference>
          <reference field="3" count="1" selected="0">
            <x v="10"/>
          </reference>
          <reference field="4" count="1" selected="0">
            <x v="243"/>
          </reference>
          <reference field="5" count="1" selected="0">
            <x v="1017"/>
          </reference>
          <reference field="6" count="1">
            <x v="47"/>
          </reference>
        </references>
      </pivotArea>
    </format>
    <format dxfId="322">
      <pivotArea dataOnly="0" labelOnly="1" fieldPosition="0">
        <references count="6">
          <reference field="1" count="1" selected="0">
            <x v="154"/>
          </reference>
          <reference field="2" count="1" selected="0">
            <x v="0"/>
          </reference>
          <reference field="3" count="1" selected="0">
            <x v="12"/>
          </reference>
          <reference field="4" count="1" selected="0">
            <x v="71"/>
          </reference>
          <reference field="5" count="1" selected="0">
            <x v="11"/>
          </reference>
          <reference field="6" count="1">
            <x v="47"/>
          </reference>
        </references>
      </pivotArea>
    </format>
    <format dxfId="321">
      <pivotArea dataOnly="0" labelOnly="1" fieldPosition="0">
        <references count="6">
          <reference field="1" count="1" selected="0">
            <x v="154"/>
          </reference>
          <reference field="2" count="1" selected="0">
            <x v="0"/>
          </reference>
          <reference field="3" count="1" selected="0">
            <x v="38"/>
          </reference>
          <reference field="4" count="1" selected="0">
            <x v="244"/>
          </reference>
          <reference field="5" count="1" selected="0">
            <x v="89"/>
          </reference>
          <reference field="6" count="1">
            <x v="47"/>
          </reference>
        </references>
      </pivotArea>
    </format>
    <format dxfId="320">
      <pivotArea dataOnly="0" labelOnly="1" fieldPosition="0">
        <references count="6">
          <reference field="1" count="1" selected="0">
            <x v="154"/>
          </reference>
          <reference field="2" count="1" selected="0">
            <x v="0"/>
          </reference>
          <reference field="3" count="1" selected="0">
            <x v="38"/>
          </reference>
          <reference field="4" count="1" selected="0">
            <x v="244"/>
          </reference>
          <reference field="5" count="1" selected="0">
            <x v="138"/>
          </reference>
          <reference field="6" count="1">
            <x v="47"/>
          </reference>
        </references>
      </pivotArea>
    </format>
    <format dxfId="319">
      <pivotArea dataOnly="0" labelOnly="1" fieldPosition="0">
        <references count="6">
          <reference field="1" count="1" selected="0">
            <x v="154"/>
          </reference>
          <reference field="2" count="1" selected="0">
            <x v="0"/>
          </reference>
          <reference field="3" count="1" selected="0">
            <x v="38"/>
          </reference>
          <reference field="4" count="1" selected="0">
            <x v="244"/>
          </reference>
          <reference field="5" count="1" selected="0">
            <x v="391"/>
          </reference>
          <reference field="6" count="1">
            <x v="47"/>
          </reference>
        </references>
      </pivotArea>
    </format>
    <format dxfId="318">
      <pivotArea dataOnly="0" labelOnly="1" fieldPosition="0">
        <references count="6">
          <reference field="1" count="1" selected="0">
            <x v="154"/>
          </reference>
          <reference field="2" count="1" selected="0">
            <x v="12"/>
          </reference>
          <reference field="3" count="1" selected="0">
            <x v="1"/>
          </reference>
          <reference field="4" count="1" selected="0">
            <x v="244"/>
          </reference>
          <reference field="5" count="1" selected="0">
            <x v="80"/>
          </reference>
          <reference field="6" count="1">
            <x v="47"/>
          </reference>
        </references>
      </pivotArea>
    </format>
    <format dxfId="317">
      <pivotArea dataOnly="0" labelOnly="1" fieldPosition="0">
        <references count="6">
          <reference field="1" count="1" selected="0">
            <x v="154"/>
          </reference>
          <reference field="2" count="1" selected="0">
            <x v="12"/>
          </reference>
          <reference field="3" count="1" selected="0">
            <x v="1"/>
          </reference>
          <reference field="4" count="1" selected="0">
            <x v="244"/>
          </reference>
          <reference field="5" count="1" selected="0">
            <x v="213"/>
          </reference>
          <reference field="6" count="1">
            <x v="47"/>
          </reference>
        </references>
      </pivotArea>
    </format>
    <format dxfId="316">
      <pivotArea dataOnly="0" labelOnly="1" fieldPosition="0">
        <references count="6">
          <reference field="1" count="1" selected="0">
            <x v="154"/>
          </reference>
          <reference field="2" count="1" selected="0">
            <x v="12"/>
          </reference>
          <reference field="3" count="1" selected="0">
            <x v="1"/>
          </reference>
          <reference field="4" count="1" selected="0">
            <x v="244"/>
          </reference>
          <reference field="5" count="1" selected="0">
            <x v="352"/>
          </reference>
          <reference field="6" count="1">
            <x v="47"/>
          </reference>
        </references>
      </pivotArea>
    </format>
    <format dxfId="315">
      <pivotArea dataOnly="0" labelOnly="1" fieldPosition="0">
        <references count="6">
          <reference field="1" count="1" selected="0">
            <x v="154"/>
          </reference>
          <reference field="2" count="1" selected="0">
            <x v="17"/>
          </reference>
          <reference field="3" count="1" selected="0">
            <x v="38"/>
          </reference>
          <reference field="4" count="1" selected="0">
            <x v="244"/>
          </reference>
          <reference field="5" count="1" selected="0">
            <x v="365"/>
          </reference>
          <reference field="6" count="1">
            <x v="47"/>
          </reference>
        </references>
      </pivotArea>
    </format>
    <format dxfId="314">
      <pivotArea dataOnly="0" labelOnly="1" fieldPosition="0">
        <references count="6">
          <reference field="1" count="1" selected="0">
            <x v="154"/>
          </reference>
          <reference field="2" count="1" selected="0">
            <x v="23"/>
          </reference>
          <reference field="3" count="1" selected="0">
            <x v="38"/>
          </reference>
          <reference field="4" count="1" selected="0">
            <x v="244"/>
          </reference>
          <reference field="5" count="1" selected="0">
            <x v="1603"/>
          </reference>
          <reference field="6" count="1">
            <x v="47"/>
          </reference>
        </references>
      </pivotArea>
    </format>
    <format dxfId="313">
      <pivotArea dataOnly="0" labelOnly="1" fieldPosition="0">
        <references count="6">
          <reference field="1" count="1" selected="0">
            <x v="154"/>
          </reference>
          <reference field="2" count="1" selected="0">
            <x v="33"/>
          </reference>
          <reference field="3" count="1" selected="0">
            <x v="37"/>
          </reference>
          <reference field="4" count="1" selected="0">
            <x v="244"/>
          </reference>
          <reference field="5" count="1" selected="0">
            <x v="897"/>
          </reference>
          <reference field="6" count="1">
            <x v="47"/>
          </reference>
        </references>
      </pivotArea>
    </format>
    <format dxfId="312">
      <pivotArea dataOnly="0" labelOnly="1" fieldPosition="0">
        <references count="6">
          <reference field="1" count="1" selected="0">
            <x v="154"/>
          </reference>
          <reference field="2" count="1" selected="0">
            <x v="33"/>
          </reference>
          <reference field="3" count="1" selected="0">
            <x v="38"/>
          </reference>
          <reference field="4" count="1" selected="0">
            <x v="244"/>
          </reference>
          <reference field="5" count="1" selected="0">
            <x v="401"/>
          </reference>
          <reference field="6" count="1">
            <x v="47"/>
          </reference>
        </references>
      </pivotArea>
    </format>
    <format dxfId="311">
      <pivotArea dataOnly="0" labelOnly="1" fieldPosition="0">
        <references count="6">
          <reference field="1" count="1" selected="0">
            <x v="154"/>
          </reference>
          <reference field="2" count="1" selected="0">
            <x v="35"/>
          </reference>
          <reference field="3" count="1" selected="0">
            <x v="1"/>
          </reference>
          <reference field="4" count="1" selected="0">
            <x v="244"/>
          </reference>
          <reference field="5" count="1" selected="0">
            <x v="80"/>
          </reference>
          <reference field="6" count="1">
            <x v="47"/>
          </reference>
        </references>
      </pivotArea>
    </format>
    <format dxfId="310">
      <pivotArea dataOnly="0" labelOnly="1" fieldPosition="0">
        <references count="6">
          <reference field="1" count="1" selected="0">
            <x v="154"/>
          </reference>
          <reference field="2" count="1" selected="0">
            <x v="35"/>
          </reference>
          <reference field="3" count="1" selected="0">
            <x v="1"/>
          </reference>
          <reference field="4" count="1" selected="0">
            <x v="244"/>
          </reference>
          <reference field="5" count="1" selected="0">
            <x v="213"/>
          </reference>
          <reference field="6" count="1">
            <x v="47"/>
          </reference>
        </references>
      </pivotArea>
    </format>
    <format dxfId="309">
      <pivotArea dataOnly="0" labelOnly="1" fieldPosition="0">
        <references count="6">
          <reference field="1" count="1" selected="0">
            <x v="154"/>
          </reference>
          <reference field="2" count="1" selected="0">
            <x v="35"/>
          </reference>
          <reference field="3" count="1" selected="0">
            <x v="1"/>
          </reference>
          <reference field="4" count="1" selected="0">
            <x v="244"/>
          </reference>
          <reference field="5" count="1" selected="0">
            <x v="352"/>
          </reference>
          <reference field="6" count="1">
            <x v="47"/>
          </reference>
        </references>
      </pivotArea>
    </format>
    <format dxfId="308">
      <pivotArea dataOnly="0" labelOnly="1" fieldPosition="0">
        <references count="6">
          <reference field="1" count="1" selected="0">
            <x v="154"/>
          </reference>
          <reference field="2" count="1" selected="0">
            <x v="36"/>
          </reference>
          <reference field="3" count="1" selected="0">
            <x v="38"/>
          </reference>
          <reference field="4" count="1" selected="0">
            <x v="244"/>
          </reference>
          <reference field="5" count="1" selected="0">
            <x v="214"/>
          </reference>
          <reference field="6" count="1">
            <x v="47"/>
          </reference>
        </references>
      </pivotArea>
    </format>
    <format dxfId="307">
      <pivotArea dataOnly="0" labelOnly="1" fieldPosition="0">
        <references count="6">
          <reference field="1" count="1" selected="0">
            <x v="155"/>
          </reference>
          <reference field="2" count="1" selected="0">
            <x v="0"/>
          </reference>
          <reference field="3" count="1" selected="0">
            <x v="12"/>
          </reference>
          <reference field="4" count="1" selected="0">
            <x v="2"/>
          </reference>
          <reference field="5" count="1" selected="0">
            <x v="12"/>
          </reference>
          <reference field="6" count="1">
            <x v="47"/>
          </reference>
        </references>
      </pivotArea>
    </format>
    <format dxfId="306">
      <pivotArea dataOnly="0" labelOnly="1" fieldPosition="0">
        <references count="6">
          <reference field="1" count="1" selected="0">
            <x v="155"/>
          </reference>
          <reference field="2" count="1" selected="0">
            <x v="0"/>
          </reference>
          <reference field="3" count="1" selected="0">
            <x v="12"/>
          </reference>
          <reference field="4" count="1" selected="0">
            <x v="10"/>
          </reference>
          <reference field="5" count="1" selected="0">
            <x v="119"/>
          </reference>
          <reference field="6" count="1">
            <x v="47"/>
          </reference>
        </references>
      </pivotArea>
    </format>
    <format dxfId="305">
      <pivotArea dataOnly="0" labelOnly="1" fieldPosition="0">
        <references count="6">
          <reference field="1" count="1" selected="0">
            <x v="155"/>
          </reference>
          <reference field="2" count="1" selected="0">
            <x v="0"/>
          </reference>
          <reference field="3" count="1" selected="0">
            <x v="12"/>
          </reference>
          <reference field="4" count="1" selected="0">
            <x v="19"/>
          </reference>
          <reference field="5" count="1" selected="0">
            <x v="35"/>
          </reference>
          <reference field="6" count="1">
            <x v="47"/>
          </reference>
        </references>
      </pivotArea>
    </format>
    <format dxfId="304">
      <pivotArea dataOnly="0" labelOnly="1" fieldPosition="0">
        <references count="6">
          <reference field="1" count="1" selected="0">
            <x v="155"/>
          </reference>
          <reference field="2" count="1" selected="0">
            <x v="0"/>
          </reference>
          <reference field="3" count="1" selected="0">
            <x v="12"/>
          </reference>
          <reference field="4" count="1" selected="0">
            <x v="39"/>
          </reference>
          <reference field="5" count="1" selected="0">
            <x v="180"/>
          </reference>
          <reference field="6" count="1">
            <x v="47"/>
          </reference>
        </references>
      </pivotArea>
    </format>
    <format dxfId="303">
      <pivotArea dataOnly="0" labelOnly="1" fieldPosition="0">
        <references count="6">
          <reference field="1" count="1" selected="0">
            <x v="155"/>
          </reference>
          <reference field="2" count="1" selected="0">
            <x v="0"/>
          </reference>
          <reference field="3" count="1" selected="0">
            <x v="38"/>
          </reference>
          <reference field="4" count="1" selected="0">
            <x v="245"/>
          </reference>
          <reference field="5" count="1" selected="0">
            <x v="1177"/>
          </reference>
          <reference field="6" count="1">
            <x v="47"/>
          </reference>
        </references>
      </pivotArea>
    </format>
    <format dxfId="302">
      <pivotArea dataOnly="0" labelOnly="1" fieldPosition="0">
        <references count="6">
          <reference field="1" count="1" selected="0">
            <x v="155"/>
          </reference>
          <reference field="2" count="1" selected="0">
            <x v="6"/>
          </reference>
          <reference field="3" count="1" selected="0">
            <x v="38"/>
          </reference>
          <reference field="4" count="1" selected="0">
            <x v="245"/>
          </reference>
          <reference field="5" count="1" selected="0">
            <x v="1357"/>
          </reference>
          <reference field="6" count="1">
            <x v="47"/>
          </reference>
        </references>
      </pivotArea>
    </format>
    <format dxfId="301">
      <pivotArea dataOnly="0" labelOnly="1" fieldPosition="0">
        <references count="6">
          <reference field="1" count="1" selected="0">
            <x v="155"/>
          </reference>
          <reference field="2" count="1" selected="0">
            <x v="12"/>
          </reference>
          <reference field="3" count="1" selected="0">
            <x v="1"/>
          </reference>
          <reference field="4" count="1" selected="0">
            <x v="245"/>
          </reference>
          <reference field="5" count="1" selected="0">
            <x v="80"/>
          </reference>
          <reference field="6" count="1">
            <x v="47"/>
          </reference>
        </references>
      </pivotArea>
    </format>
    <format dxfId="300">
      <pivotArea dataOnly="0" labelOnly="1" fieldPosition="0">
        <references count="6">
          <reference field="1" count="1" selected="0">
            <x v="155"/>
          </reference>
          <reference field="2" count="1" selected="0">
            <x v="12"/>
          </reference>
          <reference field="3" count="1" selected="0">
            <x v="1"/>
          </reference>
          <reference field="4" count="1" selected="0">
            <x v="245"/>
          </reference>
          <reference field="5" count="1" selected="0">
            <x v="213"/>
          </reference>
          <reference field="6" count="1">
            <x v="47"/>
          </reference>
        </references>
      </pivotArea>
    </format>
    <format dxfId="299">
      <pivotArea dataOnly="0" labelOnly="1" fieldPosition="0">
        <references count="6">
          <reference field="1" count="1" selected="0">
            <x v="155"/>
          </reference>
          <reference field="2" count="1" selected="0">
            <x v="12"/>
          </reference>
          <reference field="3" count="1" selected="0">
            <x v="1"/>
          </reference>
          <reference field="4" count="1" selected="0">
            <x v="245"/>
          </reference>
          <reference field="5" count="1" selected="0">
            <x v="352"/>
          </reference>
          <reference field="6" count="1">
            <x v="47"/>
          </reference>
        </references>
      </pivotArea>
    </format>
    <format dxfId="298">
      <pivotArea dataOnly="0" labelOnly="1" fieldPosition="0">
        <references count="6">
          <reference field="1" count="1" selected="0">
            <x v="155"/>
          </reference>
          <reference field="2" count="1" selected="0">
            <x v="33"/>
          </reference>
          <reference field="3" count="1" selected="0">
            <x v="38"/>
          </reference>
          <reference field="4" count="1" selected="0">
            <x v="245"/>
          </reference>
          <reference field="5" count="1" selected="0">
            <x v="235"/>
          </reference>
          <reference field="6" count="1">
            <x v="47"/>
          </reference>
        </references>
      </pivotArea>
    </format>
    <format dxfId="297">
      <pivotArea dataOnly="0" labelOnly="1" fieldPosition="0">
        <references count="6">
          <reference field="1" count="1" selected="0">
            <x v="155"/>
          </reference>
          <reference field="2" count="1" selected="0">
            <x v="35"/>
          </reference>
          <reference field="3" count="1" selected="0">
            <x v="1"/>
          </reference>
          <reference field="4" count="1" selected="0">
            <x v="245"/>
          </reference>
          <reference field="5" count="1" selected="0">
            <x v="80"/>
          </reference>
          <reference field="6" count="1">
            <x v="47"/>
          </reference>
        </references>
      </pivotArea>
    </format>
    <format dxfId="296">
      <pivotArea dataOnly="0" labelOnly="1" fieldPosition="0">
        <references count="6">
          <reference field="1" count="1" selected="0">
            <x v="156"/>
          </reference>
          <reference field="2" count="1" selected="0">
            <x v="0"/>
          </reference>
          <reference field="3" count="1" selected="0">
            <x v="12"/>
          </reference>
          <reference field="4" count="1" selected="0">
            <x v="2"/>
          </reference>
          <reference field="5" count="1" selected="0">
            <x v="39"/>
          </reference>
          <reference field="6" count="1">
            <x v="47"/>
          </reference>
        </references>
      </pivotArea>
    </format>
    <format dxfId="295">
      <pivotArea dataOnly="0" labelOnly="1" fieldPosition="0">
        <references count="6">
          <reference field="1" count="1" selected="0">
            <x v="156"/>
          </reference>
          <reference field="2" count="1" selected="0">
            <x v="0"/>
          </reference>
          <reference field="3" count="1" selected="0">
            <x v="12"/>
          </reference>
          <reference field="4" count="1" selected="0">
            <x v="32"/>
          </reference>
          <reference field="5" count="1" selected="0">
            <x v="391"/>
          </reference>
          <reference field="6" count="1">
            <x v="47"/>
          </reference>
        </references>
      </pivotArea>
    </format>
    <format dxfId="294">
      <pivotArea dataOnly="0" labelOnly="1" fieldPosition="0">
        <references count="6">
          <reference field="1" count="1" selected="0">
            <x v="156"/>
          </reference>
          <reference field="2" count="1" selected="0">
            <x v="0"/>
          </reference>
          <reference field="3" count="1" selected="0">
            <x v="12"/>
          </reference>
          <reference field="4" count="1" selected="0">
            <x v="38"/>
          </reference>
          <reference field="5" count="1" selected="0">
            <x v="6"/>
          </reference>
          <reference field="6" count="1">
            <x v="47"/>
          </reference>
        </references>
      </pivotArea>
    </format>
    <format dxfId="293">
      <pivotArea dataOnly="0" labelOnly="1" fieldPosition="0">
        <references count="6">
          <reference field="1" count="1" selected="0">
            <x v="156"/>
          </reference>
          <reference field="2" count="1" selected="0">
            <x v="0"/>
          </reference>
          <reference field="3" count="1" selected="0">
            <x v="38"/>
          </reference>
          <reference field="4" count="1" selected="0">
            <x v="246"/>
          </reference>
          <reference field="5" count="1" selected="0">
            <x v="138"/>
          </reference>
          <reference field="6" count="1">
            <x v="47"/>
          </reference>
        </references>
      </pivotArea>
    </format>
    <format dxfId="292">
      <pivotArea dataOnly="0" labelOnly="1" fieldPosition="0">
        <references count="6">
          <reference field="1" count="1" selected="0">
            <x v="156"/>
          </reference>
          <reference field="2" count="1" selected="0">
            <x v="6"/>
          </reference>
          <reference field="3" count="1" selected="0">
            <x v="38"/>
          </reference>
          <reference field="4" count="1" selected="0">
            <x v="246"/>
          </reference>
          <reference field="5" count="1" selected="0">
            <x v="579"/>
          </reference>
          <reference field="6" count="1">
            <x v="47"/>
          </reference>
        </references>
      </pivotArea>
    </format>
    <format dxfId="291">
      <pivotArea dataOnly="0" labelOnly="1" fieldPosition="0">
        <references count="6">
          <reference field="1" count="1" selected="0">
            <x v="156"/>
          </reference>
          <reference field="2" count="1" selected="0">
            <x v="12"/>
          </reference>
          <reference field="3" count="1" selected="0">
            <x v="1"/>
          </reference>
          <reference field="4" count="1" selected="0">
            <x v="246"/>
          </reference>
          <reference field="5" count="1" selected="0">
            <x v="80"/>
          </reference>
          <reference field="6" count="1">
            <x v="47"/>
          </reference>
        </references>
      </pivotArea>
    </format>
    <format dxfId="290">
      <pivotArea dataOnly="0" labelOnly="1" fieldPosition="0">
        <references count="6">
          <reference field="1" count="1" selected="0">
            <x v="156"/>
          </reference>
          <reference field="2" count="1" selected="0">
            <x v="12"/>
          </reference>
          <reference field="3" count="1" selected="0">
            <x v="1"/>
          </reference>
          <reference field="4" count="1" selected="0">
            <x v="246"/>
          </reference>
          <reference field="5" count="1" selected="0">
            <x v="213"/>
          </reference>
          <reference field="6" count="1">
            <x v="47"/>
          </reference>
        </references>
      </pivotArea>
    </format>
    <format dxfId="289">
      <pivotArea dataOnly="0" labelOnly="1" fieldPosition="0">
        <references count="6">
          <reference field="1" count="1" selected="0">
            <x v="156"/>
          </reference>
          <reference field="2" count="1" selected="0">
            <x v="12"/>
          </reference>
          <reference field="3" count="1" selected="0">
            <x v="1"/>
          </reference>
          <reference field="4" count="1" selected="0">
            <x v="246"/>
          </reference>
          <reference field="5" count="1" selected="0">
            <x v="500"/>
          </reference>
          <reference field="6" count="1">
            <x v="47"/>
          </reference>
        </references>
      </pivotArea>
    </format>
    <format dxfId="288">
      <pivotArea dataOnly="0" labelOnly="1" fieldPosition="0">
        <references count="6">
          <reference field="1" count="1" selected="0">
            <x v="156"/>
          </reference>
          <reference field="2" count="1" selected="0">
            <x v="12"/>
          </reference>
          <reference field="3" count="1" selected="0">
            <x v="1"/>
          </reference>
          <reference field="4" count="1" selected="0">
            <x v="246"/>
          </reference>
          <reference field="5" count="1" selected="0">
            <x v="607"/>
          </reference>
          <reference field="6" count="1">
            <x v="47"/>
          </reference>
        </references>
      </pivotArea>
    </format>
    <format dxfId="287">
      <pivotArea dataOnly="0" labelOnly="1" fieldPosition="0">
        <references count="6">
          <reference field="1" count="1" selected="0">
            <x v="156"/>
          </reference>
          <reference field="2" count="1" selected="0">
            <x v="12"/>
          </reference>
          <reference field="3" count="1" selected="0">
            <x v="38"/>
          </reference>
          <reference field="4" count="1" selected="0">
            <x v="246"/>
          </reference>
          <reference field="5" count="1" selected="0">
            <x v="1271"/>
          </reference>
          <reference field="6" count="1">
            <x v="47"/>
          </reference>
        </references>
      </pivotArea>
    </format>
    <format dxfId="286">
      <pivotArea dataOnly="0" labelOnly="1" fieldPosition="0">
        <references count="6">
          <reference field="1" count="1" selected="0">
            <x v="156"/>
          </reference>
          <reference field="2" count="1" selected="0">
            <x v="12"/>
          </reference>
          <reference field="3" count="1" selected="0">
            <x v="38"/>
          </reference>
          <reference field="4" count="1" selected="0">
            <x v="246"/>
          </reference>
          <reference field="5" count="1" selected="0">
            <x v="1343"/>
          </reference>
          <reference field="6" count="1">
            <x v="47"/>
          </reference>
        </references>
      </pivotArea>
    </format>
    <format dxfId="285">
      <pivotArea dataOnly="0" labelOnly="1" fieldPosition="0">
        <references count="6">
          <reference field="1" count="1" selected="0">
            <x v="156"/>
          </reference>
          <reference field="2" count="1" selected="0">
            <x v="12"/>
          </reference>
          <reference field="3" count="1" selected="0">
            <x v="38"/>
          </reference>
          <reference field="4" count="1" selected="0">
            <x v="246"/>
          </reference>
          <reference field="5" count="1" selected="0">
            <x v="1528"/>
          </reference>
          <reference field="6" count="1">
            <x v="47"/>
          </reference>
        </references>
      </pivotArea>
    </format>
    <format dxfId="284">
      <pivotArea dataOnly="0" labelOnly="1" fieldPosition="0">
        <references count="6">
          <reference field="1" count="1" selected="0">
            <x v="156"/>
          </reference>
          <reference field="2" count="1" selected="0">
            <x v="31"/>
          </reference>
          <reference field="3" count="1" selected="0">
            <x v="6"/>
          </reference>
          <reference field="4" count="1" selected="0">
            <x v="246"/>
          </reference>
          <reference field="5" count="1" selected="0">
            <x v="1793"/>
          </reference>
          <reference field="6" count="1">
            <x v="47"/>
          </reference>
        </references>
      </pivotArea>
    </format>
    <format dxfId="283">
      <pivotArea dataOnly="0" labelOnly="1" fieldPosition="0">
        <references count="6">
          <reference field="1" count="1" selected="0">
            <x v="156"/>
          </reference>
          <reference field="2" count="1" selected="0">
            <x v="35"/>
          </reference>
          <reference field="3" count="1" selected="0">
            <x v="1"/>
          </reference>
          <reference field="4" count="1" selected="0">
            <x v="246"/>
          </reference>
          <reference field="5" count="1" selected="0">
            <x v="80"/>
          </reference>
          <reference field="6" count="1">
            <x v="47"/>
          </reference>
        </references>
      </pivotArea>
    </format>
    <format dxfId="282">
      <pivotArea dataOnly="0" labelOnly="1" fieldPosition="0">
        <references count="6">
          <reference field="1" count="1" selected="0">
            <x v="156"/>
          </reference>
          <reference field="2" count="1" selected="0">
            <x v="36"/>
          </reference>
          <reference field="3" count="1" selected="0">
            <x v="38"/>
          </reference>
          <reference field="4" count="1" selected="0">
            <x v="246"/>
          </reference>
          <reference field="5" count="1" selected="0">
            <x v="214"/>
          </reference>
          <reference field="6" count="1">
            <x v="47"/>
          </reference>
        </references>
      </pivotArea>
    </format>
    <format dxfId="281">
      <pivotArea dataOnly="0" labelOnly="1" fieldPosition="0">
        <references count="6">
          <reference field="1" count="1" selected="0">
            <x v="157"/>
          </reference>
          <reference field="2" count="1" selected="0">
            <x v="0"/>
          </reference>
          <reference field="3" count="1" selected="0">
            <x v="38"/>
          </reference>
          <reference field="4" count="1" selected="0">
            <x v="247"/>
          </reference>
          <reference field="5" count="1" selected="0">
            <x v="138"/>
          </reference>
          <reference field="6" count="1">
            <x v="47"/>
          </reference>
        </references>
      </pivotArea>
    </format>
    <format dxfId="280">
      <pivotArea dataOnly="0" labelOnly="1" fieldPosition="0">
        <references count="6">
          <reference field="1" count="1" selected="0">
            <x v="157"/>
          </reference>
          <reference field="2" count="1" selected="0">
            <x v="0"/>
          </reference>
          <reference field="3" count="1" selected="0">
            <x v="38"/>
          </reference>
          <reference field="4" count="1" selected="0">
            <x v="247"/>
          </reference>
          <reference field="5" count="1" selected="0">
            <x v="524"/>
          </reference>
          <reference field="6" count="1">
            <x v="47"/>
          </reference>
        </references>
      </pivotArea>
    </format>
    <format dxfId="279">
      <pivotArea dataOnly="0" labelOnly="1" fieldPosition="0">
        <references count="6">
          <reference field="1" count="1" selected="0">
            <x v="157"/>
          </reference>
          <reference field="2" count="1" selected="0">
            <x v="2"/>
          </reference>
          <reference field="3" count="1" selected="0">
            <x v="1"/>
          </reference>
          <reference field="4" count="1" selected="0">
            <x v="247"/>
          </reference>
          <reference field="5" count="1" selected="0">
            <x v="1284"/>
          </reference>
          <reference field="6" count="1">
            <x v="47"/>
          </reference>
        </references>
      </pivotArea>
    </format>
    <format dxfId="278">
      <pivotArea dataOnly="0" labelOnly="1" fieldPosition="0">
        <references count="6">
          <reference field="1" count="1" selected="0">
            <x v="157"/>
          </reference>
          <reference field="2" count="1" selected="0">
            <x v="2"/>
          </reference>
          <reference field="3" count="1" selected="0">
            <x v="6"/>
          </reference>
          <reference field="4" count="1" selected="0">
            <x v="247"/>
          </reference>
          <reference field="5" count="1" selected="0">
            <x v="909"/>
          </reference>
          <reference field="6" count="1">
            <x v="47"/>
          </reference>
        </references>
      </pivotArea>
    </format>
    <format dxfId="277">
      <pivotArea dataOnly="0" labelOnly="1" fieldPosition="0">
        <references count="6">
          <reference field="1" count="1" selected="0">
            <x v="157"/>
          </reference>
          <reference field="2" count="1" selected="0">
            <x v="3"/>
          </reference>
          <reference field="3" count="1" selected="0">
            <x v="38"/>
          </reference>
          <reference field="4" count="1" selected="0">
            <x v="247"/>
          </reference>
          <reference field="5" count="1" selected="0">
            <x v="1070"/>
          </reference>
          <reference field="6" count="1">
            <x v="47"/>
          </reference>
        </references>
      </pivotArea>
    </format>
    <format dxfId="276">
      <pivotArea dataOnly="0" labelOnly="1" fieldPosition="0">
        <references count="6">
          <reference field="1" count="1" selected="0">
            <x v="157"/>
          </reference>
          <reference field="2" count="1" selected="0">
            <x v="7"/>
          </reference>
          <reference field="3" count="1" selected="0">
            <x v="38"/>
          </reference>
          <reference field="4" count="1" selected="0">
            <x v="247"/>
          </reference>
          <reference field="5" count="1" selected="0">
            <x v="1770"/>
          </reference>
          <reference field="6" count="1">
            <x v="47"/>
          </reference>
        </references>
      </pivotArea>
    </format>
    <format dxfId="275">
      <pivotArea dataOnly="0" labelOnly="1" fieldPosition="0">
        <references count="6">
          <reference field="1" count="1" selected="0">
            <x v="157"/>
          </reference>
          <reference field="2" count="1" selected="0">
            <x v="12"/>
          </reference>
          <reference field="3" count="1" selected="0">
            <x v="1"/>
          </reference>
          <reference field="4" count="1" selected="0">
            <x v="247"/>
          </reference>
          <reference field="5" count="1" selected="0">
            <x v="80"/>
          </reference>
          <reference field="6" count="1">
            <x v="47"/>
          </reference>
        </references>
      </pivotArea>
    </format>
    <format dxfId="274">
      <pivotArea dataOnly="0" labelOnly="1" fieldPosition="0">
        <references count="6">
          <reference field="1" count="1" selected="0">
            <x v="157"/>
          </reference>
          <reference field="2" count="1" selected="0">
            <x v="12"/>
          </reference>
          <reference field="3" count="1" selected="0">
            <x v="1"/>
          </reference>
          <reference field="4" count="1" selected="0">
            <x v="247"/>
          </reference>
          <reference field="5" count="1" selected="0">
            <x v="213"/>
          </reference>
          <reference field="6" count="1">
            <x v="47"/>
          </reference>
        </references>
      </pivotArea>
    </format>
    <format dxfId="273">
      <pivotArea dataOnly="0" labelOnly="1" fieldPosition="0">
        <references count="6">
          <reference field="1" count="1" selected="0">
            <x v="157"/>
          </reference>
          <reference field="2" count="1" selected="0">
            <x v="12"/>
          </reference>
          <reference field="3" count="1" selected="0">
            <x v="1"/>
          </reference>
          <reference field="4" count="1" selected="0">
            <x v="247"/>
          </reference>
          <reference field="5" count="1" selected="0">
            <x v="352"/>
          </reference>
          <reference field="6" count="1">
            <x v="47"/>
          </reference>
        </references>
      </pivotArea>
    </format>
    <format dxfId="272">
      <pivotArea dataOnly="0" labelOnly="1" fieldPosition="0">
        <references count="6">
          <reference field="1" count="1" selected="0">
            <x v="157"/>
          </reference>
          <reference field="2" count="1" selected="0">
            <x v="12"/>
          </reference>
          <reference field="3" count="1" selected="0">
            <x v="1"/>
          </reference>
          <reference field="4" count="1" selected="0">
            <x v="247"/>
          </reference>
          <reference field="5" count="1" selected="0">
            <x v="771"/>
          </reference>
          <reference field="6" count="1">
            <x v="47"/>
          </reference>
        </references>
      </pivotArea>
    </format>
    <format dxfId="271">
      <pivotArea dataOnly="0" labelOnly="1" fieldPosition="0">
        <references count="6">
          <reference field="1" count="1" selected="0">
            <x v="157"/>
          </reference>
          <reference field="2" count="1" selected="0">
            <x v="12"/>
          </reference>
          <reference field="3" count="1" selected="0">
            <x v="1"/>
          </reference>
          <reference field="4" count="1" selected="0">
            <x v="247"/>
          </reference>
          <reference field="5" count="1" selected="0">
            <x v="964"/>
          </reference>
          <reference field="6" count="1">
            <x v="47"/>
          </reference>
        </references>
      </pivotArea>
    </format>
    <format dxfId="270">
      <pivotArea dataOnly="0" labelOnly="1" fieldPosition="0">
        <references count="6">
          <reference field="1" count="1" selected="0">
            <x v="157"/>
          </reference>
          <reference field="2" count="1" selected="0">
            <x v="17"/>
          </reference>
          <reference field="3" count="1" selected="0">
            <x v="38"/>
          </reference>
          <reference field="4" count="1" selected="0">
            <x v="247"/>
          </reference>
          <reference field="5" count="1" selected="0">
            <x v="1708"/>
          </reference>
          <reference field="6" count="1">
            <x v="47"/>
          </reference>
        </references>
      </pivotArea>
    </format>
    <format dxfId="269">
      <pivotArea dataOnly="0" labelOnly="1" fieldPosition="0">
        <references count="6">
          <reference field="1" count="1" selected="0">
            <x v="157"/>
          </reference>
          <reference field="2" count="1" selected="0">
            <x v="35"/>
          </reference>
          <reference field="3" count="1" selected="0">
            <x v="1"/>
          </reference>
          <reference field="4" count="1" selected="0">
            <x v="247"/>
          </reference>
          <reference field="5" count="1" selected="0">
            <x v="80"/>
          </reference>
          <reference field="6" count="1">
            <x v="47"/>
          </reference>
        </references>
      </pivotArea>
    </format>
    <format dxfId="268">
      <pivotArea dataOnly="0" labelOnly="1" fieldPosition="0">
        <references count="6">
          <reference field="1" count="1" selected="0">
            <x v="158"/>
          </reference>
          <reference field="2" count="1" selected="0">
            <x v="0"/>
          </reference>
          <reference field="3" count="1" selected="0">
            <x v="12"/>
          </reference>
          <reference field="4" count="1" selected="0">
            <x v="52"/>
          </reference>
          <reference field="5" count="1" selected="0">
            <x v="9"/>
          </reference>
          <reference field="6" count="1">
            <x v="47"/>
          </reference>
        </references>
      </pivotArea>
    </format>
    <format dxfId="267">
      <pivotArea dataOnly="0" labelOnly="1" fieldPosition="0">
        <references count="6">
          <reference field="1" count="1" selected="0">
            <x v="158"/>
          </reference>
          <reference field="2" count="1" selected="0">
            <x v="0"/>
          </reference>
          <reference field="3" count="1" selected="0">
            <x v="12"/>
          </reference>
          <reference field="4" count="1" selected="0">
            <x v="57"/>
          </reference>
          <reference field="5" count="1" selected="0">
            <x v="6"/>
          </reference>
          <reference field="6" count="1">
            <x v="47"/>
          </reference>
        </references>
      </pivotArea>
    </format>
    <format dxfId="266">
      <pivotArea dataOnly="0" labelOnly="1" fieldPosition="0">
        <references count="6">
          <reference field="1" count="1" selected="0">
            <x v="158"/>
          </reference>
          <reference field="2" count="1" selected="0">
            <x v="5"/>
          </reference>
          <reference field="3" count="1" selected="0">
            <x v="10"/>
          </reference>
          <reference field="4" count="1" selected="0">
            <x v="248"/>
          </reference>
          <reference field="5" count="1" selected="0">
            <x v="1336"/>
          </reference>
          <reference field="6" count="1">
            <x v="47"/>
          </reference>
        </references>
      </pivotArea>
    </format>
    <format dxfId="265">
      <pivotArea dataOnly="0" labelOnly="1" fieldPosition="0">
        <references count="6">
          <reference field="1" count="1" selected="0">
            <x v="158"/>
          </reference>
          <reference field="2" count="1" selected="0">
            <x v="9"/>
          </reference>
          <reference field="3" count="1" selected="0">
            <x v="10"/>
          </reference>
          <reference field="4" count="1" selected="0">
            <x v="248"/>
          </reference>
          <reference field="5" count="1" selected="0">
            <x v="176"/>
          </reference>
          <reference field="6" count="1">
            <x v="47"/>
          </reference>
        </references>
      </pivotArea>
    </format>
    <format dxfId="264">
      <pivotArea dataOnly="0" labelOnly="1" fieldPosition="0">
        <references count="6">
          <reference field="1" count="1" selected="0">
            <x v="158"/>
          </reference>
          <reference field="2" count="1" selected="0">
            <x v="12"/>
          </reference>
          <reference field="3" count="1" selected="0">
            <x v="1"/>
          </reference>
          <reference field="4" count="1" selected="0">
            <x v="248"/>
          </reference>
          <reference field="5" count="1" selected="0">
            <x v="213"/>
          </reference>
          <reference field="6" count="1">
            <x v="47"/>
          </reference>
        </references>
      </pivotArea>
    </format>
    <format dxfId="263">
      <pivotArea dataOnly="0" labelOnly="1" fieldPosition="0">
        <references count="6">
          <reference field="1" count="1" selected="0">
            <x v="158"/>
          </reference>
          <reference field="2" count="1" selected="0">
            <x v="12"/>
          </reference>
          <reference field="3" count="1" selected="0">
            <x v="1"/>
          </reference>
          <reference field="4" count="1" selected="0">
            <x v="248"/>
          </reference>
          <reference field="5" count="1" selected="0">
            <x v="352"/>
          </reference>
          <reference field="6" count="1">
            <x v="47"/>
          </reference>
        </references>
      </pivotArea>
    </format>
    <format dxfId="262">
      <pivotArea dataOnly="0" labelOnly="1" fieldPosition="0">
        <references count="6">
          <reference field="1" count="1" selected="0">
            <x v="158"/>
          </reference>
          <reference field="2" count="1" selected="0">
            <x v="12"/>
          </reference>
          <reference field="3" count="1" selected="0">
            <x v="1"/>
          </reference>
          <reference field="4" count="1" selected="0">
            <x v="248"/>
          </reference>
          <reference field="5" count="1" selected="0">
            <x v="500"/>
          </reference>
          <reference field="6" count="1">
            <x v="47"/>
          </reference>
        </references>
      </pivotArea>
    </format>
    <format dxfId="261">
      <pivotArea dataOnly="0" labelOnly="1" fieldPosition="0">
        <references count="6">
          <reference field="1" count="1" selected="0">
            <x v="158"/>
          </reference>
          <reference field="2" count="1" selected="0">
            <x v="12"/>
          </reference>
          <reference field="3" count="1" selected="0">
            <x v="1"/>
          </reference>
          <reference field="4" count="1" selected="0">
            <x v="248"/>
          </reference>
          <reference field="5" count="1" selected="0">
            <x v="607"/>
          </reference>
          <reference field="6" count="1">
            <x v="47"/>
          </reference>
        </references>
      </pivotArea>
    </format>
    <format dxfId="260">
      <pivotArea dataOnly="0" labelOnly="1" fieldPosition="0">
        <references count="6">
          <reference field="1" count="1" selected="0">
            <x v="158"/>
          </reference>
          <reference field="2" count="1" selected="0">
            <x v="12"/>
          </reference>
          <reference field="3" count="1" selected="0">
            <x v="1"/>
          </reference>
          <reference field="4" count="1" selected="0">
            <x v="248"/>
          </reference>
          <reference field="5" count="1" selected="0">
            <x v="702"/>
          </reference>
          <reference field="6" count="1">
            <x v="47"/>
          </reference>
        </references>
      </pivotArea>
    </format>
    <format dxfId="259">
      <pivotArea dataOnly="0" labelOnly="1" fieldPosition="0">
        <references count="6">
          <reference field="1" count="1" selected="0">
            <x v="158"/>
          </reference>
          <reference field="2" count="1" selected="0">
            <x v="12"/>
          </reference>
          <reference field="3" count="1" selected="0">
            <x v="1"/>
          </reference>
          <reference field="4" count="1" selected="0">
            <x v="248"/>
          </reference>
          <reference field="5" count="1" selected="0">
            <x v="771"/>
          </reference>
          <reference field="6" count="1">
            <x v="47"/>
          </reference>
        </references>
      </pivotArea>
    </format>
    <format dxfId="258">
      <pivotArea dataOnly="0" labelOnly="1" fieldPosition="0">
        <references count="6">
          <reference field="1" count="1" selected="0">
            <x v="158"/>
          </reference>
          <reference field="2" count="1" selected="0">
            <x v="15"/>
          </reference>
          <reference field="3" count="1" selected="0">
            <x v="10"/>
          </reference>
          <reference field="4" count="1" selected="0">
            <x v="248"/>
          </reference>
          <reference field="5" count="1" selected="0">
            <x v="1807"/>
          </reference>
          <reference field="6" count="1">
            <x v="47"/>
          </reference>
        </references>
      </pivotArea>
    </format>
    <format dxfId="257">
      <pivotArea dataOnly="0" labelOnly="1" fieldPosition="0">
        <references count="6">
          <reference field="1" count="1" selected="0">
            <x v="158"/>
          </reference>
          <reference field="2" count="1" selected="0">
            <x v="15"/>
          </reference>
          <reference field="3" count="1" selected="0">
            <x v="38"/>
          </reference>
          <reference field="4" count="1" selected="0">
            <x v="248"/>
          </reference>
          <reference field="5" count="1" selected="0">
            <x v="607"/>
          </reference>
          <reference field="6" count="1">
            <x v="47"/>
          </reference>
        </references>
      </pivotArea>
    </format>
    <format dxfId="256">
      <pivotArea dataOnly="0" labelOnly="1" fieldPosition="0">
        <references count="6">
          <reference field="1" count="1" selected="0">
            <x v="158"/>
          </reference>
          <reference field="2" count="1" selected="0">
            <x v="19"/>
          </reference>
          <reference field="3" count="1" selected="0">
            <x v="6"/>
          </reference>
          <reference field="4" count="1" selected="0">
            <x v="248"/>
          </reference>
          <reference field="5" count="1" selected="0">
            <x v="902"/>
          </reference>
          <reference field="6" count="1">
            <x v="47"/>
          </reference>
        </references>
      </pivotArea>
    </format>
    <format dxfId="255">
      <pivotArea dataOnly="0" labelOnly="1" fieldPosition="0">
        <references count="6">
          <reference field="1" count="1" selected="0">
            <x v="158"/>
          </reference>
          <reference field="2" count="1" selected="0">
            <x v="23"/>
          </reference>
          <reference field="3" count="1" selected="0">
            <x v="1"/>
          </reference>
          <reference field="4" count="1" selected="0">
            <x v="248"/>
          </reference>
          <reference field="5" count="1" selected="0">
            <x v="718"/>
          </reference>
          <reference field="6" count="1">
            <x v="47"/>
          </reference>
        </references>
      </pivotArea>
    </format>
    <format dxfId="254">
      <pivotArea dataOnly="0" labelOnly="1" fieldPosition="0">
        <references count="6">
          <reference field="1" count="1" selected="0">
            <x v="158"/>
          </reference>
          <reference field="2" count="1" selected="0">
            <x v="24"/>
          </reference>
          <reference field="3" count="1" selected="0">
            <x v="6"/>
          </reference>
          <reference field="4" count="1" selected="0">
            <x v="248"/>
          </reference>
          <reference field="5" count="1" selected="0">
            <x v="1268"/>
          </reference>
          <reference field="6" count="1">
            <x v="47"/>
          </reference>
        </references>
      </pivotArea>
    </format>
    <format dxfId="253">
      <pivotArea dataOnly="0" labelOnly="1" fieldPosition="0">
        <references count="6">
          <reference field="1" count="1" selected="0">
            <x v="158"/>
          </reference>
          <reference field="2" count="1" selected="0">
            <x v="35"/>
          </reference>
          <reference field="3" count="1" selected="0">
            <x v="1"/>
          </reference>
          <reference field="4" count="1" selected="0">
            <x v="248"/>
          </reference>
          <reference field="5" count="1" selected="0">
            <x v="80"/>
          </reference>
          <reference field="6" count="1">
            <x v="47"/>
          </reference>
        </references>
      </pivotArea>
    </format>
    <format dxfId="252">
      <pivotArea dataOnly="0" labelOnly="1" fieldPosition="0">
        <references count="6">
          <reference field="1" count="1" selected="0">
            <x v="159"/>
          </reference>
          <reference field="2" count="1" selected="0">
            <x v="0"/>
          </reference>
          <reference field="3" count="1" selected="0">
            <x v="6"/>
          </reference>
          <reference field="4" count="1" selected="0">
            <x v="250"/>
          </reference>
          <reference field="5" count="1" selected="0">
            <x v="469"/>
          </reference>
          <reference field="6" count="1">
            <x v="47"/>
          </reference>
        </references>
      </pivotArea>
    </format>
    <format dxfId="251">
      <pivotArea dataOnly="0" labelOnly="1" fieldPosition="0">
        <references count="6">
          <reference field="1" count="1" selected="0">
            <x v="159"/>
          </reference>
          <reference field="2" count="1" selected="0">
            <x v="0"/>
          </reference>
          <reference field="3" count="1" selected="0">
            <x v="6"/>
          </reference>
          <reference field="4" count="1" selected="0">
            <x v="250"/>
          </reference>
          <reference field="5" count="1" selected="0">
            <x v="1345"/>
          </reference>
          <reference field="6" count="1">
            <x v="47"/>
          </reference>
        </references>
      </pivotArea>
    </format>
    <format dxfId="250">
      <pivotArea dataOnly="0" labelOnly="1" fieldPosition="0">
        <references count="6">
          <reference field="1" count="1" selected="0">
            <x v="159"/>
          </reference>
          <reference field="2" count="1" selected="0">
            <x v="0"/>
          </reference>
          <reference field="3" count="1" selected="0">
            <x v="9"/>
          </reference>
          <reference field="4" count="1" selected="0">
            <x v="250"/>
          </reference>
          <reference field="5" count="1" selected="0">
            <x v="605"/>
          </reference>
          <reference field="6" count="1">
            <x v="47"/>
          </reference>
        </references>
      </pivotArea>
    </format>
    <format dxfId="249">
      <pivotArea dataOnly="0" labelOnly="1" fieldPosition="0">
        <references count="6">
          <reference field="1" count="1" selected="0">
            <x v="159"/>
          </reference>
          <reference field="2" count="1" selected="0">
            <x v="0"/>
          </reference>
          <reference field="3" count="1" selected="0">
            <x v="9"/>
          </reference>
          <reference field="4" count="1" selected="0">
            <x v="250"/>
          </reference>
          <reference field="5" count="1" selected="0">
            <x v="909"/>
          </reference>
          <reference field="6" count="1">
            <x v="47"/>
          </reference>
        </references>
      </pivotArea>
    </format>
    <format dxfId="248">
      <pivotArea dataOnly="0" labelOnly="1" fieldPosition="0">
        <references count="6">
          <reference field="1" count="1" selected="0">
            <x v="159"/>
          </reference>
          <reference field="2" count="1" selected="0">
            <x v="0"/>
          </reference>
          <reference field="3" count="1" selected="0">
            <x v="12"/>
          </reference>
          <reference field="4" count="1" selected="0">
            <x v="64"/>
          </reference>
          <reference field="5" count="1" selected="0">
            <x v="69"/>
          </reference>
          <reference field="6" count="1">
            <x v="47"/>
          </reference>
        </references>
      </pivotArea>
    </format>
    <format dxfId="247">
      <pivotArea dataOnly="0" labelOnly="1" fieldPosition="0">
        <references count="6">
          <reference field="1" count="1" selected="0">
            <x v="159"/>
          </reference>
          <reference field="2" count="1" selected="0">
            <x v="12"/>
          </reference>
          <reference field="3" count="1" selected="0">
            <x v="1"/>
          </reference>
          <reference field="4" count="1" selected="0">
            <x v="250"/>
          </reference>
          <reference field="5" count="1" selected="0">
            <x v="80"/>
          </reference>
          <reference field="6" count="1">
            <x v="47"/>
          </reference>
        </references>
      </pivotArea>
    </format>
    <format dxfId="246">
      <pivotArea dataOnly="0" labelOnly="1" fieldPosition="0">
        <references count="6">
          <reference field="1" count="1" selected="0">
            <x v="159"/>
          </reference>
          <reference field="2" count="1" selected="0">
            <x v="12"/>
          </reference>
          <reference field="3" count="1" selected="0">
            <x v="1"/>
          </reference>
          <reference field="4" count="1" selected="0">
            <x v="250"/>
          </reference>
          <reference field="5" count="1" selected="0">
            <x v="213"/>
          </reference>
          <reference field="6" count="1">
            <x v="47"/>
          </reference>
        </references>
      </pivotArea>
    </format>
    <format dxfId="245">
      <pivotArea dataOnly="0" labelOnly="1" fieldPosition="0">
        <references count="6">
          <reference field="1" count="1" selected="0">
            <x v="159"/>
          </reference>
          <reference field="2" count="1" selected="0">
            <x v="12"/>
          </reference>
          <reference field="3" count="1" selected="0">
            <x v="1"/>
          </reference>
          <reference field="4" count="1" selected="0">
            <x v="250"/>
          </reference>
          <reference field="5" count="1" selected="0">
            <x v="500"/>
          </reference>
          <reference field="6" count="1">
            <x v="47"/>
          </reference>
        </references>
      </pivotArea>
    </format>
    <format dxfId="244">
      <pivotArea dataOnly="0" labelOnly="1" fieldPosition="0">
        <references count="6">
          <reference field="1" count="1" selected="0">
            <x v="159"/>
          </reference>
          <reference field="2" count="1" selected="0">
            <x v="12"/>
          </reference>
          <reference field="3" count="1" selected="0">
            <x v="1"/>
          </reference>
          <reference field="4" count="1" selected="0">
            <x v="250"/>
          </reference>
          <reference field="5" count="1" selected="0">
            <x v="771"/>
          </reference>
          <reference field="6" count="1">
            <x v="47"/>
          </reference>
        </references>
      </pivotArea>
    </format>
    <format dxfId="243">
      <pivotArea dataOnly="0" labelOnly="1" fieldPosition="0">
        <references count="6">
          <reference field="1" count="1" selected="0">
            <x v="159"/>
          </reference>
          <reference field="2" count="1" selected="0">
            <x v="12"/>
          </reference>
          <reference field="3" count="1" selected="0">
            <x v="8"/>
          </reference>
          <reference field="4" count="1" selected="0">
            <x v="250"/>
          </reference>
          <reference field="5" count="1" selected="0">
            <x v="0"/>
          </reference>
          <reference field="6" count="1">
            <x v="42"/>
          </reference>
        </references>
      </pivotArea>
    </format>
    <format dxfId="242">
      <pivotArea dataOnly="0" labelOnly="1" fieldPosition="0">
        <references count="6">
          <reference field="1" count="1" selected="0">
            <x v="159"/>
          </reference>
          <reference field="2" count="1" selected="0">
            <x v="12"/>
          </reference>
          <reference field="3" count="1" selected="0">
            <x v="29"/>
          </reference>
          <reference field="4" count="1" selected="0">
            <x v="249"/>
          </reference>
          <reference field="5" count="1" selected="0">
            <x v="221"/>
          </reference>
          <reference field="6" count="1">
            <x v="47"/>
          </reference>
        </references>
      </pivotArea>
    </format>
    <format dxfId="241">
      <pivotArea dataOnly="0" labelOnly="1" fieldPosition="0">
        <references count="6">
          <reference field="1" count="1" selected="0">
            <x v="159"/>
          </reference>
          <reference field="2" count="1" selected="0">
            <x v="15"/>
          </reference>
          <reference field="3" count="1" selected="0">
            <x v="10"/>
          </reference>
          <reference field="4" count="1" selected="0">
            <x v="250"/>
          </reference>
          <reference field="5" count="1" selected="0">
            <x v="1402"/>
          </reference>
          <reference field="6" count="1">
            <x v="47"/>
          </reference>
        </references>
      </pivotArea>
    </format>
    <format dxfId="240">
      <pivotArea dataOnly="0" labelOnly="1" fieldPosition="0">
        <references count="6">
          <reference field="1" count="1" selected="0">
            <x v="159"/>
          </reference>
          <reference field="2" count="1" selected="0">
            <x v="19"/>
          </reference>
          <reference field="3" count="1" selected="0">
            <x v="6"/>
          </reference>
          <reference field="4" count="1" selected="0">
            <x v="250"/>
          </reference>
          <reference field="5" count="1" selected="0">
            <x v="840"/>
          </reference>
          <reference field="6" count="1">
            <x v="47"/>
          </reference>
        </references>
      </pivotArea>
    </format>
    <format dxfId="239">
      <pivotArea dataOnly="0" labelOnly="1" fieldPosition="0">
        <references count="6">
          <reference field="1" count="1" selected="0">
            <x v="159"/>
          </reference>
          <reference field="2" count="1" selected="0">
            <x v="33"/>
          </reference>
          <reference field="3" count="1" selected="0">
            <x v="6"/>
          </reference>
          <reference field="4" count="1" selected="0">
            <x v="250"/>
          </reference>
          <reference field="5" count="1" selected="0">
            <x v="469"/>
          </reference>
          <reference field="6" count="1">
            <x v="47"/>
          </reference>
        </references>
      </pivotArea>
    </format>
    <format dxfId="238">
      <pivotArea dataOnly="0" labelOnly="1" fieldPosition="0">
        <references count="6">
          <reference field="1" count="1" selected="0">
            <x v="159"/>
          </reference>
          <reference field="2" count="1" selected="0">
            <x v="33"/>
          </reference>
          <reference field="3" count="1" selected="0">
            <x v="38"/>
          </reference>
          <reference field="4" count="1" selected="0">
            <x v="250"/>
          </reference>
          <reference field="5" count="1" selected="0">
            <x v="82"/>
          </reference>
          <reference field="6" count="1">
            <x v="47"/>
          </reference>
        </references>
      </pivotArea>
    </format>
    <format dxfId="237">
      <pivotArea dataOnly="0" labelOnly="1" fieldPosition="0">
        <references count="6">
          <reference field="1" count="1" selected="0">
            <x v="159"/>
          </reference>
          <reference field="2" count="1" selected="0">
            <x v="35"/>
          </reference>
          <reference field="3" count="1" selected="0">
            <x v="1"/>
          </reference>
          <reference field="4" count="1" selected="0">
            <x v="250"/>
          </reference>
          <reference field="5" count="1" selected="0">
            <x v="80"/>
          </reference>
          <reference field="6" count="1">
            <x v="47"/>
          </reference>
        </references>
      </pivotArea>
    </format>
    <format dxfId="236">
      <pivotArea dataOnly="0" labelOnly="1" fieldPosition="0">
        <references count="6">
          <reference field="1" count="1" selected="0">
            <x v="159"/>
          </reference>
          <reference field="2" count="1" selected="0">
            <x v="35"/>
          </reference>
          <reference field="3" count="1" selected="0">
            <x v="1"/>
          </reference>
          <reference field="4" count="1" selected="0">
            <x v="250"/>
          </reference>
          <reference field="5" count="1" selected="0">
            <x v="213"/>
          </reference>
          <reference field="6" count="1">
            <x v="47"/>
          </reference>
        </references>
      </pivotArea>
    </format>
    <format dxfId="235">
      <pivotArea dataOnly="0" labelOnly="1" fieldPosition="0">
        <references count="6">
          <reference field="1" count="1" selected="0">
            <x v="159"/>
          </reference>
          <reference field="2" count="1" selected="0">
            <x v="37"/>
          </reference>
          <reference field="3" count="1" selected="0">
            <x v="38"/>
          </reference>
          <reference field="4" count="1" selected="0">
            <x v="250"/>
          </reference>
          <reference field="5" count="1" selected="0">
            <x v="256"/>
          </reference>
          <reference field="6" count="1">
            <x v="47"/>
          </reference>
        </references>
      </pivotArea>
    </format>
    <format dxfId="234">
      <pivotArea dataOnly="0" labelOnly="1" fieldPosition="0">
        <references count="6">
          <reference field="1" count="1" selected="0">
            <x v="160"/>
          </reference>
          <reference field="2" count="1" selected="0">
            <x v="0"/>
          </reference>
          <reference field="3" count="1" selected="0">
            <x v="38"/>
          </reference>
          <reference field="4" count="1" selected="0">
            <x v="251"/>
          </reference>
          <reference field="5" count="1" selected="0">
            <x v="607"/>
          </reference>
          <reference field="6" count="1">
            <x v="47"/>
          </reference>
        </references>
      </pivotArea>
    </format>
    <format dxfId="233">
      <pivotArea dataOnly="0" labelOnly="1" fieldPosition="0">
        <references count="6">
          <reference field="1" count="1" selected="0">
            <x v="160"/>
          </reference>
          <reference field="2" count="1" selected="0">
            <x v="12"/>
          </reference>
          <reference field="3" count="1" selected="0">
            <x v="1"/>
          </reference>
          <reference field="4" count="1" selected="0">
            <x v="251"/>
          </reference>
          <reference field="5" count="1" selected="0">
            <x v="80"/>
          </reference>
          <reference field="6" count="1">
            <x v="47"/>
          </reference>
        </references>
      </pivotArea>
    </format>
    <format dxfId="232">
      <pivotArea dataOnly="0" labelOnly="1" fieldPosition="0">
        <references count="6">
          <reference field="1" count="1" selected="0">
            <x v="160"/>
          </reference>
          <reference field="2" count="1" selected="0">
            <x v="12"/>
          </reference>
          <reference field="3" count="1" selected="0">
            <x v="1"/>
          </reference>
          <reference field="4" count="1" selected="0">
            <x v="251"/>
          </reference>
          <reference field="5" count="1" selected="0">
            <x v="213"/>
          </reference>
          <reference field="6" count="1">
            <x v="47"/>
          </reference>
        </references>
      </pivotArea>
    </format>
    <format dxfId="231">
      <pivotArea dataOnly="0" labelOnly="1" fieldPosition="0">
        <references count="6">
          <reference field="1" count="1" selected="0">
            <x v="160"/>
          </reference>
          <reference field="2" count="1" selected="0">
            <x v="12"/>
          </reference>
          <reference field="3" count="1" selected="0">
            <x v="1"/>
          </reference>
          <reference field="4" count="1" selected="0">
            <x v="251"/>
          </reference>
          <reference field="5" count="1" selected="0">
            <x v="352"/>
          </reference>
          <reference field="6" count="1">
            <x v="47"/>
          </reference>
        </references>
      </pivotArea>
    </format>
    <format dxfId="230">
      <pivotArea dataOnly="0" labelOnly="1" fieldPosition="0">
        <references count="6">
          <reference field="1" count="1" selected="0">
            <x v="160"/>
          </reference>
          <reference field="2" count="1" selected="0">
            <x v="12"/>
          </reference>
          <reference field="3" count="1" selected="0">
            <x v="1"/>
          </reference>
          <reference field="4" count="1" selected="0">
            <x v="251"/>
          </reference>
          <reference field="5" count="1" selected="0">
            <x v="500"/>
          </reference>
          <reference field="6" count="1">
            <x v="47"/>
          </reference>
        </references>
      </pivotArea>
    </format>
    <format dxfId="229">
      <pivotArea dataOnly="0" labelOnly="1" fieldPosition="0">
        <references count="6">
          <reference field="1" count="1" selected="0">
            <x v="160"/>
          </reference>
          <reference field="2" count="1" selected="0">
            <x v="15"/>
          </reference>
          <reference field="3" count="1" selected="0">
            <x v="38"/>
          </reference>
          <reference field="4" count="1" selected="0">
            <x v="251"/>
          </reference>
          <reference field="5" count="1" selected="0">
            <x v="213"/>
          </reference>
          <reference field="6" count="1">
            <x v="47"/>
          </reference>
        </references>
      </pivotArea>
    </format>
    <format dxfId="228">
      <pivotArea dataOnly="0" labelOnly="1" fieldPosition="0">
        <references count="6">
          <reference field="1" count="1" selected="0">
            <x v="160"/>
          </reference>
          <reference field="2" count="1" selected="0">
            <x v="23"/>
          </reference>
          <reference field="3" count="1" selected="0">
            <x v="38"/>
          </reference>
          <reference field="4" count="1" selected="0">
            <x v="251"/>
          </reference>
          <reference field="5" count="1" selected="0">
            <x v="972"/>
          </reference>
          <reference field="6" count="1">
            <x v="47"/>
          </reference>
        </references>
      </pivotArea>
    </format>
    <format dxfId="227">
      <pivotArea dataOnly="0" labelOnly="1" fieldPosition="0">
        <references count="6">
          <reference field="1" count="1" selected="0">
            <x v="160"/>
          </reference>
          <reference field="2" count="1" selected="0">
            <x v="35"/>
          </reference>
          <reference field="3" count="1" selected="0">
            <x v="1"/>
          </reference>
          <reference field="4" count="1" selected="0">
            <x v="251"/>
          </reference>
          <reference field="5" count="1" selected="0">
            <x v="80"/>
          </reference>
          <reference field="6" count="1">
            <x v="47"/>
          </reference>
        </references>
      </pivotArea>
    </format>
    <format dxfId="226">
      <pivotArea dataOnly="0" labelOnly="1" fieldPosition="0">
        <references count="6">
          <reference field="1" count="1" selected="0">
            <x v="161"/>
          </reference>
          <reference field="2" count="1" selected="0">
            <x v="0"/>
          </reference>
          <reference field="3" count="1" selected="0">
            <x v="12"/>
          </reference>
          <reference field="4" count="1" selected="0">
            <x v="12"/>
          </reference>
          <reference field="5" count="1" selected="0">
            <x v="199"/>
          </reference>
          <reference field="6" count="1">
            <x v="47"/>
          </reference>
        </references>
      </pivotArea>
    </format>
    <format dxfId="225">
      <pivotArea dataOnly="0" labelOnly="1" fieldPosition="0">
        <references count="6">
          <reference field="1" count="1" selected="0">
            <x v="161"/>
          </reference>
          <reference field="2" count="1" selected="0">
            <x v="0"/>
          </reference>
          <reference field="3" count="1" selected="0">
            <x v="12"/>
          </reference>
          <reference field="4" count="1" selected="0">
            <x v="20"/>
          </reference>
          <reference field="5" count="1" selected="0">
            <x v="733"/>
          </reference>
          <reference field="6" count="1">
            <x v="47"/>
          </reference>
        </references>
      </pivotArea>
    </format>
    <format dxfId="224">
      <pivotArea dataOnly="0" labelOnly="1" fieldPosition="0">
        <references count="6">
          <reference field="1" count="1" selected="0">
            <x v="161"/>
          </reference>
          <reference field="2" count="1" selected="0">
            <x v="0"/>
          </reference>
          <reference field="3" count="1" selected="0">
            <x v="12"/>
          </reference>
          <reference field="4" count="1" selected="0">
            <x v="30"/>
          </reference>
          <reference field="5" count="1" selected="0">
            <x v="6"/>
          </reference>
          <reference field="6" count="1">
            <x v="47"/>
          </reference>
        </references>
      </pivotArea>
    </format>
    <format dxfId="223">
      <pivotArea dataOnly="0" labelOnly="1" fieldPosition="0">
        <references count="6">
          <reference field="1" count="1" selected="0">
            <x v="161"/>
          </reference>
          <reference field="2" count="1" selected="0">
            <x v="0"/>
          </reference>
          <reference field="3" count="1" selected="0">
            <x v="12"/>
          </reference>
          <reference field="4" count="1" selected="0">
            <x v="58"/>
          </reference>
          <reference field="5" count="1" selected="0">
            <x v="6"/>
          </reference>
          <reference field="6" count="1">
            <x v="47"/>
          </reference>
        </references>
      </pivotArea>
    </format>
    <format dxfId="222">
      <pivotArea dataOnly="0" labelOnly="1" fieldPosition="0">
        <references count="6">
          <reference field="1" count="1" selected="0">
            <x v="161"/>
          </reference>
          <reference field="2" count="1" selected="0">
            <x v="12"/>
          </reference>
          <reference field="3" count="1" selected="0">
            <x v="1"/>
          </reference>
          <reference field="4" count="1" selected="0">
            <x v="252"/>
          </reference>
          <reference field="5" count="1" selected="0">
            <x v="80"/>
          </reference>
          <reference field="6" count="1">
            <x v="47"/>
          </reference>
        </references>
      </pivotArea>
    </format>
    <format dxfId="221">
      <pivotArea dataOnly="0" labelOnly="1" fieldPosition="0">
        <references count="6">
          <reference field="1" count="1" selected="0">
            <x v="161"/>
          </reference>
          <reference field="2" count="1" selected="0">
            <x v="12"/>
          </reference>
          <reference field="3" count="1" selected="0">
            <x v="1"/>
          </reference>
          <reference field="4" count="1" selected="0">
            <x v="252"/>
          </reference>
          <reference field="5" count="1" selected="0">
            <x v="213"/>
          </reference>
          <reference field="6" count="1">
            <x v="47"/>
          </reference>
        </references>
      </pivotArea>
    </format>
    <format dxfId="220">
      <pivotArea dataOnly="0" labelOnly="1" fieldPosition="0">
        <references count="6">
          <reference field="1" count="1" selected="0">
            <x v="161"/>
          </reference>
          <reference field="2" count="1" selected="0">
            <x v="14"/>
          </reference>
          <reference field="3" count="1" selected="0">
            <x v="6"/>
          </reference>
          <reference field="4" count="1" selected="0">
            <x v="252"/>
          </reference>
          <reference field="5" count="1" selected="0">
            <x v="1871"/>
          </reference>
          <reference field="6" count="1">
            <x v="47"/>
          </reference>
        </references>
      </pivotArea>
    </format>
    <format dxfId="219">
      <pivotArea dataOnly="0" labelOnly="1" fieldPosition="0">
        <references count="6">
          <reference field="1" count="1" selected="0">
            <x v="161"/>
          </reference>
          <reference field="2" count="1" selected="0">
            <x v="35"/>
          </reference>
          <reference field="3" count="1" selected="0">
            <x v="1"/>
          </reference>
          <reference field="4" count="1" selected="0">
            <x v="252"/>
          </reference>
          <reference field="5" count="1" selected="0">
            <x v="213"/>
          </reference>
          <reference field="6" count="1">
            <x v="47"/>
          </reference>
        </references>
      </pivotArea>
    </format>
    <format dxfId="218">
      <pivotArea dataOnly="0" labelOnly="1" fieldPosition="0">
        <references count="6">
          <reference field="1" count="1" selected="0">
            <x v="162"/>
          </reference>
          <reference field="2" count="1" selected="0">
            <x v="0"/>
          </reference>
          <reference field="3" count="1" selected="0">
            <x v="6"/>
          </reference>
          <reference field="4" count="1" selected="0">
            <x v="253"/>
          </reference>
          <reference field="5" count="1" selected="0">
            <x v="334"/>
          </reference>
          <reference field="6" count="1">
            <x v="47"/>
          </reference>
        </references>
      </pivotArea>
    </format>
    <format dxfId="217">
      <pivotArea dataOnly="0" labelOnly="1" fieldPosition="0">
        <references count="6">
          <reference field="1" count="1" selected="0">
            <x v="162"/>
          </reference>
          <reference field="2" count="1" selected="0">
            <x v="0"/>
          </reference>
          <reference field="3" count="1" selected="0">
            <x v="8"/>
          </reference>
          <reference field="4" count="1" selected="0">
            <x v="253"/>
          </reference>
          <reference field="5" count="1" selected="0">
            <x v="74"/>
          </reference>
          <reference field="6" count="1">
            <x v="47"/>
          </reference>
        </references>
      </pivotArea>
    </format>
    <format dxfId="216">
      <pivotArea dataOnly="0" labelOnly="1" fieldPosition="0">
        <references count="6">
          <reference field="1" count="1" selected="0">
            <x v="162"/>
          </reference>
          <reference field="2" count="1" selected="0">
            <x v="0"/>
          </reference>
          <reference field="3" count="1" selected="0">
            <x v="8"/>
          </reference>
          <reference field="4" count="1" selected="0">
            <x v="253"/>
          </reference>
          <reference field="5" count="1" selected="0">
            <x v="846"/>
          </reference>
          <reference field="6" count="1">
            <x v="47"/>
          </reference>
        </references>
      </pivotArea>
    </format>
    <format dxfId="215">
      <pivotArea dataOnly="0" labelOnly="1" fieldPosition="0">
        <references count="6">
          <reference field="1" count="1" selected="0">
            <x v="162"/>
          </reference>
          <reference field="2" count="1" selected="0">
            <x v="0"/>
          </reference>
          <reference field="3" count="1" selected="0">
            <x v="8"/>
          </reference>
          <reference field="4" count="1" selected="0">
            <x v="253"/>
          </reference>
          <reference field="5" count="1" selected="0">
            <x v="910"/>
          </reference>
          <reference field="6" count="1">
            <x v="47"/>
          </reference>
        </references>
      </pivotArea>
    </format>
    <format dxfId="214">
      <pivotArea dataOnly="0" labelOnly="1" fieldPosition="0">
        <references count="6">
          <reference field="1" count="1" selected="0">
            <x v="162"/>
          </reference>
          <reference field="2" count="1" selected="0">
            <x v="0"/>
          </reference>
          <reference field="3" count="1" selected="0">
            <x v="9"/>
          </reference>
          <reference field="4" count="1" selected="0">
            <x v="253"/>
          </reference>
          <reference field="5" count="1" selected="0">
            <x v="125"/>
          </reference>
          <reference field="6" count="1">
            <x v="47"/>
          </reference>
        </references>
      </pivotArea>
    </format>
    <format dxfId="213">
      <pivotArea dataOnly="0" labelOnly="1" fieldPosition="0">
        <references count="6">
          <reference field="1" count="1" selected="0">
            <x v="162"/>
          </reference>
          <reference field="2" count="1" selected="0">
            <x v="0"/>
          </reference>
          <reference field="3" count="1" selected="0">
            <x v="9"/>
          </reference>
          <reference field="4" count="1" selected="0">
            <x v="253"/>
          </reference>
          <reference field="5" count="1" selected="0">
            <x v="191"/>
          </reference>
          <reference field="6" count="1">
            <x v="47"/>
          </reference>
        </references>
      </pivotArea>
    </format>
    <format dxfId="212">
      <pivotArea dataOnly="0" labelOnly="1" fieldPosition="0">
        <references count="6">
          <reference field="1" count="1" selected="0">
            <x v="162"/>
          </reference>
          <reference field="2" count="1" selected="0">
            <x v="0"/>
          </reference>
          <reference field="3" count="1" selected="0">
            <x v="9"/>
          </reference>
          <reference field="4" count="1" selected="0">
            <x v="253"/>
          </reference>
          <reference field="5" count="1" selected="0">
            <x v="203"/>
          </reference>
          <reference field="6" count="1">
            <x v="47"/>
          </reference>
        </references>
      </pivotArea>
    </format>
    <format dxfId="211">
      <pivotArea dataOnly="0" labelOnly="1" fieldPosition="0">
        <references count="6">
          <reference field="1" count="1" selected="0">
            <x v="162"/>
          </reference>
          <reference field="2" count="1" selected="0">
            <x v="0"/>
          </reference>
          <reference field="3" count="1" selected="0">
            <x v="9"/>
          </reference>
          <reference field="4" count="1" selected="0">
            <x v="253"/>
          </reference>
          <reference field="5" count="1" selected="0">
            <x v="303"/>
          </reference>
          <reference field="6" count="1">
            <x v="47"/>
          </reference>
        </references>
      </pivotArea>
    </format>
    <format dxfId="210">
      <pivotArea dataOnly="0" labelOnly="1" fieldPosition="0">
        <references count="6">
          <reference field="1" count="1" selected="0">
            <x v="162"/>
          </reference>
          <reference field="2" count="1" selected="0">
            <x v="0"/>
          </reference>
          <reference field="3" count="1" selected="0">
            <x v="9"/>
          </reference>
          <reference field="4" count="1" selected="0">
            <x v="253"/>
          </reference>
          <reference field="5" count="1" selected="0">
            <x v="504"/>
          </reference>
          <reference field="6" count="1">
            <x v="47"/>
          </reference>
        </references>
      </pivotArea>
    </format>
    <format dxfId="209">
      <pivotArea dataOnly="0" labelOnly="1" fieldPosition="0">
        <references count="6">
          <reference field="1" count="1" selected="0">
            <x v="162"/>
          </reference>
          <reference field="2" count="1" selected="0">
            <x v="0"/>
          </reference>
          <reference field="3" count="1" selected="0">
            <x v="9"/>
          </reference>
          <reference field="4" count="1" selected="0">
            <x v="253"/>
          </reference>
          <reference field="5" count="1" selected="0">
            <x v="524"/>
          </reference>
          <reference field="6" count="1">
            <x v="47"/>
          </reference>
        </references>
      </pivotArea>
    </format>
    <format dxfId="208">
      <pivotArea dataOnly="0" labelOnly="1" fieldPosition="0">
        <references count="6">
          <reference field="1" count="1" selected="0">
            <x v="162"/>
          </reference>
          <reference field="2" count="1" selected="0">
            <x v="0"/>
          </reference>
          <reference field="3" count="1" selected="0">
            <x v="9"/>
          </reference>
          <reference field="4" count="1" selected="0">
            <x v="253"/>
          </reference>
          <reference field="5" count="1" selected="0">
            <x v="543"/>
          </reference>
          <reference field="6" count="1">
            <x v="47"/>
          </reference>
        </references>
      </pivotArea>
    </format>
    <format dxfId="207">
      <pivotArea dataOnly="0" labelOnly="1" fieldPosition="0">
        <references count="6">
          <reference field="1" count="1" selected="0">
            <x v="162"/>
          </reference>
          <reference field="2" count="1" selected="0">
            <x v="0"/>
          </reference>
          <reference field="3" count="1" selected="0">
            <x v="9"/>
          </reference>
          <reference field="4" count="1" selected="0">
            <x v="253"/>
          </reference>
          <reference field="5" count="1" selected="0">
            <x v="551"/>
          </reference>
          <reference field="6" count="1">
            <x v="47"/>
          </reference>
        </references>
      </pivotArea>
    </format>
    <format dxfId="206">
      <pivotArea dataOnly="0" labelOnly="1" fieldPosition="0">
        <references count="6">
          <reference field="1" count="1" selected="0">
            <x v="162"/>
          </reference>
          <reference field="2" count="1" selected="0">
            <x v="0"/>
          </reference>
          <reference field="3" count="1" selected="0">
            <x v="9"/>
          </reference>
          <reference field="4" count="1" selected="0">
            <x v="253"/>
          </reference>
          <reference field="5" count="1" selected="0">
            <x v="1007"/>
          </reference>
          <reference field="6" count="1">
            <x v="47"/>
          </reference>
        </references>
      </pivotArea>
    </format>
    <format dxfId="205">
      <pivotArea dataOnly="0" labelOnly="1" fieldPosition="0">
        <references count="6">
          <reference field="1" count="1" selected="0">
            <x v="162"/>
          </reference>
          <reference field="2" count="1" selected="0">
            <x v="0"/>
          </reference>
          <reference field="3" count="1" selected="0">
            <x v="9"/>
          </reference>
          <reference field="4" count="1" selected="0">
            <x v="253"/>
          </reference>
          <reference field="5" count="1" selected="0">
            <x v="1027"/>
          </reference>
          <reference field="6" count="1">
            <x v="47"/>
          </reference>
        </references>
      </pivotArea>
    </format>
    <format dxfId="204">
      <pivotArea dataOnly="0" labelOnly="1" fieldPosition="0">
        <references count="6">
          <reference field="1" count="1" selected="0">
            <x v="162"/>
          </reference>
          <reference field="2" count="1" selected="0">
            <x v="3"/>
          </reference>
          <reference field="3" count="1" selected="0">
            <x v="8"/>
          </reference>
          <reference field="4" count="1" selected="0">
            <x v="253"/>
          </reference>
          <reference field="5" count="1" selected="0">
            <x v="865"/>
          </reference>
          <reference field="6" count="1">
            <x v="47"/>
          </reference>
        </references>
      </pivotArea>
    </format>
    <format dxfId="203">
      <pivotArea dataOnly="0" labelOnly="1" fieldPosition="0">
        <references count="6">
          <reference field="1" count="1" selected="0">
            <x v="162"/>
          </reference>
          <reference field="2" count="1" selected="0">
            <x v="3"/>
          </reference>
          <reference field="3" count="1" selected="0">
            <x v="37"/>
          </reference>
          <reference field="4" count="1" selected="0">
            <x v="253"/>
          </reference>
          <reference field="5" count="1" selected="0">
            <x v="1069"/>
          </reference>
          <reference field="6" count="1">
            <x v="47"/>
          </reference>
        </references>
      </pivotArea>
    </format>
    <format dxfId="202">
      <pivotArea dataOnly="0" labelOnly="1" fieldPosition="0">
        <references count="6">
          <reference field="1" count="1" selected="0">
            <x v="162"/>
          </reference>
          <reference field="2" count="1" selected="0">
            <x v="3"/>
          </reference>
          <reference field="3" count="1" selected="0">
            <x v="38"/>
          </reference>
          <reference field="4" count="1" selected="0">
            <x v="253"/>
          </reference>
          <reference field="5" count="1" selected="0">
            <x v="109"/>
          </reference>
          <reference field="6" count="1">
            <x v="47"/>
          </reference>
        </references>
      </pivotArea>
    </format>
    <format dxfId="201">
      <pivotArea dataOnly="0" labelOnly="1" fieldPosition="0">
        <references count="6">
          <reference field="1" count="1" selected="0">
            <x v="162"/>
          </reference>
          <reference field="2" count="1" selected="0">
            <x v="5"/>
          </reference>
          <reference field="3" count="1" selected="0">
            <x v="37"/>
          </reference>
          <reference field="4" count="1" selected="0">
            <x v="253"/>
          </reference>
          <reference field="5" count="1" selected="0">
            <x v="1069"/>
          </reference>
          <reference field="6" count="1">
            <x v="47"/>
          </reference>
        </references>
      </pivotArea>
    </format>
    <format dxfId="200">
      <pivotArea dataOnly="0" labelOnly="1" fieldPosition="0">
        <references count="6">
          <reference field="1" count="1" selected="0">
            <x v="162"/>
          </reference>
          <reference field="2" count="1" selected="0">
            <x v="7"/>
          </reference>
          <reference field="3" count="1" selected="0">
            <x v="38"/>
          </reference>
          <reference field="4" count="1" selected="0">
            <x v="253"/>
          </reference>
          <reference field="5" count="1" selected="0">
            <x v="304"/>
          </reference>
          <reference field="6" count="1">
            <x v="47"/>
          </reference>
        </references>
      </pivotArea>
    </format>
    <format dxfId="199">
      <pivotArea dataOnly="0" labelOnly="1" fieldPosition="0">
        <references count="6">
          <reference field="1" count="1" selected="0">
            <x v="162"/>
          </reference>
          <reference field="2" count="1" selected="0">
            <x v="9"/>
          </reference>
          <reference field="3" count="1" selected="0">
            <x v="8"/>
          </reference>
          <reference field="4" count="1" selected="0">
            <x v="253"/>
          </reference>
          <reference field="5" count="1" selected="0">
            <x v="208"/>
          </reference>
          <reference field="6" count="1">
            <x v="47"/>
          </reference>
        </references>
      </pivotArea>
    </format>
    <format dxfId="198">
      <pivotArea dataOnly="0" labelOnly="1" fieldPosition="0">
        <references count="6">
          <reference field="1" count="1" selected="0">
            <x v="162"/>
          </reference>
          <reference field="2" count="1" selected="0">
            <x v="11"/>
          </reference>
          <reference field="3" count="1" selected="0">
            <x v="9"/>
          </reference>
          <reference field="4" count="1" selected="0">
            <x v="253"/>
          </reference>
          <reference field="5" count="1" selected="0">
            <x v="410"/>
          </reference>
          <reference field="6" count="1">
            <x v="47"/>
          </reference>
        </references>
      </pivotArea>
    </format>
    <format dxfId="197">
      <pivotArea dataOnly="0" labelOnly="1" fieldPosition="0">
        <references count="6">
          <reference field="1" count="1" selected="0">
            <x v="162"/>
          </reference>
          <reference field="2" count="1" selected="0">
            <x v="12"/>
          </reference>
          <reference field="3" count="1" selected="0">
            <x v="1"/>
          </reference>
          <reference field="4" count="1" selected="0">
            <x v="253"/>
          </reference>
          <reference field="5" count="1" selected="0">
            <x v="80"/>
          </reference>
          <reference field="6" count="1">
            <x v="47"/>
          </reference>
        </references>
      </pivotArea>
    </format>
    <format dxfId="196">
      <pivotArea dataOnly="0" labelOnly="1" fieldPosition="0">
        <references count="6">
          <reference field="1" count="1" selected="0">
            <x v="162"/>
          </reference>
          <reference field="2" count="1" selected="0">
            <x v="12"/>
          </reference>
          <reference field="3" count="1" selected="0">
            <x v="1"/>
          </reference>
          <reference field="4" count="1" selected="0">
            <x v="253"/>
          </reference>
          <reference field="5" count="1" selected="0">
            <x v="213"/>
          </reference>
          <reference field="6" count="1">
            <x v="47"/>
          </reference>
        </references>
      </pivotArea>
    </format>
    <format dxfId="195">
      <pivotArea dataOnly="0" labelOnly="1" fieldPosition="0">
        <references count="6">
          <reference field="1" count="1" selected="0">
            <x v="162"/>
          </reference>
          <reference field="2" count="1" selected="0">
            <x v="12"/>
          </reference>
          <reference field="3" count="1" selected="0">
            <x v="1"/>
          </reference>
          <reference field="4" count="1" selected="0">
            <x v="253"/>
          </reference>
          <reference field="5" count="1" selected="0">
            <x v="352"/>
          </reference>
          <reference field="6" count="1">
            <x v="47"/>
          </reference>
        </references>
      </pivotArea>
    </format>
    <format dxfId="194">
      <pivotArea dataOnly="0" labelOnly="1" fieldPosition="0">
        <references count="6">
          <reference field="1" count="1" selected="0">
            <x v="162"/>
          </reference>
          <reference field="2" count="1" selected="0">
            <x v="14"/>
          </reference>
          <reference field="3" count="1" selected="0">
            <x v="38"/>
          </reference>
          <reference field="4" count="1" selected="0">
            <x v="253"/>
          </reference>
          <reference field="5" count="1" selected="0">
            <x v="177"/>
          </reference>
          <reference field="6" count="1">
            <x v="47"/>
          </reference>
        </references>
      </pivotArea>
    </format>
    <format dxfId="193">
      <pivotArea dataOnly="0" labelOnly="1" fieldPosition="0">
        <references count="6">
          <reference field="1" count="1" selected="0">
            <x v="162"/>
          </reference>
          <reference field="2" count="1" selected="0">
            <x v="15"/>
          </reference>
          <reference field="3" count="1" selected="0">
            <x v="7"/>
          </reference>
          <reference field="4" count="1" selected="0">
            <x v="253"/>
          </reference>
          <reference field="5" count="1" selected="0">
            <x v="205"/>
          </reference>
          <reference field="6" count="1">
            <x v="47"/>
          </reference>
        </references>
      </pivotArea>
    </format>
    <format dxfId="192">
      <pivotArea dataOnly="0" labelOnly="1" fieldPosition="0">
        <references count="6">
          <reference field="1" count="1" selected="0">
            <x v="162"/>
          </reference>
          <reference field="2" count="1" selected="0">
            <x v="15"/>
          </reference>
          <reference field="3" count="1" selected="0">
            <x v="8"/>
          </reference>
          <reference field="4" count="1" selected="0">
            <x v="253"/>
          </reference>
          <reference field="5" count="1" selected="0">
            <x v="356"/>
          </reference>
          <reference field="6" count="1">
            <x v="47"/>
          </reference>
        </references>
      </pivotArea>
    </format>
    <format dxfId="191">
      <pivotArea dataOnly="0" labelOnly="1" fieldPosition="0">
        <references count="6">
          <reference field="1" count="1" selected="0">
            <x v="162"/>
          </reference>
          <reference field="2" count="1" selected="0">
            <x v="15"/>
          </reference>
          <reference field="3" count="1" selected="0">
            <x v="38"/>
          </reference>
          <reference field="4" count="1" selected="0">
            <x v="253"/>
          </reference>
          <reference field="5" count="1" selected="0">
            <x v="846"/>
          </reference>
          <reference field="6" count="1">
            <x v="47"/>
          </reference>
        </references>
      </pivotArea>
    </format>
    <format dxfId="190">
      <pivotArea dataOnly="0" labelOnly="1" fieldPosition="0">
        <references count="6">
          <reference field="1" count="1" selected="0">
            <x v="162"/>
          </reference>
          <reference field="2" count="1" selected="0">
            <x v="17"/>
          </reference>
          <reference field="3" count="1" selected="0">
            <x v="7"/>
          </reference>
          <reference field="4" count="1" selected="0">
            <x v="253"/>
          </reference>
          <reference field="5" count="1" selected="0">
            <x v="275"/>
          </reference>
          <reference field="6" count="1">
            <x v="47"/>
          </reference>
        </references>
      </pivotArea>
    </format>
    <format dxfId="189">
      <pivotArea dataOnly="0" labelOnly="1" fieldPosition="0">
        <references count="6">
          <reference field="1" count="1" selected="0">
            <x v="162"/>
          </reference>
          <reference field="2" count="1" selected="0">
            <x v="17"/>
          </reference>
          <reference field="3" count="1" selected="0">
            <x v="8"/>
          </reference>
          <reference field="4" count="1" selected="0">
            <x v="253"/>
          </reference>
          <reference field="5" count="1" selected="0">
            <x v="1071"/>
          </reference>
          <reference field="6" count="1">
            <x v="47"/>
          </reference>
        </references>
      </pivotArea>
    </format>
    <format dxfId="188">
      <pivotArea dataOnly="0" labelOnly="1" fieldPosition="0">
        <references count="6">
          <reference field="1" count="1" selected="0">
            <x v="162"/>
          </reference>
          <reference field="2" count="1" selected="0">
            <x v="23"/>
          </reference>
          <reference field="3" count="1" selected="0">
            <x v="6"/>
          </reference>
          <reference field="4" count="1" selected="0">
            <x v="253"/>
          </reference>
          <reference field="5" count="1" selected="0">
            <x v="278"/>
          </reference>
          <reference field="6" count="1">
            <x v="47"/>
          </reference>
        </references>
      </pivotArea>
    </format>
    <format dxfId="187">
      <pivotArea dataOnly="0" labelOnly="1" fieldPosition="0">
        <references count="6">
          <reference field="1" count="1" selected="0">
            <x v="162"/>
          </reference>
          <reference field="2" count="1" selected="0">
            <x v="29"/>
          </reference>
          <reference field="3" count="1" selected="0">
            <x v="37"/>
          </reference>
          <reference field="4" count="1" selected="0">
            <x v="253"/>
          </reference>
          <reference field="5" count="1" selected="0">
            <x v="721"/>
          </reference>
          <reference field="6" count="1">
            <x v="47"/>
          </reference>
        </references>
      </pivotArea>
    </format>
    <format dxfId="186">
      <pivotArea dataOnly="0" labelOnly="1" fieldPosition="0">
        <references count="6">
          <reference field="1" count="1" selected="0">
            <x v="162"/>
          </reference>
          <reference field="2" count="1" selected="0">
            <x v="33"/>
          </reference>
          <reference field="3" count="1" selected="0">
            <x v="8"/>
          </reference>
          <reference field="4" count="1" selected="0">
            <x v="253"/>
          </reference>
          <reference field="5" count="1" selected="0">
            <x v="1080"/>
          </reference>
          <reference field="6" count="1">
            <x v="47"/>
          </reference>
        </references>
      </pivotArea>
    </format>
    <format dxfId="185">
      <pivotArea dataOnly="0" labelOnly="1" fieldPosition="0">
        <references count="6">
          <reference field="1" count="1" selected="0">
            <x v="162"/>
          </reference>
          <reference field="2" count="1" selected="0">
            <x v="33"/>
          </reference>
          <reference field="3" count="1" selected="0">
            <x v="9"/>
          </reference>
          <reference field="4" count="1" selected="0">
            <x v="253"/>
          </reference>
          <reference field="5" count="1" selected="0">
            <x v="500"/>
          </reference>
          <reference field="6" count="1">
            <x v="47"/>
          </reference>
        </references>
      </pivotArea>
    </format>
    <format dxfId="184">
      <pivotArea dataOnly="0" labelOnly="1" fieldPosition="0">
        <references count="6">
          <reference field="1" count="1" selected="0">
            <x v="162"/>
          </reference>
          <reference field="2" count="1" selected="0">
            <x v="35"/>
          </reference>
          <reference field="3" count="1" selected="0">
            <x v="1"/>
          </reference>
          <reference field="4" count="1" selected="0">
            <x v="253"/>
          </reference>
          <reference field="5" count="1" selected="0">
            <x v="80"/>
          </reference>
          <reference field="6" count="1">
            <x v="47"/>
          </reference>
        </references>
      </pivotArea>
    </format>
    <format dxfId="183">
      <pivotArea dataOnly="0" labelOnly="1" fieldPosition="0">
        <references count="6">
          <reference field="1" count="1" selected="0">
            <x v="162"/>
          </reference>
          <reference field="2" count="1" selected="0">
            <x v="36"/>
          </reference>
          <reference field="3" count="1" selected="0">
            <x v="8"/>
          </reference>
          <reference field="4" count="1" selected="0">
            <x v="253"/>
          </reference>
          <reference field="5" count="1" selected="0">
            <x v="459"/>
          </reference>
          <reference field="6" count="1">
            <x v="47"/>
          </reference>
        </references>
      </pivotArea>
    </format>
    <format dxfId="182">
      <pivotArea dataOnly="0" labelOnly="1" fieldPosition="0">
        <references count="6">
          <reference field="1" count="1" selected="0">
            <x v="163"/>
          </reference>
          <reference field="2" count="1" selected="0">
            <x v="0"/>
          </reference>
          <reference field="3" count="1" selected="0">
            <x v="8"/>
          </reference>
          <reference field="4" count="1" selected="0">
            <x v="254"/>
          </reference>
          <reference field="5" count="1" selected="0">
            <x v="0"/>
          </reference>
          <reference field="6" count="1">
            <x v="21"/>
          </reference>
        </references>
      </pivotArea>
    </format>
    <format dxfId="181">
      <pivotArea dataOnly="0" labelOnly="1" fieldPosition="0">
        <references count="6">
          <reference field="1" count="1" selected="0">
            <x v="163"/>
          </reference>
          <reference field="2" count="1" selected="0">
            <x v="0"/>
          </reference>
          <reference field="3" count="1" selected="0">
            <x v="12"/>
          </reference>
          <reference field="4" count="1" selected="0">
            <x v="23"/>
          </reference>
          <reference field="5" count="1" selected="0">
            <x v="24"/>
          </reference>
          <reference field="6" count="1">
            <x v="47"/>
          </reference>
        </references>
      </pivotArea>
    </format>
    <format dxfId="180">
      <pivotArea dataOnly="0" labelOnly="1" fieldPosition="0">
        <references count="6">
          <reference field="1" count="1" selected="0">
            <x v="163"/>
          </reference>
          <reference field="2" count="1" selected="0">
            <x v="0"/>
          </reference>
          <reference field="3" count="1" selected="0">
            <x v="12"/>
          </reference>
          <reference field="4" count="1" selected="0">
            <x v="47"/>
          </reference>
          <reference field="5" count="1" selected="0">
            <x v="654"/>
          </reference>
          <reference field="6" count="1">
            <x v="47"/>
          </reference>
        </references>
      </pivotArea>
    </format>
    <format dxfId="179">
      <pivotArea dataOnly="0" labelOnly="1" fieldPosition="0">
        <references count="6">
          <reference field="1" count="1" selected="0">
            <x v="163"/>
          </reference>
          <reference field="2" count="1" selected="0">
            <x v="0"/>
          </reference>
          <reference field="3" count="1" selected="0">
            <x v="12"/>
          </reference>
          <reference field="4" count="1" selected="0">
            <x v="58"/>
          </reference>
          <reference field="5" count="1" selected="0">
            <x v="6"/>
          </reference>
          <reference field="6" count="1">
            <x v="47"/>
          </reference>
        </references>
      </pivotArea>
    </format>
    <format dxfId="178">
      <pivotArea dataOnly="0" labelOnly="1" fieldPosition="0">
        <references count="6">
          <reference field="1" count="1" selected="0">
            <x v="163"/>
          </reference>
          <reference field="2" count="1" selected="0">
            <x v="0"/>
          </reference>
          <reference field="3" count="1" selected="0">
            <x v="12"/>
          </reference>
          <reference field="4" count="1" selected="0">
            <x v="59"/>
          </reference>
          <reference field="5" count="1" selected="0">
            <x v="77"/>
          </reference>
          <reference field="6" count="1">
            <x v="47"/>
          </reference>
        </references>
      </pivotArea>
    </format>
    <format dxfId="177">
      <pivotArea dataOnly="0" labelOnly="1" fieldPosition="0">
        <references count="6">
          <reference field="1" count="1" selected="0">
            <x v="163"/>
          </reference>
          <reference field="2" count="1" selected="0">
            <x v="6"/>
          </reference>
          <reference field="3" count="1" selected="0">
            <x v="38"/>
          </reference>
          <reference field="4" count="1" selected="0">
            <x v="254"/>
          </reference>
          <reference field="5" count="1" selected="0">
            <x v="971"/>
          </reference>
          <reference field="6" count="1">
            <x v="47"/>
          </reference>
        </references>
      </pivotArea>
    </format>
    <format dxfId="176">
      <pivotArea dataOnly="0" labelOnly="1" fieldPosition="0">
        <references count="6">
          <reference field="1" count="1" selected="0">
            <x v="163"/>
          </reference>
          <reference field="2" count="1" selected="0">
            <x v="12"/>
          </reference>
          <reference field="3" count="1" selected="0">
            <x v="1"/>
          </reference>
          <reference field="4" count="1" selected="0">
            <x v="254"/>
          </reference>
          <reference field="5" count="1" selected="0">
            <x v="80"/>
          </reference>
          <reference field="6" count="1">
            <x v="47"/>
          </reference>
        </references>
      </pivotArea>
    </format>
    <format dxfId="175">
      <pivotArea dataOnly="0" labelOnly="1" fieldPosition="0">
        <references count="6">
          <reference field="1" count="1" selected="0">
            <x v="163"/>
          </reference>
          <reference field="2" count="1" selected="0">
            <x v="12"/>
          </reference>
          <reference field="3" count="1" selected="0">
            <x v="1"/>
          </reference>
          <reference field="4" count="1" selected="0">
            <x v="254"/>
          </reference>
          <reference field="5" count="1" selected="0">
            <x v="352"/>
          </reference>
          <reference field="6" count="1">
            <x v="47"/>
          </reference>
        </references>
      </pivotArea>
    </format>
    <format dxfId="174">
      <pivotArea dataOnly="0" labelOnly="1" fieldPosition="0">
        <references count="6">
          <reference field="1" count="1" selected="0">
            <x v="163"/>
          </reference>
          <reference field="2" count="1" selected="0">
            <x v="19"/>
          </reference>
          <reference field="3" count="1" selected="0">
            <x v="37"/>
          </reference>
          <reference field="4" count="1" selected="0">
            <x v="254"/>
          </reference>
          <reference field="5" count="1" selected="0">
            <x v="1464"/>
          </reference>
          <reference field="6" count="1">
            <x v="47"/>
          </reference>
        </references>
      </pivotArea>
    </format>
    <format dxfId="173">
      <pivotArea dataOnly="0" labelOnly="1" fieldPosition="0">
        <references count="6">
          <reference field="1" count="1" selected="0">
            <x v="163"/>
          </reference>
          <reference field="2" count="1" selected="0">
            <x v="33"/>
          </reference>
          <reference field="3" count="1" selected="0">
            <x v="38"/>
          </reference>
          <reference field="4" count="1" selected="0">
            <x v="254"/>
          </reference>
          <reference field="5" count="1" selected="0">
            <x v="114"/>
          </reference>
          <reference field="6" count="1">
            <x v="47"/>
          </reference>
        </references>
      </pivotArea>
    </format>
    <format dxfId="172">
      <pivotArea dataOnly="0" labelOnly="1" fieldPosition="0">
        <references count="6">
          <reference field="1" count="1" selected="0">
            <x v="164"/>
          </reference>
          <reference field="2" count="1" selected="0">
            <x v="0"/>
          </reference>
          <reference field="3" count="1" selected="0">
            <x v="12"/>
          </reference>
          <reference field="4" count="1" selected="0">
            <x v="13"/>
          </reference>
          <reference field="5" count="1" selected="0">
            <x v="140"/>
          </reference>
          <reference field="6" count="1">
            <x v="47"/>
          </reference>
        </references>
      </pivotArea>
    </format>
    <format dxfId="171">
      <pivotArea dataOnly="0" labelOnly="1" fieldPosition="0">
        <references count="6">
          <reference field="1" count="1" selected="0">
            <x v="164"/>
          </reference>
          <reference field="2" count="1" selected="0">
            <x v="0"/>
          </reference>
          <reference field="3" count="1" selected="0">
            <x v="12"/>
          </reference>
          <reference field="4" count="1" selected="0">
            <x v="18"/>
          </reference>
          <reference field="5" count="1" selected="0">
            <x v="92"/>
          </reference>
          <reference field="6" count="1">
            <x v="47"/>
          </reference>
        </references>
      </pivotArea>
    </format>
    <format dxfId="170">
      <pivotArea dataOnly="0" labelOnly="1" fieldPosition="0">
        <references count="6">
          <reference field="1" count="1" selected="0">
            <x v="164"/>
          </reference>
          <reference field="2" count="1" selected="0">
            <x v="0"/>
          </reference>
          <reference field="3" count="1" selected="0">
            <x v="12"/>
          </reference>
          <reference field="4" count="1" selected="0">
            <x v="21"/>
          </reference>
          <reference field="5" count="1" selected="0">
            <x v="310"/>
          </reference>
          <reference field="6" count="1">
            <x v="47"/>
          </reference>
        </references>
      </pivotArea>
    </format>
    <format dxfId="169">
      <pivotArea dataOnly="0" labelOnly="1" fieldPosition="0">
        <references count="6">
          <reference field="1" count="1" selected="0">
            <x v="164"/>
          </reference>
          <reference field="2" count="1" selected="0">
            <x v="0"/>
          </reference>
          <reference field="3" count="1" selected="0">
            <x v="12"/>
          </reference>
          <reference field="4" count="1" selected="0">
            <x v="40"/>
          </reference>
          <reference field="5" count="1" selected="0">
            <x v="219"/>
          </reference>
          <reference field="6" count="1">
            <x v="47"/>
          </reference>
        </references>
      </pivotArea>
    </format>
    <format dxfId="168">
      <pivotArea dataOnly="0" labelOnly="1" fieldPosition="0">
        <references count="6">
          <reference field="1" count="1" selected="0">
            <x v="164"/>
          </reference>
          <reference field="2" count="1" selected="0">
            <x v="0"/>
          </reference>
          <reference field="3" count="1" selected="0">
            <x v="12"/>
          </reference>
          <reference field="4" count="1" selected="0">
            <x v="52"/>
          </reference>
          <reference field="5" count="1" selected="0">
            <x v="9"/>
          </reference>
          <reference field="6" count="1">
            <x v="47"/>
          </reference>
        </references>
      </pivotArea>
    </format>
    <format dxfId="167">
      <pivotArea dataOnly="0" labelOnly="1" fieldPosition="0">
        <references count="6">
          <reference field="1" count="1" selected="0">
            <x v="164"/>
          </reference>
          <reference field="2" count="1" selected="0">
            <x v="0"/>
          </reference>
          <reference field="3" count="1" selected="0">
            <x v="12"/>
          </reference>
          <reference field="4" count="1" selected="0">
            <x v="55"/>
          </reference>
          <reference field="5" count="1" selected="0">
            <x v="92"/>
          </reference>
          <reference field="6" count="1">
            <x v="47"/>
          </reference>
        </references>
      </pivotArea>
    </format>
    <format dxfId="166">
      <pivotArea dataOnly="0" labelOnly="1" fieldPosition="0">
        <references count="6">
          <reference field="1" count="1" selected="0">
            <x v="164"/>
          </reference>
          <reference field="2" count="1" selected="0">
            <x v="0"/>
          </reference>
          <reference field="3" count="1" selected="0">
            <x v="12"/>
          </reference>
          <reference field="4" count="1" selected="0">
            <x v="68"/>
          </reference>
          <reference field="5" count="1" selected="0">
            <x v="134"/>
          </reference>
          <reference field="6" count="1">
            <x v="47"/>
          </reference>
        </references>
      </pivotArea>
    </format>
    <format dxfId="165">
      <pivotArea dataOnly="0" labelOnly="1" fieldPosition="0">
        <references count="6">
          <reference field="1" count="1" selected="0">
            <x v="164"/>
          </reference>
          <reference field="2" count="1" selected="0">
            <x v="0"/>
          </reference>
          <reference field="3" count="1" selected="0">
            <x v="12"/>
          </reference>
          <reference field="4" count="1" selected="0">
            <x v="71"/>
          </reference>
          <reference field="5" count="1" selected="0">
            <x v="11"/>
          </reference>
          <reference field="6" count="1">
            <x v="47"/>
          </reference>
        </references>
      </pivotArea>
    </format>
    <format dxfId="164">
      <pivotArea dataOnly="0" labelOnly="1" fieldPosition="0">
        <references count="6">
          <reference field="1" count="1" selected="0">
            <x v="164"/>
          </reference>
          <reference field="2" count="1" selected="0">
            <x v="0"/>
          </reference>
          <reference field="3" count="1" selected="0">
            <x v="23"/>
          </reference>
          <reference field="4" count="1" selected="0">
            <x v="255"/>
          </reference>
          <reference field="5" count="1" selected="0">
            <x v="705"/>
          </reference>
          <reference field="6" count="1">
            <x v="47"/>
          </reference>
        </references>
      </pivotArea>
    </format>
    <format dxfId="163">
      <pivotArea dataOnly="0" labelOnly="1" fieldPosition="0">
        <references count="6">
          <reference field="1" count="1" selected="0">
            <x v="164"/>
          </reference>
          <reference field="2" count="1" selected="0">
            <x v="0"/>
          </reference>
          <reference field="3" count="1" selected="0">
            <x v="23"/>
          </reference>
          <reference field="4" count="1" selected="0">
            <x v="255"/>
          </reference>
          <reference field="5" count="1" selected="0">
            <x v="735"/>
          </reference>
          <reference field="6" count="1">
            <x v="47"/>
          </reference>
        </references>
      </pivotArea>
    </format>
    <format dxfId="162">
      <pivotArea dataOnly="0" labelOnly="1" fieldPosition="0">
        <references count="6">
          <reference field="1" count="1" selected="0">
            <x v="164"/>
          </reference>
          <reference field="2" count="1" selected="0">
            <x v="0"/>
          </reference>
          <reference field="3" count="1" selected="0">
            <x v="23"/>
          </reference>
          <reference field="4" count="1" selected="0">
            <x v="255"/>
          </reference>
          <reference field="5" count="1" selected="0">
            <x v="752"/>
          </reference>
          <reference field="6" count="1">
            <x v="47"/>
          </reference>
        </references>
      </pivotArea>
    </format>
    <format dxfId="161">
      <pivotArea dataOnly="0" labelOnly="1" fieldPosition="0">
        <references count="6">
          <reference field="1" count="1" selected="0">
            <x v="164"/>
          </reference>
          <reference field="2" count="1" selected="0">
            <x v="0"/>
          </reference>
          <reference field="3" count="1" selected="0">
            <x v="23"/>
          </reference>
          <reference field="4" count="1" selected="0">
            <x v="255"/>
          </reference>
          <reference field="5" count="1" selected="0">
            <x v="842"/>
          </reference>
          <reference field="6" count="1">
            <x v="47"/>
          </reference>
        </references>
      </pivotArea>
    </format>
    <format dxfId="160">
      <pivotArea dataOnly="0" labelOnly="1" fieldPosition="0">
        <references count="6">
          <reference field="1" count="1" selected="0">
            <x v="164"/>
          </reference>
          <reference field="2" count="1" selected="0">
            <x v="0"/>
          </reference>
          <reference field="3" count="1" selected="0">
            <x v="23"/>
          </reference>
          <reference field="4" count="1" selected="0">
            <x v="255"/>
          </reference>
          <reference field="5" count="1" selected="0">
            <x v="884"/>
          </reference>
          <reference field="6" count="1">
            <x v="47"/>
          </reference>
        </references>
      </pivotArea>
    </format>
    <format dxfId="159">
      <pivotArea dataOnly="0" labelOnly="1" fieldPosition="0">
        <references count="6">
          <reference field="1" count="1" selected="0">
            <x v="164"/>
          </reference>
          <reference field="2" count="1" selected="0">
            <x v="0"/>
          </reference>
          <reference field="3" count="1" selected="0">
            <x v="23"/>
          </reference>
          <reference field="4" count="1" selected="0">
            <x v="255"/>
          </reference>
          <reference field="5" count="1" selected="0">
            <x v="922"/>
          </reference>
          <reference field="6" count="1">
            <x v="47"/>
          </reference>
        </references>
      </pivotArea>
    </format>
    <format dxfId="158">
      <pivotArea dataOnly="0" labelOnly="1" fieldPosition="0">
        <references count="6">
          <reference field="1" count="1" selected="0">
            <x v="164"/>
          </reference>
          <reference field="2" count="1" selected="0">
            <x v="0"/>
          </reference>
          <reference field="3" count="1" selected="0">
            <x v="38"/>
          </reference>
          <reference field="4" count="1" selected="0">
            <x v="256"/>
          </reference>
          <reference field="5" count="1" selected="0">
            <x v="262"/>
          </reference>
          <reference field="6" count="1">
            <x v="47"/>
          </reference>
        </references>
      </pivotArea>
    </format>
    <format dxfId="157">
      <pivotArea dataOnly="0" labelOnly="1" fieldPosition="0">
        <references count="6">
          <reference field="1" count="1" selected="0">
            <x v="164"/>
          </reference>
          <reference field="2" count="1" selected="0">
            <x v="2"/>
          </reference>
          <reference field="3" count="1" selected="0">
            <x v="23"/>
          </reference>
          <reference field="4" count="1" selected="0">
            <x v="255"/>
          </reference>
          <reference field="5" count="1" selected="0">
            <x v="1836"/>
          </reference>
          <reference field="6" count="1">
            <x v="47"/>
          </reference>
        </references>
      </pivotArea>
    </format>
    <format dxfId="156">
      <pivotArea dataOnly="0" labelOnly="1" fieldPosition="0">
        <references count="6">
          <reference field="1" count="1" selected="0">
            <x v="164"/>
          </reference>
          <reference field="2" count="1" selected="0">
            <x v="3"/>
          </reference>
          <reference field="3" count="1" selected="0">
            <x v="6"/>
          </reference>
          <reference field="4" count="1" selected="0">
            <x v="256"/>
          </reference>
          <reference field="5" count="1" selected="0">
            <x v="387"/>
          </reference>
          <reference field="6" count="1">
            <x v="47"/>
          </reference>
        </references>
      </pivotArea>
    </format>
    <format dxfId="155">
      <pivotArea dataOnly="0" labelOnly="1" fieldPosition="0">
        <references count="6">
          <reference field="1" count="1" selected="0">
            <x v="164"/>
          </reference>
          <reference field="2" count="1" selected="0">
            <x v="3"/>
          </reference>
          <reference field="3" count="1" selected="0">
            <x v="23"/>
          </reference>
          <reference field="4" count="1" selected="0">
            <x v="255"/>
          </reference>
          <reference field="5" count="1" selected="0">
            <x v="731"/>
          </reference>
          <reference field="6" count="1">
            <x v="47"/>
          </reference>
        </references>
      </pivotArea>
    </format>
    <format dxfId="154">
      <pivotArea dataOnly="0" labelOnly="1" fieldPosition="0">
        <references count="6">
          <reference field="1" count="1" selected="0">
            <x v="164"/>
          </reference>
          <reference field="2" count="1" selected="0">
            <x v="3"/>
          </reference>
          <reference field="3" count="1" selected="0">
            <x v="38"/>
          </reference>
          <reference field="4" count="1" selected="0">
            <x v="256"/>
          </reference>
          <reference field="5" count="1" selected="0">
            <x v="176"/>
          </reference>
          <reference field="6" count="1">
            <x v="47"/>
          </reference>
        </references>
      </pivotArea>
    </format>
    <format dxfId="153">
      <pivotArea dataOnly="0" labelOnly="1" fieldPosition="0">
        <references count="6">
          <reference field="1" count="1" selected="0">
            <x v="164"/>
          </reference>
          <reference field="2" count="1" selected="0">
            <x v="12"/>
          </reference>
          <reference field="3" count="1" selected="0">
            <x v="1"/>
          </reference>
          <reference field="4" count="1" selected="0">
            <x v="256"/>
          </reference>
          <reference field="5" count="1" selected="0">
            <x v="80"/>
          </reference>
          <reference field="6" count="1">
            <x v="47"/>
          </reference>
        </references>
      </pivotArea>
    </format>
    <format dxfId="152">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71"/>
          </reference>
          <reference field="6" count="1">
            <x v="47"/>
          </reference>
        </references>
      </pivotArea>
    </format>
    <format dxfId="151">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88"/>
          </reference>
          <reference field="6" count="1">
            <x v="47"/>
          </reference>
        </references>
      </pivotArea>
    </format>
    <format dxfId="150">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89"/>
          </reference>
          <reference field="6" count="1">
            <x v="47"/>
          </reference>
        </references>
      </pivotArea>
    </format>
    <format dxfId="149">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225"/>
          </reference>
          <reference field="6" count="1">
            <x v="47"/>
          </reference>
        </references>
      </pivotArea>
    </format>
    <format dxfId="148">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339"/>
          </reference>
          <reference field="6" count="1">
            <x v="47"/>
          </reference>
        </references>
      </pivotArea>
    </format>
    <format dxfId="147">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392"/>
          </reference>
          <reference field="6" count="1">
            <x v="47"/>
          </reference>
        </references>
      </pivotArea>
    </format>
    <format dxfId="146">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607"/>
          </reference>
          <reference field="6" count="1">
            <x v="47"/>
          </reference>
        </references>
      </pivotArea>
    </format>
    <format dxfId="145">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638"/>
          </reference>
          <reference field="6" count="1">
            <x v="47"/>
          </reference>
        </references>
      </pivotArea>
    </format>
    <format dxfId="144">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995"/>
          </reference>
          <reference field="6" count="1">
            <x v="47"/>
          </reference>
        </references>
      </pivotArea>
    </format>
    <format dxfId="143">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015"/>
          </reference>
          <reference field="6" count="1">
            <x v="47"/>
          </reference>
        </references>
      </pivotArea>
    </format>
    <format dxfId="142">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331"/>
          </reference>
          <reference field="6" count="1">
            <x v="47"/>
          </reference>
        </references>
      </pivotArea>
    </format>
    <format dxfId="141">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428"/>
          </reference>
          <reference field="6" count="1">
            <x v="47"/>
          </reference>
        </references>
      </pivotArea>
    </format>
    <format dxfId="140">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437"/>
          </reference>
          <reference field="6" count="1">
            <x v="47"/>
          </reference>
        </references>
      </pivotArea>
    </format>
    <format dxfId="139">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439"/>
          </reference>
          <reference field="6" count="1">
            <x v="47"/>
          </reference>
        </references>
      </pivotArea>
    </format>
    <format dxfId="138">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447"/>
          </reference>
          <reference field="6" count="1">
            <x v="47"/>
          </reference>
        </references>
      </pivotArea>
    </format>
    <format dxfId="137">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458"/>
          </reference>
          <reference field="6" count="1">
            <x v="47"/>
          </reference>
        </references>
      </pivotArea>
    </format>
    <format dxfId="136">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478"/>
          </reference>
          <reference field="6" count="1">
            <x v="47"/>
          </reference>
        </references>
      </pivotArea>
    </format>
    <format dxfId="135">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586"/>
          </reference>
          <reference field="6" count="1">
            <x v="47"/>
          </reference>
        </references>
      </pivotArea>
    </format>
    <format dxfId="134">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602"/>
          </reference>
          <reference field="6" count="1">
            <x v="47"/>
          </reference>
        </references>
      </pivotArea>
    </format>
    <format dxfId="133">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605"/>
          </reference>
          <reference field="6" count="1">
            <x v="47"/>
          </reference>
        </references>
      </pivotArea>
    </format>
    <format dxfId="132">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632"/>
          </reference>
          <reference field="6" count="1">
            <x v="47"/>
          </reference>
        </references>
      </pivotArea>
    </format>
    <format dxfId="131">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638"/>
          </reference>
          <reference field="6" count="1">
            <x v="47"/>
          </reference>
        </references>
      </pivotArea>
    </format>
    <format dxfId="130">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646"/>
          </reference>
          <reference field="6" count="1">
            <x v="47"/>
          </reference>
        </references>
      </pivotArea>
    </format>
    <format dxfId="129">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679"/>
          </reference>
          <reference field="6" count="1">
            <x v="47"/>
          </reference>
        </references>
      </pivotArea>
    </format>
    <format dxfId="128">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692"/>
          </reference>
          <reference field="6" count="1">
            <x v="47"/>
          </reference>
        </references>
      </pivotArea>
    </format>
    <format dxfId="127">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716"/>
          </reference>
          <reference field="6" count="1">
            <x v="47"/>
          </reference>
        </references>
      </pivotArea>
    </format>
    <format dxfId="126">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762"/>
          </reference>
          <reference field="6" count="1">
            <x v="47"/>
          </reference>
        </references>
      </pivotArea>
    </format>
    <format dxfId="125">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767"/>
          </reference>
          <reference field="6" count="1">
            <x v="47"/>
          </reference>
        </references>
      </pivotArea>
    </format>
    <format dxfId="124">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774"/>
          </reference>
          <reference field="6" count="1">
            <x v="47"/>
          </reference>
        </references>
      </pivotArea>
    </format>
    <format dxfId="123">
      <pivotArea dataOnly="0" labelOnly="1" fieldPosition="0">
        <references count="6">
          <reference field="1" count="1" selected="0">
            <x v="164"/>
          </reference>
          <reference field="2" count="1" selected="0">
            <x v="12"/>
          </reference>
          <reference field="3" count="1" selected="0">
            <x v="23"/>
          </reference>
          <reference field="4" count="1" selected="0">
            <x v="255"/>
          </reference>
          <reference field="5" count="1" selected="0">
            <x v="1809"/>
          </reference>
          <reference field="6" count="1">
            <x v="47"/>
          </reference>
        </references>
      </pivotArea>
    </format>
    <format dxfId="122">
      <pivotArea dataOnly="0" labelOnly="1" fieldPosition="0">
        <references count="6">
          <reference field="1" count="1" selected="0">
            <x v="164"/>
          </reference>
          <reference field="2" count="1" selected="0">
            <x v="12"/>
          </reference>
          <reference field="3" count="1" selected="0">
            <x v="38"/>
          </reference>
          <reference field="4" count="1" selected="0">
            <x v="256"/>
          </reference>
          <reference field="5" count="1" selected="0">
            <x v="6"/>
          </reference>
          <reference field="6" count="1">
            <x v="47"/>
          </reference>
        </references>
      </pivotArea>
    </format>
    <format dxfId="121">
      <pivotArea dataOnly="0" labelOnly="1" fieldPosition="0">
        <references count="6">
          <reference field="1" count="1" selected="0">
            <x v="164"/>
          </reference>
          <reference field="2" count="1" selected="0">
            <x v="14"/>
          </reference>
          <reference field="3" count="1" selected="0">
            <x v="1"/>
          </reference>
          <reference field="4" count="1" selected="0">
            <x v="256"/>
          </reference>
          <reference field="5" count="1" selected="0">
            <x v="602"/>
          </reference>
          <reference field="6" count="1">
            <x v="47"/>
          </reference>
        </references>
      </pivotArea>
    </format>
    <format dxfId="120">
      <pivotArea dataOnly="0" labelOnly="1" fieldPosition="0">
        <references count="6">
          <reference field="1" count="1" selected="0">
            <x v="164"/>
          </reference>
          <reference field="2" count="1" selected="0">
            <x v="14"/>
          </reference>
          <reference field="3" count="1" selected="0">
            <x v="23"/>
          </reference>
          <reference field="4" count="1" selected="0">
            <x v="255"/>
          </reference>
          <reference field="5" count="1" selected="0">
            <x v="294"/>
          </reference>
          <reference field="6" count="1">
            <x v="47"/>
          </reference>
        </references>
      </pivotArea>
    </format>
    <format dxfId="119">
      <pivotArea dataOnly="0" labelOnly="1" fieldPosition="0">
        <references count="6">
          <reference field="1" count="1" selected="0">
            <x v="164"/>
          </reference>
          <reference field="2" count="1" selected="0">
            <x v="15"/>
          </reference>
          <reference field="3" count="1" selected="0">
            <x v="23"/>
          </reference>
          <reference field="4" count="1" selected="0">
            <x v="255"/>
          </reference>
          <reference field="5" count="1" selected="0">
            <x v="1843"/>
          </reference>
          <reference field="6" count="1">
            <x v="47"/>
          </reference>
        </references>
      </pivotArea>
    </format>
    <format dxfId="118">
      <pivotArea dataOnly="0" labelOnly="1" fieldPosition="0">
        <references count="6">
          <reference field="1" count="1" selected="0">
            <x v="164"/>
          </reference>
          <reference field="2" count="1" selected="0">
            <x v="15"/>
          </reference>
          <reference field="3" count="1" selected="0">
            <x v="38"/>
          </reference>
          <reference field="4" count="1" selected="0">
            <x v="256"/>
          </reference>
          <reference field="5" count="1" selected="0">
            <x v="1619"/>
          </reference>
          <reference field="6" count="1">
            <x v="47"/>
          </reference>
        </references>
      </pivotArea>
    </format>
    <format dxfId="117">
      <pivotArea dataOnly="0" labelOnly="1" fieldPosition="0">
        <references count="6">
          <reference field="1" count="1" selected="0">
            <x v="164"/>
          </reference>
          <reference field="2" count="1" selected="0">
            <x v="23"/>
          </reference>
          <reference field="3" count="1" selected="0">
            <x v="23"/>
          </reference>
          <reference field="4" count="1" selected="0">
            <x v="255"/>
          </reference>
          <reference field="5" count="1" selected="0">
            <x v="1811"/>
          </reference>
          <reference field="6" count="1">
            <x v="47"/>
          </reference>
        </references>
      </pivotArea>
    </format>
    <format dxfId="116">
      <pivotArea dataOnly="0" labelOnly="1" fieldPosition="0">
        <references count="6">
          <reference field="1" count="1" selected="0">
            <x v="164"/>
          </reference>
          <reference field="2" count="1" selected="0">
            <x v="23"/>
          </reference>
          <reference field="3" count="1" selected="0">
            <x v="38"/>
          </reference>
          <reference field="4" count="1" selected="0">
            <x v="256"/>
          </reference>
          <reference field="5" count="1" selected="0">
            <x v="165"/>
          </reference>
          <reference field="6" count="1">
            <x v="47"/>
          </reference>
        </references>
      </pivotArea>
    </format>
    <format dxfId="115">
      <pivotArea dataOnly="0" labelOnly="1" fieldPosition="0">
        <references count="6">
          <reference field="1" count="1" selected="0">
            <x v="164"/>
          </reference>
          <reference field="2" count="1" selected="0">
            <x v="24"/>
          </reference>
          <reference field="3" count="1" selected="0">
            <x v="23"/>
          </reference>
          <reference field="4" count="1" selected="0">
            <x v="255"/>
          </reference>
          <reference field="5" count="1" selected="0">
            <x v="1432"/>
          </reference>
          <reference field="6" count="1">
            <x v="47"/>
          </reference>
        </references>
      </pivotArea>
    </format>
    <format dxfId="114">
      <pivotArea dataOnly="0" labelOnly="1" fieldPosition="0">
        <references count="6">
          <reference field="1" count="1" selected="0">
            <x v="164"/>
          </reference>
          <reference field="2" count="1" selected="0">
            <x v="33"/>
          </reference>
          <reference field="3" count="1" selected="0">
            <x v="38"/>
          </reference>
          <reference field="4" count="1" selected="0">
            <x v="256"/>
          </reference>
          <reference field="5" count="1" selected="0">
            <x v="541"/>
          </reference>
          <reference field="6" count="1">
            <x v="47"/>
          </reference>
        </references>
      </pivotArea>
    </format>
    <format dxfId="113">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47"/>
          </reference>
          <reference field="6" count="1">
            <x v="47"/>
          </reference>
        </references>
      </pivotArea>
    </format>
    <format dxfId="112">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183"/>
          </reference>
          <reference field="6" count="1">
            <x v="47"/>
          </reference>
        </references>
      </pivotArea>
    </format>
    <format dxfId="111">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268"/>
          </reference>
          <reference field="6" count="1">
            <x v="47"/>
          </reference>
        </references>
      </pivotArea>
    </format>
    <format dxfId="110">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283"/>
          </reference>
          <reference field="6" count="1">
            <x v="47"/>
          </reference>
        </references>
      </pivotArea>
    </format>
    <format dxfId="109">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336"/>
          </reference>
          <reference field="6" count="1">
            <x v="47"/>
          </reference>
        </references>
      </pivotArea>
    </format>
    <format dxfId="108">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343"/>
          </reference>
          <reference field="6" count="1">
            <x v="47"/>
          </reference>
        </references>
      </pivotArea>
    </format>
    <format dxfId="107">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384"/>
          </reference>
          <reference field="6" count="1">
            <x v="47"/>
          </reference>
        </references>
      </pivotArea>
    </format>
    <format dxfId="106">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419"/>
          </reference>
          <reference field="6" count="1">
            <x v="47"/>
          </reference>
        </references>
      </pivotArea>
    </format>
    <format dxfId="105">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656"/>
          </reference>
          <reference field="6" count="1">
            <x v="47"/>
          </reference>
        </references>
      </pivotArea>
    </format>
    <format dxfId="104">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677"/>
          </reference>
          <reference field="6" count="1">
            <x v="47"/>
          </reference>
        </references>
      </pivotArea>
    </format>
    <format dxfId="103">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709"/>
          </reference>
          <reference field="6" count="1">
            <x v="47"/>
          </reference>
        </references>
      </pivotArea>
    </format>
    <format dxfId="102">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816"/>
          </reference>
          <reference field="6" count="1">
            <x v="47"/>
          </reference>
        </references>
      </pivotArea>
    </format>
    <format dxfId="101">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843"/>
          </reference>
          <reference field="6" count="1">
            <x v="47"/>
          </reference>
        </references>
      </pivotArea>
    </format>
    <format dxfId="100">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859"/>
          </reference>
          <reference field="6" count="1">
            <x v="47"/>
          </reference>
        </references>
      </pivotArea>
    </format>
    <format dxfId="99">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969"/>
          </reference>
          <reference field="6" count="1">
            <x v="47"/>
          </reference>
        </references>
      </pivotArea>
    </format>
    <format dxfId="98">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1016"/>
          </reference>
          <reference field="6" count="1">
            <x v="47"/>
          </reference>
        </references>
      </pivotArea>
    </format>
    <format dxfId="97">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1129"/>
          </reference>
          <reference field="6" count="1">
            <x v="47"/>
          </reference>
        </references>
      </pivotArea>
    </format>
    <format dxfId="96">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1209"/>
          </reference>
          <reference field="6" count="1">
            <x v="47"/>
          </reference>
        </references>
      </pivotArea>
    </format>
    <format dxfId="95">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1217"/>
          </reference>
          <reference field="6" count="1">
            <x v="47"/>
          </reference>
        </references>
      </pivotArea>
    </format>
    <format dxfId="94">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1257"/>
          </reference>
          <reference field="6" count="1">
            <x v="47"/>
          </reference>
        </references>
      </pivotArea>
    </format>
    <format dxfId="93">
      <pivotArea dataOnly="0" labelOnly="1" fieldPosition="0">
        <references count="6">
          <reference field="1" count="1" selected="0">
            <x v="164"/>
          </reference>
          <reference field="2" count="1" selected="0">
            <x v="35"/>
          </reference>
          <reference field="3" count="1" selected="0">
            <x v="23"/>
          </reference>
          <reference field="4" count="1" selected="0">
            <x v="255"/>
          </reference>
          <reference field="5" count="1" selected="0">
            <x v="1590"/>
          </reference>
          <reference field="6" count="1">
            <x v="47"/>
          </reference>
        </references>
      </pivotArea>
    </format>
    <format dxfId="92">
      <pivotArea dataOnly="0" labelOnly="1" fieldPosition="0">
        <references count="6">
          <reference field="1" count="1" selected="0">
            <x v="165"/>
          </reference>
          <reference field="2" count="1" selected="0">
            <x v="0"/>
          </reference>
          <reference field="3" count="1" selected="0">
            <x v="1"/>
          </reference>
          <reference field="4" count="1" selected="0">
            <x v="257"/>
          </reference>
          <reference field="5" count="1" selected="0">
            <x v="213"/>
          </reference>
          <reference field="6" count="1">
            <x v="47"/>
          </reference>
        </references>
      </pivotArea>
    </format>
    <format dxfId="91">
      <pivotArea dataOnly="0" labelOnly="1" fieldPosition="0">
        <references count="6">
          <reference field="1" count="1" selected="0">
            <x v="165"/>
          </reference>
          <reference field="2" count="1" selected="0">
            <x v="0"/>
          </reference>
          <reference field="3" count="1" selected="0">
            <x v="8"/>
          </reference>
          <reference field="4" count="1" selected="0">
            <x v="257"/>
          </reference>
          <reference field="5" count="1" selected="0">
            <x v="320"/>
          </reference>
          <reference field="6" count="1">
            <x v="47"/>
          </reference>
        </references>
      </pivotArea>
    </format>
    <format dxfId="90">
      <pivotArea dataOnly="0" labelOnly="1" fieldPosition="0">
        <references count="6">
          <reference field="1" count="1" selected="0">
            <x v="165"/>
          </reference>
          <reference field="2" count="1" selected="0">
            <x v="0"/>
          </reference>
          <reference field="3" count="1" selected="0">
            <x v="8"/>
          </reference>
          <reference field="4" count="1" selected="0">
            <x v="257"/>
          </reference>
          <reference field="5" count="1" selected="0">
            <x v="397"/>
          </reference>
          <reference field="6" count="1">
            <x v="47"/>
          </reference>
        </references>
      </pivotArea>
    </format>
    <format dxfId="89">
      <pivotArea dataOnly="0" labelOnly="1" fieldPosition="0">
        <references count="6">
          <reference field="1" count="1" selected="0">
            <x v="165"/>
          </reference>
          <reference field="2" count="1" selected="0">
            <x v="0"/>
          </reference>
          <reference field="3" count="1" selected="0">
            <x v="8"/>
          </reference>
          <reference field="4" count="1" selected="0">
            <x v="257"/>
          </reference>
          <reference field="5" count="1" selected="0">
            <x v="408"/>
          </reference>
          <reference field="6" count="1">
            <x v="47"/>
          </reference>
        </references>
      </pivotArea>
    </format>
    <format dxfId="88">
      <pivotArea dataOnly="0" labelOnly="1" fieldPosition="0">
        <references count="6">
          <reference field="1" count="1" selected="0">
            <x v="165"/>
          </reference>
          <reference field="2" count="1" selected="0">
            <x v="0"/>
          </reference>
          <reference field="3" count="1" selected="0">
            <x v="8"/>
          </reference>
          <reference field="4" count="1" selected="0">
            <x v="257"/>
          </reference>
          <reference field="5" count="1" selected="0">
            <x v="550"/>
          </reference>
          <reference field="6" count="1">
            <x v="47"/>
          </reference>
        </references>
      </pivotArea>
    </format>
    <format dxfId="87">
      <pivotArea dataOnly="0" labelOnly="1" fieldPosition="0">
        <references count="6">
          <reference field="1" count="1" selected="0">
            <x v="165"/>
          </reference>
          <reference field="2" count="1" selected="0">
            <x v="0"/>
          </reference>
          <reference field="3" count="1" selected="0">
            <x v="8"/>
          </reference>
          <reference field="4" count="1" selected="0">
            <x v="257"/>
          </reference>
          <reference field="5" count="1" selected="0">
            <x v="605"/>
          </reference>
          <reference field="6" count="1">
            <x v="47"/>
          </reference>
        </references>
      </pivotArea>
    </format>
    <format dxfId="86">
      <pivotArea dataOnly="0" labelOnly="1" fieldPosition="0">
        <references count="6">
          <reference field="1" count="1" selected="0">
            <x v="165"/>
          </reference>
          <reference field="2" count="1" selected="0">
            <x v="0"/>
          </reference>
          <reference field="3" count="1" selected="0">
            <x v="8"/>
          </reference>
          <reference field="4" count="1" selected="0">
            <x v="257"/>
          </reference>
          <reference field="5" count="1" selected="0">
            <x v="1158"/>
          </reference>
          <reference field="6" count="1">
            <x v="47"/>
          </reference>
        </references>
      </pivotArea>
    </format>
    <format dxfId="85">
      <pivotArea dataOnly="0" labelOnly="1" fieldPosition="0">
        <references count="6">
          <reference field="1" count="1" selected="0">
            <x v="165"/>
          </reference>
          <reference field="2" count="1" selected="0">
            <x v="0"/>
          </reference>
          <reference field="3" count="1" selected="0">
            <x v="9"/>
          </reference>
          <reference field="4" count="1" selected="0">
            <x v="257"/>
          </reference>
          <reference field="5" count="1" selected="0">
            <x v="248"/>
          </reference>
          <reference field="6" count="1">
            <x v="47"/>
          </reference>
        </references>
      </pivotArea>
    </format>
    <format dxfId="84">
      <pivotArea dataOnly="0" labelOnly="1" fieldPosition="0">
        <references count="6">
          <reference field="1" count="1" selected="0">
            <x v="165"/>
          </reference>
          <reference field="2" count="1" selected="0">
            <x v="0"/>
          </reference>
          <reference field="3" count="1" selected="0">
            <x v="9"/>
          </reference>
          <reference field="4" count="1" selected="0">
            <x v="257"/>
          </reference>
          <reference field="5" count="1" selected="0">
            <x v="469"/>
          </reference>
          <reference field="6" count="1">
            <x v="47"/>
          </reference>
        </references>
      </pivotArea>
    </format>
    <format dxfId="83">
      <pivotArea dataOnly="0" labelOnly="1" fieldPosition="0">
        <references count="6">
          <reference field="1" count="1" selected="0">
            <x v="165"/>
          </reference>
          <reference field="2" count="1" selected="0">
            <x v="0"/>
          </reference>
          <reference field="3" count="1" selected="0">
            <x v="9"/>
          </reference>
          <reference field="4" count="1" selected="0">
            <x v="257"/>
          </reference>
          <reference field="5" count="1" selected="0">
            <x v="866"/>
          </reference>
          <reference field="6" count="1">
            <x v="47"/>
          </reference>
        </references>
      </pivotArea>
    </format>
    <format dxfId="82">
      <pivotArea dataOnly="0" labelOnly="1" fieldPosition="0">
        <references count="6">
          <reference field="1" count="1" selected="0">
            <x v="165"/>
          </reference>
          <reference field="2" count="1" selected="0">
            <x v="0"/>
          </reference>
          <reference field="3" count="1" selected="0">
            <x v="9"/>
          </reference>
          <reference field="4" count="1" selected="0">
            <x v="257"/>
          </reference>
          <reference field="5" count="1" selected="0">
            <x v="891"/>
          </reference>
          <reference field="6" count="1">
            <x v="47"/>
          </reference>
        </references>
      </pivotArea>
    </format>
    <format dxfId="81">
      <pivotArea dataOnly="0" labelOnly="1" fieldPosition="0">
        <references count="6">
          <reference field="1" count="1" selected="0">
            <x v="165"/>
          </reference>
          <reference field="2" count="1" selected="0">
            <x v="0"/>
          </reference>
          <reference field="3" count="1" selected="0">
            <x v="9"/>
          </reference>
          <reference field="4" count="1" selected="0">
            <x v="257"/>
          </reference>
          <reference field="5" count="1" selected="0">
            <x v="945"/>
          </reference>
          <reference field="6" count="1">
            <x v="47"/>
          </reference>
        </references>
      </pivotArea>
    </format>
    <format dxfId="80">
      <pivotArea dataOnly="0" labelOnly="1" fieldPosition="0">
        <references count="6">
          <reference field="1" count="1" selected="0">
            <x v="165"/>
          </reference>
          <reference field="2" count="1" selected="0">
            <x v="0"/>
          </reference>
          <reference field="3" count="1" selected="0">
            <x v="9"/>
          </reference>
          <reference field="4" count="1" selected="0">
            <x v="257"/>
          </reference>
          <reference field="5" count="1" selected="0">
            <x v="1036"/>
          </reference>
          <reference field="6" count="1">
            <x v="47"/>
          </reference>
        </references>
      </pivotArea>
    </format>
    <format dxfId="79">
      <pivotArea dataOnly="0" labelOnly="1" fieldPosition="0">
        <references count="6">
          <reference field="1" count="1" selected="0">
            <x v="165"/>
          </reference>
          <reference field="2" count="1" selected="0">
            <x v="0"/>
          </reference>
          <reference field="3" count="1" selected="0">
            <x v="9"/>
          </reference>
          <reference field="4" count="1" selected="0">
            <x v="257"/>
          </reference>
          <reference field="5" count="1" selected="0">
            <x v="1126"/>
          </reference>
          <reference field="6" count="1">
            <x v="47"/>
          </reference>
        </references>
      </pivotArea>
    </format>
    <format dxfId="78">
      <pivotArea dataOnly="0" labelOnly="1" fieldPosition="0">
        <references count="6">
          <reference field="1" count="1" selected="0">
            <x v="165"/>
          </reference>
          <reference field="2" count="1" selected="0">
            <x v="0"/>
          </reference>
          <reference field="3" count="1" selected="0">
            <x v="9"/>
          </reference>
          <reference field="4" count="1" selected="0">
            <x v="257"/>
          </reference>
          <reference field="5" count="1" selected="0">
            <x v="1234"/>
          </reference>
          <reference field="6" count="1">
            <x v="47"/>
          </reference>
        </references>
      </pivotArea>
    </format>
    <format dxfId="77">
      <pivotArea dataOnly="0" labelOnly="1" fieldPosition="0">
        <references count="6">
          <reference field="1" count="1" selected="0">
            <x v="165"/>
          </reference>
          <reference field="2" count="1" selected="0">
            <x v="0"/>
          </reference>
          <reference field="3" count="1" selected="0">
            <x v="12"/>
          </reference>
          <reference field="4" count="1" selected="0">
            <x v="9"/>
          </reference>
          <reference field="5" count="1" selected="0">
            <x v="82"/>
          </reference>
          <reference field="6" count="1">
            <x v="47"/>
          </reference>
        </references>
      </pivotArea>
    </format>
    <format dxfId="76">
      <pivotArea dataOnly="0" labelOnly="1" fieldPosition="0">
        <references count="6">
          <reference field="1" count="1" selected="0">
            <x v="165"/>
          </reference>
          <reference field="2" count="1" selected="0">
            <x v="0"/>
          </reference>
          <reference field="3" count="1" selected="0">
            <x v="12"/>
          </reference>
          <reference field="4" count="1" selected="0">
            <x v="11"/>
          </reference>
          <reference field="5" count="1" selected="0">
            <x v="138"/>
          </reference>
          <reference field="6" count="1">
            <x v="47"/>
          </reference>
        </references>
      </pivotArea>
    </format>
    <format dxfId="75">
      <pivotArea dataOnly="0" labelOnly="1" fieldPosition="0">
        <references count="6">
          <reference field="1" count="1" selected="0">
            <x v="165"/>
          </reference>
          <reference field="2" count="1" selected="0">
            <x v="0"/>
          </reference>
          <reference field="3" count="1" selected="0">
            <x v="12"/>
          </reference>
          <reference field="4" count="1" selected="0">
            <x v="19"/>
          </reference>
          <reference field="5" count="1" selected="0">
            <x v="188"/>
          </reference>
          <reference field="6" count="1">
            <x v="47"/>
          </reference>
        </references>
      </pivotArea>
    </format>
    <format dxfId="74">
      <pivotArea dataOnly="0" labelOnly="1" fieldPosition="0">
        <references count="6">
          <reference field="1" count="1" selected="0">
            <x v="165"/>
          </reference>
          <reference field="2" count="1" selected="0">
            <x v="0"/>
          </reference>
          <reference field="3" count="1" selected="0">
            <x v="12"/>
          </reference>
          <reference field="4" count="1" selected="0">
            <x v="42"/>
          </reference>
          <reference field="5" count="1" selected="0">
            <x v="69"/>
          </reference>
          <reference field="6" count="1">
            <x v="47"/>
          </reference>
        </references>
      </pivotArea>
    </format>
    <format dxfId="73">
      <pivotArea dataOnly="0" labelOnly="1" fieldPosition="0">
        <references count="6">
          <reference field="1" count="1" selected="0">
            <x v="165"/>
          </reference>
          <reference field="2" count="1" selected="0">
            <x v="0"/>
          </reference>
          <reference field="3" count="1" selected="0">
            <x v="38"/>
          </reference>
          <reference field="4" count="1" selected="0">
            <x v="257"/>
          </reference>
          <reference field="5" count="1" selected="0">
            <x v="6"/>
          </reference>
          <reference field="6" count="1">
            <x v="47"/>
          </reference>
        </references>
      </pivotArea>
    </format>
    <format dxfId="72">
      <pivotArea dataOnly="0" labelOnly="1" fieldPosition="0">
        <references count="6">
          <reference field="1" count="1" selected="0">
            <x v="165"/>
          </reference>
          <reference field="2" count="1" selected="0">
            <x v="0"/>
          </reference>
          <reference field="3" count="1" selected="0">
            <x v="38"/>
          </reference>
          <reference field="4" count="1" selected="0">
            <x v="257"/>
          </reference>
          <reference field="5" count="1" selected="0">
            <x v="138"/>
          </reference>
          <reference field="6" count="1">
            <x v="47"/>
          </reference>
        </references>
      </pivotArea>
    </format>
    <format dxfId="71">
      <pivotArea dataOnly="0" labelOnly="1" fieldPosition="0">
        <references count="6">
          <reference field="1" count="1" selected="0">
            <x v="165"/>
          </reference>
          <reference field="2" count="1" selected="0">
            <x v="0"/>
          </reference>
          <reference field="3" count="1" selected="0">
            <x v="38"/>
          </reference>
          <reference field="4" count="1" selected="0">
            <x v="257"/>
          </reference>
          <reference field="5" count="1" selected="0">
            <x v="676"/>
          </reference>
          <reference field="6" count="1">
            <x v="47"/>
          </reference>
        </references>
      </pivotArea>
    </format>
    <format dxfId="70">
      <pivotArea dataOnly="0" labelOnly="1" fieldPosition="0">
        <references count="6">
          <reference field="1" count="1" selected="0">
            <x v="165"/>
          </reference>
          <reference field="2" count="1" selected="0">
            <x v="0"/>
          </reference>
          <reference field="3" count="1" selected="0">
            <x v="38"/>
          </reference>
          <reference field="4" count="1" selected="0">
            <x v="257"/>
          </reference>
          <reference field="5" count="1" selected="0">
            <x v="1830"/>
          </reference>
          <reference field="6" count="1">
            <x v="47"/>
          </reference>
        </references>
      </pivotArea>
    </format>
    <format dxfId="69">
      <pivotArea dataOnly="0" labelOnly="1" fieldPosition="0">
        <references count="6">
          <reference field="1" count="1" selected="0">
            <x v="165"/>
          </reference>
          <reference field="2" count="1" selected="0">
            <x v="2"/>
          </reference>
          <reference field="3" count="1" selected="0">
            <x v="6"/>
          </reference>
          <reference field="4" count="1" selected="0">
            <x v="257"/>
          </reference>
          <reference field="5" count="1" selected="0">
            <x v="661"/>
          </reference>
          <reference field="6" count="1">
            <x v="47"/>
          </reference>
        </references>
      </pivotArea>
    </format>
    <format dxfId="68">
      <pivotArea dataOnly="0" labelOnly="1" fieldPosition="0">
        <references count="6">
          <reference field="1" count="1" selected="0">
            <x v="165"/>
          </reference>
          <reference field="2" count="1" selected="0">
            <x v="6"/>
          </reference>
          <reference field="3" count="1" selected="0">
            <x v="38"/>
          </reference>
          <reference field="4" count="1" selected="0">
            <x v="257"/>
          </reference>
          <reference field="5" count="1" selected="0">
            <x v="763"/>
          </reference>
          <reference field="6" count="1">
            <x v="47"/>
          </reference>
        </references>
      </pivotArea>
    </format>
    <format dxfId="67">
      <pivotArea dataOnly="0" labelOnly="1" fieldPosition="0">
        <references count="6">
          <reference field="1" count="1" selected="0">
            <x v="165"/>
          </reference>
          <reference field="2" count="1" selected="0">
            <x v="12"/>
          </reference>
          <reference field="3" count="1" selected="0">
            <x v="1"/>
          </reference>
          <reference field="4" count="1" selected="0">
            <x v="257"/>
          </reference>
          <reference field="5" count="1" selected="0">
            <x v="80"/>
          </reference>
          <reference field="6" count="1">
            <x v="47"/>
          </reference>
        </references>
      </pivotArea>
    </format>
    <format dxfId="66">
      <pivotArea dataOnly="0" labelOnly="1" fieldPosition="0">
        <references count="6">
          <reference field="1" count="1" selected="0">
            <x v="165"/>
          </reference>
          <reference field="2" count="1" selected="0">
            <x v="12"/>
          </reference>
          <reference field="3" count="1" selected="0">
            <x v="1"/>
          </reference>
          <reference field="4" count="1" selected="0">
            <x v="257"/>
          </reference>
          <reference field="5" count="1" selected="0">
            <x v="213"/>
          </reference>
          <reference field="6" count="1">
            <x v="47"/>
          </reference>
        </references>
      </pivotArea>
    </format>
    <format dxfId="65">
      <pivotArea dataOnly="0" labelOnly="1" fieldPosition="0">
        <references count="6">
          <reference field="1" count="1" selected="0">
            <x v="165"/>
          </reference>
          <reference field="2" count="1" selected="0">
            <x v="12"/>
          </reference>
          <reference field="3" count="1" selected="0">
            <x v="1"/>
          </reference>
          <reference field="4" count="1" selected="0">
            <x v="257"/>
          </reference>
          <reference field="5" count="1" selected="0">
            <x v="500"/>
          </reference>
          <reference field="6" count="1">
            <x v="47"/>
          </reference>
        </references>
      </pivotArea>
    </format>
    <format dxfId="64">
      <pivotArea dataOnly="0" labelOnly="1" fieldPosition="0">
        <references count="6">
          <reference field="1" count="1" selected="0">
            <x v="165"/>
          </reference>
          <reference field="2" count="1" selected="0">
            <x v="12"/>
          </reference>
          <reference field="3" count="1" selected="0">
            <x v="38"/>
          </reference>
          <reference field="4" count="1" selected="0">
            <x v="257"/>
          </reference>
          <reference field="5" count="1" selected="0">
            <x v="6"/>
          </reference>
          <reference field="6" count="1">
            <x v="47"/>
          </reference>
        </references>
      </pivotArea>
    </format>
    <format dxfId="63">
      <pivotArea dataOnly="0" labelOnly="1" fieldPosition="0">
        <references count="6">
          <reference field="1" count="1" selected="0">
            <x v="165"/>
          </reference>
          <reference field="2" count="1" selected="0">
            <x v="12"/>
          </reference>
          <reference field="3" count="1" selected="0">
            <x v="38"/>
          </reference>
          <reference field="4" count="1" selected="0">
            <x v="257"/>
          </reference>
          <reference field="5" count="1" selected="0">
            <x v="49"/>
          </reference>
          <reference field="6" count="1">
            <x v="47"/>
          </reference>
        </references>
      </pivotArea>
    </format>
    <format dxfId="62">
      <pivotArea dataOnly="0" labelOnly="1" fieldPosition="0">
        <references count="6">
          <reference field="1" count="1" selected="0">
            <x v="165"/>
          </reference>
          <reference field="2" count="1" selected="0">
            <x v="14"/>
          </reference>
          <reference field="3" count="1" selected="0">
            <x v="38"/>
          </reference>
          <reference field="4" count="1" selected="0">
            <x v="257"/>
          </reference>
          <reference field="5" count="1" selected="0">
            <x v="937"/>
          </reference>
          <reference field="6" count="1">
            <x v="47"/>
          </reference>
        </references>
      </pivotArea>
    </format>
    <format dxfId="61">
      <pivotArea dataOnly="0" labelOnly="1" fieldPosition="0">
        <references count="6">
          <reference field="1" count="1" selected="0">
            <x v="165"/>
          </reference>
          <reference field="2" count="1" selected="0">
            <x v="15"/>
          </reference>
          <reference field="3" count="1" selected="0">
            <x v="6"/>
          </reference>
          <reference field="4" count="1" selected="0">
            <x v="257"/>
          </reference>
          <reference field="5" count="1" selected="0">
            <x v="410"/>
          </reference>
          <reference field="6" count="1">
            <x v="47"/>
          </reference>
        </references>
      </pivotArea>
    </format>
    <format dxfId="60">
      <pivotArea dataOnly="0" labelOnly="1" fieldPosition="0">
        <references count="6">
          <reference field="1" count="1" selected="0">
            <x v="165"/>
          </reference>
          <reference field="2" count="1" selected="0">
            <x v="15"/>
          </reference>
          <reference field="3" count="1" selected="0">
            <x v="9"/>
          </reference>
          <reference field="4" count="1" selected="0">
            <x v="257"/>
          </reference>
          <reference field="5" count="1" selected="0">
            <x v="1044"/>
          </reference>
          <reference field="6" count="1">
            <x v="47"/>
          </reference>
        </references>
      </pivotArea>
    </format>
    <format dxfId="59">
      <pivotArea dataOnly="0" labelOnly="1" fieldPosition="0">
        <references count="6">
          <reference field="1" count="1" selected="0">
            <x v="165"/>
          </reference>
          <reference field="2" count="1" selected="0">
            <x v="15"/>
          </reference>
          <reference field="3" count="1" selected="0">
            <x v="38"/>
          </reference>
          <reference field="4" count="1" selected="0">
            <x v="257"/>
          </reference>
          <reference field="5" count="1" selected="0">
            <x v="1122"/>
          </reference>
          <reference field="6" count="1">
            <x v="47"/>
          </reference>
        </references>
      </pivotArea>
    </format>
    <format dxfId="58">
      <pivotArea dataOnly="0" labelOnly="1" fieldPosition="0">
        <references count="6">
          <reference field="1" count="1" selected="0">
            <x v="165"/>
          </reference>
          <reference field="2" count="1" selected="0">
            <x v="28"/>
          </reference>
          <reference field="3" count="1" selected="0">
            <x v="1"/>
          </reference>
          <reference field="4" count="1" selected="0">
            <x v="257"/>
          </reference>
          <reference field="5" count="1" selected="0">
            <x v="250"/>
          </reference>
          <reference field="6" count="1">
            <x v="47"/>
          </reference>
        </references>
      </pivotArea>
    </format>
    <format dxfId="57">
      <pivotArea dataOnly="0" labelOnly="1" fieldPosition="0">
        <references count="6">
          <reference field="1" count="1" selected="0">
            <x v="165"/>
          </reference>
          <reference field="2" count="1" selected="0">
            <x v="35"/>
          </reference>
          <reference field="3" count="1" selected="0">
            <x v="1"/>
          </reference>
          <reference field="4" count="1" selected="0">
            <x v="257"/>
          </reference>
          <reference field="5" count="1" selected="0">
            <x v="213"/>
          </reference>
          <reference field="6" count="1">
            <x v="47"/>
          </reference>
        </references>
      </pivotArea>
    </format>
    <format dxfId="56">
      <pivotArea dataOnly="0" labelOnly="1" fieldPosition="0">
        <references count="6">
          <reference field="1" count="1" selected="0">
            <x v="165"/>
          </reference>
          <reference field="2" count="1" selected="0">
            <x v="35"/>
          </reference>
          <reference field="3" count="1" selected="0">
            <x v="1"/>
          </reference>
          <reference field="4" count="1" selected="0">
            <x v="257"/>
          </reference>
          <reference field="5" count="1" selected="0">
            <x v="352"/>
          </reference>
          <reference field="6" count="1">
            <x v="47"/>
          </reference>
        </references>
      </pivotArea>
    </format>
    <format dxfId="55">
      <pivotArea dataOnly="0" labelOnly="1" fieldPosition="0">
        <references count="6">
          <reference field="1" count="1" selected="0">
            <x v="166"/>
          </reference>
          <reference field="2" count="1" selected="0">
            <x v="0"/>
          </reference>
          <reference field="3" count="1" selected="0">
            <x v="12"/>
          </reference>
          <reference field="4" count="1" selected="0">
            <x v="6"/>
          </reference>
          <reference field="5" count="1" selected="0">
            <x v="90"/>
          </reference>
          <reference field="6" count="1">
            <x v="47"/>
          </reference>
        </references>
      </pivotArea>
    </format>
    <format dxfId="54">
      <pivotArea dataOnly="0" labelOnly="1" fieldPosition="0">
        <references count="6">
          <reference field="1" count="1" selected="0">
            <x v="166"/>
          </reference>
          <reference field="2" count="1" selected="0">
            <x v="0"/>
          </reference>
          <reference field="3" count="1" selected="0">
            <x v="12"/>
          </reference>
          <reference field="4" count="1" selected="0">
            <x v="56"/>
          </reference>
          <reference field="5" count="1" selected="0">
            <x v="69"/>
          </reference>
          <reference field="6" count="1">
            <x v="47"/>
          </reference>
        </references>
      </pivotArea>
    </format>
    <format dxfId="53">
      <pivotArea dataOnly="0" labelOnly="1" fieldPosition="0">
        <references count="6">
          <reference field="1" count="1" selected="0">
            <x v="166"/>
          </reference>
          <reference field="2" count="1" selected="0">
            <x v="12"/>
          </reference>
          <reference field="3" count="1" selected="0">
            <x v="1"/>
          </reference>
          <reference field="4" count="1" selected="0">
            <x v="258"/>
          </reference>
          <reference field="5" count="1" selected="0">
            <x v="80"/>
          </reference>
          <reference field="6" count="1">
            <x v="47"/>
          </reference>
        </references>
      </pivotArea>
    </format>
    <format dxfId="52">
      <pivotArea dataOnly="0" labelOnly="1" fieldPosition="0">
        <references count="6">
          <reference field="1" count="1" selected="0">
            <x v="166"/>
          </reference>
          <reference field="2" count="1" selected="0">
            <x v="12"/>
          </reference>
          <reference field="3" count="1" selected="0">
            <x v="1"/>
          </reference>
          <reference field="4" count="1" selected="0">
            <x v="258"/>
          </reference>
          <reference field="5" count="1" selected="0">
            <x v="213"/>
          </reference>
          <reference field="6" count="1">
            <x v="47"/>
          </reference>
        </references>
      </pivotArea>
    </format>
    <format dxfId="51">
      <pivotArea dataOnly="0" labelOnly="1" fieldPosition="0">
        <references count="6">
          <reference field="1" count="1" selected="0">
            <x v="166"/>
          </reference>
          <reference field="2" count="1" selected="0">
            <x v="12"/>
          </reference>
          <reference field="3" count="1" selected="0">
            <x v="1"/>
          </reference>
          <reference field="4" count="1" selected="0">
            <x v="258"/>
          </reference>
          <reference field="5" count="1" selected="0">
            <x v="352"/>
          </reference>
          <reference field="6" count="1">
            <x v="47"/>
          </reference>
        </references>
      </pivotArea>
    </format>
    <format dxfId="50">
      <pivotArea dataOnly="0" labelOnly="1" fieldPosition="0">
        <references count="6">
          <reference field="1" count="1" selected="0">
            <x v="166"/>
          </reference>
          <reference field="2" count="1" selected="0">
            <x v="35"/>
          </reference>
          <reference field="3" count="1" selected="0">
            <x v="1"/>
          </reference>
          <reference field="4" count="1" selected="0">
            <x v="258"/>
          </reference>
          <reference field="5" count="1" selected="0">
            <x v="80"/>
          </reference>
          <reference field="6" count="1">
            <x v="47"/>
          </reference>
        </references>
      </pivotArea>
    </format>
    <format dxfId="49">
      <pivotArea dataOnly="0" labelOnly="1" fieldPosition="0">
        <references count="6">
          <reference field="1" count="1" selected="0">
            <x v="167"/>
          </reference>
          <reference field="2" count="1" selected="0">
            <x v="0"/>
          </reference>
          <reference field="3" count="1" selected="0">
            <x v="8"/>
          </reference>
          <reference field="4" count="1" selected="0">
            <x v="260"/>
          </reference>
          <reference field="5" count="1" selected="0">
            <x v="1199"/>
          </reference>
          <reference field="6" count="1">
            <x v="47"/>
          </reference>
        </references>
      </pivotArea>
    </format>
    <format dxfId="48">
      <pivotArea dataOnly="0" labelOnly="1" fieldPosition="0">
        <references count="6">
          <reference field="1" count="1" selected="0">
            <x v="167"/>
          </reference>
          <reference field="2" count="1" selected="0">
            <x v="0"/>
          </reference>
          <reference field="3" count="1" selected="0">
            <x v="10"/>
          </reference>
          <reference field="4" count="1" selected="0">
            <x v="260"/>
          </reference>
          <reference field="5" count="1" selected="0">
            <x v="0"/>
          </reference>
          <reference field="6" count="1">
            <x v="24"/>
          </reference>
        </references>
      </pivotArea>
    </format>
    <format dxfId="47">
      <pivotArea dataOnly="0" labelOnly="1" fieldPosition="0">
        <references count="6">
          <reference field="1" count="1" selected="0">
            <x v="167"/>
          </reference>
          <reference field="2" count="1" selected="0">
            <x v="0"/>
          </reference>
          <reference field="3" count="1" selected="0">
            <x v="12"/>
          </reference>
          <reference field="4" count="1" selected="0">
            <x v="6"/>
          </reference>
          <reference field="5" count="1" selected="0">
            <x v="90"/>
          </reference>
          <reference field="6" count="1">
            <x v="47"/>
          </reference>
        </references>
      </pivotArea>
    </format>
    <format dxfId="46">
      <pivotArea dataOnly="0" labelOnly="1" fieldPosition="0">
        <references count="6">
          <reference field="1" count="1" selected="0">
            <x v="167"/>
          </reference>
          <reference field="2" count="1" selected="0">
            <x v="0"/>
          </reference>
          <reference field="3" count="1" selected="0">
            <x v="12"/>
          </reference>
          <reference field="4" count="1" selected="0">
            <x v="16"/>
          </reference>
          <reference field="5" count="1" selected="0">
            <x v="138"/>
          </reference>
          <reference field="6" count="1">
            <x v="47"/>
          </reference>
        </references>
      </pivotArea>
    </format>
    <format dxfId="45">
      <pivotArea dataOnly="0" labelOnly="1" fieldPosition="0">
        <references count="6">
          <reference field="1" count="1" selected="0">
            <x v="167"/>
          </reference>
          <reference field="2" count="1" selected="0">
            <x v="0"/>
          </reference>
          <reference field="3" count="1" selected="0">
            <x v="12"/>
          </reference>
          <reference field="4" count="1" selected="0">
            <x v="27"/>
          </reference>
          <reference field="5" count="1" selected="0">
            <x v="92"/>
          </reference>
          <reference field="6" count="1">
            <x v="47"/>
          </reference>
        </references>
      </pivotArea>
    </format>
    <format dxfId="44">
      <pivotArea dataOnly="0" labelOnly="1" fieldPosition="0">
        <references count="6">
          <reference field="1" count="1" selected="0">
            <x v="167"/>
          </reference>
          <reference field="2" count="1" selected="0">
            <x v="0"/>
          </reference>
          <reference field="3" count="1" selected="0">
            <x v="12"/>
          </reference>
          <reference field="4" count="1" selected="0">
            <x v="30"/>
          </reference>
          <reference field="5" count="1" selected="0">
            <x v="6"/>
          </reference>
          <reference field="6" count="1">
            <x v="47"/>
          </reference>
        </references>
      </pivotArea>
    </format>
    <format dxfId="43">
      <pivotArea dataOnly="0" labelOnly="1" fieldPosition="0">
        <references count="6">
          <reference field="1" count="1" selected="0">
            <x v="167"/>
          </reference>
          <reference field="2" count="1" selected="0">
            <x v="0"/>
          </reference>
          <reference field="3" count="1" selected="0">
            <x v="12"/>
          </reference>
          <reference field="4" count="1" selected="0">
            <x v="39"/>
          </reference>
          <reference field="5" count="1" selected="0">
            <x v="61"/>
          </reference>
          <reference field="6" count="1">
            <x v="47"/>
          </reference>
        </references>
      </pivotArea>
    </format>
    <format dxfId="42">
      <pivotArea dataOnly="0" labelOnly="1" fieldPosition="0">
        <references count="6">
          <reference field="1" count="1" selected="0">
            <x v="167"/>
          </reference>
          <reference field="2" count="1" selected="0">
            <x v="0"/>
          </reference>
          <reference field="3" count="1" selected="0">
            <x v="12"/>
          </reference>
          <reference field="4" count="1" selected="0">
            <x v="57"/>
          </reference>
          <reference field="5" count="1" selected="0">
            <x v="69"/>
          </reference>
          <reference field="6" count="1">
            <x v="47"/>
          </reference>
        </references>
      </pivotArea>
    </format>
    <format dxfId="41">
      <pivotArea dataOnly="0" labelOnly="1" fieldPosition="0">
        <references count="6">
          <reference field="1" count="1" selected="0">
            <x v="167"/>
          </reference>
          <reference field="2" count="1" selected="0">
            <x v="5"/>
          </reference>
          <reference field="3" count="1" selected="0">
            <x v="37"/>
          </reference>
          <reference field="4" count="1" selected="0">
            <x v="260"/>
          </reference>
          <reference field="5" count="1" selected="0">
            <x v="1270"/>
          </reference>
          <reference field="6" count="1">
            <x v="47"/>
          </reference>
        </references>
      </pivotArea>
    </format>
    <format dxfId="40">
      <pivotArea dataOnly="0" labelOnly="1" fieldPosition="0">
        <references count="6">
          <reference field="1" count="1" selected="0">
            <x v="167"/>
          </reference>
          <reference field="2" count="1" selected="0">
            <x v="5"/>
          </reference>
          <reference field="3" count="1" selected="0">
            <x v="38"/>
          </reference>
          <reference field="4" count="1" selected="0">
            <x v="260"/>
          </reference>
          <reference field="5" count="1" selected="0">
            <x v="607"/>
          </reference>
          <reference field="6" count="1">
            <x v="47"/>
          </reference>
        </references>
      </pivotArea>
    </format>
    <format dxfId="39">
      <pivotArea dataOnly="0" labelOnly="1" fieldPosition="0">
        <references count="6">
          <reference field="1" count="1" selected="0">
            <x v="167"/>
          </reference>
          <reference field="2" count="1" selected="0">
            <x v="6"/>
          </reference>
          <reference field="3" count="1" selected="0">
            <x v="38"/>
          </reference>
          <reference field="4" count="1" selected="0">
            <x v="260"/>
          </reference>
          <reference field="5" count="1" selected="0">
            <x v="551"/>
          </reference>
          <reference field="6" count="1">
            <x v="47"/>
          </reference>
        </references>
      </pivotArea>
    </format>
    <format dxfId="38">
      <pivotArea dataOnly="0" labelOnly="1" fieldPosition="0">
        <references count="6">
          <reference field="1" count="1" selected="0">
            <x v="167"/>
          </reference>
          <reference field="2" count="1" selected="0">
            <x v="12"/>
          </reference>
          <reference field="3" count="1" selected="0">
            <x v="1"/>
          </reference>
          <reference field="4" count="1" selected="0">
            <x v="260"/>
          </reference>
          <reference field="5" count="1" selected="0">
            <x v="80"/>
          </reference>
          <reference field="6" count="1">
            <x v="47"/>
          </reference>
        </references>
      </pivotArea>
    </format>
    <format dxfId="37">
      <pivotArea dataOnly="0" labelOnly="1" fieldPosition="0">
        <references count="6">
          <reference field="1" count="1" selected="0">
            <x v="167"/>
          </reference>
          <reference field="2" count="1" selected="0">
            <x v="14"/>
          </reference>
          <reference field="3" count="1" selected="0">
            <x v="6"/>
          </reference>
          <reference field="4" count="1" selected="0">
            <x v="260"/>
          </reference>
          <reference field="5" count="1" selected="0">
            <x v="1792"/>
          </reference>
          <reference field="6" count="1">
            <x v="47"/>
          </reference>
        </references>
      </pivotArea>
    </format>
    <format dxfId="36">
      <pivotArea dataOnly="0" labelOnly="1" fieldPosition="0">
        <references count="6">
          <reference field="1" count="1" selected="0">
            <x v="167"/>
          </reference>
          <reference field="2" count="1" selected="0">
            <x v="14"/>
          </reference>
          <reference field="3" count="1" selected="0">
            <x v="29"/>
          </reference>
          <reference field="4" count="1" selected="0">
            <x v="259"/>
          </reference>
          <reference field="5" count="1" selected="0">
            <x v="1182"/>
          </reference>
          <reference field="6" count="1">
            <x v="47"/>
          </reference>
        </references>
      </pivotArea>
    </format>
    <format dxfId="35">
      <pivotArea dataOnly="0" labelOnly="1" fieldPosition="0">
        <references count="6">
          <reference field="1" count="1" selected="0">
            <x v="167"/>
          </reference>
          <reference field="2" count="1" selected="0">
            <x v="15"/>
          </reference>
          <reference field="3" count="1" selected="0">
            <x v="10"/>
          </reference>
          <reference field="4" count="1" selected="0">
            <x v="260"/>
          </reference>
          <reference field="5" count="1" selected="0">
            <x v="0"/>
          </reference>
          <reference field="6" count="1">
            <x v="24"/>
          </reference>
        </references>
      </pivotArea>
    </format>
    <format dxfId="34">
      <pivotArea dataOnly="0" labelOnly="1" fieldPosition="0">
        <references count="6">
          <reference field="1" count="1" selected="0">
            <x v="167"/>
          </reference>
          <reference field="2" count="1" selected="0">
            <x v="33"/>
          </reference>
          <reference field="3" count="1" selected="0">
            <x v="37"/>
          </reference>
          <reference field="4" count="1" selected="0">
            <x v="260"/>
          </reference>
          <reference field="5" count="1" selected="0">
            <x v="1208"/>
          </reference>
          <reference field="6" count="1">
            <x v="47"/>
          </reference>
        </references>
      </pivotArea>
    </format>
    <format dxfId="33">
      <pivotArea dataOnly="0" labelOnly="1" fieldPosition="0">
        <references count="6">
          <reference field="1" count="1" selected="0">
            <x v="167"/>
          </reference>
          <reference field="2" count="1" selected="0">
            <x v="35"/>
          </reference>
          <reference field="3" count="1" selected="0">
            <x v="1"/>
          </reference>
          <reference field="4" count="1" selected="0">
            <x v="260"/>
          </reference>
          <reference field="5" count="1" selected="0">
            <x v="80"/>
          </reference>
          <reference field="6" count="1">
            <x v="47"/>
          </reference>
        </references>
      </pivotArea>
    </format>
    <format dxfId="32">
      <pivotArea dataOnly="0" labelOnly="1" fieldPosition="0">
        <references count="6">
          <reference field="1" count="1" selected="0">
            <x v="168"/>
          </reference>
          <reference field="2" count="1" selected="0">
            <x v="0"/>
          </reference>
          <reference field="3" count="1" selected="0">
            <x v="1"/>
          </reference>
          <reference field="4" count="1" selected="0">
            <x v="262"/>
          </reference>
          <reference field="5" count="1" selected="0">
            <x v="80"/>
          </reference>
          <reference field="6" count="1">
            <x v="47"/>
          </reference>
        </references>
      </pivotArea>
    </format>
    <format dxfId="31">
      <pivotArea dataOnly="0" labelOnly="1" fieldPosition="0">
        <references count="6">
          <reference field="1" count="1" selected="0">
            <x v="168"/>
          </reference>
          <reference field="2" count="1" selected="0">
            <x v="0"/>
          </reference>
          <reference field="3" count="1" selected="0">
            <x v="11"/>
          </reference>
          <reference field="4" count="1" selected="0">
            <x v="51"/>
          </reference>
          <reference field="5" count="1" selected="0">
            <x v="633"/>
          </reference>
          <reference field="6" count="1">
            <x v="47"/>
          </reference>
        </references>
      </pivotArea>
    </format>
    <format dxfId="30">
      <pivotArea dataOnly="0" labelOnly="1" fieldPosition="0">
        <references count="6">
          <reference field="1" count="1" selected="0">
            <x v="168"/>
          </reference>
          <reference field="2" count="1" selected="0">
            <x v="0"/>
          </reference>
          <reference field="3" count="1" selected="0">
            <x v="12"/>
          </reference>
          <reference field="4" count="1" selected="0">
            <x v="12"/>
          </reference>
          <reference field="5" count="1" selected="0">
            <x v="39"/>
          </reference>
          <reference field="6" count="1">
            <x v="47"/>
          </reference>
        </references>
      </pivotArea>
    </format>
    <format dxfId="29">
      <pivotArea dataOnly="0" labelOnly="1" fieldPosition="0">
        <references count="6">
          <reference field="1" count="1" selected="0">
            <x v="168"/>
          </reference>
          <reference field="2" count="1" selected="0">
            <x v="0"/>
          </reference>
          <reference field="3" count="1" selected="0">
            <x v="12"/>
          </reference>
          <reference field="4" count="1" selected="0">
            <x v="38"/>
          </reference>
          <reference field="5" count="1" selected="0">
            <x v="114"/>
          </reference>
          <reference field="6" count="1">
            <x v="47"/>
          </reference>
        </references>
      </pivotArea>
    </format>
    <format dxfId="28">
      <pivotArea dataOnly="0" labelOnly="1" fieldPosition="0">
        <references count="6">
          <reference field="1" count="1" selected="0">
            <x v="168"/>
          </reference>
          <reference field="2" count="1" selected="0">
            <x v="0"/>
          </reference>
          <reference field="3" count="1" selected="0">
            <x v="12"/>
          </reference>
          <reference field="4" count="1" selected="0">
            <x v="55"/>
          </reference>
          <reference field="5" count="1" selected="0">
            <x v="92"/>
          </reference>
          <reference field="6" count="1">
            <x v="47"/>
          </reference>
        </references>
      </pivotArea>
    </format>
    <format dxfId="27">
      <pivotArea dataOnly="0" labelOnly="1" fieldPosition="0">
        <references count="6">
          <reference field="1" count="1" selected="0">
            <x v="168"/>
          </reference>
          <reference field="2" count="1" selected="0">
            <x v="0"/>
          </reference>
          <reference field="3" count="1" selected="0">
            <x v="12"/>
          </reference>
          <reference field="4" count="1" selected="0">
            <x v="57"/>
          </reference>
          <reference field="5" count="1" selected="0">
            <x v="192"/>
          </reference>
          <reference field="6" count="1">
            <x v="47"/>
          </reference>
        </references>
      </pivotArea>
    </format>
    <format dxfId="26">
      <pivotArea dataOnly="0" labelOnly="1" fieldPosition="0">
        <references count="6">
          <reference field="1" count="1" selected="0">
            <x v="168"/>
          </reference>
          <reference field="2" count="1" selected="0">
            <x v="0"/>
          </reference>
          <reference field="3" count="1" selected="0">
            <x v="38"/>
          </reference>
          <reference field="4" count="1" selected="0">
            <x v="262"/>
          </reference>
          <reference field="5" count="1" selected="0">
            <x v="262"/>
          </reference>
          <reference field="6" count="1">
            <x v="47"/>
          </reference>
        </references>
      </pivotArea>
    </format>
    <format dxfId="25">
      <pivotArea dataOnly="0" labelOnly="1" fieldPosition="0">
        <references count="6">
          <reference field="1" count="1" selected="0">
            <x v="168"/>
          </reference>
          <reference field="2" count="1" selected="0">
            <x v="0"/>
          </reference>
          <reference field="3" count="1" selected="0">
            <x v="38"/>
          </reference>
          <reference field="4" count="1" selected="0">
            <x v="262"/>
          </reference>
          <reference field="5" count="1" selected="0">
            <x v="1137"/>
          </reference>
          <reference field="6" count="1">
            <x v="47"/>
          </reference>
        </references>
      </pivotArea>
    </format>
    <format dxfId="24">
      <pivotArea dataOnly="0" labelOnly="1" fieldPosition="0">
        <references count="6">
          <reference field="1" count="1" selected="0">
            <x v="168"/>
          </reference>
          <reference field="2" count="1" selected="0">
            <x v="0"/>
          </reference>
          <reference field="3" count="1" selected="0">
            <x v="38"/>
          </reference>
          <reference field="4" count="1" selected="0">
            <x v="262"/>
          </reference>
          <reference field="5" count="1" selected="0">
            <x v="1343"/>
          </reference>
          <reference field="6" count="1">
            <x v="47"/>
          </reference>
        </references>
      </pivotArea>
    </format>
    <format dxfId="23">
      <pivotArea dataOnly="0" labelOnly="1" fieldPosition="0">
        <references count="6">
          <reference field="1" count="1" selected="0">
            <x v="168"/>
          </reference>
          <reference field="2" count="1" selected="0">
            <x v="3"/>
          </reference>
          <reference field="3" count="1" selected="0">
            <x v="38"/>
          </reference>
          <reference field="4" count="1" selected="0">
            <x v="262"/>
          </reference>
          <reference field="5" count="1" selected="0">
            <x v="1133"/>
          </reference>
          <reference field="6" count="1">
            <x v="47"/>
          </reference>
        </references>
      </pivotArea>
    </format>
    <format dxfId="22">
      <pivotArea dataOnly="0" labelOnly="1" fieldPosition="0">
        <references count="6">
          <reference field="1" count="1" selected="0">
            <x v="168"/>
          </reference>
          <reference field="2" count="1" selected="0">
            <x v="12"/>
          </reference>
          <reference field="3" count="1" selected="0">
            <x v="1"/>
          </reference>
          <reference field="4" count="1" selected="0">
            <x v="262"/>
          </reference>
          <reference field="5" count="1" selected="0">
            <x v="80"/>
          </reference>
          <reference field="6" count="1">
            <x v="47"/>
          </reference>
        </references>
      </pivotArea>
    </format>
    <format dxfId="21">
      <pivotArea dataOnly="0" labelOnly="1" fieldPosition="0">
        <references count="6">
          <reference field="1" count="1" selected="0">
            <x v="168"/>
          </reference>
          <reference field="2" count="1" selected="0">
            <x v="12"/>
          </reference>
          <reference field="3" count="1" selected="0">
            <x v="1"/>
          </reference>
          <reference field="4" count="1" selected="0">
            <x v="262"/>
          </reference>
          <reference field="5" count="1" selected="0">
            <x v="213"/>
          </reference>
          <reference field="6" count="1">
            <x v="47"/>
          </reference>
        </references>
      </pivotArea>
    </format>
    <format dxfId="20">
      <pivotArea dataOnly="0" labelOnly="1" fieldPosition="0">
        <references count="6">
          <reference field="1" count="1" selected="0">
            <x v="168"/>
          </reference>
          <reference field="2" count="1" selected="0">
            <x v="12"/>
          </reference>
          <reference field="3" count="1" selected="0">
            <x v="1"/>
          </reference>
          <reference field="4" count="1" selected="0">
            <x v="262"/>
          </reference>
          <reference field="5" count="1" selected="0">
            <x v="352"/>
          </reference>
          <reference field="6" count="1">
            <x v="47"/>
          </reference>
        </references>
      </pivotArea>
    </format>
    <format dxfId="19">
      <pivotArea dataOnly="0" labelOnly="1" fieldPosition="0">
        <references count="6">
          <reference field="1" count="1" selected="0">
            <x v="168"/>
          </reference>
          <reference field="2" count="1" selected="0">
            <x v="12"/>
          </reference>
          <reference field="3" count="1" selected="0">
            <x v="1"/>
          </reference>
          <reference field="4" count="1" selected="0">
            <x v="262"/>
          </reference>
          <reference field="5" count="1" selected="0">
            <x v="500"/>
          </reference>
          <reference field="6" count="1">
            <x v="47"/>
          </reference>
        </references>
      </pivotArea>
    </format>
    <format dxfId="18">
      <pivotArea dataOnly="0" labelOnly="1" fieldPosition="0">
        <references count="6">
          <reference field="1" count="1" selected="0">
            <x v="168"/>
          </reference>
          <reference field="2" count="1" selected="0">
            <x v="12"/>
          </reference>
          <reference field="3" count="1" selected="0">
            <x v="1"/>
          </reference>
          <reference field="4" count="1" selected="0">
            <x v="262"/>
          </reference>
          <reference field="5" count="1" selected="0">
            <x v="607"/>
          </reference>
          <reference field="6" count="1">
            <x v="47"/>
          </reference>
        </references>
      </pivotArea>
    </format>
    <format dxfId="17">
      <pivotArea dataOnly="0" labelOnly="1" fieldPosition="0">
        <references count="6">
          <reference field="1" count="1" selected="0">
            <x v="168"/>
          </reference>
          <reference field="2" count="1" selected="0">
            <x v="12"/>
          </reference>
          <reference field="3" count="1" selected="0">
            <x v="38"/>
          </reference>
          <reference field="4" count="1" selected="0">
            <x v="262"/>
          </reference>
          <reference field="5" count="1" selected="0">
            <x v="1697"/>
          </reference>
          <reference field="6" count="1">
            <x v="47"/>
          </reference>
        </references>
      </pivotArea>
    </format>
    <format dxfId="16">
      <pivotArea dataOnly="0" labelOnly="1" fieldPosition="0">
        <references count="6">
          <reference field="1" count="1" selected="0">
            <x v="168"/>
          </reference>
          <reference field="2" count="1" selected="0">
            <x v="14"/>
          </reference>
          <reference field="3" count="1" selected="0">
            <x v="6"/>
          </reference>
          <reference field="4" count="1" selected="0">
            <x v="262"/>
          </reference>
          <reference field="5" count="1" selected="0">
            <x v="1792"/>
          </reference>
          <reference field="6" count="1">
            <x v="47"/>
          </reference>
        </references>
      </pivotArea>
    </format>
    <format dxfId="15">
      <pivotArea dataOnly="0" labelOnly="1" fieldPosition="0">
        <references count="6">
          <reference field="1" count="1" selected="0">
            <x v="168"/>
          </reference>
          <reference field="2" count="1" selected="0">
            <x v="14"/>
          </reference>
          <reference field="3" count="1" selected="0">
            <x v="9"/>
          </reference>
          <reference field="4" count="1" selected="0">
            <x v="262"/>
          </reference>
          <reference field="5" count="1" selected="0">
            <x v="0"/>
          </reference>
          <reference field="6" count="1">
            <x v="5"/>
          </reference>
        </references>
      </pivotArea>
    </format>
    <format dxfId="14">
      <pivotArea dataOnly="0" labelOnly="1" fieldPosition="0">
        <references count="6">
          <reference field="1" count="1" selected="0">
            <x v="168"/>
          </reference>
          <reference field="2" count="1" selected="0">
            <x v="14"/>
          </reference>
          <reference field="3" count="1" selected="0">
            <x v="29"/>
          </reference>
          <reference field="4" count="1" selected="0">
            <x v="261"/>
          </reference>
          <reference field="5" count="1" selected="0">
            <x v="1238"/>
          </reference>
          <reference field="6" count="1">
            <x v="47"/>
          </reference>
        </references>
      </pivotArea>
    </format>
    <format dxfId="13">
      <pivotArea dataOnly="0" labelOnly="1" fieldPosition="0">
        <references count="6">
          <reference field="1" count="1" selected="0">
            <x v="168"/>
          </reference>
          <reference field="2" count="1" selected="0">
            <x v="15"/>
          </reference>
          <reference field="3" count="1" selected="0">
            <x v="33"/>
          </reference>
          <reference field="4" count="1" selected="0">
            <x v="262"/>
          </reference>
          <reference field="5" count="1" selected="0">
            <x v="981"/>
          </reference>
          <reference field="6" count="1">
            <x v="47"/>
          </reference>
        </references>
      </pivotArea>
    </format>
    <format dxfId="12">
      <pivotArea dataOnly="0" labelOnly="1" fieldPosition="0">
        <references count="6">
          <reference field="1" count="1" selected="0">
            <x v="168"/>
          </reference>
          <reference field="2" count="1" selected="0">
            <x v="15"/>
          </reference>
          <reference field="3" count="1" selected="0">
            <x v="38"/>
          </reference>
          <reference field="4" count="1" selected="0">
            <x v="262"/>
          </reference>
          <reference field="5" count="1" selected="0">
            <x v="500"/>
          </reference>
          <reference field="6" count="1">
            <x v="47"/>
          </reference>
        </references>
      </pivotArea>
    </format>
    <format dxfId="11">
      <pivotArea dataOnly="0" labelOnly="1" fieldPosition="0">
        <references count="6">
          <reference field="1" count="1" selected="0">
            <x v="168"/>
          </reference>
          <reference field="2" count="1" selected="0">
            <x v="26"/>
          </reference>
          <reference field="3" count="1" selected="0">
            <x v="38"/>
          </reference>
          <reference field="4" count="1" selected="0">
            <x v="262"/>
          </reference>
          <reference field="5" count="1" selected="0">
            <x v="719"/>
          </reference>
          <reference field="6" count="1">
            <x v="47"/>
          </reference>
        </references>
      </pivotArea>
    </format>
    <format dxfId="10">
      <pivotArea dataOnly="0" labelOnly="1" fieldPosition="0">
        <references count="6">
          <reference field="1" count="1" selected="0">
            <x v="169"/>
          </reference>
          <reference field="2" count="1" selected="0">
            <x v="0"/>
          </reference>
          <reference field="3" count="1" selected="0">
            <x v="12"/>
          </reference>
          <reference field="4" count="1" selected="0">
            <x v="6"/>
          </reference>
          <reference field="5" count="1" selected="0">
            <x v="32"/>
          </reference>
          <reference field="6" count="1">
            <x v="47"/>
          </reference>
        </references>
      </pivotArea>
    </format>
    <format dxfId="9">
      <pivotArea dataOnly="0" labelOnly="1" fieldPosition="0">
        <references count="6">
          <reference field="1" count="1" selected="0">
            <x v="169"/>
          </reference>
          <reference field="2" count="1" selected="0">
            <x v="0"/>
          </reference>
          <reference field="3" count="1" selected="0">
            <x v="12"/>
          </reference>
          <reference field="4" count="1" selected="0">
            <x v="61"/>
          </reference>
          <reference field="5" count="1" selected="0">
            <x v="315"/>
          </reference>
          <reference field="6" count="1">
            <x v="47"/>
          </reference>
        </references>
      </pivotArea>
    </format>
    <format dxfId="8">
      <pivotArea dataOnly="0" labelOnly="1" fieldPosition="0">
        <references count="6">
          <reference field="1" count="1" selected="0">
            <x v="169"/>
          </reference>
          <reference field="2" count="1" selected="0">
            <x v="0"/>
          </reference>
          <reference field="3" count="1" selected="0">
            <x v="12"/>
          </reference>
          <reference field="4" count="1" selected="0">
            <x v="62"/>
          </reference>
          <reference field="5" count="1" selected="0">
            <x v="81"/>
          </reference>
          <reference field="6" count="1">
            <x v="4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36"/>
  <sheetViews>
    <sheetView showGridLines="0" zoomScale="70" zoomScaleNormal="70" workbookViewId="0">
      <selection activeCell="F10" sqref="F10:G10"/>
    </sheetView>
  </sheetViews>
  <sheetFormatPr baseColWidth="10" defaultColWidth="9.140625" defaultRowHeight="15" x14ac:dyDescent="0.25"/>
  <cols>
    <col min="1" max="1" width="2.5703125" customWidth="1"/>
    <col min="2" max="2" width="3.42578125" customWidth="1"/>
    <col min="3" max="3" width="9" customWidth="1"/>
    <col min="4" max="4" width="8.85546875" customWidth="1"/>
    <col min="5" max="5" width="6.85546875" customWidth="1"/>
    <col min="6" max="7" width="8" customWidth="1"/>
    <col min="8" max="9" width="6.85546875" customWidth="1"/>
    <col min="10" max="11" width="8" customWidth="1"/>
    <col min="12" max="13" width="6.85546875" customWidth="1"/>
    <col min="14" max="15" width="8" customWidth="1"/>
    <col min="16" max="17" width="6.85546875" customWidth="1"/>
    <col min="18" max="19" width="8" customWidth="1"/>
    <col min="20" max="21" width="6.85546875" customWidth="1"/>
    <col min="22" max="23" width="8" customWidth="1"/>
    <col min="24" max="25" width="6.85546875" customWidth="1"/>
    <col min="26" max="27" width="8" customWidth="1"/>
    <col min="28" max="28" width="6.85546875" customWidth="1"/>
    <col min="29" max="29" width="3.42578125" customWidth="1"/>
    <col min="30" max="30" width="3.28515625" customWidth="1"/>
  </cols>
  <sheetData>
    <row r="1" spans="1:16382" s="23" customFormat="1" ht="42.75" customHeight="1" x14ac:dyDescent="0.2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c r="QI1" s="22"/>
      <c r="QJ1" s="22"/>
      <c r="QK1" s="22"/>
      <c r="QL1" s="22"/>
      <c r="QM1" s="22"/>
      <c r="QN1" s="22"/>
      <c r="QO1" s="22"/>
      <c r="QP1" s="22"/>
      <c r="QQ1" s="22"/>
      <c r="QR1" s="22"/>
      <c r="QS1" s="22"/>
      <c r="QT1" s="22"/>
      <c r="QU1" s="22"/>
      <c r="QV1" s="22"/>
      <c r="QW1" s="22"/>
      <c r="QX1" s="22"/>
      <c r="QY1" s="22"/>
      <c r="QZ1" s="22"/>
      <c r="RA1" s="22"/>
      <c r="RB1" s="22"/>
      <c r="RC1" s="22"/>
      <c r="RD1" s="22"/>
      <c r="RE1" s="22"/>
      <c r="RF1" s="22"/>
      <c r="RG1" s="22"/>
      <c r="RH1" s="22"/>
      <c r="RI1" s="22"/>
      <c r="RJ1" s="22"/>
      <c r="RK1" s="22"/>
      <c r="RL1" s="22"/>
      <c r="RM1" s="22"/>
      <c r="RN1" s="22"/>
      <c r="RO1" s="22"/>
      <c r="RP1" s="22"/>
      <c r="RQ1" s="22"/>
      <c r="RR1" s="22"/>
      <c r="RS1" s="22"/>
      <c r="RT1" s="22"/>
      <c r="RU1" s="22"/>
      <c r="RV1" s="22"/>
      <c r="RW1" s="22"/>
      <c r="RX1" s="22"/>
      <c r="RY1" s="22"/>
      <c r="RZ1" s="22"/>
      <c r="SA1" s="22"/>
      <c r="SB1" s="22"/>
      <c r="SC1" s="22"/>
      <c r="SD1" s="22"/>
      <c r="SE1" s="22"/>
      <c r="SF1" s="22"/>
      <c r="SG1" s="22"/>
      <c r="SH1" s="22"/>
      <c r="SI1" s="22"/>
      <c r="SJ1" s="22"/>
      <c r="SK1" s="22"/>
      <c r="SL1" s="22"/>
      <c r="SM1" s="22"/>
      <c r="SN1" s="22"/>
      <c r="SO1" s="22"/>
      <c r="SP1" s="22"/>
      <c r="SQ1" s="22"/>
      <c r="SR1" s="22"/>
      <c r="SS1" s="22"/>
      <c r="ST1" s="22"/>
      <c r="SU1" s="22"/>
      <c r="SV1" s="22"/>
      <c r="SW1" s="22"/>
      <c r="SX1" s="22"/>
      <c r="SY1" s="22"/>
      <c r="SZ1" s="22"/>
      <c r="TA1" s="22"/>
      <c r="TB1" s="22"/>
      <c r="TC1" s="22"/>
      <c r="TD1" s="22"/>
      <c r="TE1" s="22"/>
      <c r="TF1" s="22"/>
      <c r="TG1" s="22"/>
      <c r="TH1" s="22"/>
      <c r="TI1" s="22"/>
      <c r="TJ1" s="22"/>
      <c r="TK1" s="22"/>
      <c r="TL1" s="22"/>
      <c r="TM1" s="22"/>
      <c r="TN1" s="22"/>
      <c r="TO1" s="22"/>
      <c r="TP1" s="22"/>
      <c r="TQ1" s="22"/>
      <c r="TR1" s="22"/>
      <c r="TS1" s="22"/>
      <c r="TT1" s="22"/>
      <c r="TU1" s="22"/>
      <c r="TV1" s="22"/>
      <c r="TW1" s="22"/>
      <c r="TX1" s="22"/>
      <c r="TY1" s="22"/>
      <c r="TZ1" s="22"/>
      <c r="UA1" s="22"/>
      <c r="UB1" s="22"/>
      <c r="UC1" s="22"/>
      <c r="UD1" s="22"/>
      <c r="UE1" s="22"/>
      <c r="UF1" s="22"/>
      <c r="UG1" s="22"/>
      <c r="UH1" s="22"/>
      <c r="UI1" s="22"/>
      <c r="UJ1" s="22"/>
      <c r="UK1" s="22"/>
      <c r="UL1" s="22"/>
      <c r="UM1" s="22"/>
      <c r="UN1" s="22"/>
      <c r="UO1" s="22"/>
      <c r="UP1" s="22"/>
      <c r="UQ1" s="22"/>
      <c r="UR1" s="22"/>
      <c r="US1" s="22"/>
      <c r="UT1" s="22"/>
      <c r="UU1" s="22"/>
      <c r="UV1" s="22"/>
      <c r="UW1" s="22"/>
      <c r="UX1" s="22"/>
      <c r="UY1" s="22"/>
      <c r="UZ1" s="22"/>
      <c r="VA1" s="22"/>
      <c r="VB1" s="22"/>
      <c r="VC1" s="22"/>
      <c r="VD1" s="22"/>
      <c r="VE1" s="22"/>
      <c r="VF1" s="22"/>
      <c r="VG1" s="22"/>
      <c r="VH1" s="22"/>
      <c r="VI1" s="22"/>
      <c r="VJ1" s="22"/>
      <c r="VK1" s="22"/>
      <c r="VL1" s="22"/>
      <c r="VM1" s="22"/>
      <c r="VN1" s="22"/>
      <c r="VO1" s="22"/>
      <c r="VP1" s="22"/>
      <c r="VQ1" s="22"/>
      <c r="VR1" s="22"/>
      <c r="VS1" s="22"/>
      <c r="VT1" s="22"/>
      <c r="VU1" s="22"/>
      <c r="VV1" s="22"/>
      <c r="VW1" s="22"/>
      <c r="VX1" s="22"/>
      <c r="VY1" s="22"/>
      <c r="VZ1" s="22"/>
      <c r="WA1" s="22"/>
      <c r="WB1" s="22"/>
      <c r="WC1" s="22"/>
      <c r="WD1" s="22"/>
      <c r="WE1" s="22"/>
      <c r="WF1" s="22"/>
      <c r="WG1" s="22"/>
      <c r="WH1" s="22"/>
      <c r="WI1" s="22"/>
      <c r="WJ1" s="22"/>
      <c r="WK1" s="22"/>
      <c r="WL1" s="22"/>
      <c r="WM1" s="22"/>
      <c r="WN1" s="22"/>
      <c r="WO1" s="22"/>
      <c r="WP1" s="22"/>
      <c r="WQ1" s="22"/>
      <c r="WR1" s="22"/>
      <c r="WS1" s="22"/>
      <c r="WT1" s="22"/>
      <c r="WU1" s="22"/>
      <c r="WV1" s="22"/>
      <c r="WW1" s="22"/>
      <c r="WX1" s="22"/>
      <c r="WY1" s="22"/>
      <c r="WZ1" s="22"/>
      <c r="XA1" s="22"/>
      <c r="XB1" s="22"/>
      <c r="XC1" s="22"/>
      <c r="XD1" s="22"/>
      <c r="XE1" s="22"/>
      <c r="XF1" s="22"/>
      <c r="XG1" s="22"/>
      <c r="XH1" s="22"/>
      <c r="XI1" s="22"/>
      <c r="XJ1" s="22"/>
      <c r="XK1" s="22"/>
      <c r="XL1" s="22"/>
      <c r="XM1" s="22"/>
      <c r="XN1" s="22"/>
      <c r="XO1" s="22"/>
      <c r="XP1" s="22"/>
      <c r="XQ1" s="22"/>
      <c r="XR1" s="22"/>
      <c r="XS1" s="22"/>
      <c r="XT1" s="22"/>
      <c r="XU1" s="22"/>
      <c r="XV1" s="22"/>
      <c r="XW1" s="22"/>
      <c r="XX1" s="22"/>
      <c r="XY1" s="22"/>
      <c r="XZ1" s="22"/>
      <c r="YA1" s="22"/>
      <c r="YB1" s="22"/>
      <c r="YC1" s="22"/>
      <c r="YD1" s="22"/>
      <c r="YE1" s="22"/>
      <c r="YF1" s="22"/>
      <c r="YG1" s="22"/>
      <c r="YH1" s="22"/>
      <c r="YI1" s="22"/>
      <c r="YJ1" s="22"/>
      <c r="YK1" s="22"/>
      <c r="YL1" s="22"/>
      <c r="YM1" s="22"/>
      <c r="YN1" s="22"/>
      <c r="YO1" s="22"/>
      <c r="YP1" s="22"/>
      <c r="YQ1" s="22"/>
      <c r="YR1" s="22"/>
      <c r="YS1" s="22"/>
      <c r="YT1" s="22"/>
      <c r="YU1" s="22"/>
      <c r="YV1" s="22"/>
      <c r="YW1" s="22"/>
      <c r="YX1" s="22"/>
      <c r="YY1" s="22"/>
      <c r="YZ1" s="22"/>
      <c r="ZA1" s="22"/>
      <c r="ZB1" s="22"/>
      <c r="ZC1" s="22"/>
      <c r="ZD1" s="22"/>
      <c r="ZE1" s="22"/>
      <c r="ZF1" s="22"/>
      <c r="ZG1" s="22"/>
      <c r="ZH1" s="22"/>
      <c r="ZI1" s="22"/>
      <c r="ZJ1" s="22"/>
      <c r="ZK1" s="22"/>
      <c r="ZL1" s="22"/>
      <c r="ZM1" s="22"/>
      <c r="ZN1" s="22"/>
      <c r="ZO1" s="22"/>
      <c r="ZP1" s="22"/>
      <c r="ZQ1" s="22"/>
      <c r="ZR1" s="22"/>
      <c r="ZS1" s="22"/>
      <c r="ZT1" s="22"/>
      <c r="ZU1" s="22"/>
      <c r="ZV1" s="22"/>
      <c r="ZW1" s="22"/>
      <c r="ZX1" s="22"/>
      <c r="ZY1" s="22"/>
      <c r="ZZ1" s="22"/>
      <c r="AAA1" s="22"/>
      <c r="AAB1" s="22"/>
      <c r="AAC1" s="22"/>
      <c r="AAD1" s="22"/>
      <c r="AAE1" s="22"/>
      <c r="AAF1" s="22"/>
      <c r="AAG1" s="22"/>
      <c r="AAH1" s="22"/>
      <c r="AAI1" s="22"/>
      <c r="AAJ1" s="22"/>
      <c r="AAK1" s="22"/>
      <c r="AAL1" s="22"/>
      <c r="AAM1" s="22"/>
      <c r="AAN1" s="22"/>
      <c r="AAO1" s="22"/>
      <c r="AAP1" s="22"/>
      <c r="AAQ1" s="22"/>
      <c r="AAR1" s="22"/>
      <c r="AAS1" s="22"/>
      <c r="AAT1" s="22"/>
      <c r="AAU1" s="22"/>
      <c r="AAV1" s="22"/>
      <c r="AAW1" s="22"/>
      <c r="AAX1" s="22"/>
      <c r="AAY1" s="22"/>
      <c r="AAZ1" s="22"/>
      <c r="ABA1" s="22"/>
      <c r="ABB1" s="22"/>
      <c r="ABC1" s="22"/>
      <c r="ABD1" s="22"/>
      <c r="ABE1" s="22"/>
      <c r="ABF1" s="22"/>
      <c r="ABG1" s="22"/>
      <c r="ABH1" s="22"/>
      <c r="ABI1" s="22"/>
      <c r="ABJ1" s="22"/>
      <c r="ABK1" s="22"/>
      <c r="ABL1" s="22"/>
      <c r="ABM1" s="22"/>
      <c r="ABN1" s="22"/>
      <c r="ABO1" s="22"/>
      <c r="ABP1" s="22"/>
      <c r="ABQ1" s="22"/>
      <c r="ABR1" s="22"/>
      <c r="ABS1" s="22"/>
      <c r="ABT1" s="22"/>
      <c r="ABU1" s="22"/>
      <c r="ABV1" s="22"/>
      <c r="ABW1" s="22"/>
      <c r="ABX1" s="22"/>
      <c r="ABY1" s="22"/>
      <c r="ABZ1" s="22"/>
      <c r="ACA1" s="22"/>
      <c r="ACB1" s="22"/>
      <c r="ACC1" s="22"/>
      <c r="ACD1" s="22"/>
      <c r="ACE1" s="22"/>
      <c r="ACF1" s="22"/>
      <c r="ACG1" s="22"/>
      <c r="ACH1" s="22"/>
      <c r="ACI1" s="22"/>
      <c r="ACJ1" s="22"/>
      <c r="ACK1" s="22"/>
      <c r="ACL1" s="22"/>
      <c r="ACM1" s="22"/>
      <c r="ACN1" s="22"/>
      <c r="ACO1" s="22"/>
      <c r="ACP1" s="22"/>
      <c r="ACQ1" s="22"/>
      <c r="ACR1" s="22"/>
      <c r="ACS1" s="22"/>
      <c r="ACT1" s="22"/>
      <c r="ACU1" s="22"/>
      <c r="ACV1" s="22"/>
      <c r="ACW1" s="22"/>
      <c r="ACX1" s="22"/>
      <c r="ACY1" s="22"/>
      <c r="ACZ1" s="22"/>
      <c r="ADA1" s="22"/>
      <c r="ADB1" s="22"/>
      <c r="ADC1" s="22"/>
      <c r="ADD1" s="22"/>
      <c r="ADE1" s="22"/>
      <c r="ADF1" s="22"/>
      <c r="ADG1" s="22"/>
      <c r="ADH1" s="22"/>
      <c r="ADI1" s="22"/>
      <c r="ADJ1" s="22"/>
      <c r="ADK1" s="22"/>
      <c r="ADL1" s="22"/>
      <c r="ADM1" s="22"/>
      <c r="ADN1" s="22"/>
      <c r="ADO1" s="22"/>
      <c r="ADP1" s="22"/>
      <c r="ADQ1" s="22"/>
      <c r="ADR1" s="22"/>
      <c r="ADS1" s="22"/>
      <c r="ADT1" s="22"/>
      <c r="ADU1" s="22"/>
      <c r="ADV1" s="22"/>
      <c r="ADW1" s="22"/>
      <c r="ADX1" s="22"/>
      <c r="ADY1" s="22"/>
      <c r="ADZ1" s="22"/>
      <c r="AEA1" s="22"/>
      <c r="AEB1" s="22"/>
      <c r="AEC1" s="22"/>
      <c r="AED1" s="22"/>
      <c r="AEE1" s="22"/>
      <c r="AEF1" s="22"/>
      <c r="AEG1" s="22"/>
      <c r="AEH1" s="22"/>
      <c r="AEI1" s="22"/>
      <c r="AEJ1" s="22"/>
      <c r="AEK1" s="22"/>
      <c r="AEL1" s="22"/>
      <c r="AEM1" s="22"/>
      <c r="AEN1" s="22"/>
      <c r="AEO1" s="22"/>
      <c r="AEP1" s="22"/>
      <c r="AEQ1" s="22"/>
      <c r="AER1" s="22"/>
      <c r="AES1" s="22"/>
      <c r="AET1" s="22"/>
      <c r="AEU1" s="22"/>
      <c r="AEV1" s="22"/>
      <c r="AEW1" s="22"/>
      <c r="AEX1" s="22"/>
      <c r="AEY1" s="22"/>
      <c r="AEZ1" s="22"/>
      <c r="AFA1" s="22"/>
      <c r="AFB1" s="22"/>
      <c r="AFC1" s="22"/>
      <c r="AFD1" s="22"/>
      <c r="AFE1" s="22"/>
      <c r="AFF1" s="22"/>
      <c r="AFG1" s="22"/>
      <c r="AFH1" s="22"/>
      <c r="AFI1" s="22"/>
      <c r="AFJ1" s="22"/>
      <c r="AFK1" s="22"/>
      <c r="AFL1" s="22"/>
      <c r="AFM1" s="22"/>
      <c r="AFN1" s="22"/>
      <c r="AFO1" s="22"/>
      <c r="AFP1" s="22"/>
      <c r="AFQ1" s="22"/>
      <c r="AFR1" s="22"/>
      <c r="AFS1" s="22"/>
      <c r="AFT1" s="22"/>
      <c r="AFU1" s="22"/>
      <c r="AFV1" s="22"/>
      <c r="AFW1" s="22"/>
      <c r="AFX1" s="22"/>
      <c r="AFY1" s="22"/>
      <c r="AFZ1" s="22"/>
      <c r="AGA1" s="22"/>
      <c r="AGB1" s="22"/>
      <c r="AGC1" s="22"/>
      <c r="AGD1" s="22"/>
      <c r="AGE1" s="22"/>
      <c r="AGF1" s="22"/>
      <c r="AGG1" s="22"/>
      <c r="AGH1" s="22"/>
      <c r="AGI1" s="22"/>
      <c r="AGJ1" s="22"/>
      <c r="AGK1" s="22"/>
      <c r="AGL1" s="22"/>
      <c r="AGM1" s="22"/>
      <c r="AGN1" s="22"/>
      <c r="AGO1" s="22"/>
      <c r="AGP1" s="22"/>
      <c r="AGQ1" s="22"/>
      <c r="AGR1" s="22"/>
      <c r="AGS1" s="22"/>
      <c r="AGT1" s="22"/>
      <c r="AGU1" s="22"/>
      <c r="AGV1" s="22"/>
      <c r="AGW1" s="22"/>
      <c r="AGX1" s="22"/>
      <c r="AGY1" s="22"/>
      <c r="AGZ1" s="22"/>
      <c r="AHA1" s="22"/>
      <c r="AHB1" s="22"/>
      <c r="AHC1" s="22"/>
      <c r="AHD1" s="22"/>
      <c r="AHE1" s="22"/>
      <c r="AHF1" s="22"/>
      <c r="AHG1" s="22"/>
      <c r="AHH1" s="22"/>
      <c r="AHI1" s="22"/>
      <c r="AHJ1" s="22"/>
      <c r="AHK1" s="22"/>
      <c r="AHL1" s="22"/>
      <c r="AHM1" s="22"/>
      <c r="AHN1" s="22"/>
      <c r="AHO1" s="22"/>
      <c r="AHP1" s="22"/>
      <c r="AHQ1" s="22"/>
      <c r="AHR1" s="22"/>
      <c r="AHS1" s="22"/>
      <c r="AHT1" s="22"/>
      <c r="AHU1" s="22"/>
      <c r="AHV1" s="22"/>
      <c r="AHW1" s="22"/>
      <c r="AHX1" s="22"/>
      <c r="AHY1" s="22"/>
      <c r="AHZ1" s="22"/>
      <c r="AIA1" s="22"/>
      <c r="AIB1" s="22"/>
      <c r="AIC1" s="22"/>
      <c r="AID1" s="22"/>
      <c r="AIE1" s="22"/>
      <c r="AIF1" s="22"/>
      <c r="AIG1" s="22"/>
      <c r="AIH1" s="22"/>
      <c r="AII1" s="22"/>
      <c r="AIJ1" s="22"/>
      <c r="AIK1" s="22"/>
      <c r="AIL1" s="22"/>
      <c r="AIM1" s="22"/>
      <c r="AIN1" s="22"/>
      <c r="AIO1" s="22"/>
      <c r="AIP1" s="22"/>
      <c r="AIQ1" s="22"/>
      <c r="AIR1" s="22"/>
      <c r="AIS1" s="22"/>
      <c r="AIT1" s="22"/>
      <c r="AIU1" s="22"/>
      <c r="AIV1" s="22"/>
      <c r="AIW1" s="22"/>
      <c r="AIX1" s="22"/>
      <c r="AIY1" s="22"/>
      <c r="AIZ1" s="22"/>
      <c r="AJA1" s="22"/>
      <c r="AJB1" s="22"/>
      <c r="AJC1" s="22"/>
      <c r="AJD1" s="22"/>
      <c r="AJE1" s="22"/>
      <c r="AJF1" s="22"/>
      <c r="AJG1" s="22"/>
      <c r="AJH1" s="22"/>
      <c r="AJI1" s="22"/>
      <c r="AJJ1" s="22"/>
      <c r="AJK1" s="22"/>
      <c r="AJL1" s="22"/>
      <c r="AJM1" s="22"/>
      <c r="AJN1" s="22"/>
      <c r="AJO1" s="22"/>
      <c r="AJP1" s="22"/>
      <c r="AJQ1" s="22"/>
      <c r="AJR1" s="22"/>
      <c r="AJS1" s="22"/>
      <c r="AJT1" s="22"/>
      <c r="AJU1" s="22"/>
      <c r="AJV1" s="22"/>
      <c r="AJW1" s="22"/>
      <c r="AJX1" s="22"/>
      <c r="AJY1" s="22"/>
      <c r="AJZ1" s="22"/>
      <c r="AKA1" s="22"/>
      <c r="AKB1" s="22"/>
      <c r="AKC1" s="22"/>
      <c r="AKD1" s="22"/>
      <c r="AKE1" s="22"/>
      <c r="AKF1" s="22"/>
      <c r="AKG1" s="22"/>
      <c r="AKH1" s="22"/>
      <c r="AKI1" s="22"/>
      <c r="AKJ1" s="22"/>
      <c r="AKK1" s="22"/>
      <c r="AKL1" s="22"/>
      <c r="AKM1" s="22"/>
      <c r="AKN1" s="22"/>
      <c r="AKO1" s="22"/>
      <c r="AKP1" s="22"/>
      <c r="AKQ1" s="22"/>
      <c r="AKR1" s="22"/>
      <c r="AKS1" s="22"/>
      <c r="AKT1" s="22"/>
      <c r="AKU1" s="22"/>
      <c r="AKV1" s="22"/>
      <c r="AKW1" s="22"/>
      <c r="AKX1" s="22"/>
      <c r="AKY1" s="22"/>
      <c r="AKZ1" s="22"/>
      <c r="ALA1" s="22"/>
      <c r="ALB1" s="22"/>
      <c r="ALC1" s="22"/>
      <c r="ALD1" s="22"/>
      <c r="ALE1" s="22"/>
      <c r="ALF1" s="22"/>
      <c r="ALG1" s="22"/>
      <c r="ALH1" s="22"/>
      <c r="ALI1" s="22"/>
      <c r="ALJ1" s="22"/>
      <c r="ALK1" s="22"/>
      <c r="ALL1" s="22"/>
      <c r="ALM1" s="22"/>
      <c r="ALN1" s="22"/>
      <c r="ALO1" s="22"/>
      <c r="ALP1" s="22"/>
      <c r="ALQ1" s="22"/>
      <c r="ALR1" s="22"/>
      <c r="ALS1" s="22"/>
      <c r="ALT1" s="22"/>
      <c r="ALU1" s="22"/>
      <c r="ALV1" s="22"/>
      <c r="ALW1" s="22"/>
      <c r="ALX1" s="22"/>
      <c r="ALY1" s="22"/>
      <c r="ALZ1" s="22"/>
      <c r="AMA1" s="22"/>
      <c r="AMB1" s="22"/>
      <c r="AMC1" s="22"/>
      <c r="AMD1" s="22"/>
      <c r="AME1" s="22"/>
      <c r="AMF1" s="22"/>
      <c r="AMG1" s="22"/>
      <c r="AMH1" s="22"/>
      <c r="AMI1" s="22"/>
      <c r="AMJ1" s="22"/>
      <c r="AMK1" s="22"/>
      <c r="AML1" s="22"/>
      <c r="AMM1" s="22"/>
      <c r="AMN1" s="22"/>
      <c r="AMO1" s="22"/>
      <c r="AMP1" s="22"/>
      <c r="AMQ1" s="22"/>
      <c r="AMR1" s="22"/>
      <c r="AMS1" s="22"/>
      <c r="AMT1" s="22"/>
      <c r="AMU1" s="22"/>
      <c r="AMV1" s="22"/>
      <c r="AMW1" s="22"/>
      <c r="AMX1" s="22"/>
      <c r="AMY1" s="22"/>
      <c r="AMZ1" s="22"/>
      <c r="ANA1" s="22"/>
      <c r="ANB1" s="22"/>
      <c r="ANC1" s="22"/>
      <c r="AND1" s="22"/>
      <c r="ANE1" s="22"/>
      <c r="ANF1" s="22"/>
      <c r="ANG1" s="22"/>
      <c r="ANH1" s="22"/>
      <c r="ANI1" s="22"/>
      <c r="ANJ1" s="22"/>
      <c r="ANK1" s="22"/>
      <c r="ANL1" s="22"/>
      <c r="ANM1" s="22"/>
      <c r="ANN1" s="22"/>
      <c r="ANO1" s="22"/>
      <c r="ANP1" s="22"/>
      <c r="ANQ1" s="22"/>
      <c r="ANR1" s="22"/>
      <c r="ANS1" s="22"/>
      <c r="ANT1" s="22"/>
      <c r="ANU1" s="22"/>
      <c r="ANV1" s="22"/>
      <c r="ANW1" s="22"/>
      <c r="ANX1" s="22"/>
      <c r="ANY1" s="22"/>
      <c r="ANZ1" s="22"/>
      <c r="AOA1" s="22"/>
      <c r="AOB1" s="22"/>
      <c r="AOC1" s="22"/>
      <c r="AOD1" s="22"/>
      <c r="AOE1" s="22"/>
      <c r="AOF1" s="22"/>
      <c r="AOG1" s="22"/>
      <c r="AOH1" s="22"/>
      <c r="AOI1" s="22"/>
      <c r="AOJ1" s="22"/>
      <c r="AOK1" s="22"/>
      <c r="AOL1" s="22"/>
      <c r="AOM1" s="22"/>
      <c r="AON1" s="22"/>
      <c r="AOO1" s="22"/>
      <c r="AOP1" s="22"/>
      <c r="AOQ1" s="22"/>
      <c r="AOR1" s="22"/>
      <c r="AOS1" s="22"/>
      <c r="AOT1" s="22"/>
      <c r="AOU1" s="22"/>
      <c r="AOV1" s="22"/>
      <c r="AOW1" s="22"/>
      <c r="AOX1" s="22"/>
      <c r="AOY1" s="22"/>
      <c r="AOZ1" s="22"/>
      <c r="APA1" s="22"/>
      <c r="APB1" s="22"/>
      <c r="APC1" s="22"/>
      <c r="APD1" s="22"/>
      <c r="APE1" s="22"/>
      <c r="APF1" s="22"/>
      <c r="APG1" s="22"/>
      <c r="APH1" s="22"/>
      <c r="API1" s="22"/>
      <c r="APJ1" s="22"/>
      <c r="APK1" s="22"/>
      <c r="APL1" s="22"/>
      <c r="APM1" s="22"/>
      <c r="APN1" s="22"/>
      <c r="APO1" s="22"/>
      <c r="APP1" s="22"/>
      <c r="APQ1" s="22"/>
      <c r="APR1" s="22"/>
      <c r="APS1" s="22"/>
      <c r="APT1" s="22"/>
      <c r="APU1" s="22"/>
      <c r="APV1" s="22"/>
      <c r="APW1" s="22"/>
      <c r="APX1" s="22"/>
      <c r="APY1" s="22"/>
      <c r="APZ1" s="22"/>
      <c r="AQA1" s="22"/>
      <c r="AQB1" s="22"/>
      <c r="AQC1" s="22"/>
      <c r="AQD1" s="22"/>
      <c r="AQE1" s="22"/>
      <c r="AQF1" s="22"/>
      <c r="AQG1" s="22"/>
      <c r="AQH1" s="22"/>
      <c r="AQI1" s="22"/>
      <c r="AQJ1" s="22"/>
      <c r="AQK1" s="22"/>
      <c r="AQL1" s="22"/>
      <c r="AQM1" s="22"/>
      <c r="AQN1" s="22"/>
      <c r="AQO1" s="22"/>
      <c r="AQP1" s="22"/>
      <c r="AQQ1" s="22"/>
      <c r="AQR1" s="22"/>
      <c r="AQS1" s="22"/>
      <c r="AQT1" s="22"/>
      <c r="AQU1" s="22"/>
      <c r="AQV1" s="22"/>
      <c r="AQW1" s="22"/>
      <c r="AQX1" s="22"/>
      <c r="AQY1" s="22"/>
      <c r="AQZ1" s="22"/>
      <c r="ARA1" s="22"/>
      <c r="ARB1" s="22"/>
      <c r="ARC1" s="22"/>
      <c r="ARD1" s="22"/>
      <c r="ARE1" s="22"/>
      <c r="ARF1" s="22"/>
      <c r="ARG1" s="22"/>
      <c r="ARH1" s="22"/>
      <c r="ARI1" s="22"/>
      <c r="ARJ1" s="22"/>
      <c r="ARK1" s="22"/>
      <c r="ARL1" s="22"/>
      <c r="ARM1" s="22"/>
      <c r="ARN1" s="22"/>
      <c r="ARO1" s="22"/>
      <c r="ARP1" s="22"/>
      <c r="ARQ1" s="22"/>
      <c r="ARR1" s="22"/>
      <c r="ARS1" s="22"/>
      <c r="ART1" s="22"/>
      <c r="ARU1" s="22"/>
      <c r="ARV1" s="22"/>
      <c r="ARW1" s="22"/>
      <c r="ARX1" s="22"/>
      <c r="ARY1" s="22"/>
      <c r="ARZ1" s="22"/>
      <c r="ASA1" s="22"/>
      <c r="ASB1" s="22"/>
      <c r="ASC1" s="22"/>
      <c r="ASD1" s="22"/>
      <c r="ASE1" s="22"/>
      <c r="ASF1" s="22"/>
      <c r="ASG1" s="22"/>
      <c r="ASH1" s="22"/>
      <c r="ASI1" s="22"/>
      <c r="ASJ1" s="22"/>
      <c r="ASK1" s="22"/>
      <c r="ASL1" s="22"/>
      <c r="ASM1" s="22"/>
      <c r="ASN1" s="22"/>
      <c r="ASO1" s="22"/>
      <c r="ASP1" s="22"/>
      <c r="ASQ1" s="22"/>
      <c r="ASR1" s="22"/>
      <c r="ASS1" s="22"/>
      <c r="AST1" s="22"/>
      <c r="ASU1" s="22"/>
      <c r="ASV1" s="22"/>
      <c r="ASW1" s="22"/>
      <c r="ASX1" s="22"/>
      <c r="ASY1" s="22"/>
      <c r="ASZ1" s="22"/>
      <c r="ATA1" s="22"/>
      <c r="ATB1" s="22"/>
      <c r="ATC1" s="22"/>
      <c r="ATD1" s="22"/>
      <c r="ATE1" s="22"/>
      <c r="ATF1" s="22"/>
      <c r="ATG1" s="22"/>
      <c r="ATH1" s="22"/>
      <c r="ATI1" s="22"/>
      <c r="ATJ1" s="22"/>
      <c r="ATK1" s="22"/>
      <c r="ATL1" s="22"/>
      <c r="ATM1" s="22"/>
      <c r="ATN1" s="22"/>
      <c r="ATO1" s="22"/>
      <c r="ATP1" s="22"/>
      <c r="ATQ1" s="22"/>
      <c r="ATR1" s="22"/>
      <c r="ATS1" s="22"/>
      <c r="ATT1" s="22"/>
      <c r="ATU1" s="22"/>
      <c r="ATV1" s="22"/>
      <c r="ATW1" s="22"/>
      <c r="ATX1" s="22"/>
      <c r="ATY1" s="22"/>
      <c r="ATZ1" s="22"/>
      <c r="AUA1" s="22"/>
      <c r="AUB1" s="22"/>
      <c r="AUC1" s="22"/>
      <c r="AUD1" s="22"/>
      <c r="AUE1" s="22"/>
      <c r="AUF1" s="22"/>
      <c r="AUG1" s="22"/>
      <c r="AUH1" s="22"/>
      <c r="AUI1" s="22"/>
      <c r="AUJ1" s="22"/>
      <c r="AUK1" s="22"/>
      <c r="AUL1" s="22"/>
      <c r="AUM1" s="22"/>
      <c r="AUN1" s="22"/>
      <c r="AUO1" s="22"/>
      <c r="AUP1" s="22"/>
      <c r="AUQ1" s="22"/>
      <c r="AUR1" s="22"/>
      <c r="AUS1" s="22"/>
      <c r="AUT1" s="22"/>
      <c r="AUU1" s="22"/>
      <c r="AUV1" s="22"/>
      <c r="AUW1" s="22"/>
      <c r="AUX1" s="22"/>
      <c r="AUY1" s="22"/>
      <c r="AUZ1" s="22"/>
      <c r="AVA1" s="22"/>
      <c r="AVB1" s="22"/>
      <c r="AVC1" s="22"/>
      <c r="AVD1" s="22"/>
      <c r="AVE1" s="22"/>
      <c r="AVF1" s="22"/>
      <c r="AVG1" s="22"/>
      <c r="AVH1" s="22"/>
      <c r="AVI1" s="22"/>
      <c r="AVJ1" s="22"/>
      <c r="AVK1" s="22"/>
      <c r="AVL1" s="22"/>
      <c r="AVM1" s="22"/>
      <c r="AVN1" s="22"/>
      <c r="AVO1" s="22"/>
      <c r="AVP1" s="22"/>
      <c r="AVQ1" s="22"/>
      <c r="AVR1" s="22"/>
      <c r="AVS1" s="22"/>
      <c r="AVT1" s="22"/>
      <c r="AVU1" s="22"/>
      <c r="AVV1" s="22"/>
      <c r="AVW1" s="22"/>
      <c r="AVX1" s="22"/>
      <c r="AVY1" s="22"/>
      <c r="AVZ1" s="22"/>
      <c r="AWA1" s="22"/>
      <c r="AWB1" s="22"/>
      <c r="AWC1" s="22"/>
      <c r="AWD1" s="22"/>
      <c r="AWE1" s="22"/>
      <c r="AWF1" s="22"/>
      <c r="AWG1" s="22"/>
      <c r="AWH1" s="22"/>
      <c r="AWI1" s="22"/>
      <c r="AWJ1" s="22"/>
      <c r="AWK1" s="22"/>
      <c r="AWL1" s="22"/>
      <c r="AWM1" s="22"/>
      <c r="AWN1" s="22"/>
      <c r="AWO1" s="22"/>
      <c r="AWP1" s="22"/>
      <c r="AWQ1" s="22"/>
      <c r="AWR1" s="22"/>
      <c r="AWS1" s="22"/>
      <c r="AWT1" s="22"/>
      <c r="AWU1" s="22"/>
      <c r="AWV1" s="22"/>
      <c r="AWW1" s="22"/>
      <c r="AWX1" s="22"/>
      <c r="AWY1" s="22"/>
      <c r="AWZ1" s="22"/>
      <c r="AXA1" s="22"/>
      <c r="AXB1" s="22"/>
      <c r="AXC1" s="22"/>
      <c r="AXD1" s="22"/>
      <c r="AXE1" s="22"/>
      <c r="AXF1" s="22"/>
      <c r="AXG1" s="22"/>
      <c r="AXH1" s="22"/>
      <c r="AXI1" s="22"/>
      <c r="AXJ1" s="22"/>
      <c r="AXK1" s="22"/>
      <c r="AXL1" s="22"/>
      <c r="AXM1" s="22"/>
      <c r="AXN1" s="22"/>
      <c r="AXO1" s="22"/>
      <c r="AXP1" s="22"/>
      <c r="AXQ1" s="22"/>
      <c r="AXR1" s="22"/>
      <c r="AXS1" s="22"/>
      <c r="AXT1" s="22"/>
      <c r="AXU1" s="22"/>
      <c r="AXV1" s="22"/>
      <c r="AXW1" s="22"/>
      <c r="AXX1" s="22"/>
      <c r="AXY1" s="22"/>
      <c r="AXZ1" s="22"/>
      <c r="AYA1" s="22"/>
      <c r="AYB1" s="22"/>
      <c r="AYC1" s="22"/>
      <c r="AYD1" s="22"/>
      <c r="AYE1" s="22"/>
      <c r="AYF1" s="22"/>
      <c r="AYG1" s="22"/>
      <c r="AYH1" s="22"/>
      <c r="AYI1" s="22"/>
      <c r="AYJ1" s="22"/>
      <c r="AYK1" s="22"/>
      <c r="AYL1" s="22"/>
      <c r="AYM1" s="22"/>
      <c r="AYN1" s="22"/>
      <c r="AYO1" s="22"/>
      <c r="AYP1" s="22"/>
      <c r="AYQ1" s="22"/>
      <c r="AYR1" s="22"/>
      <c r="AYS1" s="22"/>
      <c r="AYT1" s="22"/>
      <c r="AYU1" s="22"/>
      <c r="AYV1" s="22"/>
      <c r="AYW1" s="22"/>
      <c r="AYX1" s="22"/>
      <c r="AYY1" s="22"/>
      <c r="AYZ1" s="22"/>
      <c r="AZA1" s="22"/>
      <c r="AZB1" s="22"/>
      <c r="AZC1" s="22"/>
      <c r="AZD1" s="22"/>
      <c r="AZE1" s="22"/>
      <c r="AZF1" s="22"/>
      <c r="AZG1" s="22"/>
      <c r="AZH1" s="22"/>
      <c r="AZI1" s="22"/>
      <c r="AZJ1" s="22"/>
      <c r="AZK1" s="22"/>
      <c r="AZL1" s="22"/>
      <c r="AZM1" s="22"/>
      <c r="AZN1" s="22"/>
      <c r="AZO1" s="22"/>
      <c r="AZP1" s="22"/>
      <c r="AZQ1" s="22"/>
      <c r="AZR1" s="22"/>
      <c r="AZS1" s="22"/>
      <c r="AZT1" s="22"/>
      <c r="AZU1" s="22"/>
      <c r="AZV1" s="22"/>
      <c r="AZW1" s="22"/>
      <c r="AZX1" s="22"/>
      <c r="AZY1" s="22"/>
      <c r="AZZ1" s="22"/>
      <c r="BAA1" s="22"/>
      <c r="BAB1" s="22"/>
      <c r="BAC1" s="22"/>
      <c r="BAD1" s="22"/>
      <c r="BAE1" s="22"/>
      <c r="BAF1" s="22"/>
      <c r="BAG1" s="22"/>
      <c r="BAH1" s="22"/>
      <c r="BAI1" s="22"/>
      <c r="BAJ1" s="22"/>
      <c r="BAK1" s="22"/>
      <c r="BAL1" s="22"/>
      <c r="BAM1" s="22"/>
      <c r="BAN1" s="22"/>
      <c r="BAO1" s="22"/>
      <c r="BAP1" s="22"/>
      <c r="BAQ1" s="22"/>
      <c r="BAR1" s="22"/>
      <c r="BAS1" s="22"/>
      <c r="BAT1" s="22"/>
      <c r="BAU1" s="22"/>
      <c r="BAV1" s="22"/>
      <c r="BAW1" s="22"/>
      <c r="BAX1" s="22"/>
      <c r="BAY1" s="22"/>
      <c r="BAZ1" s="22"/>
      <c r="BBA1" s="22"/>
      <c r="BBB1" s="22"/>
      <c r="BBC1" s="22"/>
      <c r="BBD1" s="22"/>
      <c r="BBE1" s="22"/>
      <c r="BBF1" s="22"/>
      <c r="BBG1" s="22"/>
      <c r="BBH1" s="22"/>
      <c r="BBI1" s="22"/>
      <c r="BBJ1" s="22"/>
      <c r="BBK1" s="22"/>
      <c r="BBL1" s="22"/>
      <c r="BBM1" s="22"/>
      <c r="BBN1" s="22"/>
      <c r="BBO1" s="22"/>
      <c r="BBP1" s="22"/>
      <c r="BBQ1" s="22"/>
      <c r="BBR1" s="22"/>
      <c r="BBS1" s="22"/>
      <c r="BBT1" s="22"/>
      <c r="BBU1" s="22"/>
      <c r="BBV1" s="22"/>
      <c r="BBW1" s="22"/>
      <c r="BBX1" s="22"/>
      <c r="BBY1" s="22"/>
      <c r="BBZ1" s="22"/>
      <c r="BCA1" s="22"/>
      <c r="BCB1" s="22"/>
      <c r="BCC1" s="22"/>
      <c r="BCD1" s="22"/>
      <c r="BCE1" s="22"/>
      <c r="BCF1" s="22"/>
      <c r="BCG1" s="22"/>
      <c r="BCH1" s="22"/>
      <c r="BCI1" s="22"/>
      <c r="BCJ1" s="22"/>
      <c r="BCK1" s="22"/>
      <c r="BCL1" s="22"/>
      <c r="BCM1" s="22"/>
      <c r="BCN1" s="22"/>
      <c r="BCO1" s="22"/>
      <c r="BCP1" s="22"/>
      <c r="BCQ1" s="22"/>
      <c r="BCR1" s="22"/>
      <c r="BCS1" s="22"/>
      <c r="BCT1" s="22"/>
      <c r="BCU1" s="22"/>
      <c r="BCV1" s="22"/>
      <c r="BCW1" s="22"/>
      <c r="BCX1" s="22"/>
      <c r="BCY1" s="22"/>
      <c r="BCZ1" s="22"/>
      <c r="BDA1" s="22"/>
      <c r="BDB1" s="22"/>
      <c r="BDC1" s="22"/>
      <c r="BDD1" s="22"/>
      <c r="BDE1" s="22"/>
      <c r="BDF1" s="22"/>
      <c r="BDG1" s="22"/>
      <c r="BDH1" s="22"/>
      <c r="BDI1" s="22"/>
      <c r="BDJ1" s="22"/>
      <c r="BDK1" s="22"/>
      <c r="BDL1" s="22"/>
      <c r="BDM1" s="22"/>
      <c r="BDN1" s="22"/>
      <c r="BDO1" s="22"/>
      <c r="BDP1" s="22"/>
      <c r="BDQ1" s="22"/>
      <c r="BDR1" s="22"/>
      <c r="BDS1" s="22"/>
      <c r="BDT1" s="22"/>
      <c r="BDU1" s="22"/>
      <c r="BDV1" s="22"/>
      <c r="BDW1" s="22"/>
      <c r="BDX1" s="22"/>
      <c r="BDY1" s="22"/>
      <c r="BDZ1" s="22"/>
      <c r="BEA1" s="22"/>
      <c r="BEB1" s="22"/>
      <c r="BEC1" s="22"/>
      <c r="BED1" s="22"/>
      <c r="BEE1" s="22"/>
      <c r="BEF1" s="22"/>
      <c r="BEG1" s="22"/>
      <c r="BEH1" s="22"/>
      <c r="BEI1" s="22"/>
      <c r="BEJ1" s="22"/>
      <c r="BEK1" s="22"/>
      <c r="BEL1" s="22"/>
      <c r="BEM1" s="22"/>
      <c r="BEN1" s="22"/>
      <c r="BEO1" s="22"/>
      <c r="BEP1" s="22"/>
      <c r="BEQ1" s="22"/>
      <c r="BER1" s="22"/>
      <c r="BES1" s="22"/>
      <c r="BET1" s="22"/>
      <c r="BEU1" s="22"/>
      <c r="BEV1" s="22"/>
      <c r="BEW1" s="22"/>
      <c r="BEX1" s="22"/>
      <c r="BEY1" s="22"/>
      <c r="BEZ1" s="22"/>
      <c r="BFA1" s="22"/>
      <c r="BFB1" s="22"/>
      <c r="BFC1" s="22"/>
      <c r="BFD1" s="22"/>
      <c r="BFE1" s="22"/>
      <c r="BFF1" s="22"/>
      <c r="BFG1" s="22"/>
      <c r="BFH1" s="22"/>
      <c r="BFI1" s="22"/>
      <c r="BFJ1" s="22"/>
      <c r="BFK1" s="22"/>
      <c r="BFL1" s="22"/>
      <c r="BFM1" s="22"/>
      <c r="BFN1" s="22"/>
      <c r="BFO1" s="22"/>
      <c r="BFP1" s="22"/>
      <c r="BFQ1" s="22"/>
      <c r="BFR1" s="22"/>
      <c r="BFS1" s="22"/>
      <c r="BFT1" s="22"/>
      <c r="BFU1" s="22"/>
      <c r="BFV1" s="22"/>
      <c r="BFW1" s="22"/>
      <c r="BFX1" s="22"/>
      <c r="BFY1" s="22"/>
      <c r="BFZ1" s="22"/>
      <c r="BGA1" s="22"/>
      <c r="BGB1" s="22"/>
      <c r="BGC1" s="22"/>
      <c r="BGD1" s="22"/>
      <c r="BGE1" s="22"/>
      <c r="BGF1" s="22"/>
      <c r="BGG1" s="22"/>
      <c r="BGH1" s="22"/>
      <c r="BGI1" s="22"/>
      <c r="BGJ1" s="22"/>
      <c r="BGK1" s="22"/>
      <c r="BGL1" s="22"/>
      <c r="BGM1" s="22"/>
      <c r="BGN1" s="22"/>
      <c r="BGO1" s="22"/>
      <c r="BGP1" s="22"/>
      <c r="BGQ1" s="22"/>
      <c r="BGR1" s="22"/>
      <c r="BGS1" s="22"/>
      <c r="BGT1" s="22"/>
      <c r="BGU1" s="22"/>
      <c r="BGV1" s="22"/>
      <c r="BGW1" s="22"/>
      <c r="BGX1" s="22"/>
      <c r="BGY1" s="22"/>
      <c r="BGZ1" s="22"/>
      <c r="BHA1" s="22"/>
      <c r="BHB1" s="22"/>
      <c r="BHC1" s="22"/>
      <c r="BHD1" s="22"/>
      <c r="BHE1" s="22"/>
      <c r="BHF1" s="22"/>
      <c r="BHG1" s="22"/>
      <c r="BHH1" s="22"/>
      <c r="BHI1" s="22"/>
      <c r="BHJ1" s="22"/>
      <c r="BHK1" s="22"/>
      <c r="BHL1" s="22"/>
      <c r="BHM1" s="22"/>
      <c r="BHN1" s="22"/>
      <c r="BHO1" s="22"/>
      <c r="BHP1" s="22"/>
      <c r="BHQ1" s="22"/>
      <c r="BHR1" s="22"/>
      <c r="BHS1" s="22"/>
      <c r="BHT1" s="22"/>
      <c r="BHU1" s="22"/>
      <c r="BHV1" s="22"/>
      <c r="BHW1" s="22"/>
      <c r="BHX1" s="22"/>
      <c r="BHY1" s="22"/>
      <c r="BHZ1" s="22"/>
      <c r="BIA1" s="22"/>
      <c r="BIB1" s="22"/>
      <c r="BIC1" s="22"/>
      <c r="BID1" s="22"/>
      <c r="BIE1" s="22"/>
      <c r="BIF1" s="22"/>
      <c r="BIG1" s="22"/>
      <c r="BIH1" s="22"/>
      <c r="BII1" s="22"/>
      <c r="BIJ1" s="22"/>
      <c r="BIK1" s="22"/>
      <c r="BIL1" s="22"/>
      <c r="BIM1" s="22"/>
      <c r="BIN1" s="22"/>
      <c r="BIO1" s="22"/>
      <c r="BIP1" s="22"/>
      <c r="BIQ1" s="22"/>
      <c r="BIR1" s="22"/>
      <c r="BIS1" s="22"/>
      <c r="BIT1" s="22"/>
      <c r="BIU1" s="22"/>
      <c r="BIV1" s="22"/>
      <c r="BIW1" s="22"/>
      <c r="BIX1" s="22"/>
      <c r="BIY1" s="22"/>
      <c r="BIZ1" s="22"/>
      <c r="BJA1" s="22"/>
      <c r="BJB1" s="22"/>
      <c r="BJC1" s="22"/>
      <c r="BJD1" s="22"/>
      <c r="BJE1" s="22"/>
      <c r="BJF1" s="22"/>
      <c r="BJG1" s="22"/>
      <c r="BJH1" s="22"/>
      <c r="BJI1" s="22"/>
      <c r="BJJ1" s="22"/>
      <c r="BJK1" s="22"/>
      <c r="BJL1" s="22"/>
      <c r="BJM1" s="22"/>
      <c r="BJN1" s="22"/>
      <c r="BJO1" s="22"/>
      <c r="BJP1" s="22"/>
      <c r="BJQ1" s="22"/>
      <c r="BJR1" s="22"/>
      <c r="BJS1" s="22"/>
      <c r="BJT1" s="22"/>
      <c r="BJU1" s="22"/>
      <c r="BJV1" s="22"/>
      <c r="BJW1" s="22"/>
      <c r="BJX1" s="22"/>
      <c r="BJY1" s="22"/>
      <c r="BJZ1" s="22"/>
      <c r="BKA1" s="22"/>
      <c r="BKB1" s="22"/>
      <c r="BKC1" s="22"/>
      <c r="BKD1" s="22"/>
      <c r="BKE1" s="22"/>
      <c r="BKF1" s="22"/>
      <c r="BKG1" s="22"/>
      <c r="BKH1" s="22"/>
      <c r="BKI1" s="22"/>
      <c r="BKJ1" s="22"/>
      <c r="BKK1" s="22"/>
      <c r="BKL1" s="22"/>
      <c r="BKM1" s="22"/>
      <c r="BKN1" s="22"/>
      <c r="BKO1" s="22"/>
      <c r="BKP1" s="22"/>
      <c r="BKQ1" s="22"/>
      <c r="BKR1" s="22"/>
      <c r="BKS1" s="22"/>
      <c r="BKT1" s="22"/>
      <c r="BKU1" s="22"/>
      <c r="BKV1" s="22"/>
      <c r="BKW1" s="22"/>
      <c r="BKX1" s="22"/>
      <c r="BKY1" s="22"/>
      <c r="BKZ1" s="22"/>
      <c r="BLA1" s="22"/>
      <c r="BLB1" s="22"/>
      <c r="BLC1" s="22"/>
      <c r="BLD1" s="22"/>
      <c r="BLE1" s="22"/>
      <c r="BLF1" s="22"/>
      <c r="BLG1" s="22"/>
      <c r="BLH1" s="22"/>
      <c r="BLI1" s="22"/>
      <c r="BLJ1" s="22"/>
      <c r="BLK1" s="22"/>
      <c r="BLL1" s="22"/>
      <c r="BLM1" s="22"/>
      <c r="BLN1" s="22"/>
      <c r="BLO1" s="22"/>
      <c r="BLP1" s="22"/>
      <c r="BLQ1" s="22"/>
      <c r="BLR1" s="22"/>
      <c r="BLS1" s="22"/>
      <c r="BLT1" s="22"/>
      <c r="BLU1" s="22"/>
      <c r="BLV1" s="22"/>
      <c r="BLW1" s="22"/>
      <c r="BLX1" s="22"/>
      <c r="BLY1" s="22"/>
      <c r="BLZ1" s="22"/>
      <c r="BMA1" s="22"/>
      <c r="BMB1" s="22"/>
      <c r="BMC1" s="22"/>
      <c r="BMD1" s="22"/>
      <c r="BME1" s="22"/>
      <c r="BMF1" s="22"/>
      <c r="BMG1" s="22"/>
      <c r="BMH1" s="22"/>
      <c r="BMI1" s="22"/>
      <c r="BMJ1" s="22"/>
      <c r="BMK1" s="22"/>
      <c r="BML1" s="22"/>
      <c r="BMM1" s="22"/>
      <c r="BMN1" s="22"/>
      <c r="BMO1" s="22"/>
      <c r="BMP1" s="22"/>
      <c r="BMQ1" s="22"/>
      <c r="BMR1" s="22"/>
      <c r="BMS1" s="22"/>
      <c r="BMT1" s="22"/>
      <c r="BMU1" s="22"/>
      <c r="BMV1" s="22"/>
      <c r="BMW1" s="22"/>
      <c r="BMX1" s="22"/>
      <c r="BMY1" s="22"/>
      <c r="BMZ1" s="22"/>
      <c r="BNA1" s="22"/>
      <c r="BNB1" s="22"/>
      <c r="BNC1" s="22"/>
      <c r="BND1" s="22"/>
      <c r="BNE1" s="22"/>
      <c r="BNF1" s="22"/>
      <c r="BNG1" s="22"/>
      <c r="BNH1" s="22"/>
      <c r="BNI1" s="22"/>
      <c r="BNJ1" s="22"/>
      <c r="BNK1" s="22"/>
      <c r="BNL1" s="22"/>
      <c r="BNM1" s="22"/>
      <c r="BNN1" s="22"/>
      <c r="BNO1" s="22"/>
      <c r="BNP1" s="22"/>
      <c r="BNQ1" s="22"/>
      <c r="BNR1" s="22"/>
      <c r="BNS1" s="22"/>
      <c r="BNT1" s="22"/>
      <c r="BNU1" s="22"/>
      <c r="BNV1" s="22"/>
      <c r="BNW1" s="22"/>
      <c r="BNX1" s="22"/>
      <c r="BNY1" s="22"/>
      <c r="BNZ1" s="22"/>
      <c r="BOA1" s="22"/>
      <c r="BOB1" s="22"/>
      <c r="BOC1" s="22"/>
      <c r="BOD1" s="22"/>
      <c r="BOE1" s="22"/>
      <c r="BOF1" s="22"/>
      <c r="BOG1" s="22"/>
      <c r="BOH1" s="22"/>
      <c r="BOI1" s="22"/>
      <c r="BOJ1" s="22"/>
      <c r="BOK1" s="22"/>
      <c r="BOL1" s="22"/>
      <c r="BOM1" s="22"/>
      <c r="BON1" s="22"/>
      <c r="BOO1" s="22"/>
      <c r="BOP1" s="22"/>
      <c r="BOQ1" s="22"/>
      <c r="BOR1" s="22"/>
      <c r="BOS1" s="22"/>
      <c r="BOT1" s="22"/>
      <c r="BOU1" s="22"/>
      <c r="BOV1" s="22"/>
      <c r="BOW1" s="22"/>
      <c r="BOX1" s="22"/>
      <c r="BOY1" s="22"/>
      <c r="BOZ1" s="22"/>
      <c r="BPA1" s="22"/>
      <c r="BPB1" s="22"/>
      <c r="BPC1" s="22"/>
      <c r="BPD1" s="22"/>
      <c r="BPE1" s="22"/>
      <c r="BPF1" s="22"/>
      <c r="BPG1" s="22"/>
      <c r="BPH1" s="22"/>
      <c r="BPI1" s="22"/>
      <c r="BPJ1" s="22"/>
      <c r="BPK1" s="22"/>
      <c r="BPL1" s="22"/>
      <c r="BPM1" s="22"/>
      <c r="BPN1" s="22"/>
      <c r="BPO1" s="22"/>
      <c r="BPP1" s="22"/>
      <c r="BPQ1" s="22"/>
      <c r="BPR1" s="22"/>
      <c r="BPS1" s="22"/>
      <c r="BPT1" s="22"/>
      <c r="BPU1" s="22"/>
      <c r="BPV1" s="22"/>
      <c r="BPW1" s="22"/>
      <c r="BPX1" s="22"/>
      <c r="BPY1" s="22"/>
      <c r="BPZ1" s="22"/>
      <c r="BQA1" s="22"/>
      <c r="BQB1" s="22"/>
      <c r="BQC1" s="22"/>
      <c r="BQD1" s="22"/>
      <c r="BQE1" s="22"/>
      <c r="BQF1" s="22"/>
      <c r="BQG1" s="22"/>
      <c r="BQH1" s="22"/>
      <c r="BQI1" s="22"/>
      <c r="BQJ1" s="22"/>
      <c r="BQK1" s="22"/>
      <c r="BQL1" s="22"/>
      <c r="BQM1" s="22"/>
      <c r="BQN1" s="22"/>
      <c r="BQO1" s="22"/>
      <c r="BQP1" s="22"/>
      <c r="BQQ1" s="22"/>
      <c r="BQR1" s="22"/>
      <c r="BQS1" s="22"/>
      <c r="BQT1" s="22"/>
      <c r="BQU1" s="22"/>
      <c r="BQV1" s="22"/>
      <c r="BQW1" s="22"/>
      <c r="BQX1" s="22"/>
      <c r="BQY1" s="22"/>
      <c r="BQZ1" s="22"/>
      <c r="BRA1" s="22"/>
      <c r="BRB1" s="22"/>
      <c r="BRC1" s="22"/>
      <c r="BRD1" s="22"/>
      <c r="BRE1" s="22"/>
      <c r="BRF1" s="22"/>
      <c r="BRG1" s="22"/>
      <c r="BRH1" s="22"/>
      <c r="BRI1" s="22"/>
      <c r="BRJ1" s="22"/>
      <c r="BRK1" s="22"/>
      <c r="BRL1" s="22"/>
      <c r="BRM1" s="22"/>
      <c r="BRN1" s="22"/>
      <c r="BRO1" s="22"/>
      <c r="BRP1" s="22"/>
      <c r="BRQ1" s="22"/>
      <c r="BRR1" s="22"/>
      <c r="BRS1" s="22"/>
      <c r="BRT1" s="22"/>
      <c r="BRU1" s="22"/>
      <c r="BRV1" s="22"/>
      <c r="BRW1" s="22"/>
      <c r="BRX1" s="22"/>
      <c r="BRY1" s="22"/>
      <c r="BRZ1" s="22"/>
      <c r="BSA1" s="22"/>
      <c r="BSB1" s="22"/>
      <c r="BSC1" s="22"/>
      <c r="BSD1" s="22"/>
      <c r="BSE1" s="22"/>
      <c r="BSF1" s="22"/>
      <c r="BSG1" s="22"/>
      <c r="BSH1" s="22"/>
      <c r="BSI1" s="22"/>
      <c r="BSJ1" s="22"/>
      <c r="BSK1" s="22"/>
      <c r="BSL1" s="22"/>
      <c r="BSM1" s="22"/>
      <c r="BSN1" s="22"/>
      <c r="BSO1" s="22"/>
      <c r="BSP1" s="22"/>
      <c r="BSQ1" s="22"/>
      <c r="BSR1" s="22"/>
      <c r="BSS1" s="22"/>
      <c r="BST1" s="22"/>
      <c r="BSU1" s="22"/>
      <c r="BSV1" s="22"/>
      <c r="BSW1" s="22"/>
      <c r="BSX1" s="22"/>
      <c r="BSY1" s="22"/>
      <c r="BSZ1" s="22"/>
      <c r="BTA1" s="22"/>
      <c r="BTB1" s="22"/>
      <c r="BTC1" s="22"/>
      <c r="BTD1" s="22"/>
      <c r="BTE1" s="22"/>
      <c r="BTF1" s="22"/>
      <c r="BTG1" s="22"/>
      <c r="BTH1" s="22"/>
      <c r="BTI1" s="22"/>
      <c r="BTJ1" s="22"/>
      <c r="BTK1" s="22"/>
      <c r="BTL1" s="22"/>
      <c r="BTM1" s="22"/>
      <c r="BTN1" s="22"/>
      <c r="BTO1" s="22"/>
      <c r="BTP1" s="22"/>
      <c r="BTQ1" s="22"/>
      <c r="BTR1" s="22"/>
      <c r="BTS1" s="22"/>
      <c r="BTT1" s="22"/>
      <c r="BTU1" s="22"/>
      <c r="BTV1" s="22"/>
      <c r="BTW1" s="22"/>
      <c r="BTX1" s="22"/>
      <c r="BTY1" s="22"/>
      <c r="BTZ1" s="22"/>
      <c r="BUA1" s="22"/>
      <c r="BUB1" s="22"/>
      <c r="BUC1" s="22"/>
      <c r="BUD1" s="22"/>
      <c r="BUE1" s="22"/>
      <c r="BUF1" s="22"/>
      <c r="BUG1" s="22"/>
      <c r="BUH1" s="22"/>
      <c r="BUI1" s="22"/>
      <c r="BUJ1" s="22"/>
      <c r="BUK1" s="22"/>
      <c r="BUL1" s="22"/>
      <c r="BUM1" s="22"/>
      <c r="BUN1" s="22"/>
      <c r="BUO1" s="22"/>
      <c r="BUP1" s="22"/>
      <c r="BUQ1" s="22"/>
      <c r="BUR1" s="22"/>
      <c r="BUS1" s="22"/>
      <c r="BUT1" s="22"/>
      <c r="BUU1" s="22"/>
      <c r="BUV1" s="22"/>
      <c r="BUW1" s="22"/>
      <c r="BUX1" s="22"/>
      <c r="BUY1" s="22"/>
      <c r="BUZ1" s="22"/>
      <c r="BVA1" s="22"/>
      <c r="BVB1" s="22"/>
      <c r="BVC1" s="22"/>
      <c r="BVD1" s="22"/>
      <c r="BVE1" s="22"/>
      <c r="BVF1" s="22"/>
      <c r="BVG1" s="22"/>
      <c r="BVH1" s="22"/>
      <c r="BVI1" s="22"/>
      <c r="BVJ1" s="22"/>
      <c r="BVK1" s="22"/>
      <c r="BVL1" s="22"/>
      <c r="BVM1" s="22"/>
      <c r="BVN1" s="22"/>
      <c r="BVO1" s="22"/>
      <c r="BVP1" s="22"/>
      <c r="BVQ1" s="22"/>
      <c r="BVR1" s="22"/>
      <c r="BVS1" s="22"/>
      <c r="BVT1" s="22"/>
      <c r="BVU1" s="22"/>
      <c r="BVV1" s="22"/>
      <c r="BVW1" s="22"/>
      <c r="BVX1" s="22"/>
      <c r="BVY1" s="22"/>
      <c r="BVZ1" s="22"/>
      <c r="BWA1" s="22"/>
      <c r="BWB1" s="22"/>
      <c r="BWC1" s="22"/>
      <c r="BWD1" s="22"/>
      <c r="BWE1" s="22"/>
      <c r="BWF1" s="22"/>
      <c r="BWG1" s="22"/>
      <c r="BWH1" s="22"/>
      <c r="BWI1" s="22"/>
      <c r="BWJ1" s="22"/>
      <c r="BWK1" s="22"/>
      <c r="BWL1" s="22"/>
      <c r="BWM1" s="22"/>
      <c r="BWN1" s="22"/>
      <c r="BWO1" s="22"/>
      <c r="BWP1" s="22"/>
      <c r="BWQ1" s="22"/>
      <c r="BWR1" s="22"/>
      <c r="BWS1" s="22"/>
      <c r="BWT1" s="22"/>
      <c r="BWU1" s="22"/>
      <c r="BWV1" s="22"/>
      <c r="BWW1" s="22"/>
      <c r="BWX1" s="22"/>
      <c r="BWY1" s="22"/>
      <c r="BWZ1" s="22"/>
      <c r="BXA1" s="22"/>
      <c r="BXB1" s="22"/>
      <c r="BXC1" s="22"/>
      <c r="BXD1" s="22"/>
      <c r="BXE1" s="22"/>
      <c r="BXF1" s="22"/>
      <c r="BXG1" s="22"/>
      <c r="BXH1" s="22"/>
      <c r="BXI1" s="22"/>
      <c r="BXJ1" s="22"/>
      <c r="BXK1" s="22"/>
      <c r="BXL1" s="22"/>
      <c r="BXM1" s="22"/>
      <c r="BXN1" s="22"/>
      <c r="BXO1" s="22"/>
      <c r="BXP1" s="22"/>
      <c r="BXQ1" s="22"/>
      <c r="BXR1" s="22"/>
      <c r="BXS1" s="22"/>
      <c r="BXT1" s="22"/>
      <c r="BXU1" s="22"/>
      <c r="BXV1" s="22"/>
      <c r="BXW1" s="22"/>
      <c r="BXX1" s="22"/>
      <c r="BXY1" s="22"/>
      <c r="BXZ1" s="22"/>
      <c r="BYA1" s="22"/>
      <c r="BYB1" s="22"/>
      <c r="BYC1" s="22"/>
      <c r="BYD1" s="22"/>
      <c r="BYE1" s="22"/>
      <c r="BYF1" s="22"/>
      <c r="BYG1" s="22"/>
      <c r="BYH1" s="22"/>
      <c r="BYI1" s="22"/>
      <c r="BYJ1" s="22"/>
      <c r="BYK1" s="22"/>
      <c r="BYL1" s="22"/>
      <c r="BYM1" s="22"/>
      <c r="BYN1" s="22"/>
      <c r="BYO1" s="22"/>
      <c r="BYP1" s="22"/>
      <c r="BYQ1" s="22"/>
      <c r="BYR1" s="22"/>
      <c r="BYS1" s="22"/>
      <c r="BYT1" s="22"/>
      <c r="BYU1" s="22"/>
      <c r="BYV1" s="22"/>
      <c r="BYW1" s="22"/>
      <c r="BYX1" s="22"/>
      <c r="BYY1" s="22"/>
      <c r="BYZ1" s="22"/>
      <c r="BZA1" s="22"/>
      <c r="BZB1" s="22"/>
      <c r="BZC1" s="22"/>
      <c r="BZD1" s="22"/>
      <c r="BZE1" s="22"/>
      <c r="BZF1" s="22"/>
      <c r="BZG1" s="22"/>
      <c r="BZH1" s="22"/>
      <c r="BZI1" s="22"/>
      <c r="BZJ1" s="22"/>
      <c r="BZK1" s="22"/>
      <c r="BZL1" s="22"/>
      <c r="BZM1" s="22"/>
      <c r="BZN1" s="22"/>
      <c r="BZO1" s="22"/>
      <c r="BZP1" s="22"/>
      <c r="BZQ1" s="22"/>
      <c r="BZR1" s="22"/>
      <c r="BZS1" s="22"/>
      <c r="BZT1" s="22"/>
      <c r="BZU1" s="22"/>
      <c r="BZV1" s="22"/>
      <c r="BZW1" s="22"/>
      <c r="BZX1" s="22"/>
      <c r="BZY1" s="22"/>
      <c r="BZZ1" s="22"/>
      <c r="CAA1" s="22"/>
      <c r="CAB1" s="22"/>
      <c r="CAC1" s="22"/>
      <c r="CAD1" s="22"/>
      <c r="CAE1" s="22"/>
      <c r="CAF1" s="22"/>
      <c r="CAG1" s="22"/>
      <c r="CAH1" s="22"/>
      <c r="CAI1" s="22"/>
      <c r="CAJ1" s="22"/>
      <c r="CAK1" s="22"/>
      <c r="CAL1" s="22"/>
      <c r="CAM1" s="22"/>
      <c r="CAN1" s="22"/>
      <c r="CAO1" s="22"/>
      <c r="CAP1" s="22"/>
      <c r="CAQ1" s="22"/>
      <c r="CAR1" s="22"/>
      <c r="CAS1" s="22"/>
      <c r="CAT1" s="22"/>
      <c r="CAU1" s="22"/>
      <c r="CAV1" s="22"/>
      <c r="CAW1" s="22"/>
      <c r="CAX1" s="22"/>
      <c r="CAY1" s="22"/>
      <c r="CAZ1" s="22"/>
      <c r="CBA1" s="22"/>
      <c r="CBB1" s="22"/>
      <c r="CBC1" s="22"/>
      <c r="CBD1" s="22"/>
      <c r="CBE1" s="22"/>
      <c r="CBF1" s="22"/>
      <c r="CBG1" s="22"/>
      <c r="CBH1" s="22"/>
      <c r="CBI1" s="22"/>
      <c r="CBJ1" s="22"/>
      <c r="CBK1" s="22"/>
      <c r="CBL1" s="22"/>
      <c r="CBM1" s="22"/>
      <c r="CBN1" s="22"/>
      <c r="CBO1" s="22"/>
      <c r="CBP1" s="22"/>
      <c r="CBQ1" s="22"/>
      <c r="CBR1" s="22"/>
      <c r="CBS1" s="22"/>
      <c r="CBT1" s="22"/>
      <c r="CBU1" s="22"/>
      <c r="CBV1" s="22"/>
      <c r="CBW1" s="22"/>
      <c r="CBX1" s="22"/>
      <c r="CBY1" s="22"/>
      <c r="CBZ1" s="22"/>
      <c r="CCA1" s="22"/>
      <c r="CCB1" s="22"/>
      <c r="CCC1" s="22"/>
      <c r="CCD1" s="22"/>
      <c r="CCE1" s="22"/>
      <c r="CCF1" s="22"/>
      <c r="CCG1" s="22"/>
      <c r="CCH1" s="22"/>
      <c r="CCI1" s="22"/>
      <c r="CCJ1" s="22"/>
      <c r="CCK1" s="22"/>
      <c r="CCL1" s="22"/>
      <c r="CCM1" s="22"/>
      <c r="CCN1" s="22"/>
      <c r="CCO1" s="22"/>
      <c r="CCP1" s="22"/>
      <c r="CCQ1" s="22"/>
      <c r="CCR1" s="22"/>
      <c r="CCS1" s="22"/>
      <c r="CCT1" s="22"/>
      <c r="CCU1" s="22"/>
      <c r="CCV1" s="22"/>
      <c r="CCW1" s="22"/>
      <c r="CCX1" s="22"/>
      <c r="CCY1" s="22"/>
      <c r="CCZ1" s="22"/>
      <c r="CDA1" s="22"/>
      <c r="CDB1" s="22"/>
      <c r="CDC1" s="22"/>
      <c r="CDD1" s="22"/>
      <c r="CDE1" s="22"/>
      <c r="CDF1" s="22"/>
      <c r="CDG1" s="22"/>
      <c r="CDH1" s="22"/>
      <c r="CDI1" s="22"/>
      <c r="CDJ1" s="22"/>
      <c r="CDK1" s="22"/>
      <c r="CDL1" s="22"/>
      <c r="CDM1" s="22"/>
      <c r="CDN1" s="22"/>
      <c r="CDO1" s="22"/>
      <c r="CDP1" s="22"/>
      <c r="CDQ1" s="22"/>
      <c r="CDR1" s="22"/>
      <c r="CDS1" s="22"/>
      <c r="CDT1" s="22"/>
      <c r="CDU1" s="22"/>
      <c r="CDV1" s="22"/>
      <c r="CDW1" s="22"/>
      <c r="CDX1" s="22"/>
      <c r="CDY1" s="22"/>
      <c r="CDZ1" s="22"/>
      <c r="CEA1" s="22"/>
      <c r="CEB1" s="22"/>
      <c r="CEC1" s="22"/>
      <c r="CED1" s="22"/>
      <c r="CEE1" s="22"/>
      <c r="CEF1" s="22"/>
      <c r="CEG1" s="22"/>
      <c r="CEH1" s="22"/>
      <c r="CEI1" s="22"/>
      <c r="CEJ1" s="22"/>
      <c r="CEK1" s="22"/>
      <c r="CEL1" s="22"/>
      <c r="CEM1" s="22"/>
      <c r="CEN1" s="22"/>
      <c r="CEO1" s="22"/>
      <c r="CEP1" s="22"/>
      <c r="CEQ1" s="22"/>
      <c r="CER1" s="22"/>
      <c r="CES1" s="22"/>
      <c r="CET1" s="22"/>
      <c r="CEU1" s="22"/>
      <c r="CEV1" s="22"/>
      <c r="CEW1" s="22"/>
      <c r="CEX1" s="22"/>
      <c r="CEY1" s="22"/>
      <c r="CEZ1" s="22"/>
      <c r="CFA1" s="22"/>
      <c r="CFB1" s="22"/>
      <c r="CFC1" s="22"/>
      <c r="CFD1" s="22"/>
      <c r="CFE1" s="22"/>
      <c r="CFF1" s="22"/>
      <c r="CFG1" s="22"/>
      <c r="CFH1" s="22"/>
      <c r="CFI1" s="22"/>
      <c r="CFJ1" s="22"/>
      <c r="CFK1" s="22"/>
      <c r="CFL1" s="22"/>
      <c r="CFM1" s="22"/>
      <c r="CFN1" s="22"/>
      <c r="CFO1" s="22"/>
      <c r="CFP1" s="22"/>
      <c r="CFQ1" s="22"/>
      <c r="CFR1" s="22"/>
      <c r="CFS1" s="22"/>
      <c r="CFT1" s="22"/>
      <c r="CFU1" s="22"/>
      <c r="CFV1" s="22"/>
      <c r="CFW1" s="22"/>
      <c r="CFX1" s="22"/>
      <c r="CFY1" s="22"/>
      <c r="CFZ1" s="22"/>
      <c r="CGA1" s="22"/>
      <c r="CGB1" s="22"/>
      <c r="CGC1" s="22"/>
      <c r="CGD1" s="22"/>
      <c r="CGE1" s="22"/>
      <c r="CGF1" s="22"/>
      <c r="CGG1" s="22"/>
      <c r="CGH1" s="22"/>
      <c r="CGI1" s="22"/>
      <c r="CGJ1" s="22"/>
      <c r="CGK1" s="22"/>
      <c r="CGL1" s="22"/>
      <c r="CGM1" s="22"/>
      <c r="CGN1" s="22"/>
      <c r="CGO1" s="22"/>
      <c r="CGP1" s="22"/>
      <c r="CGQ1" s="22"/>
      <c r="CGR1" s="22"/>
      <c r="CGS1" s="22"/>
      <c r="CGT1" s="22"/>
      <c r="CGU1" s="22"/>
      <c r="CGV1" s="22"/>
      <c r="CGW1" s="22"/>
      <c r="CGX1" s="22"/>
      <c r="CGY1" s="22"/>
      <c r="CGZ1" s="22"/>
      <c r="CHA1" s="22"/>
      <c r="CHB1" s="22"/>
      <c r="CHC1" s="22"/>
      <c r="CHD1" s="22"/>
      <c r="CHE1" s="22"/>
      <c r="CHF1" s="22"/>
      <c r="CHG1" s="22"/>
      <c r="CHH1" s="22"/>
      <c r="CHI1" s="22"/>
      <c r="CHJ1" s="22"/>
      <c r="CHK1" s="22"/>
      <c r="CHL1" s="22"/>
      <c r="CHM1" s="22"/>
      <c r="CHN1" s="22"/>
      <c r="CHO1" s="22"/>
      <c r="CHP1" s="22"/>
      <c r="CHQ1" s="22"/>
      <c r="CHR1" s="22"/>
      <c r="CHS1" s="22"/>
      <c r="CHT1" s="22"/>
      <c r="CHU1" s="22"/>
      <c r="CHV1" s="22"/>
      <c r="CHW1" s="22"/>
      <c r="CHX1" s="22"/>
      <c r="CHY1" s="22"/>
      <c r="CHZ1" s="22"/>
      <c r="CIA1" s="22"/>
      <c r="CIB1" s="22"/>
      <c r="CIC1" s="22"/>
      <c r="CID1" s="22"/>
      <c r="CIE1" s="22"/>
      <c r="CIF1" s="22"/>
      <c r="CIG1" s="22"/>
      <c r="CIH1" s="22"/>
      <c r="CII1" s="22"/>
      <c r="CIJ1" s="22"/>
      <c r="CIK1" s="22"/>
      <c r="CIL1" s="22"/>
      <c r="CIM1" s="22"/>
      <c r="CIN1" s="22"/>
      <c r="CIO1" s="22"/>
      <c r="CIP1" s="22"/>
      <c r="CIQ1" s="22"/>
      <c r="CIR1" s="22"/>
      <c r="CIS1" s="22"/>
      <c r="CIT1" s="22"/>
      <c r="CIU1" s="22"/>
      <c r="CIV1" s="22"/>
      <c r="CIW1" s="22"/>
      <c r="CIX1" s="22"/>
      <c r="CIY1" s="22"/>
      <c r="CIZ1" s="22"/>
      <c r="CJA1" s="22"/>
      <c r="CJB1" s="22"/>
      <c r="CJC1" s="22"/>
      <c r="CJD1" s="22"/>
      <c r="CJE1" s="22"/>
      <c r="CJF1" s="22"/>
      <c r="CJG1" s="22"/>
      <c r="CJH1" s="22"/>
      <c r="CJI1" s="22"/>
      <c r="CJJ1" s="22"/>
      <c r="CJK1" s="22"/>
      <c r="CJL1" s="22"/>
      <c r="CJM1" s="22"/>
      <c r="CJN1" s="22"/>
      <c r="CJO1" s="22"/>
      <c r="CJP1" s="22"/>
      <c r="CJQ1" s="22"/>
      <c r="CJR1" s="22"/>
      <c r="CJS1" s="22"/>
      <c r="CJT1" s="22"/>
      <c r="CJU1" s="22"/>
      <c r="CJV1" s="22"/>
      <c r="CJW1" s="22"/>
      <c r="CJX1" s="22"/>
      <c r="CJY1" s="22"/>
      <c r="CJZ1" s="22"/>
      <c r="CKA1" s="22"/>
      <c r="CKB1" s="22"/>
      <c r="CKC1" s="22"/>
      <c r="CKD1" s="22"/>
      <c r="CKE1" s="22"/>
      <c r="CKF1" s="22"/>
      <c r="CKG1" s="22"/>
      <c r="CKH1" s="22"/>
      <c r="CKI1" s="22"/>
      <c r="CKJ1" s="22"/>
      <c r="CKK1" s="22"/>
      <c r="CKL1" s="22"/>
      <c r="CKM1" s="22"/>
      <c r="CKN1" s="22"/>
      <c r="CKO1" s="22"/>
      <c r="CKP1" s="22"/>
      <c r="CKQ1" s="22"/>
      <c r="CKR1" s="22"/>
      <c r="CKS1" s="22"/>
      <c r="CKT1" s="22"/>
      <c r="CKU1" s="22"/>
      <c r="CKV1" s="22"/>
      <c r="CKW1" s="22"/>
      <c r="CKX1" s="22"/>
      <c r="CKY1" s="22"/>
      <c r="CKZ1" s="22"/>
      <c r="CLA1" s="22"/>
      <c r="CLB1" s="22"/>
      <c r="CLC1" s="22"/>
      <c r="CLD1" s="22"/>
      <c r="CLE1" s="22"/>
      <c r="CLF1" s="22"/>
      <c r="CLG1" s="22"/>
      <c r="CLH1" s="22"/>
      <c r="CLI1" s="22"/>
      <c r="CLJ1" s="22"/>
      <c r="CLK1" s="22"/>
      <c r="CLL1" s="22"/>
      <c r="CLM1" s="22"/>
      <c r="CLN1" s="22"/>
      <c r="CLO1" s="22"/>
      <c r="CLP1" s="22"/>
      <c r="CLQ1" s="22"/>
      <c r="CLR1" s="22"/>
      <c r="CLS1" s="22"/>
      <c r="CLT1" s="22"/>
      <c r="CLU1" s="22"/>
      <c r="CLV1" s="22"/>
      <c r="CLW1" s="22"/>
      <c r="CLX1" s="22"/>
      <c r="CLY1" s="22"/>
      <c r="CLZ1" s="22"/>
      <c r="CMA1" s="22"/>
      <c r="CMB1" s="22"/>
      <c r="CMC1" s="22"/>
      <c r="CMD1" s="22"/>
      <c r="CME1" s="22"/>
      <c r="CMF1" s="22"/>
      <c r="CMG1" s="22"/>
      <c r="CMH1" s="22"/>
      <c r="CMI1" s="22"/>
      <c r="CMJ1" s="22"/>
      <c r="CMK1" s="22"/>
      <c r="CML1" s="22"/>
      <c r="CMM1" s="22"/>
      <c r="CMN1" s="22"/>
      <c r="CMO1" s="22"/>
      <c r="CMP1" s="22"/>
      <c r="CMQ1" s="22"/>
      <c r="CMR1" s="22"/>
      <c r="CMS1" s="22"/>
      <c r="CMT1" s="22"/>
      <c r="CMU1" s="22"/>
      <c r="CMV1" s="22"/>
      <c r="CMW1" s="22"/>
      <c r="CMX1" s="22"/>
      <c r="CMY1" s="22"/>
      <c r="CMZ1" s="22"/>
      <c r="CNA1" s="22"/>
      <c r="CNB1" s="22"/>
      <c r="CNC1" s="22"/>
      <c r="CND1" s="22"/>
      <c r="CNE1" s="22"/>
      <c r="CNF1" s="22"/>
      <c r="CNG1" s="22"/>
      <c r="CNH1" s="22"/>
      <c r="CNI1" s="22"/>
      <c r="CNJ1" s="22"/>
      <c r="CNK1" s="22"/>
      <c r="CNL1" s="22"/>
      <c r="CNM1" s="22"/>
      <c r="CNN1" s="22"/>
      <c r="CNO1" s="22"/>
      <c r="CNP1" s="22"/>
      <c r="CNQ1" s="22"/>
      <c r="CNR1" s="22"/>
      <c r="CNS1" s="22"/>
      <c r="CNT1" s="22"/>
      <c r="CNU1" s="22"/>
      <c r="CNV1" s="22"/>
      <c r="CNW1" s="22"/>
      <c r="CNX1" s="22"/>
      <c r="CNY1" s="22"/>
      <c r="CNZ1" s="22"/>
      <c r="COA1" s="22"/>
      <c r="COB1" s="22"/>
      <c r="COC1" s="22"/>
      <c r="COD1" s="22"/>
      <c r="COE1" s="22"/>
      <c r="COF1" s="22"/>
      <c r="COG1" s="22"/>
      <c r="COH1" s="22"/>
      <c r="COI1" s="22"/>
      <c r="COJ1" s="22"/>
      <c r="COK1" s="22"/>
      <c r="COL1" s="22"/>
      <c r="COM1" s="22"/>
      <c r="CON1" s="22"/>
      <c r="COO1" s="22"/>
      <c r="COP1" s="22"/>
      <c r="COQ1" s="22"/>
      <c r="COR1" s="22"/>
      <c r="COS1" s="22"/>
      <c r="COT1" s="22"/>
      <c r="COU1" s="22"/>
      <c r="COV1" s="22"/>
      <c r="COW1" s="22"/>
      <c r="COX1" s="22"/>
      <c r="COY1" s="22"/>
      <c r="COZ1" s="22"/>
      <c r="CPA1" s="22"/>
      <c r="CPB1" s="22"/>
      <c r="CPC1" s="22"/>
      <c r="CPD1" s="22"/>
      <c r="CPE1" s="22"/>
      <c r="CPF1" s="22"/>
      <c r="CPG1" s="22"/>
      <c r="CPH1" s="22"/>
      <c r="CPI1" s="22"/>
      <c r="CPJ1" s="22"/>
      <c r="CPK1" s="22"/>
      <c r="CPL1" s="22"/>
      <c r="CPM1" s="22"/>
      <c r="CPN1" s="22"/>
      <c r="CPO1" s="22"/>
      <c r="CPP1" s="22"/>
      <c r="CPQ1" s="22"/>
      <c r="CPR1" s="22"/>
      <c r="CPS1" s="22"/>
      <c r="CPT1" s="22"/>
      <c r="CPU1" s="22"/>
      <c r="CPV1" s="22"/>
      <c r="CPW1" s="22"/>
      <c r="CPX1" s="22"/>
      <c r="CPY1" s="22"/>
      <c r="CPZ1" s="22"/>
      <c r="CQA1" s="22"/>
      <c r="CQB1" s="22"/>
      <c r="CQC1" s="22"/>
      <c r="CQD1" s="22"/>
      <c r="CQE1" s="22"/>
      <c r="CQF1" s="22"/>
      <c r="CQG1" s="22"/>
      <c r="CQH1" s="22"/>
      <c r="CQI1" s="22"/>
      <c r="CQJ1" s="22"/>
      <c r="CQK1" s="22"/>
      <c r="CQL1" s="22"/>
      <c r="CQM1" s="22"/>
      <c r="CQN1" s="22"/>
      <c r="CQO1" s="22"/>
      <c r="CQP1" s="22"/>
      <c r="CQQ1" s="22"/>
      <c r="CQR1" s="22"/>
      <c r="CQS1" s="22"/>
      <c r="CQT1" s="22"/>
      <c r="CQU1" s="22"/>
      <c r="CQV1" s="22"/>
      <c r="CQW1" s="22"/>
      <c r="CQX1" s="22"/>
      <c r="CQY1" s="22"/>
      <c r="CQZ1" s="22"/>
      <c r="CRA1" s="22"/>
      <c r="CRB1" s="22"/>
      <c r="CRC1" s="22"/>
      <c r="CRD1" s="22"/>
      <c r="CRE1" s="22"/>
      <c r="CRF1" s="22"/>
      <c r="CRG1" s="22"/>
      <c r="CRH1" s="22"/>
      <c r="CRI1" s="22"/>
      <c r="CRJ1" s="22"/>
      <c r="CRK1" s="22"/>
      <c r="CRL1" s="22"/>
      <c r="CRM1" s="22"/>
      <c r="CRN1" s="22"/>
      <c r="CRO1" s="22"/>
      <c r="CRP1" s="22"/>
      <c r="CRQ1" s="22"/>
      <c r="CRR1" s="22"/>
      <c r="CRS1" s="22"/>
      <c r="CRT1" s="22"/>
      <c r="CRU1" s="22"/>
      <c r="CRV1" s="22"/>
      <c r="CRW1" s="22"/>
      <c r="CRX1" s="22"/>
      <c r="CRY1" s="22"/>
      <c r="CRZ1" s="22"/>
      <c r="CSA1" s="22"/>
      <c r="CSB1" s="22"/>
      <c r="CSC1" s="22"/>
      <c r="CSD1" s="22"/>
      <c r="CSE1" s="22"/>
      <c r="CSF1" s="22"/>
      <c r="CSG1" s="22"/>
      <c r="CSH1" s="22"/>
      <c r="CSI1" s="22"/>
      <c r="CSJ1" s="22"/>
      <c r="CSK1" s="22"/>
      <c r="CSL1" s="22"/>
      <c r="CSM1" s="22"/>
      <c r="CSN1" s="22"/>
      <c r="CSO1" s="22"/>
      <c r="CSP1" s="22"/>
      <c r="CSQ1" s="22"/>
      <c r="CSR1" s="22"/>
      <c r="CSS1" s="22"/>
      <c r="CST1" s="22"/>
      <c r="CSU1" s="22"/>
      <c r="CSV1" s="22"/>
      <c r="CSW1" s="22"/>
      <c r="CSX1" s="22"/>
      <c r="CSY1" s="22"/>
      <c r="CSZ1" s="22"/>
      <c r="CTA1" s="22"/>
      <c r="CTB1" s="22"/>
      <c r="CTC1" s="22"/>
      <c r="CTD1" s="22"/>
      <c r="CTE1" s="22"/>
      <c r="CTF1" s="22"/>
      <c r="CTG1" s="22"/>
      <c r="CTH1" s="22"/>
      <c r="CTI1" s="22"/>
      <c r="CTJ1" s="22"/>
      <c r="CTK1" s="22"/>
      <c r="CTL1" s="22"/>
      <c r="CTM1" s="22"/>
      <c r="CTN1" s="22"/>
      <c r="CTO1" s="22"/>
      <c r="CTP1" s="22"/>
      <c r="CTQ1" s="22"/>
      <c r="CTR1" s="22"/>
      <c r="CTS1" s="22"/>
      <c r="CTT1" s="22"/>
      <c r="CTU1" s="22"/>
      <c r="CTV1" s="22"/>
      <c r="CTW1" s="22"/>
      <c r="CTX1" s="22"/>
      <c r="CTY1" s="22"/>
      <c r="CTZ1" s="22"/>
      <c r="CUA1" s="22"/>
      <c r="CUB1" s="22"/>
      <c r="CUC1" s="22"/>
      <c r="CUD1" s="22"/>
      <c r="CUE1" s="22"/>
      <c r="CUF1" s="22"/>
      <c r="CUG1" s="22"/>
      <c r="CUH1" s="22"/>
      <c r="CUI1" s="22"/>
      <c r="CUJ1" s="22"/>
      <c r="CUK1" s="22"/>
      <c r="CUL1" s="22"/>
      <c r="CUM1" s="22"/>
      <c r="CUN1" s="22"/>
      <c r="CUO1" s="22"/>
      <c r="CUP1" s="22"/>
      <c r="CUQ1" s="22"/>
      <c r="CUR1" s="22"/>
      <c r="CUS1" s="22"/>
      <c r="CUT1" s="22"/>
      <c r="CUU1" s="22"/>
      <c r="CUV1" s="22"/>
      <c r="CUW1" s="22"/>
      <c r="CUX1" s="22"/>
      <c r="CUY1" s="22"/>
      <c r="CUZ1" s="22"/>
      <c r="CVA1" s="22"/>
      <c r="CVB1" s="22"/>
      <c r="CVC1" s="22"/>
      <c r="CVD1" s="22"/>
      <c r="CVE1" s="22"/>
      <c r="CVF1" s="22"/>
      <c r="CVG1" s="22"/>
      <c r="CVH1" s="22"/>
      <c r="CVI1" s="22"/>
      <c r="CVJ1" s="22"/>
      <c r="CVK1" s="22"/>
      <c r="CVL1" s="22"/>
      <c r="CVM1" s="22"/>
      <c r="CVN1" s="22"/>
      <c r="CVO1" s="22"/>
      <c r="CVP1" s="22"/>
      <c r="CVQ1" s="22"/>
      <c r="CVR1" s="22"/>
      <c r="CVS1" s="22"/>
      <c r="CVT1" s="22"/>
      <c r="CVU1" s="22"/>
      <c r="CVV1" s="22"/>
      <c r="CVW1" s="22"/>
      <c r="CVX1" s="22"/>
      <c r="CVY1" s="22"/>
      <c r="CVZ1" s="22"/>
      <c r="CWA1" s="22"/>
      <c r="CWB1" s="22"/>
      <c r="CWC1" s="22"/>
      <c r="CWD1" s="22"/>
      <c r="CWE1" s="22"/>
      <c r="CWF1" s="22"/>
      <c r="CWG1" s="22"/>
      <c r="CWH1" s="22"/>
      <c r="CWI1" s="22"/>
      <c r="CWJ1" s="22"/>
      <c r="CWK1" s="22"/>
      <c r="CWL1" s="22"/>
      <c r="CWM1" s="22"/>
      <c r="CWN1" s="22"/>
      <c r="CWO1" s="22"/>
      <c r="CWP1" s="22"/>
      <c r="CWQ1" s="22"/>
      <c r="CWR1" s="22"/>
      <c r="CWS1" s="22"/>
      <c r="CWT1" s="22"/>
      <c r="CWU1" s="22"/>
      <c r="CWV1" s="22"/>
      <c r="CWW1" s="22"/>
      <c r="CWX1" s="22"/>
      <c r="CWY1" s="22"/>
      <c r="CWZ1" s="22"/>
      <c r="CXA1" s="22"/>
      <c r="CXB1" s="22"/>
      <c r="CXC1" s="22"/>
      <c r="CXD1" s="22"/>
      <c r="CXE1" s="22"/>
      <c r="CXF1" s="22"/>
      <c r="CXG1" s="22"/>
      <c r="CXH1" s="22"/>
      <c r="CXI1" s="22"/>
      <c r="CXJ1" s="22"/>
      <c r="CXK1" s="22"/>
      <c r="CXL1" s="22"/>
      <c r="CXM1" s="22"/>
      <c r="CXN1" s="22"/>
      <c r="CXO1" s="22"/>
      <c r="CXP1" s="22"/>
      <c r="CXQ1" s="22"/>
      <c r="CXR1" s="22"/>
      <c r="CXS1" s="22"/>
      <c r="CXT1" s="22"/>
      <c r="CXU1" s="22"/>
      <c r="CXV1" s="22"/>
      <c r="CXW1" s="22"/>
      <c r="CXX1" s="22"/>
      <c r="CXY1" s="22"/>
      <c r="CXZ1" s="22"/>
      <c r="CYA1" s="22"/>
      <c r="CYB1" s="22"/>
      <c r="CYC1" s="22"/>
      <c r="CYD1" s="22"/>
      <c r="CYE1" s="22"/>
      <c r="CYF1" s="22"/>
      <c r="CYG1" s="22"/>
      <c r="CYH1" s="22"/>
      <c r="CYI1" s="22"/>
      <c r="CYJ1" s="22"/>
      <c r="CYK1" s="22"/>
      <c r="CYL1" s="22"/>
      <c r="CYM1" s="22"/>
      <c r="CYN1" s="22"/>
      <c r="CYO1" s="22"/>
      <c r="CYP1" s="22"/>
      <c r="CYQ1" s="22"/>
      <c r="CYR1" s="22"/>
      <c r="CYS1" s="22"/>
      <c r="CYT1" s="22"/>
      <c r="CYU1" s="22"/>
      <c r="CYV1" s="22"/>
      <c r="CYW1" s="22"/>
      <c r="CYX1" s="22"/>
      <c r="CYY1" s="22"/>
      <c r="CYZ1" s="22"/>
      <c r="CZA1" s="22"/>
      <c r="CZB1" s="22"/>
      <c r="CZC1" s="22"/>
      <c r="CZD1" s="22"/>
      <c r="CZE1" s="22"/>
      <c r="CZF1" s="22"/>
      <c r="CZG1" s="22"/>
      <c r="CZH1" s="22"/>
      <c r="CZI1" s="22"/>
      <c r="CZJ1" s="22"/>
      <c r="CZK1" s="22"/>
      <c r="CZL1" s="22"/>
      <c r="CZM1" s="22"/>
      <c r="CZN1" s="22"/>
      <c r="CZO1" s="22"/>
      <c r="CZP1" s="22"/>
      <c r="CZQ1" s="22"/>
      <c r="CZR1" s="22"/>
      <c r="CZS1" s="22"/>
      <c r="CZT1" s="22"/>
      <c r="CZU1" s="22"/>
      <c r="CZV1" s="22"/>
      <c r="CZW1" s="22"/>
      <c r="CZX1" s="22"/>
      <c r="CZY1" s="22"/>
      <c r="CZZ1" s="22"/>
      <c r="DAA1" s="22"/>
      <c r="DAB1" s="22"/>
      <c r="DAC1" s="22"/>
      <c r="DAD1" s="22"/>
      <c r="DAE1" s="22"/>
      <c r="DAF1" s="22"/>
      <c r="DAG1" s="22"/>
      <c r="DAH1" s="22"/>
      <c r="DAI1" s="22"/>
      <c r="DAJ1" s="22"/>
      <c r="DAK1" s="22"/>
      <c r="DAL1" s="22"/>
      <c r="DAM1" s="22"/>
      <c r="DAN1" s="22"/>
      <c r="DAO1" s="22"/>
      <c r="DAP1" s="22"/>
      <c r="DAQ1" s="22"/>
      <c r="DAR1" s="22"/>
      <c r="DAS1" s="22"/>
      <c r="DAT1" s="22"/>
      <c r="DAU1" s="22"/>
      <c r="DAV1" s="22"/>
      <c r="DAW1" s="22"/>
      <c r="DAX1" s="22"/>
      <c r="DAY1" s="22"/>
      <c r="DAZ1" s="22"/>
      <c r="DBA1" s="22"/>
      <c r="DBB1" s="22"/>
      <c r="DBC1" s="22"/>
      <c r="DBD1" s="22"/>
      <c r="DBE1" s="22"/>
      <c r="DBF1" s="22"/>
      <c r="DBG1" s="22"/>
      <c r="DBH1" s="22"/>
      <c r="DBI1" s="22"/>
      <c r="DBJ1" s="22"/>
      <c r="DBK1" s="22"/>
      <c r="DBL1" s="22"/>
      <c r="DBM1" s="22"/>
      <c r="DBN1" s="22"/>
      <c r="DBO1" s="22"/>
      <c r="DBP1" s="22"/>
      <c r="DBQ1" s="22"/>
      <c r="DBR1" s="22"/>
      <c r="DBS1" s="22"/>
      <c r="DBT1" s="22"/>
      <c r="DBU1" s="22"/>
      <c r="DBV1" s="22"/>
      <c r="DBW1" s="22"/>
      <c r="DBX1" s="22"/>
      <c r="DBY1" s="22"/>
      <c r="DBZ1" s="22"/>
      <c r="DCA1" s="22"/>
      <c r="DCB1" s="22"/>
      <c r="DCC1" s="22"/>
      <c r="DCD1" s="22"/>
      <c r="DCE1" s="22"/>
      <c r="DCF1" s="22"/>
      <c r="DCG1" s="22"/>
      <c r="DCH1" s="22"/>
      <c r="DCI1" s="22"/>
      <c r="DCJ1" s="22"/>
      <c r="DCK1" s="22"/>
      <c r="DCL1" s="22"/>
      <c r="DCM1" s="22"/>
      <c r="DCN1" s="22"/>
      <c r="DCO1" s="22"/>
      <c r="DCP1" s="22"/>
      <c r="DCQ1" s="22"/>
      <c r="DCR1" s="22"/>
      <c r="DCS1" s="22"/>
      <c r="DCT1" s="22"/>
      <c r="DCU1" s="22"/>
      <c r="DCV1" s="22"/>
      <c r="DCW1" s="22"/>
      <c r="DCX1" s="22"/>
      <c r="DCY1" s="22"/>
      <c r="DCZ1" s="22"/>
      <c r="DDA1" s="22"/>
      <c r="DDB1" s="22"/>
      <c r="DDC1" s="22"/>
      <c r="DDD1" s="22"/>
      <c r="DDE1" s="22"/>
      <c r="DDF1" s="22"/>
      <c r="DDG1" s="22"/>
      <c r="DDH1" s="22"/>
      <c r="DDI1" s="22"/>
      <c r="DDJ1" s="22"/>
      <c r="DDK1" s="22"/>
      <c r="DDL1" s="22"/>
      <c r="DDM1" s="22"/>
      <c r="DDN1" s="22"/>
      <c r="DDO1" s="22"/>
      <c r="DDP1" s="22"/>
      <c r="DDQ1" s="22"/>
      <c r="DDR1" s="22"/>
      <c r="DDS1" s="22"/>
      <c r="DDT1" s="22"/>
      <c r="DDU1" s="22"/>
      <c r="DDV1" s="22"/>
      <c r="DDW1" s="22"/>
      <c r="DDX1" s="22"/>
      <c r="DDY1" s="22"/>
      <c r="DDZ1" s="22"/>
      <c r="DEA1" s="22"/>
      <c r="DEB1" s="22"/>
      <c r="DEC1" s="22"/>
      <c r="DED1" s="22"/>
      <c r="DEE1" s="22"/>
      <c r="DEF1" s="22"/>
      <c r="DEG1" s="22"/>
      <c r="DEH1" s="22"/>
      <c r="DEI1" s="22"/>
      <c r="DEJ1" s="22"/>
      <c r="DEK1" s="22"/>
      <c r="DEL1" s="22"/>
      <c r="DEM1" s="22"/>
      <c r="DEN1" s="22"/>
      <c r="DEO1" s="22"/>
      <c r="DEP1" s="22"/>
      <c r="DEQ1" s="22"/>
      <c r="DER1" s="22"/>
      <c r="DES1" s="22"/>
      <c r="DET1" s="22"/>
      <c r="DEU1" s="22"/>
      <c r="DEV1" s="22"/>
      <c r="DEW1" s="22"/>
      <c r="DEX1" s="22"/>
      <c r="DEY1" s="22"/>
      <c r="DEZ1" s="22"/>
      <c r="DFA1" s="22"/>
      <c r="DFB1" s="22"/>
      <c r="DFC1" s="22"/>
      <c r="DFD1" s="22"/>
      <c r="DFE1" s="22"/>
      <c r="DFF1" s="22"/>
      <c r="DFG1" s="22"/>
      <c r="DFH1" s="22"/>
      <c r="DFI1" s="22"/>
      <c r="DFJ1" s="22"/>
      <c r="DFK1" s="22"/>
      <c r="DFL1" s="22"/>
      <c r="DFM1" s="22"/>
      <c r="DFN1" s="22"/>
      <c r="DFO1" s="22"/>
      <c r="DFP1" s="22"/>
      <c r="DFQ1" s="22"/>
      <c r="DFR1" s="22"/>
      <c r="DFS1" s="22"/>
      <c r="DFT1" s="22"/>
      <c r="DFU1" s="22"/>
      <c r="DFV1" s="22"/>
      <c r="DFW1" s="22"/>
      <c r="DFX1" s="22"/>
      <c r="DFY1" s="22"/>
      <c r="DFZ1" s="22"/>
      <c r="DGA1" s="22"/>
      <c r="DGB1" s="22"/>
      <c r="DGC1" s="22"/>
      <c r="DGD1" s="22"/>
      <c r="DGE1" s="22"/>
      <c r="DGF1" s="22"/>
      <c r="DGG1" s="22"/>
      <c r="DGH1" s="22"/>
      <c r="DGI1" s="22"/>
      <c r="DGJ1" s="22"/>
      <c r="DGK1" s="22"/>
      <c r="DGL1" s="22"/>
      <c r="DGM1" s="22"/>
      <c r="DGN1" s="22"/>
      <c r="DGO1" s="22"/>
      <c r="DGP1" s="22"/>
      <c r="DGQ1" s="22"/>
      <c r="DGR1" s="22"/>
      <c r="DGS1" s="22"/>
      <c r="DGT1" s="22"/>
      <c r="DGU1" s="22"/>
      <c r="DGV1" s="22"/>
      <c r="DGW1" s="22"/>
      <c r="DGX1" s="22"/>
      <c r="DGY1" s="22"/>
      <c r="DGZ1" s="22"/>
      <c r="DHA1" s="22"/>
      <c r="DHB1" s="22"/>
      <c r="DHC1" s="22"/>
      <c r="DHD1" s="22"/>
      <c r="DHE1" s="22"/>
      <c r="DHF1" s="22"/>
      <c r="DHG1" s="22"/>
      <c r="DHH1" s="22"/>
      <c r="DHI1" s="22"/>
      <c r="DHJ1" s="22"/>
      <c r="DHK1" s="22"/>
      <c r="DHL1" s="22"/>
      <c r="DHM1" s="22"/>
      <c r="DHN1" s="22"/>
      <c r="DHO1" s="22"/>
      <c r="DHP1" s="22"/>
      <c r="DHQ1" s="22"/>
      <c r="DHR1" s="22"/>
      <c r="DHS1" s="22"/>
      <c r="DHT1" s="22"/>
      <c r="DHU1" s="22"/>
      <c r="DHV1" s="22"/>
      <c r="DHW1" s="22"/>
      <c r="DHX1" s="22"/>
      <c r="DHY1" s="22"/>
      <c r="DHZ1" s="22"/>
      <c r="DIA1" s="22"/>
      <c r="DIB1" s="22"/>
      <c r="DIC1" s="22"/>
      <c r="DID1" s="22"/>
      <c r="DIE1" s="22"/>
      <c r="DIF1" s="22"/>
      <c r="DIG1" s="22"/>
      <c r="DIH1" s="22"/>
      <c r="DII1" s="22"/>
      <c r="DIJ1" s="22"/>
      <c r="DIK1" s="22"/>
      <c r="DIL1" s="22"/>
      <c r="DIM1" s="22"/>
      <c r="DIN1" s="22"/>
      <c r="DIO1" s="22"/>
      <c r="DIP1" s="22"/>
      <c r="DIQ1" s="22"/>
      <c r="DIR1" s="22"/>
      <c r="DIS1" s="22"/>
      <c r="DIT1" s="22"/>
      <c r="DIU1" s="22"/>
      <c r="DIV1" s="22"/>
      <c r="DIW1" s="22"/>
      <c r="DIX1" s="22"/>
      <c r="DIY1" s="22"/>
      <c r="DIZ1" s="22"/>
      <c r="DJA1" s="22"/>
      <c r="DJB1" s="22"/>
      <c r="DJC1" s="22"/>
      <c r="DJD1" s="22"/>
      <c r="DJE1" s="22"/>
      <c r="DJF1" s="22"/>
      <c r="DJG1" s="22"/>
      <c r="DJH1" s="22"/>
      <c r="DJI1" s="22"/>
      <c r="DJJ1" s="22"/>
      <c r="DJK1" s="22"/>
      <c r="DJL1" s="22"/>
      <c r="DJM1" s="22"/>
      <c r="DJN1" s="22"/>
      <c r="DJO1" s="22"/>
      <c r="DJP1" s="22"/>
      <c r="DJQ1" s="22"/>
      <c r="DJR1" s="22"/>
      <c r="DJS1" s="22"/>
      <c r="DJT1" s="22"/>
      <c r="DJU1" s="22"/>
      <c r="DJV1" s="22"/>
      <c r="DJW1" s="22"/>
      <c r="DJX1" s="22"/>
      <c r="DJY1" s="22"/>
      <c r="DJZ1" s="22"/>
      <c r="DKA1" s="22"/>
      <c r="DKB1" s="22"/>
      <c r="DKC1" s="22"/>
      <c r="DKD1" s="22"/>
      <c r="DKE1" s="22"/>
      <c r="DKF1" s="22"/>
      <c r="DKG1" s="22"/>
      <c r="DKH1" s="22"/>
      <c r="DKI1" s="22"/>
      <c r="DKJ1" s="22"/>
      <c r="DKK1" s="22"/>
      <c r="DKL1" s="22"/>
      <c r="DKM1" s="22"/>
      <c r="DKN1" s="22"/>
      <c r="DKO1" s="22"/>
      <c r="DKP1" s="22"/>
      <c r="DKQ1" s="22"/>
      <c r="DKR1" s="22"/>
      <c r="DKS1" s="22"/>
      <c r="DKT1" s="22"/>
      <c r="DKU1" s="22"/>
      <c r="DKV1" s="22"/>
      <c r="DKW1" s="22"/>
      <c r="DKX1" s="22"/>
      <c r="DKY1" s="22"/>
      <c r="DKZ1" s="22"/>
      <c r="DLA1" s="22"/>
      <c r="DLB1" s="22"/>
      <c r="DLC1" s="22"/>
      <c r="DLD1" s="22"/>
      <c r="DLE1" s="22"/>
      <c r="DLF1" s="22"/>
      <c r="DLG1" s="22"/>
      <c r="DLH1" s="22"/>
      <c r="DLI1" s="22"/>
      <c r="DLJ1" s="22"/>
      <c r="DLK1" s="22"/>
      <c r="DLL1" s="22"/>
      <c r="DLM1" s="22"/>
      <c r="DLN1" s="22"/>
      <c r="DLO1" s="22"/>
      <c r="DLP1" s="22"/>
      <c r="DLQ1" s="22"/>
      <c r="DLR1" s="22"/>
      <c r="DLS1" s="22"/>
      <c r="DLT1" s="22"/>
      <c r="DLU1" s="22"/>
      <c r="DLV1" s="22"/>
      <c r="DLW1" s="22"/>
      <c r="DLX1" s="22"/>
      <c r="DLY1" s="22"/>
      <c r="DLZ1" s="22"/>
      <c r="DMA1" s="22"/>
      <c r="DMB1" s="22"/>
      <c r="DMC1" s="22"/>
      <c r="DMD1" s="22"/>
      <c r="DME1" s="22"/>
      <c r="DMF1" s="22"/>
      <c r="DMG1" s="22"/>
      <c r="DMH1" s="22"/>
      <c r="DMI1" s="22"/>
      <c r="DMJ1" s="22"/>
      <c r="DMK1" s="22"/>
      <c r="DML1" s="22"/>
      <c r="DMM1" s="22"/>
      <c r="DMN1" s="22"/>
      <c r="DMO1" s="22"/>
      <c r="DMP1" s="22"/>
      <c r="DMQ1" s="22"/>
      <c r="DMR1" s="22"/>
      <c r="DMS1" s="22"/>
      <c r="DMT1" s="22"/>
      <c r="DMU1" s="22"/>
      <c r="DMV1" s="22"/>
      <c r="DMW1" s="22"/>
      <c r="DMX1" s="22"/>
      <c r="DMY1" s="22"/>
      <c r="DMZ1" s="22"/>
      <c r="DNA1" s="22"/>
      <c r="DNB1" s="22"/>
      <c r="DNC1" s="22"/>
      <c r="DND1" s="22"/>
      <c r="DNE1" s="22"/>
      <c r="DNF1" s="22"/>
      <c r="DNG1" s="22"/>
      <c r="DNH1" s="22"/>
      <c r="DNI1" s="22"/>
      <c r="DNJ1" s="22"/>
      <c r="DNK1" s="22"/>
      <c r="DNL1" s="22"/>
      <c r="DNM1" s="22"/>
      <c r="DNN1" s="22"/>
      <c r="DNO1" s="22"/>
      <c r="DNP1" s="22"/>
      <c r="DNQ1" s="22"/>
      <c r="DNR1" s="22"/>
      <c r="DNS1" s="22"/>
      <c r="DNT1" s="22"/>
      <c r="DNU1" s="22"/>
      <c r="DNV1" s="22"/>
      <c r="DNW1" s="22"/>
      <c r="DNX1" s="22"/>
      <c r="DNY1" s="22"/>
      <c r="DNZ1" s="22"/>
      <c r="DOA1" s="22"/>
      <c r="DOB1" s="22"/>
      <c r="DOC1" s="22"/>
      <c r="DOD1" s="22"/>
      <c r="DOE1" s="22"/>
      <c r="DOF1" s="22"/>
      <c r="DOG1" s="22"/>
      <c r="DOH1" s="22"/>
      <c r="DOI1" s="22"/>
      <c r="DOJ1" s="22"/>
      <c r="DOK1" s="22"/>
      <c r="DOL1" s="22"/>
      <c r="DOM1" s="22"/>
      <c r="DON1" s="22"/>
      <c r="DOO1" s="22"/>
      <c r="DOP1" s="22"/>
      <c r="DOQ1" s="22"/>
      <c r="DOR1" s="22"/>
      <c r="DOS1" s="22"/>
      <c r="DOT1" s="22"/>
      <c r="DOU1" s="22"/>
      <c r="DOV1" s="22"/>
      <c r="DOW1" s="22"/>
      <c r="DOX1" s="22"/>
      <c r="DOY1" s="22"/>
      <c r="DOZ1" s="22"/>
      <c r="DPA1" s="22"/>
      <c r="DPB1" s="22"/>
      <c r="DPC1" s="22"/>
      <c r="DPD1" s="22"/>
      <c r="DPE1" s="22"/>
      <c r="DPF1" s="22"/>
      <c r="DPG1" s="22"/>
      <c r="DPH1" s="22"/>
      <c r="DPI1" s="22"/>
      <c r="DPJ1" s="22"/>
      <c r="DPK1" s="22"/>
      <c r="DPL1" s="22"/>
      <c r="DPM1" s="22"/>
      <c r="DPN1" s="22"/>
      <c r="DPO1" s="22"/>
      <c r="DPP1" s="22"/>
      <c r="DPQ1" s="22"/>
      <c r="DPR1" s="22"/>
      <c r="DPS1" s="22"/>
      <c r="DPT1" s="22"/>
      <c r="DPU1" s="22"/>
      <c r="DPV1" s="22"/>
      <c r="DPW1" s="22"/>
      <c r="DPX1" s="22"/>
      <c r="DPY1" s="22"/>
      <c r="DPZ1" s="22"/>
      <c r="DQA1" s="22"/>
      <c r="DQB1" s="22"/>
      <c r="DQC1" s="22"/>
      <c r="DQD1" s="22"/>
      <c r="DQE1" s="22"/>
      <c r="DQF1" s="22"/>
      <c r="DQG1" s="22"/>
      <c r="DQH1" s="22"/>
      <c r="DQI1" s="22"/>
      <c r="DQJ1" s="22"/>
      <c r="DQK1" s="22"/>
      <c r="DQL1" s="22"/>
      <c r="DQM1" s="22"/>
      <c r="DQN1" s="22"/>
      <c r="DQO1" s="22"/>
      <c r="DQP1" s="22"/>
      <c r="DQQ1" s="22"/>
      <c r="DQR1" s="22"/>
      <c r="DQS1" s="22"/>
      <c r="DQT1" s="22"/>
      <c r="DQU1" s="22"/>
      <c r="DQV1" s="22"/>
      <c r="DQW1" s="22"/>
      <c r="DQX1" s="22"/>
      <c r="DQY1" s="22"/>
      <c r="DQZ1" s="22"/>
      <c r="DRA1" s="22"/>
      <c r="DRB1" s="22"/>
      <c r="DRC1" s="22"/>
      <c r="DRD1" s="22"/>
      <c r="DRE1" s="22"/>
      <c r="DRF1" s="22"/>
      <c r="DRG1" s="22"/>
      <c r="DRH1" s="22"/>
      <c r="DRI1" s="22"/>
      <c r="DRJ1" s="22"/>
      <c r="DRK1" s="22"/>
      <c r="DRL1" s="22"/>
      <c r="DRM1" s="22"/>
      <c r="DRN1" s="22"/>
      <c r="DRO1" s="22"/>
      <c r="DRP1" s="22"/>
      <c r="DRQ1" s="22"/>
      <c r="DRR1" s="22"/>
      <c r="DRS1" s="22"/>
      <c r="DRT1" s="22"/>
      <c r="DRU1" s="22"/>
      <c r="DRV1" s="22"/>
      <c r="DRW1" s="22"/>
      <c r="DRX1" s="22"/>
      <c r="DRY1" s="22"/>
      <c r="DRZ1" s="22"/>
      <c r="DSA1" s="22"/>
      <c r="DSB1" s="22"/>
      <c r="DSC1" s="22"/>
      <c r="DSD1" s="22"/>
      <c r="DSE1" s="22"/>
      <c r="DSF1" s="22"/>
      <c r="DSG1" s="22"/>
      <c r="DSH1" s="22"/>
      <c r="DSI1" s="22"/>
      <c r="DSJ1" s="22"/>
      <c r="DSK1" s="22"/>
      <c r="DSL1" s="22"/>
      <c r="DSM1" s="22"/>
      <c r="DSN1" s="22"/>
      <c r="DSO1" s="22"/>
      <c r="DSP1" s="22"/>
      <c r="DSQ1" s="22"/>
      <c r="DSR1" s="22"/>
      <c r="DSS1" s="22"/>
      <c r="DST1" s="22"/>
      <c r="DSU1" s="22"/>
      <c r="DSV1" s="22"/>
      <c r="DSW1" s="22"/>
      <c r="DSX1" s="22"/>
      <c r="DSY1" s="22"/>
      <c r="DSZ1" s="22"/>
      <c r="DTA1" s="22"/>
      <c r="DTB1" s="22"/>
      <c r="DTC1" s="22"/>
      <c r="DTD1" s="22"/>
      <c r="DTE1" s="22"/>
      <c r="DTF1" s="22"/>
      <c r="DTG1" s="22"/>
      <c r="DTH1" s="22"/>
      <c r="DTI1" s="22"/>
      <c r="DTJ1" s="22"/>
      <c r="DTK1" s="22"/>
      <c r="DTL1" s="22"/>
      <c r="DTM1" s="22"/>
      <c r="DTN1" s="22"/>
      <c r="DTO1" s="22"/>
      <c r="DTP1" s="22"/>
      <c r="DTQ1" s="22"/>
      <c r="DTR1" s="22"/>
      <c r="DTS1" s="22"/>
      <c r="DTT1" s="22"/>
      <c r="DTU1" s="22"/>
      <c r="DTV1" s="22"/>
      <c r="DTW1" s="22"/>
      <c r="DTX1" s="22"/>
      <c r="DTY1" s="22"/>
      <c r="DTZ1" s="22"/>
      <c r="DUA1" s="22"/>
      <c r="DUB1" s="22"/>
      <c r="DUC1" s="22"/>
      <c r="DUD1" s="22"/>
      <c r="DUE1" s="22"/>
      <c r="DUF1" s="22"/>
      <c r="DUG1" s="22"/>
      <c r="DUH1" s="22"/>
      <c r="DUI1" s="22"/>
      <c r="DUJ1" s="22"/>
      <c r="DUK1" s="22"/>
      <c r="DUL1" s="22"/>
      <c r="DUM1" s="22"/>
      <c r="DUN1" s="22"/>
      <c r="DUO1" s="22"/>
      <c r="DUP1" s="22"/>
      <c r="DUQ1" s="22"/>
      <c r="DUR1" s="22"/>
      <c r="DUS1" s="22"/>
      <c r="DUT1" s="22"/>
      <c r="DUU1" s="22"/>
      <c r="DUV1" s="22"/>
      <c r="DUW1" s="22"/>
      <c r="DUX1" s="22"/>
      <c r="DUY1" s="22"/>
      <c r="DUZ1" s="22"/>
      <c r="DVA1" s="22"/>
      <c r="DVB1" s="22"/>
      <c r="DVC1" s="22"/>
      <c r="DVD1" s="22"/>
      <c r="DVE1" s="22"/>
      <c r="DVF1" s="22"/>
      <c r="DVG1" s="22"/>
      <c r="DVH1" s="22"/>
      <c r="DVI1" s="22"/>
      <c r="DVJ1" s="22"/>
      <c r="DVK1" s="22"/>
      <c r="DVL1" s="22"/>
      <c r="DVM1" s="22"/>
      <c r="DVN1" s="22"/>
      <c r="DVO1" s="22"/>
      <c r="DVP1" s="22"/>
      <c r="DVQ1" s="22"/>
      <c r="DVR1" s="22"/>
      <c r="DVS1" s="22"/>
      <c r="DVT1" s="22"/>
      <c r="DVU1" s="22"/>
      <c r="DVV1" s="22"/>
      <c r="DVW1" s="22"/>
      <c r="DVX1" s="22"/>
      <c r="DVY1" s="22"/>
      <c r="DVZ1" s="22"/>
      <c r="DWA1" s="22"/>
      <c r="DWB1" s="22"/>
      <c r="DWC1" s="22"/>
      <c r="DWD1" s="22"/>
      <c r="DWE1" s="22"/>
      <c r="DWF1" s="22"/>
      <c r="DWG1" s="22"/>
      <c r="DWH1" s="22"/>
      <c r="DWI1" s="22"/>
      <c r="DWJ1" s="22"/>
      <c r="DWK1" s="22"/>
      <c r="DWL1" s="22"/>
      <c r="DWM1" s="22"/>
      <c r="DWN1" s="22"/>
      <c r="DWO1" s="22"/>
      <c r="DWP1" s="22"/>
      <c r="DWQ1" s="22"/>
      <c r="DWR1" s="22"/>
      <c r="DWS1" s="22"/>
      <c r="DWT1" s="22"/>
      <c r="DWU1" s="22"/>
      <c r="DWV1" s="22"/>
      <c r="DWW1" s="22"/>
      <c r="DWX1" s="22"/>
      <c r="DWY1" s="22"/>
      <c r="DWZ1" s="22"/>
      <c r="DXA1" s="22"/>
      <c r="DXB1" s="22"/>
      <c r="DXC1" s="22"/>
      <c r="DXD1" s="22"/>
      <c r="DXE1" s="22"/>
      <c r="DXF1" s="22"/>
      <c r="DXG1" s="22"/>
      <c r="DXH1" s="22"/>
      <c r="DXI1" s="22"/>
      <c r="DXJ1" s="22"/>
      <c r="DXK1" s="22"/>
      <c r="DXL1" s="22"/>
      <c r="DXM1" s="22"/>
      <c r="DXN1" s="22"/>
      <c r="DXO1" s="22"/>
      <c r="DXP1" s="22"/>
      <c r="DXQ1" s="22"/>
      <c r="DXR1" s="22"/>
      <c r="DXS1" s="22"/>
      <c r="DXT1" s="22"/>
      <c r="DXU1" s="22"/>
      <c r="DXV1" s="22"/>
      <c r="DXW1" s="22"/>
      <c r="DXX1" s="22"/>
      <c r="DXY1" s="22"/>
      <c r="DXZ1" s="22"/>
      <c r="DYA1" s="22"/>
      <c r="DYB1" s="22"/>
      <c r="DYC1" s="22"/>
      <c r="DYD1" s="22"/>
      <c r="DYE1" s="22"/>
      <c r="DYF1" s="22"/>
      <c r="DYG1" s="22"/>
      <c r="DYH1" s="22"/>
      <c r="DYI1" s="22"/>
      <c r="DYJ1" s="22"/>
      <c r="DYK1" s="22"/>
      <c r="DYL1" s="22"/>
      <c r="DYM1" s="22"/>
      <c r="DYN1" s="22"/>
      <c r="DYO1" s="22"/>
      <c r="DYP1" s="22"/>
      <c r="DYQ1" s="22"/>
      <c r="DYR1" s="22"/>
      <c r="DYS1" s="22"/>
      <c r="DYT1" s="22"/>
      <c r="DYU1" s="22"/>
      <c r="DYV1" s="22"/>
      <c r="DYW1" s="22"/>
      <c r="DYX1" s="22"/>
      <c r="DYY1" s="22"/>
      <c r="DYZ1" s="22"/>
      <c r="DZA1" s="22"/>
      <c r="DZB1" s="22"/>
      <c r="DZC1" s="22"/>
      <c r="DZD1" s="22"/>
      <c r="DZE1" s="22"/>
      <c r="DZF1" s="22"/>
      <c r="DZG1" s="22"/>
      <c r="DZH1" s="22"/>
      <c r="DZI1" s="22"/>
      <c r="DZJ1" s="22"/>
      <c r="DZK1" s="22"/>
      <c r="DZL1" s="22"/>
      <c r="DZM1" s="22"/>
      <c r="DZN1" s="22"/>
      <c r="DZO1" s="22"/>
      <c r="DZP1" s="22"/>
      <c r="DZQ1" s="22"/>
      <c r="DZR1" s="22"/>
      <c r="DZS1" s="22"/>
      <c r="DZT1" s="22"/>
      <c r="DZU1" s="22"/>
      <c r="DZV1" s="22"/>
      <c r="DZW1" s="22"/>
      <c r="DZX1" s="22"/>
      <c r="DZY1" s="22"/>
      <c r="DZZ1" s="22"/>
      <c r="EAA1" s="22"/>
      <c r="EAB1" s="22"/>
      <c r="EAC1" s="22"/>
      <c r="EAD1" s="22"/>
      <c r="EAE1" s="22"/>
      <c r="EAF1" s="22"/>
      <c r="EAG1" s="22"/>
      <c r="EAH1" s="22"/>
      <c r="EAI1" s="22"/>
      <c r="EAJ1" s="22"/>
      <c r="EAK1" s="22"/>
      <c r="EAL1" s="22"/>
      <c r="EAM1" s="22"/>
      <c r="EAN1" s="22"/>
      <c r="EAO1" s="22"/>
      <c r="EAP1" s="22"/>
      <c r="EAQ1" s="22"/>
      <c r="EAR1" s="22"/>
      <c r="EAS1" s="22"/>
      <c r="EAT1" s="22"/>
      <c r="EAU1" s="22"/>
      <c r="EAV1" s="22"/>
      <c r="EAW1" s="22"/>
      <c r="EAX1" s="22"/>
      <c r="EAY1" s="22"/>
      <c r="EAZ1" s="22"/>
      <c r="EBA1" s="22"/>
      <c r="EBB1" s="22"/>
      <c r="EBC1" s="22"/>
      <c r="EBD1" s="22"/>
      <c r="EBE1" s="22"/>
      <c r="EBF1" s="22"/>
      <c r="EBG1" s="22"/>
      <c r="EBH1" s="22"/>
      <c r="EBI1" s="22"/>
      <c r="EBJ1" s="22"/>
      <c r="EBK1" s="22"/>
      <c r="EBL1" s="22"/>
      <c r="EBM1" s="22"/>
      <c r="EBN1" s="22"/>
      <c r="EBO1" s="22"/>
      <c r="EBP1" s="22"/>
      <c r="EBQ1" s="22"/>
      <c r="EBR1" s="22"/>
      <c r="EBS1" s="22"/>
      <c r="EBT1" s="22"/>
      <c r="EBU1" s="22"/>
      <c r="EBV1" s="22"/>
      <c r="EBW1" s="22"/>
      <c r="EBX1" s="22"/>
      <c r="EBY1" s="22"/>
      <c r="EBZ1" s="22"/>
      <c r="ECA1" s="22"/>
      <c r="ECB1" s="22"/>
      <c r="ECC1" s="22"/>
      <c r="ECD1" s="22"/>
      <c r="ECE1" s="22"/>
      <c r="ECF1" s="22"/>
      <c r="ECG1" s="22"/>
      <c r="ECH1" s="22"/>
      <c r="ECI1" s="22"/>
      <c r="ECJ1" s="22"/>
      <c r="ECK1" s="22"/>
      <c r="ECL1" s="22"/>
      <c r="ECM1" s="22"/>
      <c r="ECN1" s="22"/>
      <c r="ECO1" s="22"/>
      <c r="ECP1" s="22"/>
      <c r="ECQ1" s="22"/>
      <c r="ECR1" s="22"/>
      <c r="ECS1" s="22"/>
      <c r="ECT1" s="22"/>
      <c r="ECU1" s="22"/>
      <c r="ECV1" s="22"/>
      <c r="ECW1" s="22"/>
      <c r="ECX1" s="22"/>
      <c r="ECY1" s="22"/>
      <c r="ECZ1" s="22"/>
      <c r="EDA1" s="22"/>
      <c r="EDB1" s="22"/>
      <c r="EDC1" s="22"/>
      <c r="EDD1" s="22"/>
      <c r="EDE1" s="22"/>
      <c r="EDF1" s="22"/>
      <c r="EDG1" s="22"/>
      <c r="EDH1" s="22"/>
      <c r="EDI1" s="22"/>
      <c r="EDJ1" s="22"/>
      <c r="EDK1" s="22"/>
      <c r="EDL1" s="22"/>
      <c r="EDM1" s="22"/>
      <c r="EDN1" s="22"/>
      <c r="EDO1" s="22"/>
      <c r="EDP1" s="22"/>
      <c r="EDQ1" s="22"/>
      <c r="EDR1" s="22"/>
      <c r="EDS1" s="22"/>
      <c r="EDT1" s="22"/>
      <c r="EDU1" s="22"/>
      <c r="EDV1" s="22"/>
      <c r="EDW1" s="22"/>
      <c r="EDX1" s="22"/>
      <c r="EDY1" s="22"/>
      <c r="EDZ1" s="22"/>
      <c r="EEA1" s="22"/>
      <c r="EEB1" s="22"/>
      <c r="EEC1" s="22"/>
      <c r="EED1" s="22"/>
      <c r="EEE1" s="22"/>
      <c r="EEF1" s="22"/>
      <c r="EEG1" s="22"/>
      <c r="EEH1" s="22"/>
      <c r="EEI1" s="22"/>
      <c r="EEJ1" s="22"/>
      <c r="EEK1" s="22"/>
      <c r="EEL1" s="22"/>
      <c r="EEM1" s="22"/>
      <c r="EEN1" s="22"/>
      <c r="EEO1" s="22"/>
      <c r="EEP1" s="22"/>
      <c r="EEQ1" s="22"/>
      <c r="EER1" s="22"/>
      <c r="EES1" s="22"/>
      <c r="EET1" s="22"/>
      <c r="EEU1" s="22"/>
      <c r="EEV1" s="22"/>
      <c r="EEW1" s="22"/>
      <c r="EEX1" s="22"/>
      <c r="EEY1" s="22"/>
      <c r="EEZ1" s="22"/>
      <c r="EFA1" s="22"/>
      <c r="EFB1" s="22"/>
      <c r="EFC1" s="22"/>
      <c r="EFD1" s="22"/>
      <c r="EFE1" s="22"/>
      <c r="EFF1" s="22"/>
      <c r="EFG1" s="22"/>
      <c r="EFH1" s="22"/>
      <c r="EFI1" s="22"/>
      <c r="EFJ1" s="22"/>
      <c r="EFK1" s="22"/>
      <c r="EFL1" s="22"/>
      <c r="EFM1" s="22"/>
      <c r="EFN1" s="22"/>
      <c r="EFO1" s="22"/>
      <c r="EFP1" s="22"/>
      <c r="EFQ1" s="22"/>
      <c r="EFR1" s="22"/>
      <c r="EFS1" s="22"/>
      <c r="EFT1" s="22"/>
      <c r="EFU1" s="22"/>
      <c r="EFV1" s="22"/>
      <c r="EFW1" s="22"/>
      <c r="EFX1" s="22"/>
      <c r="EFY1" s="22"/>
      <c r="EFZ1" s="22"/>
      <c r="EGA1" s="22"/>
      <c r="EGB1" s="22"/>
      <c r="EGC1" s="22"/>
      <c r="EGD1" s="22"/>
      <c r="EGE1" s="22"/>
      <c r="EGF1" s="22"/>
      <c r="EGG1" s="22"/>
      <c r="EGH1" s="22"/>
      <c r="EGI1" s="22"/>
      <c r="EGJ1" s="22"/>
      <c r="EGK1" s="22"/>
      <c r="EGL1" s="22"/>
      <c r="EGM1" s="22"/>
      <c r="EGN1" s="22"/>
      <c r="EGO1" s="22"/>
      <c r="EGP1" s="22"/>
      <c r="EGQ1" s="22"/>
      <c r="EGR1" s="22"/>
      <c r="EGS1" s="22"/>
      <c r="EGT1" s="22"/>
      <c r="EGU1" s="22"/>
      <c r="EGV1" s="22"/>
      <c r="EGW1" s="22"/>
      <c r="EGX1" s="22"/>
      <c r="EGY1" s="22"/>
      <c r="EGZ1" s="22"/>
      <c r="EHA1" s="22"/>
      <c r="EHB1" s="22"/>
      <c r="EHC1" s="22"/>
      <c r="EHD1" s="22"/>
      <c r="EHE1" s="22"/>
      <c r="EHF1" s="22"/>
      <c r="EHG1" s="22"/>
      <c r="EHH1" s="22"/>
      <c r="EHI1" s="22"/>
      <c r="EHJ1" s="22"/>
      <c r="EHK1" s="22"/>
      <c r="EHL1" s="22"/>
      <c r="EHM1" s="22"/>
      <c r="EHN1" s="22"/>
      <c r="EHO1" s="22"/>
      <c r="EHP1" s="22"/>
      <c r="EHQ1" s="22"/>
      <c r="EHR1" s="22"/>
      <c r="EHS1" s="22"/>
      <c r="EHT1" s="22"/>
      <c r="EHU1" s="22"/>
      <c r="EHV1" s="22"/>
      <c r="EHW1" s="22"/>
      <c r="EHX1" s="22"/>
      <c r="EHY1" s="22"/>
      <c r="EHZ1" s="22"/>
      <c r="EIA1" s="22"/>
      <c r="EIB1" s="22"/>
      <c r="EIC1" s="22"/>
      <c r="EID1" s="22"/>
      <c r="EIE1" s="22"/>
      <c r="EIF1" s="22"/>
      <c r="EIG1" s="22"/>
      <c r="EIH1" s="22"/>
      <c r="EII1" s="22"/>
      <c r="EIJ1" s="22"/>
      <c r="EIK1" s="22"/>
      <c r="EIL1" s="22"/>
      <c r="EIM1" s="22"/>
      <c r="EIN1" s="22"/>
      <c r="EIO1" s="22"/>
      <c r="EIP1" s="22"/>
      <c r="EIQ1" s="22"/>
      <c r="EIR1" s="22"/>
      <c r="EIS1" s="22"/>
      <c r="EIT1" s="22"/>
      <c r="EIU1" s="22"/>
      <c r="EIV1" s="22"/>
      <c r="EIW1" s="22"/>
      <c r="EIX1" s="22"/>
      <c r="EIY1" s="22"/>
      <c r="EIZ1" s="22"/>
      <c r="EJA1" s="22"/>
      <c r="EJB1" s="22"/>
      <c r="EJC1" s="22"/>
      <c r="EJD1" s="22"/>
      <c r="EJE1" s="22"/>
      <c r="EJF1" s="22"/>
      <c r="EJG1" s="22"/>
      <c r="EJH1" s="22"/>
      <c r="EJI1" s="22"/>
      <c r="EJJ1" s="22"/>
      <c r="EJK1" s="22"/>
      <c r="EJL1" s="22"/>
      <c r="EJM1" s="22"/>
      <c r="EJN1" s="22"/>
      <c r="EJO1" s="22"/>
      <c r="EJP1" s="22"/>
      <c r="EJQ1" s="22"/>
      <c r="EJR1" s="22"/>
      <c r="EJS1" s="22"/>
      <c r="EJT1" s="22"/>
      <c r="EJU1" s="22"/>
      <c r="EJV1" s="22"/>
      <c r="EJW1" s="22"/>
      <c r="EJX1" s="22"/>
      <c r="EJY1" s="22"/>
      <c r="EJZ1" s="22"/>
      <c r="EKA1" s="22"/>
      <c r="EKB1" s="22"/>
      <c r="EKC1" s="22"/>
      <c r="EKD1" s="22"/>
      <c r="EKE1" s="22"/>
      <c r="EKF1" s="22"/>
      <c r="EKG1" s="22"/>
      <c r="EKH1" s="22"/>
      <c r="EKI1" s="22"/>
      <c r="EKJ1" s="22"/>
      <c r="EKK1" s="22"/>
      <c r="EKL1" s="22"/>
      <c r="EKM1" s="22"/>
      <c r="EKN1" s="22"/>
      <c r="EKO1" s="22"/>
      <c r="EKP1" s="22"/>
      <c r="EKQ1" s="22"/>
      <c r="EKR1" s="22"/>
      <c r="EKS1" s="22"/>
      <c r="EKT1" s="22"/>
      <c r="EKU1" s="22"/>
      <c r="EKV1" s="22"/>
      <c r="EKW1" s="22"/>
      <c r="EKX1" s="22"/>
      <c r="EKY1" s="22"/>
      <c r="EKZ1" s="22"/>
      <c r="ELA1" s="22"/>
      <c r="ELB1" s="22"/>
      <c r="ELC1" s="22"/>
      <c r="ELD1" s="22"/>
      <c r="ELE1" s="22"/>
      <c r="ELF1" s="22"/>
      <c r="ELG1" s="22"/>
      <c r="ELH1" s="22"/>
      <c r="ELI1" s="22"/>
      <c r="ELJ1" s="22"/>
      <c r="ELK1" s="22"/>
      <c r="ELL1" s="22"/>
      <c r="ELM1" s="22"/>
      <c r="ELN1" s="22"/>
      <c r="ELO1" s="22"/>
      <c r="ELP1" s="22"/>
      <c r="ELQ1" s="22"/>
      <c r="ELR1" s="22"/>
      <c r="ELS1" s="22"/>
      <c r="ELT1" s="22"/>
      <c r="ELU1" s="22"/>
      <c r="ELV1" s="22"/>
      <c r="ELW1" s="22"/>
      <c r="ELX1" s="22"/>
      <c r="ELY1" s="22"/>
      <c r="ELZ1" s="22"/>
      <c r="EMA1" s="22"/>
      <c r="EMB1" s="22"/>
      <c r="EMC1" s="22"/>
      <c r="EMD1" s="22"/>
      <c r="EME1" s="22"/>
      <c r="EMF1" s="22"/>
      <c r="EMG1" s="22"/>
      <c r="EMH1" s="22"/>
      <c r="EMI1" s="22"/>
      <c r="EMJ1" s="22"/>
      <c r="EMK1" s="22"/>
      <c r="EML1" s="22"/>
      <c r="EMM1" s="22"/>
      <c r="EMN1" s="22"/>
      <c r="EMO1" s="22"/>
      <c r="EMP1" s="22"/>
      <c r="EMQ1" s="22"/>
      <c r="EMR1" s="22"/>
      <c r="EMS1" s="22"/>
      <c r="EMT1" s="22"/>
      <c r="EMU1" s="22"/>
      <c r="EMV1" s="22"/>
      <c r="EMW1" s="22"/>
      <c r="EMX1" s="22"/>
      <c r="EMY1" s="22"/>
      <c r="EMZ1" s="22"/>
      <c r="ENA1" s="22"/>
      <c r="ENB1" s="22"/>
      <c r="ENC1" s="22"/>
      <c r="END1" s="22"/>
      <c r="ENE1" s="22"/>
      <c r="ENF1" s="22"/>
      <c r="ENG1" s="22"/>
      <c r="ENH1" s="22"/>
      <c r="ENI1" s="22"/>
      <c r="ENJ1" s="22"/>
      <c r="ENK1" s="22"/>
      <c r="ENL1" s="22"/>
      <c r="ENM1" s="22"/>
      <c r="ENN1" s="22"/>
      <c r="ENO1" s="22"/>
      <c r="ENP1" s="22"/>
      <c r="ENQ1" s="22"/>
      <c r="ENR1" s="22"/>
      <c r="ENS1" s="22"/>
      <c r="ENT1" s="22"/>
      <c r="ENU1" s="22"/>
      <c r="ENV1" s="22"/>
      <c r="ENW1" s="22"/>
      <c r="ENX1" s="22"/>
      <c r="ENY1" s="22"/>
      <c r="ENZ1" s="22"/>
      <c r="EOA1" s="22"/>
      <c r="EOB1" s="22"/>
      <c r="EOC1" s="22"/>
      <c r="EOD1" s="22"/>
      <c r="EOE1" s="22"/>
      <c r="EOF1" s="22"/>
      <c r="EOG1" s="22"/>
      <c r="EOH1" s="22"/>
      <c r="EOI1" s="22"/>
      <c r="EOJ1" s="22"/>
      <c r="EOK1" s="22"/>
      <c r="EOL1" s="22"/>
      <c r="EOM1" s="22"/>
      <c r="EON1" s="22"/>
      <c r="EOO1" s="22"/>
      <c r="EOP1" s="22"/>
      <c r="EOQ1" s="22"/>
      <c r="EOR1" s="22"/>
      <c r="EOS1" s="22"/>
      <c r="EOT1" s="22"/>
      <c r="EOU1" s="22"/>
      <c r="EOV1" s="22"/>
      <c r="EOW1" s="22"/>
      <c r="EOX1" s="22"/>
      <c r="EOY1" s="22"/>
      <c r="EOZ1" s="22"/>
      <c r="EPA1" s="22"/>
      <c r="EPB1" s="22"/>
      <c r="EPC1" s="22"/>
      <c r="EPD1" s="22"/>
      <c r="EPE1" s="22"/>
      <c r="EPF1" s="22"/>
      <c r="EPG1" s="22"/>
      <c r="EPH1" s="22"/>
      <c r="EPI1" s="22"/>
      <c r="EPJ1" s="22"/>
      <c r="EPK1" s="22"/>
      <c r="EPL1" s="22"/>
      <c r="EPM1" s="22"/>
      <c r="EPN1" s="22"/>
      <c r="EPO1" s="22"/>
      <c r="EPP1" s="22"/>
      <c r="EPQ1" s="22"/>
      <c r="EPR1" s="22"/>
      <c r="EPS1" s="22"/>
      <c r="EPT1" s="22"/>
      <c r="EPU1" s="22"/>
      <c r="EPV1" s="22"/>
      <c r="EPW1" s="22"/>
      <c r="EPX1" s="22"/>
      <c r="EPY1" s="22"/>
      <c r="EPZ1" s="22"/>
      <c r="EQA1" s="22"/>
      <c r="EQB1" s="22"/>
      <c r="EQC1" s="22"/>
      <c r="EQD1" s="22"/>
      <c r="EQE1" s="22"/>
      <c r="EQF1" s="22"/>
      <c r="EQG1" s="22"/>
      <c r="EQH1" s="22"/>
      <c r="EQI1" s="22"/>
      <c r="EQJ1" s="22"/>
      <c r="EQK1" s="22"/>
      <c r="EQL1" s="22"/>
      <c r="EQM1" s="22"/>
      <c r="EQN1" s="22"/>
      <c r="EQO1" s="22"/>
      <c r="EQP1" s="22"/>
      <c r="EQQ1" s="22"/>
      <c r="EQR1" s="22"/>
      <c r="EQS1" s="22"/>
      <c r="EQT1" s="22"/>
      <c r="EQU1" s="22"/>
      <c r="EQV1" s="22"/>
      <c r="EQW1" s="22"/>
      <c r="EQX1" s="22"/>
      <c r="EQY1" s="22"/>
      <c r="EQZ1" s="22"/>
      <c r="ERA1" s="22"/>
      <c r="ERB1" s="22"/>
      <c r="ERC1" s="22"/>
      <c r="ERD1" s="22"/>
      <c r="ERE1" s="22"/>
      <c r="ERF1" s="22"/>
      <c r="ERG1" s="22"/>
      <c r="ERH1" s="22"/>
      <c r="ERI1" s="22"/>
      <c r="ERJ1" s="22"/>
      <c r="ERK1" s="22"/>
      <c r="ERL1" s="22"/>
      <c r="ERM1" s="22"/>
      <c r="ERN1" s="22"/>
      <c r="ERO1" s="22"/>
      <c r="ERP1" s="22"/>
      <c r="ERQ1" s="22"/>
      <c r="ERR1" s="22"/>
      <c r="ERS1" s="22"/>
      <c r="ERT1" s="22"/>
      <c r="ERU1" s="22"/>
      <c r="ERV1" s="22"/>
      <c r="ERW1" s="22"/>
      <c r="ERX1" s="22"/>
      <c r="ERY1" s="22"/>
      <c r="ERZ1" s="22"/>
      <c r="ESA1" s="22"/>
      <c r="ESB1" s="22"/>
      <c r="ESC1" s="22"/>
      <c r="ESD1" s="22"/>
      <c r="ESE1" s="22"/>
      <c r="ESF1" s="22"/>
      <c r="ESG1" s="22"/>
      <c r="ESH1" s="22"/>
      <c r="ESI1" s="22"/>
      <c r="ESJ1" s="22"/>
      <c r="ESK1" s="22"/>
      <c r="ESL1" s="22"/>
      <c r="ESM1" s="22"/>
      <c r="ESN1" s="22"/>
      <c r="ESO1" s="22"/>
      <c r="ESP1" s="22"/>
      <c r="ESQ1" s="22"/>
      <c r="ESR1" s="22"/>
      <c r="ESS1" s="22"/>
      <c r="EST1" s="22"/>
      <c r="ESU1" s="22"/>
      <c r="ESV1" s="22"/>
      <c r="ESW1" s="22"/>
      <c r="ESX1" s="22"/>
      <c r="ESY1" s="22"/>
      <c r="ESZ1" s="22"/>
      <c r="ETA1" s="22"/>
      <c r="ETB1" s="22"/>
      <c r="ETC1" s="22"/>
      <c r="ETD1" s="22"/>
      <c r="ETE1" s="22"/>
      <c r="ETF1" s="22"/>
      <c r="ETG1" s="22"/>
      <c r="ETH1" s="22"/>
      <c r="ETI1" s="22"/>
      <c r="ETJ1" s="22"/>
      <c r="ETK1" s="22"/>
      <c r="ETL1" s="22"/>
      <c r="ETM1" s="22"/>
      <c r="ETN1" s="22"/>
      <c r="ETO1" s="22"/>
      <c r="ETP1" s="22"/>
      <c r="ETQ1" s="22"/>
      <c r="ETR1" s="22"/>
      <c r="ETS1" s="22"/>
      <c r="ETT1" s="22"/>
      <c r="ETU1" s="22"/>
      <c r="ETV1" s="22"/>
      <c r="ETW1" s="22"/>
      <c r="ETX1" s="22"/>
      <c r="ETY1" s="22"/>
      <c r="ETZ1" s="22"/>
      <c r="EUA1" s="22"/>
      <c r="EUB1" s="22"/>
      <c r="EUC1" s="22"/>
      <c r="EUD1" s="22"/>
      <c r="EUE1" s="22"/>
      <c r="EUF1" s="22"/>
      <c r="EUG1" s="22"/>
      <c r="EUH1" s="22"/>
      <c r="EUI1" s="22"/>
      <c r="EUJ1" s="22"/>
      <c r="EUK1" s="22"/>
      <c r="EUL1" s="22"/>
      <c r="EUM1" s="22"/>
      <c r="EUN1" s="22"/>
      <c r="EUO1" s="22"/>
      <c r="EUP1" s="22"/>
      <c r="EUQ1" s="22"/>
      <c r="EUR1" s="22"/>
      <c r="EUS1" s="22"/>
      <c r="EUT1" s="22"/>
      <c r="EUU1" s="22"/>
      <c r="EUV1" s="22"/>
      <c r="EUW1" s="22"/>
      <c r="EUX1" s="22"/>
      <c r="EUY1" s="22"/>
      <c r="EUZ1" s="22"/>
      <c r="EVA1" s="22"/>
      <c r="EVB1" s="22"/>
      <c r="EVC1" s="22"/>
      <c r="EVD1" s="22"/>
      <c r="EVE1" s="22"/>
      <c r="EVF1" s="22"/>
      <c r="EVG1" s="22"/>
      <c r="EVH1" s="22"/>
      <c r="EVI1" s="22"/>
      <c r="EVJ1" s="22"/>
      <c r="EVK1" s="22"/>
      <c r="EVL1" s="22"/>
      <c r="EVM1" s="22"/>
      <c r="EVN1" s="22"/>
      <c r="EVO1" s="22"/>
      <c r="EVP1" s="22"/>
      <c r="EVQ1" s="22"/>
      <c r="EVR1" s="22"/>
      <c r="EVS1" s="22"/>
      <c r="EVT1" s="22"/>
      <c r="EVU1" s="22"/>
      <c r="EVV1" s="22"/>
      <c r="EVW1" s="22"/>
      <c r="EVX1" s="22"/>
      <c r="EVY1" s="22"/>
      <c r="EVZ1" s="22"/>
      <c r="EWA1" s="22"/>
      <c r="EWB1" s="22"/>
      <c r="EWC1" s="22"/>
      <c r="EWD1" s="22"/>
      <c r="EWE1" s="22"/>
      <c r="EWF1" s="22"/>
      <c r="EWG1" s="22"/>
      <c r="EWH1" s="22"/>
      <c r="EWI1" s="22"/>
      <c r="EWJ1" s="22"/>
      <c r="EWK1" s="22"/>
      <c r="EWL1" s="22"/>
      <c r="EWM1" s="22"/>
      <c r="EWN1" s="22"/>
      <c r="EWO1" s="22"/>
      <c r="EWP1" s="22"/>
      <c r="EWQ1" s="22"/>
      <c r="EWR1" s="22"/>
      <c r="EWS1" s="22"/>
      <c r="EWT1" s="22"/>
      <c r="EWU1" s="22"/>
      <c r="EWV1" s="22"/>
      <c r="EWW1" s="22"/>
      <c r="EWX1" s="22"/>
      <c r="EWY1" s="22"/>
      <c r="EWZ1" s="22"/>
      <c r="EXA1" s="22"/>
      <c r="EXB1" s="22"/>
      <c r="EXC1" s="22"/>
      <c r="EXD1" s="22"/>
      <c r="EXE1" s="22"/>
      <c r="EXF1" s="22"/>
      <c r="EXG1" s="22"/>
      <c r="EXH1" s="22"/>
      <c r="EXI1" s="22"/>
      <c r="EXJ1" s="22"/>
      <c r="EXK1" s="22"/>
      <c r="EXL1" s="22"/>
      <c r="EXM1" s="22"/>
      <c r="EXN1" s="22"/>
      <c r="EXO1" s="22"/>
      <c r="EXP1" s="22"/>
      <c r="EXQ1" s="22"/>
      <c r="EXR1" s="22"/>
      <c r="EXS1" s="22"/>
      <c r="EXT1" s="22"/>
      <c r="EXU1" s="22"/>
      <c r="EXV1" s="22"/>
      <c r="EXW1" s="22"/>
      <c r="EXX1" s="22"/>
      <c r="EXY1" s="22"/>
      <c r="EXZ1" s="22"/>
      <c r="EYA1" s="22"/>
      <c r="EYB1" s="22"/>
      <c r="EYC1" s="22"/>
      <c r="EYD1" s="22"/>
      <c r="EYE1" s="22"/>
      <c r="EYF1" s="22"/>
      <c r="EYG1" s="22"/>
      <c r="EYH1" s="22"/>
      <c r="EYI1" s="22"/>
      <c r="EYJ1" s="22"/>
      <c r="EYK1" s="22"/>
      <c r="EYL1" s="22"/>
      <c r="EYM1" s="22"/>
      <c r="EYN1" s="22"/>
      <c r="EYO1" s="22"/>
      <c r="EYP1" s="22"/>
      <c r="EYQ1" s="22"/>
      <c r="EYR1" s="22"/>
      <c r="EYS1" s="22"/>
      <c r="EYT1" s="22"/>
      <c r="EYU1" s="22"/>
      <c r="EYV1" s="22"/>
      <c r="EYW1" s="22"/>
      <c r="EYX1" s="22"/>
      <c r="EYY1" s="22"/>
      <c r="EYZ1" s="22"/>
      <c r="EZA1" s="22"/>
      <c r="EZB1" s="22"/>
      <c r="EZC1" s="22"/>
      <c r="EZD1" s="22"/>
      <c r="EZE1" s="22"/>
      <c r="EZF1" s="22"/>
      <c r="EZG1" s="22"/>
      <c r="EZH1" s="22"/>
      <c r="EZI1" s="22"/>
      <c r="EZJ1" s="22"/>
      <c r="EZK1" s="22"/>
      <c r="EZL1" s="22"/>
      <c r="EZM1" s="22"/>
      <c r="EZN1" s="22"/>
      <c r="EZO1" s="22"/>
      <c r="EZP1" s="22"/>
      <c r="EZQ1" s="22"/>
      <c r="EZR1" s="22"/>
      <c r="EZS1" s="22"/>
      <c r="EZT1" s="22"/>
      <c r="EZU1" s="22"/>
      <c r="EZV1" s="22"/>
      <c r="EZW1" s="22"/>
      <c r="EZX1" s="22"/>
      <c r="EZY1" s="22"/>
      <c r="EZZ1" s="22"/>
      <c r="FAA1" s="22"/>
      <c r="FAB1" s="22"/>
      <c r="FAC1" s="22"/>
      <c r="FAD1" s="22"/>
      <c r="FAE1" s="22"/>
      <c r="FAF1" s="22"/>
      <c r="FAG1" s="22"/>
      <c r="FAH1" s="22"/>
      <c r="FAI1" s="22"/>
      <c r="FAJ1" s="22"/>
      <c r="FAK1" s="22"/>
      <c r="FAL1" s="22"/>
      <c r="FAM1" s="22"/>
      <c r="FAN1" s="22"/>
      <c r="FAO1" s="22"/>
      <c r="FAP1" s="22"/>
      <c r="FAQ1" s="22"/>
      <c r="FAR1" s="22"/>
      <c r="FAS1" s="22"/>
      <c r="FAT1" s="22"/>
      <c r="FAU1" s="22"/>
      <c r="FAV1" s="22"/>
      <c r="FAW1" s="22"/>
      <c r="FAX1" s="22"/>
      <c r="FAY1" s="22"/>
      <c r="FAZ1" s="22"/>
      <c r="FBA1" s="22"/>
      <c r="FBB1" s="22"/>
      <c r="FBC1" s="22"/>
      <c r="FBD1" s="22"/>
      <c r="FBE1" s="22"/>
      <c r="FBF1" s="22"/>
      <c r="FBG1" s="22"/>
      <c r="FBH1" s="22"/>
      <c r="FBI1" s="22"/>
      <c r="FBJ1" s="22"/>
      <c r="FBK1" s="22"/>
      <c r="FBL1" s="22"/>
      <c r="FBM1" s="22"/>
      <c r="FBN1" s="22"/>
      <c r="FBO1" s="22"/>
      <c r="FBP1" s="22"/>
      <c r="FBQ1" s="22"/>
      <c r="FBR1" s="22"/>
      <c r="FBS1" s="22"/>
      <c r="FBT1" s="22"/>
      <c r="FBU1" s="22"/>
      <c r="FBV1" s="22"/>
      <c r="FBW1" s="22"/>
      <c r="FBX1" s="22"/>
      <c r="FBY1" s="22"/>
      <c r="FBZ1" s="22"/>
      <c r="FCA1" s="22"/>
      <c r="FCB1" s="22"/>
      <c r="FCC1" s="22"/>
      <c r="FCD1" s="22"/>
      <c r="FCE1" s="22"/>
      <c r="FCF1" s="22"/>
      <c r="FCG1" s="22"/>
      <c r="FCH1" s="22"/>
      <c r="FCI1" s="22"/>
      <c r="FCJ1" s="22"/>
      <c r="FCK1" s="22"/>
      <c r="FCL1" s="22"/>
      <c r="FCM1" s="22"/>
      <c r="FCN1" s="22"/>
      <c r="FCO1" s="22"/>
      <c r="FCP1" s="22"/>
      <c r="FCQ1" s="22"/>
      <c r="FCR1" s="22"/>
      <c r="FCS1" s="22"/>
      <c r="FCT1" s="22"/>
      <c r="FCU1" s="22"/>
      <c r="FCV1" s="22"/>
      <c r="FCW1" s="22"/>
      <c r="FCX1" s="22"/>
      <c r="FCY1" s="22"/>
      <c r="FCZ1" s="22"/>
      <c r="FDA1" s="22"/>
      <c r="FDB1" s="22"/>
      <c r="FDC1" s="22"/>
      <c r="FDD1" s="22"/>
      <c r="FDE1" s="22"/>
      <c r="FDF1" s="22"/>
      <c r="FDG1" s="22"/>
      <c r="FDH1" s="22"/>
      <c r="FDI1" s="22"/>
      <c r="FDJ1" s="22"/>
      <c r="FDK1" s="22"/>
      <c r="FDL1" s="22"/>
      <c r="FDM1" s="22"/>
      <c r="FDN1" s="22"/>
      <c r="FDO1" s="22"/>
      <c r="FDP1" s="22"/>
      <c r="FDQ1" s="22"/>
      <c r="FDR1" s="22"/>
      <c r="FDS1" s="22"/>
      <c r="FDT1" s="22"/>
      <c r="FDU1" s="22"/>
      <c r="FDV1" s="22"/>
      <c r="FDW1" s="22"/>
      <c r="FDX1" s="22"/>
      <c r="FDY1" s="22"/>
      <c r="FDZ1" s="22"/>
      <c r="FEA1" s="22"/>
      <c r="FEB1" s="22"/>
      <c r="FEC1" s="22"/>
      <c r="FED1" s="22"/>
      <c r="FEE1" s="22"/>
      <c r="FEF1" s="22"/>
      <c r="FEG1" s="22"/>
      <c r="FEH1" s="22"/>
      <c r="FEI1" s="22"/>
      <c r="FEJ1" s="22"/>
      <c r="FEK1" s="22"/>
      <c r="FEL1" s="22"/>
      <c r="FEM1" s="22"/>
      <c r="FEN1" s="22"/>
      <c r="FEO1" s="22"/>
      <c r="FEP1" s="22"/>
      <c r="FEQ1" s="22"/>
      <c r="FER1" s="22"/>
      <c r="FES1" s="22"/>
      <c r="FET1" s="22"/>
      <c r="FEU1" s="22"/>
      <c r="FEV1" s="22"/>
      <c r="FEW1" s="22"/>
      <c r="FEX1" s="22"/>
      <c r="FEY1" s="22"/>
      <c r="FEZ1" s="22"/>
      <c r="FFA1" s="22"/>
      <c r="FFB1" s="22"/>
      <c r="FFC1" s="22"/>
      <c r="FFD1" s="22"/>
      <c r="FFE1" s="22"/>
      <c r="FFF1" s="22"/>
      <c r="FFG1" s="22"/>
      <c r="FFH1" s="22"/>
      <c r="FFI1" s="22"/>
      <c r="FFJ1" s="22"/>
      <c r="FFK1" s="22"/>
      <c r="FFL1" s="22"/>
      <c r="FFM1" s="22"/>
      <c r="FFN1" s="22"/>
      <c r="FFO1" s="22"/>
      <c r="FFP1" s="22"/>
      <c r="FFQ1" s="22"/>
      <c r="FFR1" s="22"/>
      <c r="FFS1" s="22"/>
      <c r="FFT1" s="22"/>
      <c r="FFU1" s="22"/>
      <c r="FFV1" s="22"/>
      <c r="FFW1" s="22"/>
      <c r="FFX1" s="22"/>
      <c r="FFY1" s="22"/>
      <c r="FFZ1" s="22"/>
      <c r="FGA1" s="22"/>
      <c r="FGB1" s="22"/>
      <c r="FGC1" s="22"/>
      <c r="FGD1" s="22"/>
      <c r="FGE1" s="22"/>
      <c r="FGF1" s="22"/>
      <c r="FGG1" s="22"/>
      <c r="FGH1" s="22"/>
      <c r="FGI1" s="22"/>
      <c r="FGJ1" s="22"/>
      <c r="FGK1" s="22"/>
      <c r="FGL1" s="22"/>
      <c r="FGM1" s="22"/>
      <c r="FGN1" s="22"/>
      <c r="FGO1" s="22"/>
      <c r="FGP1" s="22"/>
      <c r="FGQ1" s="22"/>
      <c r="FGR1" s="22"/>
      <c r="FGS1" s="22"/>
      <c r="FGT1" s="22"/>
      <c r="FGU1" s="22"/>
      <c r="FGV1" s="22"/>
      <c r="FGW1" s="22"/>
      <c r="FGX1" s="22"/>
      <c r="FGY1" s="22"/>
      <c r="FGZ1" s="22"/>
      <c r="FHA1" s="22"/>
      <c r="FHB1" s="22"/>
      <c r="FHC1" s="22"/>
      <c r="FHD1" s="22"/>
      <c r="FHE1" s="22"/>
      <c r="FHF1" s="22"/>
      <c r="FHG1" s="22"/>
      <c r="FHH1" s="22"/>
      <c r="FHI1" s="22"/>
      <c r="FHJ1" s="22"/>
      <c r="FHK1" s="22"/>
      <c r="FHL1" s="22"/>
      <c r="FHM1" s="22"/>
      <c r="FHN1" s="22"/>
      <c r="FHO1" s="22"/>
      <c r="FHP1" s="22"/>
      <c r="FHQ1" s="22"/>
      <c r="FHR1" s="22"/>
      <c r="FHS1" s="22"/>
      <c r="FHT1" s="22"/>
      <c r="FHU1" s="22"/>
      <c r="FHV1" s="22"/>
      <c r="FHW1" s="22"/>
      <c r="FHX1" s="22"/>
      <c r="FHY1" s="22"/>
      <c r="FHZ1" s="22"/>
      <c r="FIA1" s="22"/>
      <c r="FIB1" s="22"/>
      <c r="FIC1" s="22"/>
      <c r="FID1" s="22"/>
      <c r="FIE1" s="22"/>
      <c r="FIF1" s="22"/>
      <c r="FIG1" s="22"/>
      <c r="FIH1" s="22"/>
      <c r="FII1" s="22"/>
      <c r="FIJ1" s="22"/>
      <c r="FIK1" s="22"/>
      <c r="FIL1" s="22"/>
      <c r="FIM1" s="22"/>
      <c r="FIN1" s="22"/>
      <c r="FIO1" s="22"/>
      <c r="FIP1" s="22"/>
      <c r="FIQ1" s="22"/>
      <c r="FIR1" s="22"/>
      <c r="FIS1" s="22"/>
      <c r="FIT1" s="22"/>
      <c r="FIU1" s="22"/>
      <c r="FIV1" s="22"/>
      <c r="FIW1" s="22"/>
      <c r="FIX1" s="22"/>
      <c r="FIY1" s="22"/>
      <c r="FIZ1" s="22"/>
      <c r="FJA1" s="22"/>
      <c r="FJB1" s="22"/>
      <c r="FJC1" s="22"/>
      <c r="FJD1" s="22"/>
      <c r="FJE1" s="22"/>
      <c r="FJF1" s="22"/>
      <c r="FJG1" s="22"/>
      <c r="FJH1" s="22"/>
      <c r="FJI1" s="22"/>
      <c r="FJJ1" s="22"/>
      <c r="FJK1" s="22"/>
      <c r="FJL1" s="22"/>
      <c r="FJM1" s="22"/>
      <c r="FJN1" s="22"/>
      <c r="FJO1" s="22"/>
      <c r="FJP1" s="22"/>
      <c r="FJQ1" s="22"/>
      <c r="FJR1" s="22"/>
      <c r="FJS1" s="22"/>
      <c r="FJT1" s="22"/>
      <c r="FJU1" s="22"/>
      <c r="FJV1" s="22"/>
      <c r="FJW1" s="22"/>
      <c r="FJX1" s="22"/>
      <c r="FJY1" s="22"/>
      <c r="FJZ1" s="22"/>
      <c r="FKA1" s="22"/>
      <c r="FKB1" s="22"/>
      <c r="FKC1" s="22"/>
      <c r="FKD1" s="22"/>
      <c r="FKE1" s="22"/>
      <c r="FKF1" s="22"/>
      <c r="FKG1" s="22"/>
      <c r="FKH1" s="22"/>
      <c r="FKI1" s="22"/>
      <c r="FKJ1" s="22"/>
      <c r="FKK1" s="22"/>
      <c r="FKL1" s="22"/>
      <c r="FKM1" s="22"/>
      <c r="FKN1" s="22"/>
      <c r="FKO1" s="22"/>
      <c r="FKP1" s="22"/>
      <c r="FKQ1" s="22"/>
      <c r="FKR1" s="22"/>
      <c r="FKS1" s="22"/>
      <c r="FKT1" s="22"/>
      <c r="FKU1" s="22"/>
      <c r="FKV1" s="22"/>
      <c r="FKW1" s="22"/>
      <c r="FKX1" s="22"/>
      <c r="FKY1" s="22"/>
      <c r="FKZ1" s="22"/>
      <c r="FLA1" s="22"/>
      <c r="FLB1" s="22"/>
      <c r="FLC1" s="22"/>
      <c r="FLD1" s="22"/>
      <c r="FLE1" s="22"/>
      <c r="FLF1" s="22"/>
      <c r="FLG1" s="22"/>
      <c r="FLH1" s="22"/>
      <c r="FLI1" s="22"/>
      <c r="FLJ1" s="22"/>
      <c r="FLK1" s="22"/>
      <c r="FLL1" s="22"/>
      <c r="FLM1" s="22"/>
      <c r="FLN1" s="22"/>
      <c r="FLO1" s="22"/>
      <c r="FLP1" s="22"/>
      <c r="FLQ1" s="22"/>
      <c r="FLR1" s="22"/>
      <c r="FLS1" s="22"/>
      <c r="FLT1" s="22"/>
      <c r="FLU1" s="22"/>
      <c r="FLV1" s="22"/>
      <c r="FLW1" s="22"/>
      <c r="FLX1" s="22"/>
      <c r="FLY1" s="22"/>
      <c r="FLZ1" s="22"/>
      <c r="FMA1" s="22"/>
      <c r="FMB1" s="22"/>
      <c r="FMC1" s="22"/>
      <c r="FMD1" s="22"/>
      <c r="FME1" s="22"/>
      <c r="FMF1" s="22"/>
      <c r="FMG1" s="22"/>
      <c r="FMH1" s="22"/>
      <c r="FMI1" s="22"/>
      <c r="FMJ1" s="22"/>
      <c r="FMK1" s="22"/>
      <c r="FML1" s="22"/>
      <c r="FMM1" s="22"/>
      <c r="FMN1" s="22"/>
      <c r="FMO1" s="22"/>
      <c r="FMP1" s="22"/>
      <c r="FMQ1" s="22"/>
      <c r="FMR1" s="22"/>
      <c r="FMS1" s="22"/>
      <c r="FMT1" s="22"/>
      <c r="FMU1" s="22"/>
      <c r="FMV1" s="22"/>
      <c r="FMW1" s="22"/>
      <c r="FMX1" s="22"/>
      <c r="FMY1" s="22"/>
      <c r="FMZ1" s="22"/>
      <c r="FNA1" s="22"/>
      <c r="FNB1" s="22"/>
      <c r="FNC1" s="22"/>
      <c r="FND1" s="22"/>
      <c r="FNE1" s="22"/>
      <c r="FNF1" s="22"/>
      <c r="FNG1" s="22"/>
      <c r="FNH1" s="22"/>
      <c r="FNI1" s="22"/>
      <c r="FNJ1" s="22"/>
      <c r="FNK1" s="22"/>
      <c r="FNL1" s="22"/>
      <c r="FNM1" s="22"/>
      <c r="FNN1" s="22"/>
      <c r="FNO1" s="22"/>
      <c r="FNP1" s="22"/>
      <c r="FNQ1" s="22"/>
      <c r="FNR1" s="22"/>
      <c r="FNS1" s="22"/>
      <c r="FNT1" s="22"/>
      <c r="FNU1" s="22"/>
      <c r="FNV1" s="22"/>
      <c r="FNW1" s="22"/>
      <c r="FNX1" s="22"/>
      <c r="FNY1" s="22"/>
      <c r="FNZ1" s="22"/>
      <c r="FOA1" s="22"/>
      <c r="FOB1" s="22"/>
      <c r="FOC1" s="22"/>
      <c r="FOD1" s="22"/>
      <c r="FOE1" s="22"/>
      <c r="FOF1" s="22"/>
      <c r="FOG1" s="22"/>
      <c r="FOH1" s="22"/>
      <c r="FOI1" s="22"/>
      <c r="FOJ1" s="22"/>
      <c r="FOK1" s="22"/>
      <c r="FOL1" s="22"/>
      <c r="FOM1" s="22"/>
      <c r="FON1" s="22"/>
      <c r="FOO1" s="22"/>
      <c r="FOP1" s="22"/>
      <c r="FOQ1" s="22"/>
      <c r="FOR1" s="22"/>
      <c r="FOS1" s="22"/>
      <c r="FOT1" s="22"/>
      <c r="FOU1" s="22"/>
      <c r="FOV1" s="22"/>
      <c r="FOW1" s="22"/>
      <c r="FOX1" s="22"/>
      <c r="FOY1" s="22"/>
      <c r="FOZ1" s="22"/>
      <c r="FPA1" s="22"/>
      <c r="FPB1" s="22"/>
      <c r="FPC1" s="22"/>
      <c r="FPD1" s="22"/>
      <c r="FPE1" s="22"/>
      <c r="FPF1" s="22"/>
      <c r="FPG1" s="22"/>
      <c r="FPH1" s="22"/>
      <c r="FPI1" s="22"/>
      <c r="FPJ1" s="22"/>
      <c r="FPK1" s="22"/>
      <c r="FPL1" s="22"/>
      <c r="FPM1" s="22"/>
      <c r="FPN1" s="22"/>
      <c r="FPO1" s="22"/>
      <c r="FPP1" s="22"/>
      <c r="FPQ1" s="22"/>
      <c r="FPR1" s="22"/>
      <c r="FPS1" s="22"/>
      <c r="FPT1" s="22"/>
      <c r="FPU1" s="22"/>
      <c r="FPV1" s="22"/>
      <c r="FPW1" s="22"/>
      <c r="FPX1" s="22"/>
      <c r="FPY1" s="22"/>
      <c r="FPZ1" s="22"/>
      <c r="FQA1" s="22"/>
      <c r="FQB1" s="22"/>
      <c r="FQC1" s="22"/>
      <c r="FQD1" s="22"/>
      <c r="FQE1" s="22"/>
      <c r="FQF1" s="22"/>
      <c r="FQG1" s="22"/>
      <c r="FQH1" s="22"/>
      <c r="FQI1" s="22"/>
      <c r="FQJ1" s="22"/>
      <c r="FQK1" s="22"/>
      <c r="FQL1" s="22"/>
      <c r="FQM1" s="22"/>
      <c r="FQN1" s="22"/>
      <c r="FQO1" s="22"/>
      <c r="FQP1" s="22"/>
      <c r="FQQ1" s="22"/>
      <c r="FQR1" s="22"/>
      <c r="FQS1" s="22"/>
      <c r="FQT1" s="22"/>
      <c r="FQU1" s="22"/>
      <c r="FQV1" s="22"/>
      <c r="FQW1" s="22"/>
      <c r="FQX1" s="22"/>
      <c r="FQY1" s="22"/>
      <c r="FQZ1" s="22"/>
      <c r="FRA1" s="22"/>
      <c r="FRB1" s="22"/>
      <c r="FRC1" s="22"/>
      <c r="FRD1" s="22"/>
      <c r="FRE1" s="22"/>
      <c r="FRF1" s="22"/>
      <c r="FRG1" s="22"/>
      <c r="FRH1" s="22"/>
      <c r="FRI1" s="22"/>
      <c r="FRJ1" s="22"/>
      <c r="FRK1" s="22"/>
      <c r="FRL1" s="22"/>
      <c r="FRM1" s="22"/>
      <c r="FRN1" s="22"/>
      <c r="FRO1" s="22"/>
      <c r="FRP1" s="22"/>
      <c r="FRQ1" s="22"/>
      <c r="FRR1" s="22"/>
      <c r="FRS1" s="22"/>
      <c r="FRT1" s="22"/>
      <c r="FRU1" s="22"/>
      <c r="FRV1" s="22"/>
      <c r="FRW1" s="22"/>
      <c r="FRX1" s="22"/>
      <c r="FRY1" s="22"/>
      <c r="FRZ1" s="22"/>
      <c r="FSA1" s="22"/>
      <c r="FSB1" s="22"/>
      <c r="FSC1" s="22"/>
      <c r="FSD1" s="22"/>
      <c r="FSE1" s="22"/>
      <c r="FSF1" s="22"/>
      <c r="FSG1" s="22"/>
      <c r="FSH1" s="22"/>
      <c r="FSI1" s="22"/>
      <c r="FSJ1" s="22"/>
      <c r="FSK1" s="22"/>
      <c r="FSL1" s="22"/>
      <c r="FSM1" s="22"/>
      <c r="FSN1" s="22"/>
      <c r="FSO1" s="22"/>
      <c r="FSP1" s="22"/>
      <c r="FSQ1" s="22"/>
      <c r="FSR1" s="22"/>
      <c r="FSS1" s="22"/>
      <c r="FST1" s="22"/>
      <c r="FSU1" s="22"/>
      <c r="FSV1" s="22"/>
      <c r="FSW1" s="22"/>
      <c r="FSX1" s="22"/>
      <c r="FSY1" s="22"/>
      <c r="FSZ1" s="22"/>
      <c r="FTA1" s="22"/>
      <c r="FTB1" s="22"/>
      <c r="FTC1" s="22"/>
      <c r="FTD1" s="22"/>
      <c r="FTE1" s="22"/>
      <c r="FTF1" s="22"/>
      <c r="FTG1" s="22"/>
      <c r="FTH1" s="22"/>
      <c r="FTI1" s="22"/>
      <c r="FTJ1" s="22"/>
      <c r="FTK1" s="22"/>
      <c r="FTL1" s="22"/>
      <c r="FTM1" s="22"/>
      <c r="FTN1" s="22"/>
      <c r="FTO1" s="22"/>
      <c r="FTP1" s="22"/>
      <c r="FTQ1" s="22"/>
      <c r="FTR1" s="22"/>
      <c r="FTS1" s="22"/>
      <c r="FTT1" s="22"/>
      <c r="FTU1" s="22"/>
      <c r="FTV1" s="22"/>
      <c r="FTW1" s="22"/>
      <c r="FTX1" s="22"/>
      <c r="FTY1" s="22"/>
      <c r="FTZ1" s="22"/>
      <c r="FUA1" s="22"/>
      <c r="FUB1" s="22"/>
      <c r="FUC1" s="22"/>
      <c r="FUD1" s="22"/>
      <c r="FUE1" s="22"/>
      <c r="FUF1" s="22"/>
      <c r="FUG1" s="22"/>
      <c r="FUH1" s="22"/>
      <c r="FUI1" s="22"/>
      <c r="FUJ1" s="22"/>
      <c r="FUK1" s="22"/>
      <c r="FUL1" s="22"/>
      <c r="FUM1" s="22"/>
      <c r="FUN1" s="22"/>
      <c r="FUO1" s="22"/>
      <c r="FUP1" s="22"/>
      <c r="FUQ1" s="22"/>
      <c r="FUR1" s="22"/>
      <c r="FUS1" s="22"/>
      <c r="FUT1" s="22"/>
      <c r="FUU1" s="22"/>
      <c r="FUV1" s="22"/>
      <c r="FUW1" s="22"/>
      <c r="FUX1" s="22"/>
      <c r="FUY1" s="22"/>
      <c r="FUZ1" s="22"/>
      <c r="FVA1" s="22"/>
      <c r="FVB1" s="22"/>
      <c r="FVC1" s="22"/>
      <c r="FVD1" s="22"/>
      <c r="FVE1" s="22"/>
      <c r="FVF1" s="22"/>
      <c r="FVG1" s="22"/>
      <c r="FVH1" s="22"/>
      <c r="FVI1" s="22"/>
      <c r="FVJ1" s="22"/>
      <c r="FVK1" s="22"/>
      <c r="FVL1" s="22"/>
      <c r="FVM1" s="22"/>
      <c r="FVN1" s="22"/>
      <c r="FVO1" s="22"/>
      <c r="FVP1" s="22"/>
      <c r="FVQ1" s="22"/>
      <c r="FVR1" s="22"/>
      <c r="FVS1" s="22"/>
      <c r="FVT1" s="22"/>
      <c r="FVU1" s="22"/>
      <c r="FVV1" s="22"/>
      <c r="FVW1" s="22"/>
      <c r="FVX1" s="22"/>
      <c r="FVY1" s="22"/>
      <c r="FVZ1" s="22"/>
      <c r="FWA1" s="22"/>
      <c r="FWB1" s="22"/>
      <c r="FWC1" s="22"/>
      <c r="FWD1" s="22"/>
      <c r="FWE1" s="22"/>
      <c r="FWF1" s="22"/>
      <c r="FWG1" s="22"/>
      <c r="FWH1" s="22"/>
      <c r="FWI1" s="22"/>
      <c r="FWJ1" s="22"/>
      <c r="FWK1" s="22"/>
      <c r="FWL1" s="22"/>
      <c r="FWM1" s="22"/>
      <c r="FWN1" s="22"/>
      <c r="FWO1" s="22"/>
      <c r="FWP1" s="22"/>
      <c r="FWQ1" s="22"/>
      <c r="FWR1" s="22"/>
      <c r="FWS1" s="22"/>
      <c r="FWT1" s="22"/>
      <c r="FWU1" s="22"/>
      <c r="FWV1" s="22"/>
      <c r="FWW1" s="22"/>
      <c r="FWX1" s="22"/>
      <c r="FWY1" s="22"/>
      <c r="FWZ1" s="22"/>
      <c r="FXA1" s="22"/>
      <c r="FXB1" s="22"/>
      <c r="FXC1" s="22"/>
      <c r="FXD1" s="22"/>
      <c r="FXE1" s="22"/>
      <c r="FXF1" s="22"/>
      <c r="FXG1" s="22"/>
      <c r="FXH1" s="22"/>
      <c r="FXI1" s="22"/>
      <c r="FXJ1" s="22"/>
      <c r="FXK1" s="22"/>
      <c r="FXL1" s="22"/>
      <c r="FXM1" s="22"/>
      <c r="FXN1" s="22"/>
      <c r="FXO1" s="22"/>
      <c r="FXP1" s="22"/>
      <c r="FXQ1" s="22"/>
      <c r="FXR1" s="22"/>
      <c r="FXS1" s="22"/>
      <c r="FXT1" s="22"/>
      <c r="FXU1" s="22"/>
      <c r="FXV1" s="22"/>
      <c r="FXW1" s="22"/>
      <c r="FXX1" s="22"/>
      <c r="FXY1" s="22"/>
      <c r="FXZ1" s="22"/>
      <c r="FYA1" s="22"/>
      <c r="FYB1" s="22"/>
      <c r="FYC1" s="22"/>
      <c r="FYD1" s="22"/>
      <c r="FYE1" s="22"/>
      <c r="FYF1" s="22"/>
      <c r="FYG1" s="22"/>
      <c r="FYH1" s="22"/>
      <c r="FYI1" s="22"/>
      <c r="FYJ1" s="22"/>
      <c r="FYK1" s="22"/>
      <c r="FYL1" s="22"/>
      <c r="FYM1" s="22"/>
      <c r="FYN1" s="22"/>
      <c r="FYO1" s="22"/>
      <c r="FYP1" s="22"/>
      <c r="FYQ1" s="22"/>
      <c r="FYR1" s="22"/>
      <c r="FYS1" s="22"/>
      <c r="FYT1" s="22"/>
      <c r="FYU1" s="22"/>
      <c r="FYV1" s="22"/>
      <c r="FYW1" s="22"/>
      <c r="FYX1" s="22"/>
      <c r="FYY1" s="22"/>
      <c r="FYZ1" s="22"/>
      <c r="FZA1" s="22"/>
      <c r="FZB1" s="22"/>
      <c r="FZC1" s="22"/>
      <c r="FZD1" s="22"/>
      <c r="FZE1" s="22"/>
      <c r="FZF1" s="22"/>
      <c r="FZG1" s="22"/>
      <c r="FZH1" s="22"/>
      <c r="FZI1" s="22"/>
      <c r="FZJ1" s="22"/>
      <c r="FZK1" s="22"/>
      <c r="FZL1" s="22"/>
      <c r="FZM1" s="22"/>
      <c r="FZN1" s="22"/>
      <c r="FZO1" s="22"/>
      <c r="FZP1" s="22"/>
      <c r="FZQ1" s="22"/>
      <c r="FZR1" s="22"/>
      <c r="FZS1" s="22"/>
      <c r="FZT1" s="22"/>
      <c r="FZU1" s="22"/>
      <c r="FZV1" s="22"/>
      <c r="FZW1" s="22"/>
      <c r="FZX1" s="22"/>
      <c r="FZY1" s="22"/>
      <c r="FZZ1" s="22"/>
      <c r="GAA1" s="22"/>
      <c r="GAB1" s="22"/>
      <c r="GAC1" s="22"/>
      <c r="GAD1" s="22"/>
      <c r="GAE1" s="22"/>
      <c r="GAF1" s="22"/>
      <c r="GAG1" s="22"/>
      <c r="GAH1" s="22"/>
      <c r="GAI1" s="22"/>
      <c r="GAJ1" s="22"/>
      <c r="GAK1" s="22"/>
      <c r="GAL1" s="22"/>
      <c r="GAM1" s="22"/>
      <c r="GAN1" s="22"/>
      <c r="GAO1" s="22"/>
      <c r="GAP1" s="22"/>
      <c r="GAQ1" s="22"/>
      <c r="GAR1" s="22"/>
      <c r="GAS1" s="22"/>
      <c r="GAT1" s="22"/>
      <c r="GAU1" s="22"/>
      <c r="GAV1" s="22"/>
      <c r="GAW1" s="22"/>
      <c r="GAX1" s="22"/>
      <c r="GAY1" s="22"/>
      <c r="GAZ1" s="22"/>
      <c r="GBA1" s="22"/>
      <c r="GBB1" s="22"/>
      <c r="GBC1" s="22"/>
      <c r="GBD1" s="22"/>
      <c r="GBE1" s="22"/>
      <c r="GBF1" s="22"/>
      <c r="GBG1" s="22"/>
      <c r="GBH1" s="22"/>
      <c r="GBI1" s="22"/>
      <c r="GBJ1" s="22"/>
      <c r="GBK1" s="22"/>
      <c r="GBL1" s="22"/>
      <c r="GBM1" s="22"/>
      <c r="GBN1" s="22"/>
      <c r="GBO1" s="22"/>
      <c r="GBP1" s="22"/>
      <c r="GBQ1" s="22"/>
      <c r="GBR1" s="22"/>
      <c r="GBS1" s="22"/>
      <c r="GBT1" s="22"/>
      <c r="GBU1" s="22"/>
      <c r="GBV1" s="22"/>
      <c r="GBW1" s="22"/>
      <c r="GBX1" s="22"/>
      <c r="GBY1" s="22"/>
      <c r="GBZ1" s="22"/>
      <c r="GCA1" s="22"/>
      <c r="GCB1" s="22"/>
      <c r="GCC1" s="22"/>
      <c r="GCD1" s="22"/>
      <c r="GCE1" s="22"/>
      <c r="GCF1" s="22"/>
      <c r="GCG1" s="22"/>
      <c r="GCH1" s="22"/>
      <c r="GCI1" s="22"/>
      <c r="GCJ1" s="22"/>
      <c r="GCK1" s="22"/>
      <c r="GCL1" s="22"/>
      <c r="GCM1" s="22"/>
      <c r="GCN1" s="22"/>
      <c r="GCO1" s="22"/>
      <c r="GCP1" s="22"/>
      <c r="GCQ1" s="22"/>
      <c r="GCR1" s="22"/>
      <c r="GCS1" s="22"/>
      <c r="GCT1" s="22"/>
      <c r="GCU1" s="22"/>
      <c r="GCV1" s="22"/>
      <c r="GCW1" s="22"/>
      <c r="GCX1" s="22"/>
      <c r="GCY1" s="22"/>
      <c r="GCZ1" s="22"/>
      <c r="GDA1" s="22"/>
      <c r="GDB1" s="22"/>
      <c r="GDC1" s="22"/>
      <c r="GDD1" s="22"/>
      <c r="GDE1" s="22"/>
      <c r="GDF1" s="22"/>
      <c r="GDG1" s="22"/>
      <c r="GDH1" s="22"/>
      <c r="GDI1" s="22"/>
      <c r="GDJ1" s="22"/>
      <c r="GDK1" s="22"/>
      <c r="GDL1" s="22"/>
      <c r="GDM1" s="22"/>
      <c r="GDN1" s="22"/>
      <c r="GDO1" s="22"/>
      <c r="GDP1" s="22"/>
      <c r="GDQ1" s="22"/>
      <c r="GDR1" s="22"/>
      <c r="GDS1" s="22"/>
      <c r="GDT1" s="22"/>
      <c r="GDU1" s="22"/>
      <c r="GDV1" s="22"/>
      <c r="GDW1" s="22"/>
      <c r="GDX1" s="22"/>
      <c r="GDY1" s="22"/>
      <c r="GDZ1" s="22"/>
      <c r="GEA1" s="22"/>
      <c r="GEB1" s="22"/>
      <c r="GEC1" s="22"/>
      <c r="GED1" s="22"/>
      <c r="GEE1" s="22"/>
      <c r="GEF1" s="22"/>
      <c r="GEG1" s="22"/>
      <c r="GEH1" s="22"/>
      <c r="GEI1" s="22"/>
      <c r="GEJ1" s="22"/>
      <c r="GEK1" s="22"/>
      <c r="GEL1" s="22"/>
      <c r="GEM1" s="22"/>
      <c r="GEN1" s="22"/>
      <c r="GEO1" s="22"/>
      <c r="GEP1" s="22"/>
      <c r="GEQ1" s="22"/>
      <c r="GER1" s="22"/>
      <c r="GES1" s="22"/>
      <c r="GET1" s="22"/>
      <c r="GEU1" s="22"/>
      <c r="GEV1" s="22"/>
      <c r="GEW1" s="22"/>
      <c r="GEX1" s="22"/>
      <c r="GEY1" s="22"/>
      <c r="GEZ1" s="22"/>
      <c r="GFA1" s="22"/>
      <c r="GFB1" s="22"/>
      <c r="GFC1" s="22"/>
      <c r="GFD1" s="22"/>
      <c r="GFE1" s="22"/>
      <c r="GFF1" s="22"/>
      <c r="GFG1" s="22"/>
      <c r="GFH1" s="22"/>
      <c r="GFI1" s="22"/>
      <c r="GFJ1" s="22"/>
      <c r="GFK1" s="22"/>
      <c r="GFL1" s="22"/>
      <c r="GFM1" s="22"/>
      <c r="GFN1" s="22"/>
      <c r="GFO1" s="22"/>
      <c r="GFP1" s="22"/>
      <c r="GFQ1" s="22"/>
      <c r="GFR1" s="22"/>
      <c r="GFS1" s="22"/>
      <c r="GFT1" s="22"/>
      <c r="GFU1" s="22"/>
      <c r="GFV1" s="22"/>
      <c r="GFW1" s="22"/>
      <c r="GFX1" s="22"/>
      <c r="GFY1" s="22"/>
      <c r="GFZ1" s="22"/>
      <c r="GGA1" s="22"/>
      <c r="GGB1" s="22"/>
      <c r="GGC1" s="22"/>
      <c r="GGD1" s="22"/>
      <c r="GGE1" s="22"/>
      <c r="GGF1" s="22"/>
      <c r="GGG1" s="22"/>
      <c r="GGH1" s="22"/>
      <c r="GGI1" s="22"/>
      <c r="GGJ1" s="22"/>
      <c r="GGK1" s="22"/>
      <c r="GGL1" s="22"/>
      <c r="GGM1" s="22"/>
      <c r="GGN1" s="22"/>
      <c r="GGO1" s="22"/>
      <c r="GGP1" s="22"/>
      <c r="GGQ1" s="22"/>
      <c r="GGR1" s="22"/>
      <c r="GGS1" s="22"/>
      <c r="GGT1" s="22"/>
      <c r="GGU1" s="22"/>
      <c r="GGV1" s="22"/>
      <c r="GGW1" s="22"/>
      <c r="GGX1" s="22"/>
      <c r="GGY1" s="22"/>
      <c r="GGZ1" s="22"/>
      <c r="GHA1" s="22"/>
      <c r="GHB1" s="22"/>
      <c r="GHC1" s="22"/>
      <c r="GHD1" s="22"/>
      <c r="GHE1" s="22"/>
      <c r="GHF1" s="22"/>
      <c r="GHG1" s="22"/>
      <c r="GHH1" s="22"/>
      <c r="GHI1" s="22"/>
      <c r="GHJ1" s="22"/>
      <c r="GHK1" s="22"/>
      <c r="GHL1" s="22"/>
      <c r="GHM1" s="22"/>
      <c r="GHN1" s="22"/>
      <c r="GHO1" s="22"/>
      <c r="GHP1" s="22"/>
      <c r="GHQ1" s="22"/>
      <c r="GHR1" s="22"/>
      <c r="GHS1" s="22"/>
      <c r="GHT1" s="22"/>
      <c r="GHU1" s="22"/>
      <c r="GHV1" s="22"/>
      <c r="GHW1" s="22"/>
      <c r="GHX1" s="22"/>
      <c r="GHY1" s="22"/>
      <c r="GHZ1" s="22"/>
      <c r="GIA1" s="22"/>
      <c r="GIB1" s="22"/>
      <c r="GIC1" s="22"/>
      <c r="GID1" s="22"/>
      <c r="GIE1" s="22"/>
      <c r="GIF1" s="22"/>
      <c r="GIG1" s="22"/>
      <c r="GIH1" s="22"/>
      <c r="GII1" s="22"/>
      <c r="GIJ1" s="22"/>
      <c r="GIK1" s="22"/>
      <c r="GIL1" s="22"/>
      <c r="GIM1" s="22"/>
      <c r="GIN1" s="22"/>
      <c r="GIO1" s="22"/>
      <c r="GIP1" s="22"/>
      <c r="GIQ1" s="22"/>
      <c r="GIR1" s="22"/>
      <c r="GIS1" s="22"/>
      <c r="GIT1" s="22"/>
      <c r="GIU1" s="22"/>
      <c r="GIV1" s="22"/>
      <c r="GIW1" s="22"/>
      <c r="GIX1" s="22"/>
      <c r="GIY1" s="22"/>
      <c r="GIZ1" s="22"/>
      <c r="GJA1" s="22"/>
      <c r="GJB1" s="22"/>
      <c r="GJC1" s="22"/>
      <c r="GJD1" s="22"/>
      <c r="GJE1" s="22"/>
      <c r="GJF1" s="22"/>
      <c r="GJG1" s="22"/>
      <c r="GJH1" s="22"/>
      <c r="GJI1" s="22"/>
      <c r="GJJ1" s="22"/>
      <c r="GJK1" s="22"/>
      <c r="GJL1" s="22"/>
      <c r="GJM1" s="22"/>
      <c r="GJN1" s="22"/>
      <c r="GJO1" s="22"/>
      <c r="GJP1" s="22"/>
      <c r="GJQ1" s="22"/>
      <c r="GJR1" s="22"/>
      <c r="GJS1" s="22"/>
      <c r="GJT1" s="22"/>
      <c r="GJU1" s="22"/>
      <c r="GJV1" s="22"/>
      <c r="GJW1" s="22"/>
      <c r="GJX1" s="22"/>
      <c r="GJY1" s="22"/>
      <c r="GJZ1" s="22"/>
      <c r="GKA1" s="22"/>
      <c r="GKB1" s="22"/>
      <c r="GKC1" s="22"/>
      <c r="GKD1" s="22"/>
      <c r="GKE1" s="22"/>
      <c r="GKF1" s="22"/>
      <c r="GKG1" s="22"/>
      <c r="GKH1" s="22"/>
      <c r="GKI1" s="22"/>
      <c r="GKJ1" s="22"/>
      <c r="GKK1" s="22"/>
      <c r="GKL1" s="22"/>
      <c r="GKM1" s="22"/>
      <c r="GKN1" s="22"/>
      <c r="GKO1" s="22"/>
      <c r="GKP1" s="22"/>
      <c r="GKQ1" s="22"/>
      <c r="GKR1" s="22"/>
      <c r="GKS1" s="22"/>
      <c r="GKT1" s="22"/>
      <c r="GKU1" s="22"/>
      <c r="GKV1" s="22"/>
      <c r="GKW1" s="22"/>
      <c r="GKX1" s="22"/>
      <c r="GKY1" s="22"/>
      <c r="GKZ1" s="22"/>
      <c r="GLA1" s="22"/>
      <c r="GLB1" s="22"/>
      <c r="GLC1" s="22"/>
      <c r="GLD1" s="22"/>
      <c r="GLE1" s="22"/>
      <c r="GLF1" s="22"/>
      <c r="GLG1" s="22"/>
      <c r="GLH1" s="22"/>
      <c r="GLI1" s="22"/>
      <c r="GLJ1" s="22"/>
      <c r="GLK1" s="22"/>
      <c r="GLL1" s="22"/>
      <c r="GLM1" s="22"/>
      <c r="GLN1" s="22"/>
      <c r="GLO1" s="22"/>
      <c r="GLP1" s="22"/>
      <c r="GLQ1" s="22"/>
      <c r="GLR1" s="22"/>
      <c r="GLS1" s="22"/>
      <c r="GLT1" s="22"/>
      <c r="GLU1" s="22"/>
      <c r="GLV1" s="22"/>
      <c r="GLW1" s="22"/>
      <c r="GLX1" s="22"/>
      <c r="GLY1" s="22"/>
      <c r="GLZ1" s="22"/>
      <c r="GMA1" s="22"/>
      <c r="GMB1" s="22"/>
      <c r="GMC1" s="22"/>
      <c r="GMD1" s="22"/>
      <c r="GME1" s="22"/>
      <c r="GMF1" s="22"/>
      <c r="GMG1" s="22"/>
      <c r="GMH1" s="22"/>
      <c r="GMI1" s="22"/>
      <c r="GMJ1" s="22"/>
      <c r="GMK1" s="22"/>
      <c r="GML1" s="22"/>
      <c r="GMM1" s="22"/>
      <c r="GMN1" s="22"/>
      <c r="GMO1" s="22"/>
      <c r="GMP1" s="22"/>
      <c r="GMQ1" s="22"/>
      <c r="GMR1" s="22"/>
      <c r="GMS1" s="22"/>
      <c r="GMT1" s="22"/>
      <c r="GMU1" s="22"/>
      <c r="GMV1" s="22"/>
      <c r="GMW1" s="22"/>
      <c r="GMX1" s="22"/>
      <c r="GMY1" s="22"/>
      <c r="GMZ1" s="22"/>
      <c r="GNA1" s="22"/>
      <c r="GNB1" s="22"/>
      <c r="GNC1" s="22"/>
      <c r="GND1" s="22"/>
      <c r="GNE1" s="22"/>
      <c r="GNF1" s="22"/>
      <c r="GNG1" s="22"/>
      <c r="GNH1" s="22"/>
      <c r="GNI1" s="22"/>
      <c r="GNJ1" s="22"/>
      <c r="GNK1" s="22"/>
      <c r="GNL1" s="22"/>
      <c r="GNM1" s="22"/>
      <c r="GNN1" s="22"/>
      <c r="GNO1" s="22"/>
      <c r="GNP1" s="22"/>
      <c r="GNQ1" s="22"/>
      <c r="GNR1" s="22"/>
      <c r="GNS1" s="22"/>
      <c r="GNT1" s="22"/>
      <c r="GNU1" s="22"/>
      <c r="GNV1" s="22"/>
      <c r="GNW1" s="22"/>
      <c r="GNX1" s="22"/>
      <c r="GNY1" s="22"/>
      <c r="GNZ1" s="22"/>
      <c r="GOA1" s="22"/>
      <c r="GOB1" s="22"/>
      <c r="GOC1" s="22"/>
      <c r="GOD1" s="22"/>
      <c r="GOE1" s="22"/>
      <c r="GOF1" s="22"/>
      <c r="GOG1" s="22"/>
      <c r="GOH1" s="22"/>
      <c r="GOI1" s="22"/>
      <c r="GOJ1" s="22"/>
      <c r="GOK1" s="22"/>
      <c r="GOL1" s="22"/>
      <c r="GOM1" s="22"/>
      <c r="GON1" s="22"/>
      <c r="GOO1" s="22"/>
      <c r="GOP1" s="22"/>
      <c r="GOQ1" s="22"/>
      <c r="GOR1" s="22"/>
      <c r="GOS1" s="22"/>
      <c r="GOT1" s="22"/>
      <c r="GOU1" s="22"/>
      <c r="GOV1" s="22"/>
      <c r="GOW1" s="22"/>
      <c r="GOX1" s="22"/>
      <c r="GOY1" s="22"/>
      <c r="GOZ1" s="22"/>
      <c r="GPA1" s="22"/>
      <c r="GPB1" s="22"/>
      <c r="GPC1" s="22"/>
      <c r="GPD1" s="22"/>
      <c r="GPE1" s="22"/>
      <c r="GPF1" s="22"/>
      <c r="GPG1" s="22"/>
      <c r="GPH1" s="22"/>
      <c r="GPI1" s="22"/>
      <c r="GPJ1" s="22"/>
      <c r="GPK1" s="22"/>
      <c r="GPL1" s="22"/>
      <c r="GPM1" s="22"/>
      <c r="GPN1" s="22"/>
      <c r="GPO1" s="22"/>
      <c r="GPP1" s="22"/>
      <c r="GPQ1" s="22"/>
      <c r="GPR1" s="22"/>
      <c r="GPS1" s="22"/>
      <c r="GPT1" s="22"/>
      <c r="GPU1" s="22"/>
      <c r="GPV1" s="22"/>
      <c r="GPW1" s="22"/>
      <c r="GPX1" s="22"/>
      <c r="GPY1" s="22"/>
      <c r="GPZ1" s="22"/>
      <c r="GQA1" s="22"/>
      <c r="GQB1" s="22"/>
      <c r="GQC1" s="22"/>
      <c r="GQD1" s="22"/>
      <c r="GQE1" s="22"/>
      <c r="GQF1" s="22"/>
      <c r="GQG1" s="22"/>
      <c r="GQH1" s="22"/>
      <c r="GQI1" s="22"/>
      <c r="GQJ1" s="22"/>
      <c r="GQK1" s="22"/>
      <c r="GQL1" s="22"/>
      <c r="GQM1" s="22"/>
      <c r="GQN1" s="22"/>
      <c r="GQO1" s="22"/>
      <c r="GQP1" s="22"/>
      <c r="GQQ1" s="22"/>
      <c r="GQR1" s="22"/>
      <c r="GQS1" s="22"/>
      <c r="GQT1" s="22"/>
      <c r="GQU1" s="22"/>
      <c r="GQV1" s="22"/>
      <c r="GQW1" s="22"/>
      <c r="GQX1" s="22"/>
      <c r="GQY1" s="22"/>
      <c r="GQZ1" s="22"/>
      <c r="GRA1" s="22"/>
      <c r="GRB1" s="22"/>
      <c r="GRC1" s="22"/>
      <c r="GRD1" s="22"/>
      <c r="GRE1" s="22"/>
      <c r="GRF1" s="22"/>
      <c r="GRG1" s="22"/>
      <c r="GRH1" s="22"/>
      <c r="GRI1" s="22"/>
      <c r="GRJ1" s="22"/>
      <c r="GRK1" s="22"/>
      <c r="GRL1" s="22"/>
      <c r="GRM1" s="22"/>
      <c r="GRN1" s="22"/>
      <c r="GRO1" s="22"/>
      <c r="GRP1" s="22"/>
      <c r="GRQ1" s="22"/>
      <c r="GRR1" s="22"/>
      <c r="GRS1" s="22"/>
      <c r="GRT1" s="22"/>
      <c r="GRU1" s="22"/>
      <c r="GRV1" s="22"/>
      <c r="GRW1" s="22"/>
      <c r="GRX1" s="22"/>
      <c r="GRY1" s="22"/>
      <c r="GRZ1" s="22"/>
      <c r="GSA1" s="22"/>
      <c r="GSB1" s="22"/>
      <c r="GSC1" s="22"/>
      <c r="GSD1" s="22"/>
      <c r="GSE1" s="22"/>
      <c r="GSF1" s="22"/>
      <c r="GSG1" s="22"/>
      <c r="GSH1" s="22"/>
      <c r="GSI1" s="22"/>
      <c r="GSJ1" s="22"/>
      <c r="GSK1" s="22"/>
      <c r="GSL1" s="22"/>
      <c r="GSM1" s="22"/>
      <c r="GSN1" s="22"/>
      <c r="GSO1" s="22"/>
      <c r="GSP1" s="22"/>
      <c r="GSQ1" s="22"/>
      <c r="GSR1" s="22"/>
      <c r="GSS1" s="22"/>
      <c r="GST1" s="22"/>
      <c r="GSU1" s="22"/>
      <c r="GSV1" s="22"/>
      <c r="GSW1" s="22"/>
      <c r="GSX1" s="22"/>
      <c r="GSY1" s="22"/>
      <c r="GSZ1" s="22"/>
      <c r="GTA1" s="22"/>
      <c r="GTB1" s="22"/>
      <c r="GTC1" s="22"/>
      <c r="GTD1" s="22"/>
      <c r="GTE1" s="22"/>
      <c r="GTF1" s="22"/>
      <c r="GTG1" s="22"/>
      <c r="GTH1" s="22"/>
      <c r="GTI1" s="22"/>
      <c r="GTJ1" s="22"/>
      <c r="GTK1" s="22"/>
      <c r="GTL1" s="22"/>
      <c r="GTM1" s="22"/>
      <c r="GTN1" s="22"/>
      <c r="GTO1" s="22"/>
      <c r="GTP1" s="22"/>
      <c r="GTQ1" s="22"/>
      <c r="GTR1" s="22"/>
      <c r="GTS1" s="22"/>
      <c r="GTT1" s="22"/>
      <c r="GTU1" s="22"/>
      <c r="GTV1" s="22"/>
      <c r="GTW1" s="22"/>
      <c r="GTX1" s="22"/>
      <c r="GTY1" s="22"/>
      <c r="GTZ1" s="22"/>
      <c r="GUA1" s="22"/>
      <c r="GUB1" s="22"/>
      <c r="GUC1" s="22"/>
      <c r="GUD1" s="22"/>
      <c r="GUE1" s="22"/>
      <c r="GUF1" s="22"/>
      <c r="GUG1" s="22"/>
      <c r="GUH1" s="22"/>
      <c r="GUI1" s="22"/>
      <c r="GUJ1" s="22"/>
      <c r="GUK1" s="22"/>
      <c r="GUL1" s="22"/>
      <c r="GUM1" s="22"/>
      <c r="GUN1" s="22"/>
      <c r="GUO1" s="22"/>
      <c r="GUP1" s="22"/>
      <c r="GUQ1" s="22"/>
      <c r="GUR1" s="22"/>
      <c r="GUS1" s="22"/>
      <c r="GUT1" s="22"/>
      <c r="GUU1" s="22"/>
      <c r="GUV1" s="22"/>
      <c r="GUW1" s="22"/>
      <c r="GUX1" s="22"/>
      <c r="GUY1" s="22"/>
      <c r="GUZ1" s="22"/>
      <c r="GVA1" s="22"/>
      <c r="GVB1" s="22"/>
      <c r="GVC1" s="22"/>
      <c r="GVD1" s="22"/>
      <c r="GVE1" s="22"/>
      <c r="GVF1" s="22"/>
      <c r="GVG1" s="22"/>
      <c r="GVH1" s="22"/>
      <c r="GVI1" s="22"/>
      <c r="GVJ1" s="22"/>
      <c r="GVK1" s="22"/>
      <c r="GVL1" s="22"/>
      <c r="GVM1" s="22"/>
      <c r="GVN1" s="22"/>
      <c r="GVO1" s="22"/>
      <c r="GVP1" s="22"/>
      <c r="GVQ1" s="22"/>
      <c r="GVR1" s="22"/>
      <c r="GVS1" s="22"/>
      <c r="GVT1" s="22"/>
      <c r="GVU1" s="22"/>
      <c r="GVV1" s="22"/>
      <c r="GVW1" s="22"/>
      <c r="GVX1" s="22"/>
      <c r="GVY1" s="22"/>
      <c r="GVZ1" s="22"/>
      <c r="GWA1" s="22"/>
      <c r="GWB1" s="22"/>
      <c r="GWC1" s="22"/>
      <c r="GWD1" s="22"/>
      <c r="GWE1" s="22"/>
      <c r="GWF1" s="22"/>
      <c r="GWG1" s="22"/>
      <c r="GWH1" s="22"/>
      <c r="GWI1" s="22"/>
      <c r="GWJ1" s="22"/>
      <c r="GWK1" s="22"/>
      <c r="GWL1" s="22"/>
      <c r="GWM1" s="22"/>
      <c r="GWN1" s="22"/>
      <c r="GWO1" s="22"/>
      <c r="GWP1" s="22"/>
      <c r="GWQ1" s="22"/>
      <c r="GWR1" s="22"/>
      <c r="GWS1" s="22"/>
      <c r="GWT1" s="22"/>
      <c r="GWU1" s="22"/>
      <c r="GWV1" s="22"/>
      <c r="GWW1" s="22"/>
      <c r="GWX1" s="22"/>
      <c r="GWY1" s="22"/>
      <c r="GWZ1" s="22"/>
      <c r="GXA1" s="22"/>
      <c r="GXB1" s="22"/>
      <c r="GXC1" s="22"/>
      <c r="GXD1" s="22"/>
      <c r="GXE1" s="22"/>
      <c r="GXF1" s="22"/>
      <c r="GXG1" s="22"/>
      <c r="GXH1" s="22"/>
      <c r="GXI1" s="22"/>
      <c r="GXJ1" s="22"/>
      <c r="GXK1" s="22"/>
      <c r="GXL1" s="22"/>
      <c r="GXM1" s="22"/>
      <c r="GXN1" s="22"/>
      <c r="GXO1" s="22"/>
      <c r="GXP1" s="22"/>
      <c r="GXQ1" s="22"/>
      <c r="GXR1" s="22"/>
      <c r="GXS1" s="22"/>
      <c r="GXT1" s="22"/>
      <c r="GXU1" s="22"/>
      <c r="GXV1" s="22"/>
      <c r="GXW1" s="22"/>
      <c r="GXX1" s="22"/>
      <c r="GXY1" s="22"/>
      <c r="GXZ1" s="22"/>
      <c r="GYA1" s="22"/>
      <c r="GYB1" s="22"/>
      <c r="GYC1" s="22"/>
      <c r="GYD1" s="22"/>
      <c r="GYE1" s="22"/>
      <c r="GYF1" s="22"/>
      <c r="GYG1" s="22"/>
      <c r="GYH1" s="22"/>
      <c r="GYI1" s="22"/>
      <c r="GYJ1" s="22"/>
      <c r="GYK1" s="22"/>
      <c r="GYL1" s="22"/>
      <c r="GYM1" s="22"/>
      <c r="GYN1" s="22"/>
      <c r="GYO1" s="22"/>
      <c r="GYP1" s="22"/>
      <c r="GYQ1" s="22"/>
      <c r="GYR1" s="22"/>
      <c r="GYS1" s="22"/>
      <c r="GYT1" s="22"/>
      <c r="GYU1" s="22"/>
      <c r="GYV1" s="22"/>
      <c r="GYW1" s="22"/>
      <c r="GYX1" s="22"/>
      <c r="GYY1" s="22"/>
      <c r="GYZ1" s="22"/>
      <c r="GZA1" s="22"/>
      <c r="GZB1" s="22"/>
      <c r="GZC1" s="22"/>
      <c r="GZD1" s="22"/>
      <c r="GZE1" s="22"/>
      <c r="GZF1" s="22"/>
      <c r="GZG1" s="22"/>
      <c r="GZH1" s="22"/>
      <c r="GZI1" s="22"/>
      <c r="GZJ1" s="22"/>
      <c r="GZK1" s="22"/>
      <c r="GZL1" s="22"/>
      <c r="GZM1" s="22"/>
      <c r="GZN1" s="22"/>
      <c r="GZO1" s="22"/>
      <c r="GZP1" s="22"/>
      <c r="GZQ1" s="22"/>
      <c r="GZR1" s="22"/>
      <c r="GZS1" s="22"/>
      <c r="GZT1" s="22"/>
      <c r="GZU1" s="22"/>
      <c r="GZV1" s="22"/>
      <c r="GZW1" s="22"/>
      <c r="GZX1" s="22"/>
      <c r="GZY1" s="22"/>
      <c r="GZZ1" s="22"/>
      <c r="HAA1" s="22"/>
      <c r="HAB1" s="22"/>
      <c r="HAC1" s="22"/>
      <c r="HAD1" s="22"/>
      <c r="HAE1" s="22"/>
      <c r="HAF1" s="22"/>
      <c r="HAG1" s="22"/>
      <c r="HAH1" s="22"/>
      <c r="HAI1" s="22"/>
      <c r="HAJ1" s="22"/>
      <c r="HAK1" s="22"/>
      <c r="HAL1" s="22"/>
      <c r="HAM1" s="22"/>
      <c r="HAN1" s="22"/>
      <c r="HAO1" s="22"/>
      <c r="HAP1" s="22"/>
      <c r="HAQ1" s="22"/>
      <c r="HAR1" s="22"/>
      <c r="HAS1" s="22"/>
      <c r="HAT1" s="22"/>
      <c r="HAU1" s="22"/>
      <c r="HAV1" s="22"/>
      <c r="HAW1" s="22"/>
      <c r="HAX1" s="22"/>
      <c r="HAY1" s="22"/>
      <c r="HAZ1" s="22"/>
      <c r="HBA1" s="22"/>
      <c r="HBB1" s="22"/>
      <c r="HBC1" s="22"/>
      <c r="HBD1" s="22"/>
      <c r="HBE1" s="22"/>
      <c r="HBF1" s="22"/>
      <c r="HBG1" s="22"/>
      <c r="HBH1" s="22"/>
      <c r="HBI1" s="22"/>
      <c r="HBJ1" s="22"/>
      <c r="HBK1" s="22"/>
      <c r="HBL1" s="22"/>
      <c r="HBM1" s="22"/>
      <c r="HBN1" s="22"/>
      <c r="HBO1" s="22"/>
      <c r="HBP1" s="22"/>
      <c r="HBQ1" s="22"/>
      <c r="HBR1" s="22"/>
      <c r="HBS1" s="22"/>
      <c r="HBT1" s="22"/>
      <c r="HBU1" s="22"/>
      <c r="HBV1" s="22"/>
      <c r="HBW1" s="22"/>
      <c r="HBX1" s="22"/>
      <c r="HBY1" s="22"/>
      <c r="HBZ1" s="22"/>
      <c r="HCA1" s="22"/>
      <c r="HCB1" s="22"/>
      <c r="HCC1" s="22"/>
      <c r="HCD1" s="22"/>
      <c r="HCE1" s="22"/>
      <c r="HCF1" s="22"/>
      <c r="HCG1" s="22"/>
      <c r="HCH1" s="22"/>
      <c r="HCI1" s="22"/>
      <c r="HCJ1" s="22"/>
      <c r="HCK1" s="22"/>
      <c r="HCL1" s="22"/>
      <c r="HCM1" s="22"/>
      <c r="HCN1" s="22"/>
      <c r="HCO1" s="22"/>
      <c r="HCP1" s="22"/>
      <c r="HCQ1" s="22"/>
      <c r="HCR1" s="22"/>
      <c r="HCS1" s="22"/>
      <c r="HCT1" s="22"/>
      <c r="HCU1" s="22"/>
      <c r="HCV1" s="22"/>
      <c r="HCW1" s="22"/>
      <c r="HCX1" s="22"/>
      <c r="HCY1" s="22"/>
      <c r="HCZ1" s="22"/>
      <c r="HDA1" s="22"/>
      <c r="HDB1" s="22"/>
      <c r="HDC1" s="22"/>
      <c r="HDD1" s="22"/>
      <c r="HDE1" s="22"/>
      <c r="HDF1" s="22"/>
      <c r="HDG1" s="22"/>
      <c r="HDH1" s="22"/>
      <c r="HDI1" s="22"/>
      <c r="HDJ1" s="22"/>
      <c r="HDK1" s="22"/>
      <c r="HDL1" s="22"/>
      <c r="HDM1" s="22"/>
      <c r="HDN1" s="22"/>
      <c r="HDO1" s="22"/>
      <c r="HDP1" s="22"/>
      <c r="HDQ1" s="22"/>
      <c r="HDR1" s="22"/>
      <c r="HDS1" s="22"/>
      <c r="HDT1" s="22"/>
      <c r="HDU1" s="22"/>
      <c r="HDV1" s="22"/>
      <c r="HDW1" s="22"/>
      <c r="HDX1" s="22"/>
      <c r="HDY1" s="22"/>
      <c r="HDZ1" s="22"/>
      <c r="HEA1" s="22"/>
      <c r="HEB1" s="22"/>
      <c r="HEC1" s="22"/>
      <c r="HED1" s="22"/>
      <c r="HEE1" s="22"/>
      <c r="HEF1" s="22"/>
      <c r="HEG1" s="22"/>
      <c r="HEH1" s="22"/>
      <c r="HEI1" s="22"/>
      <c r="HEJ1" s="22"/>
      <c r="HEK1" s="22"/>
      <c r="HEL1" s="22"/>
      <c r="HEM1" s="22"/>
      <c r="HEN1" s="22"/>
      <c r="HEO1" s="22"/>
      <c r="HEP1" s="22"/>
      <c r="HEQ1" s="22"/>
      <c r="HER1" s="22"/>
      <c r="HES1" s="22"/>
      <c r="HET1" s="22"/>
      <c r="HEU1" s="22"/>
      <c r="HEV1" s="22"/>
      <c r="HEW1" s="22"/>
      <c r="HEX1" s="22"/>
      <c r="HEY1" s="22"/>
      <c r="HEZ1" s="22"/>
      <c r="HFA1" s="22"/>
      <c r="HFB1" s="22"/>
      <c r="HFC1" s="22"/>
      <c r="HFD1" s="22"/>
      <c r="HFE1" s="22"/>
      <c r="HFF1" s="22"/>
      <c r="HFG1" s="22"/>
      <c r="HFH1" s="22"/>
      <c r="HFI1" s="22"/>
      <c r="HFJ1" s="22"/>
      <c r="HFK1" s="22"/>
      <c r="HFL1" s="22"/>
      <c r="HFM1" s="22"/>
      <c r="HFN1" s="22"/>
      <c r="HFO1" s="22"/>
      <c r="HFP1" s="22"/>
      <c r="HFQ1" s="22"/>
      <c r="HFR1" s="22"/>
      <c r="HFS1" s="22"/>
      <c r="HFT1" s="22"/>
      <c r="HFU1" s="22"/>
      <c r="HFV1" s="22"/>
      <c r="HFW1" s="22"/>
      <c r="HFX1" s="22"/>
      <c r="HFY1" s="22"/>
      <c r="HFZ1" s="22"/>
      <c r="HGA1" s="22"/>
      <c r="HGB1" s="22"/>
      <c r="HGC1" s="22"/>
      <c r="HGD1" s="22"/>
      <c r="HGE1" s="22"/>
      <c r="HGF1" s="22"/>
      <c r="HGG1" s="22"/>
      <c r="HGH1" s="22"/>
      <c r="HGI1" s="22"/>
      <c r="HGJ1" s="22"/>
      <c r="HGK1" s="22"/>
      <c r="HGL1" s="22"/>
      <c r="HGM1" s="22"/>
      <c r="HGN1" s="22"/>
      <c r="HGO1" s="22"/>
      <c r="HGP1" s="22"/>
      <c r="HGQ1" s="22"/>
      <c r="HGR1" s="22"/>
      <c r="HGS1" s="22"/>
      <c r="HGT1" s="22"/>
      <c r="HGU1" s="22"/>
      <c r="HGV1" s="22"/>
      <c r="HGW1" s="22"/>
      <c r="HGX1" s="22"/>
      <c r="HGY1" s="22"/>
      <c r="HGZ1" s="22"/>
      <c r="HHA1" s="22"/>
      <c r="HHB1" s="22"/>
      <c r="HHC1" s="22"/>
      <c r="HHD1" s="22"/>
      <c r="HHE1" s="22"/>
      <c r="HHF1" s="22"/>
      <c r="HHG1" s="22"/>
      <c r="HHH1" s="22"/>
      <c r="HHI1" s="22"/>
      <c r="HHJ1" s="22"/>
      <c r="HHK1" s="22"/>
      <c r="HHL1" s="22"/>
      <c r="HHM1" s="22"/>
      <c r="HHN1" s="22"/>
      <c r="HHO1" s="22"/>
      <c r="HHP1" s="22"/>
      <c r="HHQ1" s="22"/>
      <c r="HHR1" s="22"/>
      <c r="HHS1" s="22"/>
      <c r="HHT1" s="22"/>
      <c r="HHU1" s="22"/>
      <c r="HHV1" s="22"/>
      <c r="HHW1" s="22"/>
      <c r="HHX1" s="22"/>
      <c r="HHY1" s="22"/>
      <c r="HHZ1" s="22"/>
      <c r="HIA1" s="22"/>
      <c r="HIB1" s="22"/>
      <c r="HIC1" s="22"/>
      <c r="HID1" s="22"/>
      <c r="HIE1" s="22"/>
      <c r="HIF1" s="22"/>
      <c r="HIG1" s="22"/>
      <c r="HIH1" s="22"/>
      <c r="HII1" s="22"/>
      <c r="HIJ1" s="22"/>
      <c r="HIK1" s="22"/>
      <c r="HIL1" s="22"/>
      <c r="HIM1" s="22"/>
      <c r="HIN1" s="22"/>
      <c r="HIO1" s="22"/>
      <c r="HIP1" s="22"/>
      <c r="HIQ1" s="22"/>
      <c r="HIR1" s="22"/>
      <c r="HIS1" s="22"/>
      <c r="HIT1" s="22"/>
      <c r="HIU1" s="22"/>
      <c r="HIV1" s="22"/>
      <c r="HIW1" s="22"/>
      <c r="HIX1" s="22"/>
      <c r="HIY1" s="22"/>
      <c r="HIZ1" s="22"/>
      <c r="HJA1" s="22"/>
      <c r="HJB1" s="22"/>
      <c r="HJC1" s="22"/>
      <c r="HJD1" s="22"/>
      <c r="HJE1" s="22"/>
      <c r="HJF1" s="22"/>
      <c r="HJG1" s="22"/>
      <c r="HJH1" s="22"/>
      <c r="HJI1" s="22"/>
      <c r="HJJ1" s="22"/>
      <c r="HJK1" s="22"/>
      <c r="HJL1" s="22"/>
      <c r="HJM1" s="22"/>
      <c r="HJN1" s="22"/>
      <c r="HJO1" s="22"/>
      <c r="HJP1" s="22"/>
      <c r="HJQ1" s="22"/>
      <c r="HJR1" s="22"/>
      <c r="HJS1" s="22"/>
      <c r="HJT1" s="22"/>
      <c r="HJU1" s="22"/>
      <c r="HJV1" s="22"/>
      <c r="HJW1" s="22"/>
      <c r="HJX1" s="22"/>
      <c r="HJY1" s="22"/>
      <c r="HJZ1" s="22"/>
      <c r="HKA1" s="22"/>
      <c r="HKB1" s="22"/>
      <c r="HKC1" s="22"/>
      <c r="HKD1" s="22"/>
      <c r="HKE1" s="22"/>
      <c r="HKF1" s="22"/>
      <c r="HKG1" s="22"/>
      <c r="HKH1" s="22"/>
      <c r="HKI1" s="22"/>
      <c r="HKJ1" s="22"/>
      <c r="HKK1" s="22"/>
      <c r="HKL1" s="22"/>
      <c r="HKM1" s="22"/>
      <c r="HKN1" s="22"/>
      <c r="HKO1" s="22"/>
      <c r="HKP1" s="22"/>
      <c r="HKQ1" s="22"/>
      <c r="HKR1" s="22"/>
      <c r="HKS1" s="22"/>
      <c r="HKT1" s="22"/>
      <c r="HKU1" s="22"/>
      <c r="HKV1" s="22"/>
      <c r="HKW1" s="22"/>
      <c r="HKX1" s="22"/>
      <c r="HKY1" s="22"/>
      <c r="HKZ1" s="22"/>
      <c r="HLA1" s="22"/>
      <c r="HLB1" s="22"/>
      <c r="HLC1" s="22"/>
      <c r="HLD1" s="22"/>
      <c r="HLE1" s="22"/>
      <c r="HLF1" s="22"/>
      <c r="HLG1" s="22"/>
      <c r="HLH1" s="22"/>
      <c r="HLI1" s="22"/>
      <c r="HLJ1" s="22"/>
      <c r="HLK1" s="22"/>
      <c r="HLL1" s="22"/>
      <c r="HLM1" s="22"/>
      <c r="HLN1" s="22"/>
      <c r="HLO1" s="22"/>
      <c r="HLP1" s="22"/>
      <c r="HLQ1" s="22"/>
      <c r="HLR1" s="22"/>
      <c r="HLS1" s="22"/>
      <c r="HLT1" s="22"/>
      <c r="HLU1" s="22"/>
      <c r="HLV1" s="22"/>
      <c r="HLW1" s="22"/>
      <c r="HLX1" s="22"/>
      <c r="HLY1" s="22"/>
      <c r="HLZ1" s="22"/>
      <c r="HMA1" s="22"/>
      <c r="HMB1" s="22"/>
      <c r="HMC1" s="22"/>
      <c r="HMD1" s="22"/>
      <c r="HME1" s="22"/>
      <c r="HMF1" s="22"/>
      <c r="HMG1" s="22"/>
      <c r="HMH1" s="22"/>
      <c r="HMI1" s="22"/>
      <c r="HMJ1" s="22"/>
      <c r="HMK1" s="22"/>
      <c r="HML1" s="22"/>
      <c r="HMM1" s="22"/>
      <c r="HMN1" s="22"/>
      <c r="HMO1" s="22"/>
      <c r="HMP1" s="22"/>
      <c r="HMQ1" s="22"/>
      <c r="HMR1" s="22"/>
      <c r="HMS1" s="22"/>
      <c r="HMT1" s="22"/>
      <c r="HMU1" s="22"/>
      <c r="HMV1" s="22"/>
      <c r="HMW1" s="22"/>
      <c r="HMX1" s="22"/>
      <c r="HMY1" s="22"/>
      <c r="HMZ1" s="22"/>
      <c r="HNA1" s="22"/>
      <c r="HNB1" s="22"/>
      <c r="HNC1" s="22"/>
      <c r="HND1" s="22"/>
      <c r="HNE1" s="22"/>
      <c r="HNF1" s="22"/>
      <c r="HNG1" s="22"/>
      <c r="HNH1" s="22"/>
      <c r="HNI1" s="22"/>
      <c r="HNJ1" s="22"/>
      <c r="HNK1" s="22"/>
      <c r="HNL1" s="22"/>
      <c r="HNM1" s="22"/>
      <c r="HNN1" s="22"/>
      <c r="HNO1" s="22"/>
      <c r="HNP1" s="22"/>
      <c r="HNQ1" s="22"/>
      <c r="HNR1" s="22"/>
      <c r="HNS1" s="22"/>
      <c r="HNT1" s="22"/>
      <c r="HNU1" s="22"/>
      <c r="HNV1" s="22"/>
      <c r="HNW1" s="22"/>
      <c r="HNX1" s="22"/>
      <c r="HNY1" s="22"/>
      <c r="HNZ1" s="22"/>
      <c r="HOA1" s="22"/>
      <c r="HOB1" s="22"/>
      <c r="HOC1" s="22"/>
      <c r="HOD1" s="22"/>
      <c r="HOE1" s="22"/>
      <c r="HOF1" s="22"/>
      <c r="HOG1" s="22"/>
      <c r="HOH1" s="22"/>
      <c r="HOI1" s="22"/>
      <c r="HOJ1" s="22"/>
      <c r="HOK1" s="22"/>
      <c r="HOL1" s="22"/>
      <c r="HOM1" s="22"/>
      <c r="HON1" s="22"/>
      <c r="HOO1" s="22"/>
      <c r="HOP1" s="22"/>
      <c r="HOQ1" s="22"/>
      <c r="HOR1" s="22"/>
      <c r="HOS1" s="22"/>
      <c r="HOT1" s="22"/>
      <c r="HOU1" s="22"/>
      <c r="HOV1" s="22"/>
      <c r="HOW1" s="22"/>
      <c r="HOX1" s="22"/>
      <c r="HOY1" s="22"/>
      <c r="HOZ1" s="22"/>
      <c r="HPA1" s="22"/>
      <c r="HPB1" s="22"/>
      <c r="HPC1" s="22"/>
      <c r="HPD1" s="22"/>
      <c r="HPE1" s="22"/>
      <c r="HPF1" s="22"/>
      <c r="HPG1" s="22"/>
      <c r="HPH1" s="22"/>
      <c r="HPI1" s="22"/>
      <c r="HPJ1" s="22"/>
      <c r="HPK1" s="22"/>
      <c r="HPL1" s="22"/>
      <c r="HPM1" s="22"/>
      <c r="HPN1" s="22"/>
      <c r="HPO1" s="22"/>
      <c r="HPP1" s="22"/>
      <c r="HPQ1" s="22"/>
      <c r="HPR1" s="22"/>
      <c r="HPS1" s="22"/>
      <c r="HPT1" s="22"/>
      <c r="HPU1" s="22"/>
      <c r="HPV1" s="22"/>
      <c r="HPW1" s="22"/>
      <c r="HPX1" s="22"/>
      <c r="HPY1" s="22"/>
      <c r="HPZ1" s="22"/>
      <c r="HQA1" s="22"/>
      <c r="HQB1" s="22"/>
      <c r="HQC1" s="22"/>
      <c r="HQD1" s="22"/>
      <c r="HQE1" s="22"/>
      <c r="HQF1" s="22"/>
      <c r="HQG1" s="22"/>
      <c r="HQH1" s="22"/>
      <c r="HQI1" s="22"/>
      <c r="HQJ1" s="22"/>
      <c r="HQK1" s="22"/>
      <c r="HQL1" s="22"/>
      <c r="HQM1" s="22"/>
      <c r="HQN1" s="22"/>
      <c r="HQO1" s="22"/>
      <c r="HQP1" s="22"/>
      <c r="HQQ1" s="22"/>
      <c r="HQR1" s="22"/>
      <c r="HQS1" s="22"/>
      <c r="HQT1" s="22"/>
      <c r="HQU1" s="22"/>
      <c r="HQV1" s="22"/>
      <c r="HQW1" s="22"/>
      <c r="HQX1" s="22"/>
      <c r="HQY1" s="22"/>
      <c r="HQZ1" s="22"/>
      <c r="HRA1" s="22"/>
      <c r="HRB1" s="22"/>
      <c r="HRC1" s="22"/>
      <c r="HRD1" s="22"/>
      <c r="HRE1" s="22"/>
      <c r="HRF1" s="22"/>
      <c r="HRG1" s="22"/>
      <c r="HRH1" s="22"/>
      <c r="HRI1" s="22"/>
      <c r="HRJ1" s="22"/>
      <c r="HRK1" s="22"/>
      <c r="HRL1" s="22"/>
      <c r="HRM1" s="22"/>
      <c r="HRN1" s="22"/>
      <c r="HRO1" s="22"/>
      <c r="HRP1" s="22"/>
      <c r="HRQ1" s="22"/>
      <c r="HRR1" s="22"/>
      <c r="HRS1" s="22"/>
      <c r="HRT1" s="22"/>
      <c r="HRU1" s="22"/>
      <c r="HRV1" s="22"/>
      <c r="HRW1" s="22"/>
      <c r="HRX1" s="22"/>
      <c r="HRY1" s="22"/>
      <c r="HRZ1" s="22"/>
      <c r="HSA1" s="22"/>
      <c r="HSB1" s="22"/>
      <c r="HSC1" s="22"/>
      <c r="HSD1" s="22"/>
      <c r="HSE1" s="22"/>
      <c r="HSF1" s="22"/>
      <c r="HSG1" s="22"/>
      <c r="HSH1" s="22"/>
      <c r="HSI1" s="22"/>
      <c r="HSJ1" s="22"/>
      <c r="HSK1" s="22"/>
      <c r="HSL1" s="22"/>
      <c r="HSM1" s="22"/>
      <c r="HSN1" s="22"/>
      <c r="HSO1" s="22"/>
      <c r="HSP1" s="22"/>
      <c r="HSQ1" s="22"/>
      <c r="HSR1" s="22"/>
      <c r="HSS1" s="22"/>
      <c r="HST1" s="22"/>
      <c r="HSU1" s="22"/>
      <c r="HSV1" s="22"/>
      <c r="HSW1" s="22"/>
      <c r="HSX1" s="22"/>
      <c r="HSY1" s="22"/>
      <c r="HSZ1" s="22"/>
      <c r="HTA1" s="22"/>
      <c r="HTB1" s="22"/>
      <c r="HTC1" s="22"/>
      <c r="HTD1" s="22"/>
      <c r="HTE1" s="22"/>
      <c r="HTF1" s="22"/>
      <c r="HTG1" s="22"/>
      <c r="HTH1" s="22"/>
      <c r="HTI1" s="22"/>
      <c r="HTJ1" s="22"/>
      <c r="HTK1" s="22"/>
      <c r="HTL1" s="22"/>
      <c r="HTM1" s="22"/>
      <c r="HTN1" s="22"/>
      <c r="HTO1" s="22"/>
      <c r="HTP1" s="22"/>
      <c r="HTQ1" s="22"/>
      <c r="HTR1" s="22"/>
      <c r="HTS1" s="22"/>
      <c r="HTT1" s="22"/>
      <c r="HTU1" s="22"/>
      <c r="HTV1" s="22"/>
      <c r="HTW1" s="22"/>
      <c r="HTX1" s="22"/>
      <c r="HTY1" s="22"/>
      <c r="HTZ1" s="22"/>
      <c r="HUA1" s="22"/>
      <c r="HUB1" s="22"/>
      <c r="HUC1" s="22"/>
      <c r="HUD1" s="22"/>
      <c r="HUE1" s="22"/>
      <c r="HUF1" s="22"/>
      <c r="HUG1" s="22"/>
      <c r="HUH1" s="22"/>
      <c r="HUI1" s="22"/>
      <c r="HUJ1" s="22"/>
      <c r="HUK1" s="22"/>
      <c r="HUL1" s="22"/>
      <c r="HUM1" s="22"/>
      <c r="HUN1" s="22"/>
      <c r="HUO1" s="22"/>
      <c r="HUP1" s="22"/>
      <c r="HUQ1" s="22"/>
      <c r="HUR1" s="22"/>
      <c r="HUS1" s="22"/>
      <c r="HUT1" s="22"/>
      <c r="HUU1" s="22"/>
      <c r="HUV1" s="22"/>
      <c r="HUW1" s="22"/>
      <c r="HUX1" s="22"/>
      <c r="HUY1" s="22"/>
      <c r="HUZ1" s="22"/>
      <c r="HVA1" s="22"/>
      <c r="HVB1" s="22"/>
      <c r="HVC1" s="22"/>
      <c r="HVD1" s="22"/>
      <c r="HVE1" s="22"/>
      <c r="HVF1" s="22"/>
      <c r="HVG1" s="22"/>
      <c r="HVH1" s="22"/>
      <c r="HVI1" s="22"/>
      <c r="HVJ1" s="22"/>
      <c r="HVK1" s="22"/>
      <c r="HVL1" s="22"/>
      <c r="HVM1" s="22"/>
      <c r="HVN1" s="22"/>
      <c r="HVO1" s="22"/>
      <c r="HVP1" s="22"/>
      <c r="HVQ1" s="22"/>
      <c r="HVR1" s="22"/>
      <c r="HVS1" s="22"/>
      <c r="HVT1" s="22"/>
      <c r="HVU1" s="22"/>
      <c r="HVV1" s="22"/>
      <c r="HVW1" s="22"/>
      <c r="HVX1" s="22"/>
      <c r="HVY1" s="22"/>
      <c r="HVZ1" s="22"/>
      <c r="HWA1" s="22"/>
      <c r="HWB1" s="22"/>
      <c r="HWC1" s="22"/>
      <c r="HWD1" s="22"/>
      <c r="HWE1" s="22"/>
      <c r="HWF1" s="22"/>
      <c r="HWG1" s="22"/>
      <c r="HWH1" s="22"/>
      <c r="HWI1" s="22"/>
      <c r="HWJ1" s="22"/>
      <c r="HWK1" s="22"/>
      <c r="HWL1" s="22"/>
      <c r="HWM1" s="22"/>
      <c r="HWN1" s="22"/>
      <c r="HWO1" s="22"/>
      <c r="HWP1" s="22"/>
      <c r="HWQ1" s="22"/>
      <c r="HWR1" s="22"/>
      <c r="HWS1" s="22"/>
      <c r="HWT1" s="22"/>
      <c r="HWU1" s="22"/>
      <c r="HWV1" s="22"/>
      <c r="HWW1" s="22"/>
      <c r="HWX1" s="22"/>
      <c r="HWY1" s="22"/>
      <c r="HWZ1" s="22"/>
      <c r="HXA1" s="22"/>
      <c r="HXB1" s="22"/>
      <c r="HXC1" s="22"/>
      <c r="HXD1" s="22"/>
      <c r="HXE1" s="22"/>
      <c r="HXF1" s="22"/>
      <c r="HXG1" s="22"/>
      <c r="HXH1" s="22"/>
      <c r="HXI1" s="22"/>
      <c r="HXJ1" s="22"/>
      <c r="HXK1" s="22"/>
      <c r="HXL1" s="22"/>
      <c r="HXM1" s="22"/>
      <c r="HXN1" s="22"/>
      <c r="HXO1" s="22"/>
      <c r="HXP1" s="22"/>
      <c r="HXQ1" s="22"/>
      <c r="HXR1" s="22"/>
      <c r="HXS1" s="22"/>
      <c r="HXT1" s="22"/>
      <c r="HXU1" s="22"/>
      <c r="HXV1" s="22"/>
      <c r="HXW1" s="22"/>
      <c r="HXX1" s="22"/>
      <c r="HXY1" s="22"/>
      <c r="HXZ1" s="22"/>
      <c r="HYA1" s="22"/>
      <c r="HYB1" s="22"/>
      <c r="HYC1" s="22"/>
      <c r="HYD1" s="22"/>
      <c r="HYE1" s="22"/>
      <c r="HYF1" s="22"/>
      <c r="HYG1" s="22"/>
      <c r="HYH1" s="22"/>
      <c r="HYI1" s="22"/>
      <c r="HYJ1" s="22"/>
      <c r="HYK1" s="22"/>
      <c r="HYL1" s="22"/>
      <c r="HYM1" s="22"/>
      <c r="HYN1" s="22"/>
      <c r="HYO1" s="22"/>
      <c r="HYP1" s="22"/>
      <c r="HYQ1" s="22"/>
      <c r="HYR1" s="22"/>
      <c r="HYS1" s="22"/>
      <c r="HYT1" s="22"/>
      <c r="HYU1" s="22"/>
      <c r="HYV1" s="22"/>
      <c r="HYW1" s="22"/>
      <c r="HYX1" s="22"/>
      <c r="HYY1" s="22"/>
      <c r="HYZ1" s="22"/>
      <c r="HZA1" s="22"/>
      <c r="HZB1" s="22"/>
      <c r="HZC1" s="22"/>
      <c r="HZD1" s="22"/>
      <c r="HZE1" s="22"/>
      <c r="HZF1" s="22"/>
      <c r="HZG1" s="22"/>
      <c r="HZH1" s="22"/>
      <c r="HZI1" s="22"/>
      <c r="HZJ1" s="22"/>
      <c r="HZK1" s="22"/>
      <c r="HZL1" s="22"/>
      <c r="HZM1" s="22"/>
      <c r="HZN1" s="22"/>
      <c r="HZO1" s="22"/>
      <c r="HZP1" s="22"/>
      <c r="HZQ1" s="22"/>
      <c r="HZR1" s="22"/>
      <c r="HZS1" s="22"/>
      <c r="HZT1" s="22"/>
      <c r="HZU1" s="22"/>
      <c r="HZV1" s="22"/>
      <c r="HZW1" s="22"/>
      <c r="HZX1" s="22"/>
      <c r="HZY1" s="22"/>
      <c r="HZZ1" s="22"/>
      <c r="IAA1" s="22"/>
      <c r="IAB1" s="22"/>
      <c r="IAC1" s="22"/>
      <c r="IAD1" s="22"/>
      <c r="IAE1" s="22"/>
      <c r="IAF1" s="22"/>
      <c r="IAG1" s="22"/>
      <c r="IAH1" s="22"/>
      <c r="IAI1" s="22"/>
      <c r="IAJ1" s="22"/>
      <c r="IAK1" s="22"/>
      <c r="IAL1" s="22"/>
      <c r="IAM1" s="22"/>
      <c r="IAN1" s="22"/>
      <c r="IAO1" s="22"/>
      <c r="IAP1" s="22"/>
      <c r="IAQ1" s="22"/>
      <c r="IAR1" s="22"/>
      <c r="IAS1" s="22"/>
      <c r="IAT1" s="22"/>
      <c r="IAU1" s="22"/>
      <c r="IAV1" s="22"/>
      <c r="IAW1" s="22"/>
      <c r="IAX1" s="22"/>
      <c r="IAY1" s="22"/>
      <c r="IAZ1" s="22"/>
      <c r="IBA1" s="22"/>
      <c r="IBB1" s="22"/>
      <c r="IBC1" s="22"/>
      <c r="IBD1" s="22"/>
      <c r="IBE1" s="22"/>
      <c r="IBF1" s="22"/>
      <c r="IBG1" s="22"/>
      <c r="IBH1" s="22"/>
      <c r="IBI1" s="22"/>
      <c r="IBJ1" s="22"/>
      <c r="IBK1" s="22"/>
      <c r="IBL1" s="22"/>
      <c r="IBM1" s="22"/>
      <c r="IBN1" s="22"/>
      <c r="IBO1" s="22"/>
      <c r="IBP1" s="22"/>
      <c r="IBQ1" s="22"/>
      <c r="IBR1" s="22"/>
      <c r="IBS1" s="22"/>
      <c r="IBT1" s="22"/>
      <c r="IBU1" s="22"/>
      <c r="IBV1" s="22"/>
      <c r="IBW1" s="22"/>
      <c r="IBX1" s="22"/>
      <c r="IBY1" s="22"/>
      <c r="IBZ1" s="22"/>
      <c r="ICA1" s="22"/>
      <c r="ICB1" s="22"/>
      <c r="ICC1" s="22"/>
      <c r="ICD1" s="22"/>
      <c r="ICE1" s="22"/>
      <c r="ICF1" s="22"/>
      <c r="ICG1" s="22"/>
      <c r="ICH1" s="22"/>
      <c r="ICI1" s="22"/>
      <c r="ICJ1" s="22"/>
      <c r="ICK1" s="22"/>
      <c r="ICL1" s="22"/>
      <c r="ICM1" s="22"/>
      <c r="ICN1" s="22"/>
      <c r="ICO1" s="22"/>
      <c r="ICP1" s="22"/>
      <c r="ICQ1" s="22"/>
      <c r="ICR1" s="22"/>
      <c r="ICS1" s="22"/>
      <c r="ICT1" s="22"/>
      <c r="ICU1" s="22"/>
      <c r="ICV1" s="22"/>
      <c r="ICW1" s="22"/>
      <c r="ICX1" s="22"/>
      <c r="ICY1" s="22"/>
      <c r="ICZ1" s="22"/>
      <c r="IDA1" s="22"/>
      <c r="IDB1" s="22"/>
      <c r="IDC1" s="22"/>
      <c r="IDD1" s="22"/>
      <c r="IDE1" s="22"/>
      <c r="IDF1" s="22"/>
      <c r="IDG1" s="22"/>
      <c r="IDH1" s="22"/>
      <c r="IDI1" s="22"/>
      <c r="IDJ1" s="22"/>
      <c r="IDK1" s="22"/>
      <c r="IDL1" s="22"/>
      <c r="IDM1" s="22"/>
      <c r="IDN1" s="22"/>
      <c r="IDO1" s="22"/>
      <c r="IDP1" s="22"/>
      <c r="IDQ1" s="22"/>
      <c r="IDR1" s="22"/>
      <c r="IDS1" s="22"/>
      <c r="IDT1" s="22"/>
      <c r="IDU1" s="22"/>
      <c r="IDV1" s="22"/>
      <c r="IDW1" s="22"/>
      <c r="IDX1" s="22"/>
      <c r="IDY1" s="22"/>
      <c r="IDZ1" s="22"/>
      <c r="IEA1" s="22"/>
      <c r="IEB1" s="22"/>
      <c r="IEC1" s="22"/>
      <c r="IED1" s="22"/>
      <c r="IEE1" s="22"/>
      <c r="IEF1" s="22"/>
      <c r="IEG1" s="22"/>
      <c r="IEH1" s="22"/>
      <c r="IEI1" s="22"/>
      <c r="IEJ1" s="22"/>
      <c r="IEK1" s="22"/>
      <c r="IEL1" s="22"/>
      <c r="IEM1" s="22"/>
      <c r="IEN1" s="22"/>
      <c r="IEO1" s="22"/>
      <c r="IEP1" s="22"/>
      <c r="IEQ1" s="22"/>
      <c r="IER1" s="22"/>
      <c r="IES1" s="22"/>
      <c r="IET1" s="22"/>
      <c r="IEU1" s="22"/>
      <c r="IEV1" s="22"/>
      <c r="IEW1" s="22"/>
      <c r="IEX1" s="22"/>
      <c r="IEY1" s="22"/>
      <c r="IEZ1" s="22"/>
      <c r="IFA1" s="22"/>
      <c r="IFB1" s="22"/>
      <c r="IFC1" s="22"/>
      <c r="IFD1" s="22"/>
      <c r="IFE1" s="22"/>
      <c r="IFF1" s="22"/>
      <c r="IFG1" s="22"/>
      <c r="IFH1" s="22"/>
      <c r="IFI1" s="22"/>
      <c r="IFJ1" s="22"/>
      <c r="IFK1" s="22"/>
      <c r="IFL1" s="22"/>
      <c r="IFM1" s="22"/>
      <c r="IFN1" s="22"/>
      <c r="IFO1" s="22"/>
      <c r="IFP1" s="22"/>
      <c r="IFQ1" s="22"/>
      <c r="IFR1" s="22"/>
      <c r="IFS1" s="22"/>
      <c r="IFT1" s="22"/>
      <c r="IFU1" s="22"/>
      <c r="IFV1" s="22"/>
      <c r="IFW1" s="22"/>
      <c r="IFX1" s="22"/>
      <c r="IFY1" s="22"/>
      <c r="IFZ1" s="22"/>
      <c r="IGA1" s="22"/>
      <c r="IGB1" s="22"/>
      <c r="IGC1" s="22"/>
      <c r="IGD1" s="22"/>
      <c r="IGE1" s="22"/>
      <c r="IGF1" s="22"/>
      <c r="IGG1" s="22"/>
      <c r="IGH1" s="22"/>
      <c r="IGI1" s="22"/>
      <c r="IGJ1" s="22"/>
      <c r="IGK1" s="22"/>
      <c r="IGL1" s="22"/>
      <c r="IGM1" s="22"/>
      <c r="IGN1" s="22"/>
      <c r="IGO1" s="22"/>
      <c r="IGP1" s="22"/>
      <c r="IGQ1" s="22"/>
      <c r="IGR1" s="22"/>
      <c r="IGS1" s="22"/>
      <c r="IGT1" s="22"/>
      <c r="IGU1" s="22"/>
      <c r="IGV1" s="22"/>
      <c r="IGW1" s="22"/>
      <c r="IGX1" s="22"/>
      <c r="IGY1" s="22"/>
      <c r="IGZ1" s="22"/>
      <c r="IHA1" s="22"/>
      <c r="IHB1" s="22"/>
      <c r="IHC1" s="22"/>
      <c r="IHD1" s="22"/>
      <c r="IHE1" s="22"/>
      <c r="IHF1" s="22"/>
      <c r="IHG1" s="22"/>
      <c r="IHH1" s="22"/>
      <c r="IHI1" s="22"/>
      <c r="IHJ1" s="22"/>
      <c r="IHK1" s="22"/>
      <c r="IHL1" s="22"/>
      <c r="IHM1" s="22"/>
      <c r="IHN1" s="22"/>
      <c r="IHO1" s="22"/>
      <c r="IHP1" s="22"/>
      <c r="IHQ1" s="22"/>
      <c r="IHR1" s="22"/>
      <c r="IHS1" s="22"/>
      <c r="IHT1" s="22"/>
      <c r="IHU1" s="22"/>
      <c r="IHV1" s="22"/>
      <c r="IHW1" s="22"/>
      <c r="IHX1" s="22"/>
      <c r="IHY1" s="22"/>
      <c r="IHZ1" s="22"/>
      <c r="IIA1" s="22"/>
      <c r="IIB1" s="22"/>
      <c r="IIC1" s="22"/>
      <c r="IID1" s="22"/>
      <c r="IIE1" s="22"/>
      <c r="IIF1" s="22"/>
      <c r="IIG1" s="22"/>
      <c r="IIH1" s="22"/>
      <c r="III1" s="22"/>
      <c r="IIJ1" s="22"/>
      <c r="IIK1" s="22"/>
      <c r="IIL1" s="22"/>
      <c r="IIM1" s="22"/>
      <c r="IIN1" s="22"/>
      <c r="IIO1" s="22"/>
      <c r="IIP1" s="22"/>
      <c r="IIQ1" s="22"/>
      <c r="IIR1" s="22"/>
      <c r="IIS1" s="22"/>
      <c r="IIT1" s="22"/>
      <c r="IIU1" s="22"/>
      <c r="IIV1" s="22"/>
      <c r="IIW1" s="22"/>
      <c r="IIX1" s="22"/>
      <c r="IIY1" s="22"/>
      <c r="IIZ1" s="22"/>
      <c r="IJA1" s="22"/>
      <c r="IJB1" s="22"/>
      <c r="IJC1" s="22"/>
      <c r="IJD1" s="22"/>
      <c r="IJE1" s="22"/>
      <c r="IJF1" s="22"/>
      <c r="IJG1" s="22"/>
      <c r="IJH1" s="22"/>
      <c r="IJI1" s="22"/>
      <c r="IJJ1" s="22"/>
      <c r="IJK1" s="22"/>
      <c r="IJL1" s="22"/>
      <c r="IJM1" s="22"/>
      <c r="IJN1" s="22"/>
      <c r="IJO1" s="22"/>
      <c r="IJP1" s="22"/>
      <c r="IJQ1" s="22"/>
      <c r="IJR1" s="22"/>
      <c r="IJS1" s="22"/>
      <c r="IJT1" s="22"/>
      <c r="IJU1" s="22"/>
      <c r="IJV1" s="22"/>
      <c r="IJW1" s="22"/>
      <c r="IJX1" s="22"/>
      <c r="IJY1" s="22"/>
      <c r="IJZ1" s="22"/>
      <c r="IKA1" s="22"/>
      <c r="IKB1" s="22"/>
      <c r="IKC1" s="22"/>
      <c r="IKD1" s="22"/>
      <c r="IKE1" s="22"/>
      <c r="IKF1" s="22"/>
      <c r="IKG1" s="22"/>
      <c r="IKH1" s="22"/>
      <c r="IKI1" s="22"/>
      <c r="IKJ1" s="22"/>
      <c r="IKK1" s="22"/>
      <c r="IKL1" s="22"/>
      <c r="IKM1" s="22"/>
      <c r="IKN1" s="22"/>
      <c r="IKO1" s="22"/>
      <c r="IKP1" s="22"/>
      <c r="IKQ1" s="22"/>
      <c r="IKR1" s="22"/>
      <c r="IKS1" s="22"/>
      <c r="IKT1" s="22"/>
      <c r="IKU1" s="22"/>
      <c r="IKV1" s="22"/>
      <c r="IKW1" s="22"/>
      <c r="IKX1" s="22"/>
      <c r="IKY1" s="22"/>
      <c r="IKZ1" s="22"/>
      <c r="ILA1" s="22"/>
      <c r="ILB1" s="22"/>
      <c r="ILC1" s="22"/>
      <c r="ILD1" s="22"/>
      <c r="ILE1" s="22"/>
      <c r="ILF1" s="22"/>
      <c r="ILG1" s="22"/>
      <c r="ILH1" s="22"/>
      <c r="ILI1" s="22"/>
      <c r="ILJ1" s="22"/>
      <c r="ILK1" s="22"/>
      <c r="ILL1" s="22"/>
      <c r="ILM1" s="22"/>
      <c r="ILN1" s="22"/>
      <c r="ILO1" s="22"/>
      <c r="ILP1" s="22"/>
      <c r="ILQ1" s="22"/>
      <c r="ILR1" s="22"/>
      <c r="ILS1" s="22"/>
      <c r="ILT1" s="22"/>
      <c r="ILU1" s="22"/>
      <c r="ILV1" s="22"/>
      <c r="ILW1" s="22"/>
      <c r="ILX1" s="22"/>
      <c r="ILY1" s="22"/>
      <c r="ILZ1" s="22"/>
      <c r="IMA1" s="22"/>
      <c r="IMB1" s="22"/>
      <c r="IMC1" s="22"/>
      <c r="IMD1" s="22"/>
      <c r="IME1" s="22"/>
      <c r="IMF1" s="22"/>
      <c r="IMG1" s="22"/>
      <c r="IMH1" s="22"/>
      <c r="IMI1" s="22"/>
      <c r="IMJ1" s="22"/>
      <c r="IMK1" s="22"/>
      <c r="IML1" s="22"/>
      <c r="IMM1" s="22"/>
      <c r="IMN1" s="22"/>
      <c r="IMO1" s="22"/>
      <c r="IMP1" s="22"/>
      <c r="IMQ1" s="22"/>
      <c r="IMR1" s="22"/>
      <c r="IMS1" s="22"/>
      <c r="IMT1" s="22"/>
      <c r="IMU1" s="22"/>
      <c r="IMV1" s="22"/>
      <c r="IMW1" s="22"/>
      <c r="IMX1" s="22"/>
      <c r="IMY1" s="22"/>
      <c r="IMZ1" s="22"/>
      <c r="INA1" s="22"/>
      <c r="INB1" s="22"/>
      <c r="INC1" s="22"/>
      <c r="IND1" s="22"/>
      <c r="INE1" s="22"/>
      <c r="INF1" s="22"/>
      <c r="ING1" s="22"/>
      <c r="INH1" s="22"/>
      <c r="INI1" s="22"/>
      <c r="INJ1" s="22"/>
      <c r="INK1" s="22"/>
      <c r="INL1" s="22"/>
      <c r="INM1" s="22"/>
      <c r="INN1" s="22"/>
      <c r="INO1" s="22"/>
      <c r="INP1" s="22"/>
      <c r="INQ1" s="22"/>
      <c r="INR1" s="22"/>
      <c r="INS1" s="22"/>
      <c r="INT1" s="22"/>
      <c r="INU1" s="22"/>
      <c r="INV1" s="22"/>
      <c r="INW1" s="22"/>
      <c r="INX1" s="22"/>
      <c r="INY1" s="22"/>
      <c r="INZ1" s="22"/>
      <c r="IOA1" s="22"/>
      <c r="IOB1" s="22"/>
      <c r="IOC1" s="22"/>
      <c r="IOD1" s="22"/>
      <c r="IOE1" s="22"/>
      <c r="IOF1" s="22"/>
      <c r="IOG1" s="22"/>
      <c r="IOH1" s="22"/>
      <c r="IOI1" s="22"/>
      <c r="IOJ1" s="22"/>
      <c r="IOK1" s="22"/>
      <c r="IOL1" s="22"/>
      <c r="IOM1" s="22"/>
      <c r="ION1" s="22"/>
      <c r="IOO1" s="22"/>
      <c r="IOP1" s="22"/>
      <c r="IOQ1" s="22"/>
      <c r="IOR1" s="22"/>
      <c r="IOS1" s="22"/>
      <c r="IOT1" s="22"/>
      <c r="IOU1" s="22"/>
      <c r="IOV1" s="22"/>
      <c r="IOW1" s="22"/>
      <c r="IOX1" s="22"/>
      <c r="IOY1" s="22"/>
      <c r="IOZ1" s="22"/>
      <c r="IPA1" s="22"/>
      <c r="IPB1" s="22"/>
      <c r="IPC1" s="22"/>
      <c r="IPD1" s="22"/>
      <c r="IPE1" s="22"/>
      <c r="IPF1" s="22"/>
      <c r="IPG1" s="22"/>
      <c r="IPH1" s="22"/>
      <c r="IPI1" s="22"/>
      <c r="IPJ1" s="22"/>
      <c r="IPK1" s="22"/>
      <c r="IPL1" s="22"/>
      <c r="IPM1" s="22"/>
      <c r="IPN1" s="22"/>
      <c r="IPO1" s="22"/>
      <c r="IPP1" s="22"/>
      <c r="IPQ1" s="22"/>
      <c r="IPR1" s="22"/>
      <c r="IPS1" s="22"/>
      <c r="IPT1" s="22"/>
      <c r="IPU1" s="22"/>
      <c r="IPV1" s="22"/>
      <c r="IPW1" s="22"/>
      <c r="IPX1" s="22"/>
      <c r="IPY1" s="22"/>
      <c r="IPZ1" s="22"/>
      <c r="IQA1" s="22"/>
      <c r="IQB1" s="22"/>
      <c r="IQC1" s="22"/>
      <c r="IQD1" s="22"/>
      <c r="IQE1" s="22"/>
      <c r="IQF1" s="22"/>
      <c r="IQG1" s="22"/>
      <c r="IQH1" s="22"/>
      <c r="IQI1" s="22"/>
      <c r="IQJ1" s="22"/>
      <c r="IQK1" s="22"/>
      <c r="IQL1" s="22"/>
      <c r="IQM1" s="22"/>
      <c r="IQN1" s="22"/>
      <c r="IQO1" s="22"/>
      <c r="IQP1" s="22"/>
      <c r="IQQ1" s="22"/>
      <c r="IQR1" s="22"/>
      <c r="IQS1" s="22"/>
      <c r="IQT1" s="22"/>
      <c r="IQU1" s="22"/>
      <c r="IQV1" s="22"/>
      <c r="IQW1" s="22"/>
      <c r="IQX1" s="22"/>
      <c r="IQY1" s="22"/>
      <c r="IQZ1" s="22"/>
      <c r="IRA1" s="22"/>
      <c r="IRB1" s="22"/>
      <c r="IRC1" s="22"/>
      <c r="IRD1" s="22"/>
      <c r="IRE1" s="22"/>
      <c r="IRF1" s="22"/>
      <c r="IRG1" s="22"/>
      <c r="IRH1" s="22"/>
      <c r="IRI1" s="22"/>
      <c r="IRJ1" s="22"/>
      <c r="IRK1" s="22"/>
      <c r="IRL1" s="22"/>
      <c r="IRM1" s="22"/>
      <c r="IRN1" s="22"/>
      <c r="IRO1" s="22"/>
      <c r="IRP1" s="22"/>
      <c r="IRQ1" s="22"/>
      <c r="IRR1" s="22"/>
      <c r="IRS1" s="22"/>
      <c r="IRT1" s="22"/>
      <c r="IRU1" s="22"/>
      <c r="IRV1" s="22"/>
      <c r="IRW1" s="22"/>
      <c r="IRX1" s="22"/>
      <c r="IRY1" s="22"/>
      <c r="IRZ1" s="22"/>
      <c r="ISA1" s="22"/>
      <c r="ISB1" s="22"/>
      <c r="ISC1" s="22"/>
      <c r="ISD1" s="22"/>
      <c r="ISE1" s="22"/>
      <c r="ISF1" s="22"/>
      <c r="ISG1" s="22"/>
      <c r="ISH1" s="22"/>
      <c r="ISI1" s="22"/>
      <c r="ISJ1" s="22"/>
      <c r="ISK1" s="22"/>
      <c r="ISL1" s="22"/>
      <c r="ISM1" s="22"/>
      <c r="ISN1" s="22"/>
      <c r="ISO1" s="22"/>
      <c r="ISP1" s="22"/>
      <c r="ISQ1" s="22"/>
      <c r="ISR1" s="22"/>
      <c r="ISS1" s="22"/>
      <c r="IST1" s="22"/>
      <c r="ISU1" s="22"/>
      <c r="ISV1" s="22"/>
      <c r="ISW1" s="22"/>
      <c r="ISX1" s="22"/>
      <c r="ISY1" s="22"/>
      <c r="ISZ1" s="22"/>
      <c r="ITA1" s="22"/>
      <c r="ITB1" s="22"/>
      <c r="ITC1" s="22"/>
      <c r="ITD1" s="22"/>
      <c r="ITE1" s="22"/>
      <c r="ITF1" s="22"/>
      <c r="ITG1" s="22"/>
      <c r="ITH1" s="22"/>
      <c r="ITI1" s="22"/>
      <c r="ITJ1" s="22"/>
      <c r="ITK1" s="22"/>
      <c r="ITL1" s="22"/>
      <c r="ITM1" s="22"/>
      <c r="ITN1" s="22"/>
      <c r="ITO1" s="22"/>
      <c r="ITP1" s="22"/>
      <c r="ITQ1" s="22"/>
      <c r="ITR1" s="22"/>
      <c r="ITS1" s="22"/>
      <c r="ITT1" s="22"/>
      <c r="ITU1" s="22"/>
      <c r="ITV1" s="22"/>
      <c r="ITW1" s="22"/>
      <c r="ITX1" s="22"/>
      <c r="ITY1" s="22"/>
      <c r="ITZ1" s="22"/>
      <c r="IUA1" s="22"/>
      <c r="IUB1" s="22"/>
      <c r="IUC1" s="22"/>
      <c r="IUD1" s="22"/>
      <c r="IUE1" s="22"/>
      <c r="IUF1" s="22"/>
      <c r="IUG1" s="22"/>
      <c r="IUH1" s="22"/>
      <c r="IUI1" s="22"/>
      <c r="IUJ1" s="22"/>
      <c r="IUK1" s="22"/>
      <c r="IUL1" s="22"/>
      <c r="IUM1" s="22"/>
      <c r="IUN1" s="22"/>
      <c r="IUO1" s="22"/>
      <c r="IUP1" s="22"/>
      <c r="IUQ1" s="22"/>
      <c r="IUR1" s="22"/>
      <c r="IUS1" s="22"/>
      <c r="IUT1" s="22"/>
      <c r="IUU1" s="22"/>
      <c r="IUV1" s="22"/>
      <c r="IUW1" s="22"/>
      <c r="IUX1" s="22"/>
      <c r="IUY1" s="22"/>
      <c r="IUZ1" s="22"/>
      <c r="IVA1" s="22"/>
      <c r="IVB1" s="22"/>
      <c r="IVC1" s="22"/>
      <c r="IVD1" s="22"/>
      <c r="IVE1" s="22"/>
      <c r="IVF1" s="22"/>
      <c r="IVG1" s="22"/>
      <c r="IVH1" s="22"/>
      <c r="IVI1" s="22"/>
      <c r="IVJ1" s="22"/>
      <c r="IVK1" s="22"/>
      <c r="IVL1" s="22"/>
      <c r="IVM1" s="22"/>
      <c r="IVN1" s="22"/>
      <c r="IVO1" s="22"/>
      <c r="IVP1" s="22"/>
      <c r="IVQ1" s="22"/>
      <c r="IVR1" s="22"/>
      <c r="IVS1" s="22"/>
      <c r="IVT1" s="22"/>
      <c r="IVU1" s="22"/>
      <c r="IVV1" s="22"/>
      <c r="IVW1" s="22"/>
      <c r="IVX1" s="22"/>
      <c r="IVY1" s="22"/>
      <c r="IVZ1" s="22"/>
      <c r="IWA1" s="22"/>
      <c r="IWB1" s="22"/>
      <c r="IWC1" s="22"/>
      <c r="IWD1" s="22"/>
      <c r="IWE1" s="22"/>
      <c r="IWF1" s="22"/>
      <c r="IWG1" s="22"/>
      <c r="IWH1" s="22"/>
      <c r="IWI1" s="22"/>
      <c r="IWJ1" s="22"/>
      <c r="IWK1" s="22"/>
      <c r="IWL1" s="22"/>
      <c r="IWM1" s="22"/>
      <c r="IWN1" s="22"/>
      <c r="IWO1" s="22"/>
      <c r="IWP1" s="22"/>
      <c r="IWQ1" s="22"/>
      <c r="IWR1" s="22"/>
      <c r="IWS1" s="22"/>
      <c r="IWT1" s="22"/>
      <c r="IWU1" s="22"/>
      <c r="IWV1" s="22"/>
      <c r="IWW1" s="22"/>
      <c r="IWX1" s="22"/>
      <c r="IWY1" s="22"/>
      <c r="IWZ1" s="22"/>
      <c r="IXA1" s="22"/>
      <c r="IXB1" s="22"/>
      <c r="IXC1" s="22"/>
      <c r="IXD1" s="22"/>
      <c r="IXE1" s="22"/>
      <c r="IXF1" s="22"/>
      <c r="IXG1" s="22"/>
      <c r="IXH1" s="22"/>
      <c r="IXI1" s="22"/>
      <c r="IXJ1" s="22"/>
      <c r="IXK1" s="22"/>
      <c r="IXL1" s="22"/>
      <c r="IXM1" s="22"/>
      <c r="IXN1" s="22"/>
      <c r="IXO1" s="22"/>
      <c r="IXP1" s="22"/>
      <c r="IXQ1" s="22"/>
      <c r="IXR1" s="22"/>
      <c r="IXS1" s="22"/>
      <c r="IXT1" s="22"/>
      <c r="IXU1" s="22"/>
      <c r="IXV1" s="22"/>
      <c r="IXW1" s="22"/>
      <c r="IXX1" s="22"/>
      <c r="IXY1" s="22"/>
      <c r="IXZ1" s="22"/>
      <c r="IYA1" s="22"/>
      <c r="IYB1" s="22"/>
      <c r="IYC1" s="22"/>
      <c r="IYD1" s="22"/>
      <c r="IYE1" s="22"/>
      <c r="IYF1" s="22"/>
      <c r="IYG1" s="22"/>
      <c r="IYH1" s="22"/>
      <c r="IYI1" s="22"/>
      <c r="IYJ1" s="22"/>
      <c r="IYK1" s="22"/>
      <c r="IYL1" s="22"/>
      <c r="IYM1" s="22"/>
      <c r="IYN1" s="22"/>
      <c r="IYO1" s="22"/>
      <c r="IYP1" s="22"/>
      <c r="IYQ1" s="22"/>
      <c r="IYR1" s="22"/>
      <c r="IYS1" s="22"/>
      <c r="IYT1" s="22"/>
      <c r="IYU1" s="22"/>
      <c r="IYV1" s="22"/>
      <c r="IYW1" s="22"/>
      <c r="IYX1" s="22"/>
      <c r="IYY1" s="22"/>
      <c r="IYZ1" s="22"/>
      <c r="IZA1" s="22"/>
      <c r="IZB1" s="22"/>
      <c r="IZC1" s="22"/>
      <c r="IZD1" s="22"/>
      <c r="IZE1" s="22"/>
      <c r="IZF1" s="22"/>
      <c r="IZG1" s="22"/>
      <c r="IZH1" s="22"/>
      <c r="IZI1" s="22"/>
      <c r="IZJ1" s="22"/>
      <c r="IZK1" s="22"/>
      <c r="IZL1" s="22"/>
      <c r="IZM1" s="22"/>
      <c r="IZN1" s="22"/>
      <c r="IZO1" s="22"/>
      <c r="IZP1" s="22"/>
      <c r="IZQ1" s="22"/>
      <c r="IZR1" s="22"/>
      <c r="IZS1" s="22"/>
      <c r="IZT1" s="22"/>
      <c r="IZU1" s="22"/>
      <c r="IZV1" s="22"/>
      <c r="IZW1" s="22"/>
      <c r="IZX1" s="22"/>
      <c r="IZY1" s="22"/>
      <c r="IZZ1" s="22"/>
      <c r="JAA1" s="22"/>
      <c r="JAB1" s="22"/>
      <c r="JAC1" s="22"/>
      <c r="JAD1" s="22"/>
      <c r="JAE1" s="22"/>
      <c r="JAF1" s="22"/>
      <c r="JAG1" s="22"/>
      <c r="JAH1" s="22"/>
      <c r="JAI1" s="22"/>
      <c r="JAJ1" s="22"/>
      <c r="JAK1" s="22"/>
      <c r="JAL1" s="22"/>
      <c r="JAM1" s="22"/>
      <c r="JAN1" s="22"/>
      <c r="JAO1" s="22"/>
      <c r="JAP1" s="22"/>
      <c r="JAQ1" s="22"/>
      <c r="JAR1" s="22"/>
      <c r="JAS1" s="22"/>
      <c r="JAT1" s="22"/>
      <c r="JAU1" s="22"/>
      <c r="JAV1" s="22"/>
      <c r="JAW1" s="22"/>
      <c r="JAX1" s="22"/>
      <c r="JAY1" s="22"/>
      <c r="JAZ1" s="22"/>
      <c r="JBA1" s="22"/>
      <c r="JBB1" s="22"/>
      <c r="JBC1" s="22"/>
      <c r="JBD1" s="22"/>
      <c r="JBE1" s="22"/>
      <c r="JBF1" s="22"/>
      <c r="JBG1" s="22"/>
      <c r="JBH1" s="22"/>
      <c r="JBI1" s="22"/>
      <c r="JBJ1" s="22"/>
      <c r="JBK1" s="22"/>
      <c r="JBL1" s="22"/>
      <c r="JBM1" s="22"/>
      <c r="JBN1" s="22"/>
      <c r="JBO1" s="22"/>
      <c r="JBP1" s="22"/>
      <c r="JBQ1" s="22"/>
      <c r="JBR1" s="22"/>
      <c r="JBS1" s="22"/>
      <c r="JBT1" s="22"/>
      <c r="JBU1" s="22"/>
      <c r="JBV1" s="22"/>
      <c r="JBW1" s="22"/>
      <c r="JBX1" s="22"/>
      <c r="JBY1" s="22"/>
      <c r="JBZ1" s="22"/>
      <c r="JCA1" s="22"/>
      <c r="JCB1" s="22"/>
      <c r="JCC1" s="22"/>
      <c r="JCD1" s="22"/>
      <c r="JCE1" s="22"/>
      <c r="JCF1" s="22"/>
      <c r="JCG1" s="22"/>
      <c r="JCH1" s="22"/>
      <c r="JCI1" s="22"/>
      <c r="JCJ1" s="22"/>
      <c r="JCK1" s="22"/>
      <c r="JCL1" s="22"/>
      <c r="JCM1" s="22"/>
      <c r="JCN1" s="22"/>
      <c r="JCO1" s="22"/>
      <c r="JCP1" s="22"/>
      <c r="JCQ1" s="22"/>
      <c r="JCR1" s="22"/>
      <c r="JCS1" s="22"/>
      <c r="JCT1" s="22"/>
      <c r="JCU1" s="22"/>
      <c r="JCV1" s="22"/>
      <c r="JCW1" s="22"/>
      <c r="JCX1" s="22"/>
      <c r="JCY1" s="22"/>
      <c r="JCZ1" s="22"/>
      <c r="JDA1" s="22"/>
      <c r="JDB1" s="22"/>
      <c r="JDC1" s="22"/>
      <c r="JDD1" s="22"/>
      <c r="JDE1" s="22"/>
      <c r="JDF1" s="22"/>
      <c r="JDG1" s="22"/>
      <c r="JDH1" s="22"/>
      <c r="JDI1" s="22"/>
      <c r="JDJ1" s="22"/>
      <c r="JDK1" s="22"/>
      <c r="JDL1" s="22"/>
      <c r="JDM1" s="22"/>
      <c r="JDN1" s="22"/>
      <c r="JDO1" s="22"/>
      <c r="JDP1" s="22"/>
      <c r="JDQ1" s="22"/>
      <c r="JDR1" s="22"/>
      <c r="JDS1" s="22"/>
      <c r="JDT1" s="22"/>
      <c r="JDU1" s="22"/>
      <c r="JDV1" s="22"/>
      <c r="JDW1" s="22"/>
      <c r="JDX1" s="22"/>
      <c r="JDY1" s="22"/>
      <c r="JDZ1" s="22"/>
      <c r="JEA1" s="22"/>
      <c r="JEB1" s="22"/>
      <c r="JEC1" s="22"/>
      <c r="JED1" s="22"/>
      <c r="JEE1" s="22"/>
      <c r="JEF1" s="22"/>
      <c r="JEG1" s="22"/>
      <c r="JEH1" s="22"/>
      <c r="JEI1" s="22"/>
      <c r="JEJ1" s="22"/>
      <c r="JEK1" s="22"/>
      <c r="JEL1" s="22"/>
      <c r="JEM1" s="22"/>
      <c r="JEN1" s="22"/>
      <c r="JEO1" s="22"/>
      <c r="JEP1" s="22"/>
      <c r="JEQ1" s="22"/>
      <c r="JER1" s="22"/>
      <c r="JES1" s="22"/>
      <c r="JET1" s="22"/>
      <c r="JEU1" s="22"/>
      <c r="JEV1" s="22"/>
      <c r="JEW1" s="22"/>
      <c r="JEX1" s="22"/>
      <c r="JEY1" s="22"/>
      <c r="JEZ1" s="22"/>
      <c r="JFA1" s="22"/>
      <c r="JFB1" s="22"/>
      <c r="JFC1" s="22"/>
      <c r="JFD1" s="22"/>
      <c r="JFE1" s="22"/>
      <c r="JFF1" s="22"/>
      <c r="JFG1" s="22"/>
      <c r="JFH1" s="22"/>
      <c r="JFI1" s="22"/>
      <c r="JFJ1" s="22"/>
      <c r="JFK1" s="22"/>
      <c r="JFL1" s="22"/>
      <c r="JFM1" s="22"/>
      <c r="JFN1" s="22"/>
      <c r="JFO1" s="22"/>
      <c r="JFP1" s="22"/>
      <c r="JFQ1" s="22"/>
      <c r="JFR1" s="22"/>
      <c r="JFS1" s="22"/>
      <c r="JFT1" s="22"/>
      <c r="JFU1" s="22"/>
      <c r="JFV1" s="22"/>
      <c r="JFW1" s="22"/>
      <c r="JFX1" s="22"/>
      <c r="JFY1" s="22"/>
      <c r="JFZ1" s="22"/>
      <c r="JGA1" s="22"/>
      <c r="JGB1" s="22"/>
      <c r="JGC1" s="22"/>
      <c r="JGD1" s="22"/>
      <c r="JGE1" s="22"/>
      <c r="JGF1" s="22"/>
      <c r="JGG1" s="22"/>
      <c r="JGH1" s="22"/>
      <c r="JGI1" s="22"/>
      <c r="JGJ1" s="22"/>
      <c r="JGK1" s="22"/>
      <c r="JGL1" s="22"/>
      <c r="JGM1" s="22"/>
      <c r="JGN1" s="22"/>
      <c r="JGO1" s="22"/>
      <c r="JGP1" s="22"/>
      <c r="JGQ1" s="22"/>
      <c r="JGR1" s="22"/>
      <c r="JGS1" s="22"/>
      <c r="JGT1" s="22"/>
      <c r="JGU1" s="22"/>
      <c r="JGV1" s="22"/>
      <c r="JGW1" s="22"/>
      <c r="JGX1" s="22"/>
      <c r="JGY1" s="22"/>
      <c r="JGZ1" s="22"/>
      <c r="JHA1" s="22"/>
      <c r="JHB1" s="22"/>
      <c r="JHC1" s="22"/>
      <c r="JHD1" s="22"/>
      <c r="JHE1" s="22"/>
      <c r="JHF1" s="22"/>
      <c r="JHG1" s="22"/>
      <c r="JHH1" s="22"/>
      <c r="JHI1" s="22"/>
      <c r="JHJ1" s="22"/>
      <c r="JHK1" s="22"/>
      <c r="JHL1" s="22"/>
      <c r="JHM1" s="22"/>
      <c r="JHN1" s="22"/>
      <c r="JHO1" s="22"/>
      <c r="JHP1" s="22"/>
      <c r="JHQ1" s="22"/>
      <c r="JHR1" s="22"/>
      <c r="JHS1" s="22"/>
      <c r="JHT1" s="22"/>
      <c r="JHU1" s="22"/>
      <c r="JHV1" s="22"/>
      <c r="JHW1" s="22"/>
      <c r="JHX1" s="22"/>
      <c r="JHY1" s="22"/>
      <c r="JHZ1" s="22"/>
      <c r="JIA1" s="22"/>
      <c r="JIB1" s="22"/>
      <c r="JIC1" s="22"/>
      <c r="JID1" s="22"/>
      <c r="JIE1" s="22"/>
      <c r="JIF1" s="22"/>
      <c r="JIG1" s="22"/>
      <c r="JIH1" s="22"/>
      <c r="JII1" s="22"/>
      <c r="JIJ1" s="22"/>
      <c r="JIK1" s="22"/>
      <c r="JIL1" s="22"/>
      <c r="JIM1" s="22"/>
      <c r="JIN1" s="22"/>
      <c r="JIO1" s="22"/>
      <c r="JIP1" s="22"/>
      <c r="JIQ1" s="22"/>
      <c r="JIR1" s="22"/>
      <c r="JIS1" s="22"/>
      <c r="JIT1" s="22"/>
      <c r="JIU1" s="22"/>
      <c r="JIV1" s="22"/>
      <c r="JIW1" s="22"/>
      <c r="JIX1" s="22"/>
      <c r="JIY1" s="22"/>
      <c r="JIZ1" s="22"/>
      <c r="JJA1" s="22"/>
      <c r="JJB1" s="22"/>
      <c r="JJC1" s="22"/>
      <c r="JJD1" s="22"/>
      <c r="JJE1" s="22"/>
      <c r="JJF1" s="22"/>
      <c r="JJG1" s="22"/>
      <c r="JJH1" s="22"/>
      <c r="JJI1" s="22"/>
      <c r="JJJ1" s="22"/>
      <c r="JJK1" s="22"/>
      <c r="JJL1" s="22"/>
      <c r="JJM1" s="22"/>
      <c r="JJN1" s="22"/>
      <c r="JJO1" s="22"/>
      <c r="JJP1" s="22"/>
      <c r="JJQ1" s="22"/>
      <c r="JJR1" s="22"/>
      <c r="JJS1" s="22"/>
      <c r="JJT1" s="22"/>
      <c r="JJU1" s="22"/>
      <c r="JJV1" s="22"/>
      <c r="JJW1" s="22"/>
      <c r="JJX1" s="22"/>
      <c r="JJY1" s="22"/>
      <c r="JJZ1" s="22"/>
      <c r="JKA1" s="22"/>
      <c r="JKB1" s="22"/>
      <c r="JKC1" s="22"/>
      <c r="JKD1" s="22"/>
      <c r="JKE1" s="22"/>
      <c r="JKF1" s="22"/>
      <c r="JKG1" s="22"/>
      <c r="JKH1" s="22"/>
      <c r="JKI1" s="22"/>
      <c r="JKJ1" s="22"/>
      <c r="JKK1" s="22"/>
      <c r="JKL1" s="22"/>
      <c r="JKM1" s="22"/>
      <c r="JKN1" s="22"/>
      <c r="JKO1" s="22"/>
      <c r="JKP1" s="22"/>
      <c r="JKQ1" s="22"/>
      <c r="JKR1" s="22"/>
      <c r="JKS1" s="22"/>
      <c r="JKT1" s="22"/>
      <c r="JKU1" s="22"/>
      <c r="JKV1" s="22"/>
      <c r="JKW1" s="22"/>
      <c r="JKX1" s="22"/>
      <c r="JKY1" s="22"/>
      <c r="JKZ1" s="22"/>
      <c r="JLA1" s="22"/>
      <c r="JLB1" s="22"/>
      <c r="JLC1" s="22"/>
      <c r="JLD1" s="22"/>
      <c r="JLE1" s="22"/>
      <c r="JLF1" s="22"/>
      <c r="JLG1" s="22"/>
      <c r="JLH1" s="22"/>
      <c r="JLI1" s="22"/>
      <c r="JLJ1" s="22"/>
      <c r="JLK1" s="22"/>
      <c r="JLL1" s="22"/>
      <c r="JLM1" s="22"/>
      <c r="JLN1" s="22"/>
      <c r="JLO1" s="22"/>
      <c r="JLP1" s="22"/>
      <c r="JLQ1" s="22"/>
      <c r="JLR1" s="22"/>
      <c r="JLS1" s="22"/>
      <c r="JLT1" s="22"/>
      <c r="JLU1" s="22"/>
      <c r="JLV1" s="22"/>
      <c r="JLW1" s="22"/>
      <c r="JLX1" s="22"/>
      <c r="JLY1" s="22"/>
      <c r="JLZ1" s="22"/>
      <c r="JMA1" s="22"/>
      <c r="JMB1" s="22"/>
      <c r="JMC1" s="22"/>
      <c r="JMD1" s="22"/>
      <c r="JME1" s="22"/>
      <c r="JMF1" s="22"/>
      <c r="JMG1" s="22"/>
      <c r="JMH1" s="22"/>
      <c r="JMI1" s="22"/>
      <c r="JMJ1" s="22"/>
      <c r="JMK1" s="22"/>
      <c r="JML1" s="22"/>
      <c r="JMM1" s="22"/>
      <c r="JMN1" s="22"/>
      <c r="JMO1" s="22"/>
      <c r="JMP1" s="22"/>
      <c r="JMQ1" s="22"/>
      <c r="JMR1" s="22"/>
      <c r="JMS1" s="22"/>
      <c r="JMT1" s="22"/>
      <c r="JMU1" s="22"/>
      <c r="JMV1" s="22"/>
      <c r="JMW1" s="22"/>
      <c r="JMX1" s="22"/>
      <c r="JMY1" s="22"/>
      <c r="JMZ1" s="22"/>
      <c r="JNA1" s="22"/>
      <c r="JNB1" s="22"/>
      <c r="JNC1" s="22"/>
      <c r="JND1" s="22"/>
      <c r="JNE1" s="22"/>
      <c r="JNF1" s="22"/>
      <c r="JNG1" s="22"/>
      <c r="JNH1" s="22"/>
      <c r="JNI1" s="22"/>
      <c r="JNJ1" s="22"/>
      <c r="JNK1" s="22"/>
      <c r="JNL1" s="22"/>
      <c r="JNM1" s="22"/>
      <c r="JNN1" s="22"/>
      <c r="JNO1" s="22"/>
      <c r="JNP1" s="22"/>
      <c r="JNQ1" s="22"/>
      <c r="JNR1" s="22"/>
      <c r="JNS1" s="22"/>
      <c r="JNT1" s="22"/>
      <c r="JNU1" s="22"/>
      <c r="JNV1" s="22"/>
      <c r="JNW1" s="22"/>
      <c r="JNX1" s="22"/>
      <c r="JNY1" s="22"/>
      <c r="JNZ1" s="22"/>
      <c r="JOA1" s="22"/>
      <c r="JOB1" s="22"/>
      <c r="JOC1" s="22"/>
      <c r="JOD1" s="22"/>
      <c r="JOE1" s="22"/>
      <c r="JOF1" s="22"/>
      <c r="JOG1" s="22"/>
      <c r="JOH1" s="22"/>
      <c r="JOI1" s="22"/>
      <c r="JOJ1" s="22"/>
      <c r="JOK1" s="22"/>
      <c r="JOL1" s="22"/>
      <c r="JOM1" s="22"/>
      <c r="JON1" s="22"/>
      <c r="JOO1" s="22"/>
      <c r="JOP1" s="22"/>
      <c r="JOQ1" s="22"/>
      <c r="JOR1" s="22"/>
      <c r="JOS1" s="22"/>
      <c r="JOT1" s="22"/>
      <c r="JOU1" s="22"/>
      <c r="JOV1" s="22"/>
      <c r="JOW1" s="22"/>
      <c r="JOX1" s="22"/>
      <c r="JOY1" s="22"/>
      <c r="JOZ1" s="22"/>
      <c r="JPA1" s="22"/>
      <c r="JPB1" s="22"/>
      <c r="JPC1" s="22"/>
      <c r="JPD1" s="22"/>
      <c r="JPE1" s="22"/>
      <c r="JPF1" s="22"/>
      <c r="JPG1" s="22"/>
      <c r="JPH1" s="22"/>
      <c r="JPI1" s="22"/>
      <c r="JPJ1" s="22"/>
      <c r="JPK1" s="22"/>
      <c r="JPL1" s="22"/>
      <c r="JPM1" s="22"/>
      <c r="JPN1" s="22"/>
      <c r="JPO1" s="22"/>
      <c r="JPP1" s="22"/>
      <c r="JPQ1" s="22"/>
      <c r="JPR1" s="22"/>
      <c r="JPS1" s="22"/>
      <c r="JPT1" s="22"/>
      <c r="JPU1" s="22"/>
      <c r="JPV1" s="22"/>
      <c r="JPW1" s="22"/>
      <c r="JPX1" s="22"/>
      <c r="JPY1" s="22"/>
      <c r="JPZ1" s="22"/>
      <c r="JQA1" s="22"/>
      <c r="JQB1" s="22"/>
      <c r="JQC1" s="22"/>
      <c r="JQD1" s="22"/>
      <c r="JQE1" s="22"/>
      <c r="JQF1" s="22"/>
      <c r="JQG1" s="22"/>
      <c r="JQH1" s="22"/>
      <c r="JQI1" s="22"/>
      <c r="JQJ1" s="22"/>
      <c r="JQK1" s="22"/>
      <c r="JQL1" s="22"/>
      <c r="JQM1" s="22"/>
      <c r="JQN1" s="22"/>
      <c r="JQO1" s="22"/>
      <c r="JQP1" s="22"/>
      <c r="JQQ1" s="22"/>
      <c r="JQR1" s="22"/>
      <c r="JQS1" s="22"/>
      <c r="JQT1" s="22"/>
      <c r="JQU1" s="22"/>
      <c r="JQV1" s="22"/>
      <c r="JQW1" s="22"/>
      <c r="JQX1" s="22"/>
      <c r="JQY1" s="22"/>
      <c r="JQZ1" s="22"/>
      <c r="JRA1" s="22"/>
      <c r="JRB1" s="22"/>
      <c r="JRC1" s="22"/>
      <c r="JRD1" s="22"/>
      <c r="JRE1" s="22"/>
      <c r="JRF1" s="22"/>
      <c r="JRG1" s="22"/>
      <c r="JRH1" s="22"/>
      <c r="JRI1" s="22"/>
      <c r="JRJ1" s="22"/>
      <c r="JRK1" s="22"/>
      <c r="JRL1" s="22"/>
      <c r="JRM1" s="22"/>
      <c r="JRN1" s="22"/>
      <c r="JRO1" s="22"/>
      <c r="JRP1" s="22"/>
      <c r="JRQ1" s="22"/>
      <c r="JRR1" s="22"/>
      <c r="JRS1" s="22"/>
      <c r="JRT1" s="22"/>
      <c r="JRU1" s="22"/>
      <c r="JRV1" s="22"/>
      <c r="JRW1" s="22"/>
      <c r="JRX1" s="22"/>
      <c r="JRY1" s="22"/>
      <c r="JRZ1" s="22"/>
      <c r="JSA1" s="22"/>
      <c r="JSB1" s="22"/>
      <c r="JSC1" s="22"/>
      <c r="JSD1" s="22"/>
      <c r="JSE1" s="22"/>
      <c r="JSF1" s="22"/>
      <c r="JSG1" s="22"/>
      <c r="JSH1" s="22"/>
      <c r="JSI1" s="22"/>
      <c r="JSJ1" s="22"/>
      <c r="JSK1" s="22"/>
      <c r="JSL1" s="22"/>
      <c r="JSM1" s="22"/>
      <c r="JSN1" s="22"/>
      <c r="JSO1" s="22"/>
      <c r="JSP1" s="22"/>
      <c r="JSQ1" s="22"/>
      <c r="JSR1" s="22"/>
      <c r="JSS1" s="22"/>
      <c r="JST1" s="22"/>
      <c r="JSU1" s="22"/>
      <c r="JSV1" s="22"/>
      <c r="JSW1" s="22"/>
      <c r="JSX1" s="22"/>
      <c r="JSY1" s="22"/>
      <c r="JSZ1" s="22"/>
      <c r="JTA1" s="22"/>
      <c r="JTB1" s="22"/>
      <c r="JTC1" s="22"/>
      <c r="JTD1" s="22"/>
      <c r="JTE1" s="22"/>
      <c r="JTF1" s="22"/>
      <c r="JTG1" s="22"/>
      <c r="JTH1" s="22"/>
      <c r="JTI1" s="22"/>
      <c r="JTJ1" s="22"/>
      <c r="JTK1" s="22"/>
      <c r="JTL1" s="22"/>
      <c r="JTM1" s="22"/>
      <c r="JTN1" s="22"/>
      <c r="JTO1" s="22"/>
      <c r="JTP1" s="22"/>
      <c r="JTQ1" s="22"/>
      <c r="JTR1" s="22"/>
      <c r="JTS1" s="22"/>
      <c r="JTT1" s="22"/>
      <c r="JTU1" s="22"/>
      <c r="JTV1" s="22"/>
      <c r="JTW1" s="22"/>
      <c r="JTX1" s="22"/>
      <c r="JTY1" s="22"/>
      <c r="JTZ1" s="22"/>
      <c r="JUA1" s="22"/>
      <c r="JUB1" s="22"/>
      <c r="JUC1" s="22"/>
      <c r="JUD1" s="22"/>
      <c r="JUE1" s="22"/>
      <c r="JUF1" s="22"/>
      <c r="JUG1" s="22"/>
      <c r="JUH1" s="22"/>
      <c r="JUI1" s="22"/>
      <c r="JUJ1" s="22"/>
      <c r="JUK1" s="22"/>
      <c r="JUL1" s="22"/>
      <c r="JUM1" s="22"/>
      <c r="JUN1" s="22"/>
      <c r="JUO1" s="22"/>
      <c r="JUP1" s="22"/>
      <c r="JUQ1" s="22"/>
      <c r="JUR1" s="22"/>
      <c r="JUS1" s="22"/>
      <c r="JUT1" s="22"/>
      <c r="JUU1" s="22"/>
      <c r="JUV1" s="22"/>
      <c r="JUW1" s="22"/>
      <c r="JUX1" s="22"/>
      <c r="JUY1" s="22"/>
      <c r="JUZ1" s="22"/>
      <c r="JVA1" s="22"/>
      <c r="JVB1" s="22"/>
      <c r="JVC1" s="22"/>
      <c r="JVD1" s="22"/>
      <c r="JVE1" s="22"/>
      <c r="JVF1" s="22"/>
      <c r="JVG1" s="22"/>
      <c r="JVH1" s="22"/>
      <c r="JVI1" s="22"/>
      <c r="JVJ1" s="22"/>
      <c r="JVK1" s="22"/>
      <c r="JVL1" s="22"/>
      <c r="JVM1" s="22"/>
      <c r="JVN1" s="22"/>
      <c r="JVO1" s="22"/>
      <c r="JVP1" s="22"/>
      <c r="JVQ1" s="22"/>
      <c r="JVR1" s="22"/>
      <c r="JVS1" s="22"/>
      <c r="JVT1" s="22"/>
      <c r="JVU1" s="22"/>
      <c r="JVV1" s="22"/>
      <c r="JVW1" s="22"/>
      <c r="JVX1" s="22"/>
      <c r="JVY1" s="22"/>
      <c r="JVZ1" s="22"/>
      <c r="JWA1" s="22"/>
      <c r="JWB1" s="22"/>
      <c r="JWC1" s="22"/>
      <c r="JWD1" s="22"/>
      <c r="JWE1" s="22"/>
      <c r="JWF1" s="22"/>
      <c r="JWG1" s="22"/>
      <c r="JWH1" s="22"/>
      <c r="JWI1" s="22"/>
      <c r="JWJ1" s="22"/>
      <c r="JWK1" s="22"/>
      <c r="JWL1" s="22"/>
      <c r="JWM1" s="22"/>
      <c r="JWN1" s="22"/>
      <c r="JWO1" s="22"/>
      <c r="JWP1" s="22"/>
      <c r="JWQ1" s="22"/>
      <c r="JWR1" s="22"/>
      <c r="JWS1" s="22"/>
      <c r="JWT1" s="22"/>
      <c r="JWU1" s="22"/>
      <c r="JWV1" s="22"/>
      <c r="JWW1" s="22"/>
      <c r="JWX1" s="22"/>
      <c r="JWY1" s="22"/>
      <c r="JWZ1" s="22"/>
      <c r="JXA1" s="22"/>
      <c r="JXB1" s="22"/>
      <c r="JXC1" s="22"/>
      <c r="JXD1" s="22"/>
      <c r="JXE1" s="22"/>
      <c r="JXF1" s="22"/>
      <c r="JXG1" s="22"/>
      <c r="JXH1" s="22"/>
      <c r="JXI1" s="22"/>
      <c r="JXJ1" s="22"/>
      <c r="JXK1" s="22"/>
      <c r="JXL1" s="22"/>
      <c r="JXM1" s="22"/>
      <c r="JXN1" s="22"/>
      <c r="JXO1" s="22"/>
      <c r="JXP1" s="22"/>
      <c r="JXQ1" s="22"/>
      <c r="JXR1" s="22"/>
      <c r="JXS1" s="22"/>
      <c r="JXT1" s="22"/>
      <c r="JXU1" s="22"/>
      <c r="JXV1" s="22"/>
      <c r="JXW1" s="22"/>
      <c r="JXX1" s="22"/>
      <c r="JXY1" s="22"/>
      <c r="JXZ1" s="22"/>
      <c r="JYA1" s="22"/>
      <c r="JYB1" s="22"/>
      <c r="JYC1" s="22"/>
      <c r="JYD1" s="22"/>
      <c r="JYE1" s="22"/>
      <c r="JYF1" s="22"/>
      <c r="JYG1" s="22"/>
      <c r="JYH1" s="22"/>
      <c r="JYI1" s="22"/>
      <c r="JYJ1" s="22"/>
      <c r="JYK1" s="22"/>
      <c r="JYL1" s="22"/>
      <c r="JYM1" s="22"/>
      <c r="JYN1" s="22"/>
      <c r="JYO1" s="22"/>
      <c r="JYP1" s="22"/>
      <c r="JYQ1" s="22"/>
      <c r="JYR1" s="22"/>
      <c r="JYS1" s="22"/>
      <c r="JYT1" s="22"/>
      <c r="JYU1" s="22"/>
      <c r="JYV1" s="22"/>
      <c r="JYW1" s="22"/>
      <c r="JYX1" s="22"/>
      <c r="JYY1" s="22"/>
      <c r="JYZ1" s="22"/>
      <c r="JZA1" s="22"/>
      <c r="JZB1" s="22"/>
      <c r="JZC1" s="22"/>
      <c r="JZD1" s="22"/>
      <c r="JZE1" s="22"/>
      <c r="JZF1" s="22"/>
      <c r="JZG1" s="22"/>
      <c r="JZH1" s="22"/>
      <c r="JZI1" s="22"/>
      <c r="JZJ1" s="22"/>
      <c r="JZK1" s="22"/>
      <c r="JZL1" s="22"/>
      <c r="JZM1" s="22"/>
      <c r="JZN1" s="22"/>
      <c r="JZO1" s="22"/>
      <c r="JZP1" s="22"/>
      <c r="JZQ1" s="22"/>
      <c r="JZR1" s="22"/>
      <c r="JZS1" s="22"/>
      <c r="JZT1" s="22"/>
      <c r="JZU1" s="22"/>
      <c r="JZV1" s="22"/>
      <c r="JZW1" s="22"/>
      <c r="JZX1" s="22"/>
      <c r="JZY1" s="22"/>
      <c r="JZZ1" s="22"/>
      <c r="KAA1" s="22"/>
      <c r="KAB1" s="22"/>
      <c r="KAC1" s="22"/>
      <c r="KAD1" s="22"/>
      <c r="KAE1" s="22"/>
      <c r="KAF1" s="22"/>
      <c r="KAG1" s="22"/>
      <c r="KAH1" s="22"/>
      <c r="KAI1" s="22"/>
      <c r="KAJ1" s="22"/>
      <c r="KAK1" s="22"/>
      <c r="KAL1" s="22"/>
      <c r="KAM1" s="22"/>
      <c r="KAN1" s="22"/>
      <c r="KAO1" s="22"/>
      <c r="KAP1" s="22"/>
      <c r="KAQ1" s="22"/>
      <c r="KAR1" s="22"/>
      <c r="KAS1" s="22"/>
      <c r="KAT1" s="22"/>
      <c r="KAU1" s="22"/>
      <c r="KAV1" s="22"/>
      <c r="KAW1" s="22"/>
      <c r="KAX1" s="22"/>
      <c r="KAY1" s="22"/>
      <c r="KAZ1" s="22"/>
      <c r="KBA1" s="22"/>
      <c r="KBB1" s="22"/>
      <c r="KBC1" s="22"/>
      <c r="KBD1" s="22"/>
      <c r="KBE1" s="22"/>
      <c r="KBF1" s="22"/>
      <c r="KBG1" s="22"/>
      <c r="KBH1" s="22"/>
      <c r="KBI1" s="22"/>
      <c r="KBJ1" s="22"/>
      <c r="KBK1" s="22"/>
      <c r="KBL1" s="22"/>
      <c r="KBM1" s="22"/>
      <c r="KBN1" s="22"/>
      <c r="KBO1" s="22"/>
      <c r="KBP1" s="22"/>
      <c r="KBQ1" s="22"/>
      <c r="KBR1" s="22"/>
      <c r="KBS1" s="22"/>
      <c r="KBT1" s="22"/>
      <c r="KBU1" s="22"/>
      <c r="KBV1" s="22"/>
      <c r="KBW1" s="22"/>
      <c r="KBX1" s="22"/>
      <c r="KBY1" s="22"/>
      <c r="KBZ1" s="22"/>
      <c r="KCA1" s="22"/>
      <c r="KCB1" s="22"/>
      <c r="KCC1" s="22"/>
      <c r="KCD1" s="22"/>
      <c r="KCE1" s="22"/>
      <c r="KCF1" s="22"/>
      <c r="KCG1" s="22"/>
      <c r="KCH1" s="22"/>
      <c r="KCI1" s="22"/>
      <c r="KCJ1" s="22"/>
      <c r="KCK1" s="22"/>
      <c r="KCL1" s="22"/>
      <c r="KCM1" s="22"/>
      <c r="KCN1" s="22"/>
      <c r="KCO1" s="22"/>
      <c r="KCP1" s="22"/>
      <c r="KCQ1" s="22"/>
      <c r="KCR1" s="22"/>
      <c r="KCS1" s="22"/>
      <c r="KCT1" s="22"/>
      <c r="KCU1" s="22"/>
      <c r="KCV1" s="22"/>
      <c r="KCW1" s="22"/>
      <c r="KCX1" s="22"/>
      <c r="KCY1" s="22"/>
      <c r="KCZ1" s="22"/>
      <c r="KDA1" s="22"/>
      <c r="KDB1" s="22"/>
      <c r="KDC1" s="22"/>
      <c r="KDD1" s="22"/>
      <c r="KDE1" s="22"/>
      <c r="KDF1" s="22"/>
      <c r="KDG1" s="22"/>
      <c r="KDH1" s="22"/>
      <c r="KDI1" s="22"/>
      <c r="KDJ1" s="22"/>
      <c r="KDK1" s="22"/>
      <c r="KDL1" s="22"/>
      <c r="KDM1" s="22"/>
      <c r="KDN1" s="22"/>
      <c r="KDO1" s="22"/>
      <c r="KDP1" s="22"/>
      <c r="KDQ1" s="22"/>
      <c r="KDR1" s="22"/>
      <c r="KDS1" s="22"/>
      <c r="KDT1" s="22"/>
      <c r="KDU1" s="22"/>
      <c r="KDV1" s="22"/>
      <c r="KDW1" s="22"/>
      <c r="KDX1" s="22"/>
      <c r="KDY1" s="22"/>
      <c r="KDZ1" s="22"/>
      <c r="KEA1" s="22"/>
      <c r="KEB1" s="22"/>
      <c r="KEC1" s="22"/>
      <c r="KED1" s="22"/>
      <c r="KEE1" s="22"/>
      <c r="KEF1" s="22"/>
      <c r="KEG1" s="22"/>
      <c r="KEH1" s="22"/>
      <c r="KEI1" s="22"/>
      <c r="KEJ1" s="22"/>
      <c r="KEK1" s="22"/>
      <c r="KEL1" s="22"/>
      <c r="KEM1" s="22"/>
      <c r="KEN1" s="22"/>
      <c r="KEO1" s="22"/>
      <c r="KEP1" s="22"/>
      <c r="KEQ1" s="22"/>
      <c r="KER1" s="22"/>
      <c r="KES1" s="22"/>
      <c r="KET1" s="22"/>
      <c r="KEU1" s="22"/>
      <c r="KEV1" s="22"/>
      <c r="KEW1" s="22"/>
      <c r="KEX1" s="22"/>
      <c r="KEY1" s="22"/>
      <c r="KEZ1" s="22"/>
      <c r="KFA1" s="22"/>
      <c r="KFB1" s="22"/>
      <c r="KFC1" s="22"/>
      <c r="KFD1" s="22"/>
      <c r="KFE1" s="22"/>
      <c r="KFF1" s="22"/>
      <c r="KFG1" s="22"/>
      <c r="KFH1" s="22"/>
      <c r="KFI1" s="22"/>
      <c r="KFJ1" s="22"/>
      <c r="KFK1" s="22"/>
      <c r="KFL1" s="22"/>
      <c r="KFM1" s="22"/>
      <c r="KFN1" s="22"/>
      <c r="KFO1" s="22"/>
      <c r="KFP1" s="22"/>
      <c r="KFQ1" s="22"/>
      <c r="KFR1" s="22"/>
      <c r="KFS1" s="22"/>
      <c r="KFT1" s="22"/>
      <c r="KFU1" s="22"/>
      <c r="KFV1" s="22"/>
      <c r="KFW1" s="22"/>
      <c r="KFX1" s="22"/>
      <c r="KFY1" s="22"/>
      <c r="KFZ1" s="22"/>
      <c r="KGA1" s="22"/>
      <c r="KGB1" s="22"/>
      <c r="KGC1" s="22"/>
      <c r="KGD1" s="22"/>
      <c r="KGE1" s="22"/>
      <c r="KGF1" s="22"/>
      <c r="KGG1" s="22"/>
      <c r="KGH1" s="22"/>
      <c r="KGI1" s="22"/>
      <c r="KGJ1" s="22"/>
      <c r="KGK1" s="22"/>
      <c r="KGL1" s="22"/>
      <c r="KGM1" s="22"/>
      <c r="KGN1" s="22"/>
      <c r="KGO1" s="22"/>
      <c r="KGP1" s="22"/>
      <c r="KGQ1" s="22"/>
      <c r="KGR1" s="22"/>
      <c r="KGS1" s="22"/>
      <c r="KGT1" s="22"/>
      <c r="KGU1" s="22"/>
      <c r="KGV1" s="22"/>
      <c r="KGW1" s="22"/>
      <c r="KGX1" s="22"/>
      <c r="KGY1" s="22"/>
      <c r="KGZ1" s="22"/>
      <c r="KHA1" s="22"/>
      <c r="KHB1" s="22"/>
      <c r="KHC1" s="22"/>
      <c r="KHD1" s="22"/>
      <c r="KHE1" s="22"/>
      <c r="KHF1" s="22"/>
      <c r="KHG1" s="22"/>
      <c r="KHH1" s="22"/>
      <c r="KHI1" s="22"/>
      <c r="KHJ1" s="22"/>
      <c r="KHK1" s="22"/>
      <c r="KHL1" s="22"/>
      <c r="KHM1" s="22"/>
      <c r="KHN1" s="22"/>
      <c r="KHO1" s="22"/>
      <c r="KHP1" s="22"/>
      <c r="KHQ1" s="22"/>
      <c r="KHR1" s="22"/>
      <c r="KHS1" s="22"/>
      <c r="KHT1" s="22"/>
      <c r="KHU1" s="22"/>
      <c r="KHV1" s="22"/>
      <c r="KHW1" s="22"/>
      <c r="KHX1" s="22"/>
      <c r="KHY1" s="22"/>
      <c r="KHZ1" s="22"/>
      <c r="KIA1" s="22"/>
      <c r="KIB1" s="22"/>
      <c r="KIC1" s="22"/>
      <c r="KID1" s="22"/>
      <c r="KIE1" s="22"/>
      <c r="KIF1" s="22"/>
      <c r="KIG1" s="22"/>
      <c r="KIH1" s="22"/>
      <c r="KII1" s="22"/>
      <c r="KIJ1" s="22"/>
      <c r="KIK1" s="22"/>
      <c r="KIL1" s="22"/>
      <c r="KIM1" s="22"/>
      <c r="KIN1" s="22"/>
      <c r="KIO1" s="22"/>
      <c r="KIP1" s="22"/>
      <c r="KIQ1" s="22"/>
      <c r="KIR1" s="22"/>
      <c r="KIS1" s="22"/>
      <c r="KIT1" s="22"/>
      <c r="KIU1" s="22"/>
      <c r="KIV1" s="22"/>
      <c r="KIW1" s="22"/>
      <c r="KIX1" s="22"/>
      <c r="KIY1" s="22"/>
      <c r="KIZ1" s="22"/>
      <c r="KJA1" s="22"/>
      <c r="KJB1" s="22"/>
      <c r="KJC1" s="22"/>
      <c r="KJD1" s="22"/>
      <c r="KJE1" s="22"/>
      <c r="KJF1" s="22"/>
      <c r="KJG1" s="22"/>
      <c r="KJH1" s="22"/>
      <c r="KJI1" s="22"/>
      <c r="KJJ1" s="22"/>
      <c r="KJK1" s="22"/>
      <c r="KJL1" s="22"/>
      <c r="KJM1" s="22"/>
      <c r="KJN1" s="22"/>
      <c r="KJO1" s="22"/>
      <c r="KJP1" s="22"/>
      <c r="KJQ1" s="22"/>
      <c r="KJR1" s="22"/>
      <c r="KJS1" s="22"/>
      <c r="KJT1" s="22"/>
      <c r="KJU1" s="22"/>
      <c r="KJV1" s="22"/>
      <c r="KJW1" s="22"/>
      <c r="KJX1" s="22"/>
      <c r="KJY1" s="22"/>
      <c r="KJZ1" s="22"/>
      <c r="KKA1" s="22"/>
      <c r="KKB1" s="22"/>
      <c r="KKC1" s="22"/>
      <c r="KKD1" s="22"/>
      <c r="KKE1" s="22"/>
      <c r="KKF1" s="22"/>
      <c r="KKG1" s="22"/>
      <c r="KKH1" s="22"/>
      <c r="KKI1" s="22"/>
      <c r="KKJ1" s="22"/>
      <c r="KKK1" s="22"/>
      <c r="KKL1" s="22"/>
      <c r="KKM1" s="22"/>
      <c r="KKN1" s="22"/>
      <c r="KKO1" s="22"/>
      <c r="KKP1" s="22"/>
      <c r="KKQ1" s="22"/>
      <c r="KKR1" s="22"/>
      <c r="KKS1" s="22"/>
      <c r="KKT1" s="22"/>
      <c r="KKU1" s="22"/>
      <c r="KKV1" s="22"/>
      <c r="KKW1" s="22"/>
      <c r="KKX1" s="22"/>
      <c r="KKY1" s="22"/>
      <c r="KKZ1" s="22"/>
      <c r="KLA1" s="22"/>
      <c r="KLB1" s="22"/>
      <c r="KLC1" s="22"/>
      <c r="KLD1" s="22"/>
      <c r="KLE1" s="22"/>
      <c r="KLF1" s="22"/>
      <c r="KLG1" s="22"/>
      <c r="KLH1" s="22"/>
      <c r="KLI1" s="22"/>
      <c r="KLJ1" s="22"/>
      <c r="KLK1" s="22"/>
      <c r="KLL1" s="22"/>
      <c r="KLM1" s="22"/>
      <c r="KLN1" s="22"/>
      <c r="KLO1" s="22"/>
      <c r="KLP1" s="22"/>
      <c r="KLQ1" s="22"/>
      <c r="KLR1" s="22"/>
      <c r="KLS1" s="22"/>
      <c r="KLT1" s="22"/>
      <c r="KLU1" s="22"/>
      <c r="KLV1" s="22"/>
      <c r="KLW1" s="22"/>
      <c r="KLX1" s="22"/>
      <c r="KLY1" s="22"/>
      <c r="KLZ1" s="22"/>
      <c r="KMA1" s="22"/>
      <c r="KMB1" s="22"/>
      <c r="KMC1" s="22"/>
      <c r="KMD1" s="22"/>
      <c r="KME1" s="22"/>
      <c r="KMF1" s="22"/>
      <c r="KMG1" s="22"/>
      <c r="KMH1" s="22"/>
      <c r="KMI1" s="22"/>
      <c r="KMJ1" s="22"/>
      <c r="KMK1" s="22"/>
      <c r="KML1" s="22"/>
      <c r="KMM1" s="22"/>
      <c r="KMN1" s="22"/>
      <c r="KMO1" s="22"/>
      <c r="KMP1" s="22"/>
      <c r="KMQ1" s="22"/>
      <c r="KMR1" s="22"/>
      <c r="KMS1" s="22"/>
      <c r="KMT1" s="22"/>
      <c r="KMU1" s="22"/>
      <c r="KMV1" s="22"/>
      <c r="KMW1" s="22"/>
      <c r="KMX1" s="22"/>
      <c r="KMY1" s="22"/>
      <c r="KMZ1" s="22"/>
      <c r="KNA1" s="22"/>
      <c r="KNB1" s="22"/>
      <c r="KNC1" s="22"/>
      <c r="KND1" s="22"/>
      <c r="KNE1" s="22"/>
      <c r="KNF1" s="22"/>
      <c r="KNG1" s="22"/>
      <c r="KNH1" s="22"/>
      <c r="KNI1" s="22"/>
      <c r="KNJ1" s="22"/>
      <c r="KNK1" s="22"/>
      <c r="KNL1" s="22"/>
      <c r="KNM1" s="22"/>
      <c r="KNN1" s="22"/>
      <c r="KNO1" s="22"/>
      <c r="KNP1" s="22"/>
      <c r="KNQ1" s="22"/>
      <c r="KNR1" s="22"/>
      <c r="KNS1" s="22"/>
      <c r="KNT1" s="22"/>
      <c r="KNU1" s="22"/>
      <c r="KNV1" s="22"/>
      <c r="KNW1" s="22"/>
      <c r="KNX1" s="22"/>
      <c r="KNY1" s="22"/>
      <c r="KNZ1" s="22"/>
      <c r="KOA1" s="22"/>
      <c r="KOB1" s="22"/>
      <c r="KOC1" s="22"/>
      <c r="KOD1" s="22"/>
      <c r="KOE1" s="22"/>
      <c r="KOF1" s="22"/>
      <c r="KOG1" s="22"/>
      <c r="KOH1" s="22"/>
      <c r="KOI1" s="22"/>
      <c r="KOJ1" s="22"/>
      <c r="KOK1" s="22"/>
      <c r="KOL1" s="22"/>
      <c r="KOM1" s="22"/>
      <c r="KON1" s="22"/>
      <c r="KOO1" s="22"/>
      <c r="KOP1" s="22"/>
      <c r="KOQ1" s="22"/>
      <c r="KOR1" s="22"/>
      <c r="KOS1" s="22"/>
      <c r="KOT1" s="22"/>
      <c r="KOU1" s="22"/>
      <c r="KOV1" s="22"/>
      <c r="KOW1" s="22"/>
      <c r="KOX1" s="22"/>
      <c r="KOY1" s="22"/>
      <c r="KOZ1" s="22"/>
      <c r="KPA1" s="22"/>
      <c r="KPB1" s="22"/>
      <c r="KPC1" s="22"/>
      <c r="KPD1" s="22"/>
      <c r="KPE1" s="22"/>
      <c r="KPF1" s="22"/>
      <c r="KPG1" s="22"/>
      <c r="KPH1" s="22"/>
      <c r="KPI1" s="22"/>
      <c r="KPJ1" s="22"/>
      <c r="KPK1" s="22"/>
      <c r="KPL1" s="22"/>
      <c r="KPM1" s="22"/>
      <c r="KPN1" s="22"/>
      <c r="KPO1" s="22"/>
      <c r="KPP1" s="22"/>
      <c r="KPQ1" s="22"/>
      <c r="KPR1" s="22"/>
      <c r="KPS1" s="22"/>
      <c r="KPT1" s="22"/>
      <c r="KPU1" s="22"/>
      <c r="KPV1" s="22"/>
      <c r="KPW1" s="22"/>
      <c r="KPX1" s="22"/>
      <c r="KPY1" s="22"/>
      <c r="KPZ1" s="22"/>
      <c r="KQA1" s="22"/>
      <c r="KQB1" s="22"/>
      <c r="KQC1" s="22"/>
      <c r="KQD1" s="22"/>
      <c r="KQE1" s="22"/>
      <c r="KQF1" s="22"/>
      <c r="KQG1" s="22"/>
      <c r="KQH1" s="22"/>
      <c r="KQI1" s="22"/>
      <c r="KQJ1" s="22"/>
      <c r="KQK1" s="22"/>
      <c r="KQL1" s="22"/>
      <c r="KQM1" s="22"/>
      <c r="KQN1" s="22"/>
      <c r="KQO1" s="22"/>
      <c r="KQP1" s="22"/>
      <c r="KQQ1" s="22"/>
      <c r="KQR1" s="22"/>
      <c r="KQS1" s="22"/>
      <c r="KQT1" s="22"/>
      <c r="KQU1" s="22"/>
      <c r="KQV1" s="22"/>
      <c r="KQW1" s="22"/>
      <c r="KQX1" s="22"/>
      <c r="KQY1" s="22"/>
      <c r="KQZ1" s="22"/>
      <c r="KRA1" s="22"/>
      <c r="KRB1" s="22"/>
      <c r="KRC1" s="22"/>
      <c r="KRD1" s="22"/>
      <c r="KRE1" s="22"/>
      <c r="KRF1" s="22"/>
      <c r="KRG1" s="22"/>
      <c r="KRH1" s="22"/>
      <c r="KRI1" s="22"/>
      <c r="KRJ1" s="22"/>
      <c r="KRK1" s="22"/>
      <c r="KRL1" s="22"/>
      <c r="KRM1" s="22"/>
      <c r="KRN1" s="22"/>
      <c r="KRO1" s="22"/>
      <c r="KRP1" s="22"/>
      <c r="KRQ1" s="22"/>
      <c r="KRR1" s="22"/>
      <c r="KRS1" s="22"/>
      <c r="KRT1" s="22"/>
      <c r="KRU1" s="22"/>
      <c r="KRV1" s="22"/>
      <c r="KRW1" s="22"/>
      <c r="KRX1" s="22"/>
      <c r="KRY1" s="22"/>
      <c r="KRZ1" s="22"/>
      <c r="KSA1" s="22"/>
      <c r="KSB1" s="22"/>
      <c r="KSC1" s="22"/>
      <c r="KSD1" s="22"/>
      <c r="KSE1" s="22"/>
      <c r="KSF1" s="22"/>
      <c r="KSG1" s="22"/>
      <c r="KSH1" s="22"/>
      <c r="KSI1" s="22"/>
      <c r="KSJ1" s="22"/>
      <c r="KSK1" s="22"/>
      <c r="KSL1" s="22"/>
      <c r="KSM1" s="22"/>
      <c r="KSN1" s="22"/>
      <c r="KSO1" s="22"/>
      <c r="KSP1" s="22"/>
      <c r="KSQ1" s="22"/>
      <c r="KSR1" s="22"/>
      <c r="KSS1" s="22"/>
      <c r="KST1" s="22"/>
      <c r="KSU1" s="22"/>
      <c r="KSV1" s="22"/>
      <c r="KSW1" s="22"/>
      <c r="KSX1" s="22"/>
      <c r="KSY1" s="22"/>
      <c r="KSZ1" s="22"/>
      <c r="KTA1" s="22"/>
      <c r="KTB1" s="22"/>
      <c r="KTC1" s="22"/>
      <c r="KTD1" s="22"/>
      <c r="KTE1" s="22"/>
      <c r="KTF1" s="22"/>
      <c r="KTG1" s="22"/>
      <c r="KTH1" s="22"/>
      <c r="KTI1" s="22"/>
      <c r="KTJ1" s="22"/>
      <c r="KTK1" s="22"/>
      <c r="KTL1" s="22"/>
      <c r="KTM1" s="22"/>
      <c r="KTN1" s="22"/>
      <c r="KTO1" s="22"/>
      <c r="KTP1" s="22"/>
      <c r="KTQ1" s="22"/>
      <c r="KTR1" s="22"/>
      <c r="KTS1" s="22"/>
      <c r="KTT1" s="22"/>
      <c r="KTU1" s="22"/>
      <c r="KTV1" s="22"/>
      <c r="KTW1" s="22"/>
      <c r="KTX1" s="22"/>
      <c r="KTY1" s="22"/>
      <c r="KTZ1" s="22"/>
      <c r="KUA1" s="22"/>
      <c r="KUB1" s="22"/>
      <c r="KUC1" s="22"/>
      <c r="KUD1" s="22"/>
      <c r="KUE1" s="22"/>
      <c r="KUF1" s="22"/>
      <c r="KUG1" s="22"/>
      <c r="KUH1" s="22"/>
      <c r="KUI1" s="22"/>
      <c r="KUJ1" s="22"/>
      <c r="KUK1" s="22"/>
      <c r="KUL1" s="22"/>
      <c r="KUM1" s="22"/>
      <c r="KUN1" s="22"/>
      <c r="KUO1" s="22"/>
      <c r="KUP1" s="22"/>
      <c r="KUQ1" s="22"/>
      <c r="KUR1" s="22"/>
      <c r="KUS1" s="22"/>
      <c r="KUT1" s="22"/>
      <c r="KUU1" s="22"/>
      <c r="KUV1" s="22"/>
      <c r="KUW1" s="22"/>
      <c r="KUX1" s="22"/>
      <c r="KUY1" s="22"/>
      <c r="KUZ1" s="22"/>
      <c r="KVA1" s="22"/>
      <c r="KVB1" s="22"/>
      <c r="KVC1" s="22"/>
      <c r="KVD1" s="22"/>
      <c r="KVE1" s="22"/>
      <c r="KVF1" s="22"/>
      <c r="KVG1" s="22"/>
      <c r="KVH1" s="22"/>
      <c r="KVI1" s="22"/>
      <c r="KVJ1" s="22"/>
      <c r="KVK1" s="22"/>
      <c r="KVL1" s="22"/>
      <c r="KVM1" s="22"/>
      <c r="KVN1" s="22"/>
      <c r="KVO1" s="22"/>
      <c r="KVP1" s="22"/>
      <c r="KVQ1" s="22"/>
      <c r="KVR1" s="22"/>
      <c r="KVS1" s="22"/>
      <c r="KVT1" s="22"/>
      <c r="KVU1" s="22"/>
      <c r="KVV1" s="22"/>
      <c r="KVW1" s="22"/>
      <c r="KVX1" s="22"/>
      <c r="KVY1" s="22"/>
      <c r="KVZ1" s="22"/>
      <c r="KWA1" s="22"/>
      <c r="KWB1" s="22"/>
      <c r="KWC1" s="22"/>
      <c r="KWD1" s="22"/>
      <c r="KWE1" s="22"/>
      <c r="KWF1" s="22"/>
      <c r="KWG1" s="22"/>
      <c r="KWH1" s="22"/>
      <c r="KWI1" s="22"/>
      <c r="KWJ1" s="22"/>
      <c r="KWK1" s="22"/>
      <c r="KWL1" s="22"/>
      <c r="KWM1" s="22"/>
      <c r="KWN1" s="22"/>
      <c r="KWO1" s="22"/>
      <c r="KWP1" s="22"/>
      <c r="KWQ1" s="22"/>
      <c r="KWR1" s="22"/>
      <c r="KWS1" s="22"/>
      <c r="KWT1" s="22"/>
      <c r="KWU1" s="22"/>
      <c r="KWV1" s="22"/>
      <c r="KWW1" s="22"/>
      <c r="KWX1" s="22"/>
      <c r="KWY1" s="22"/>
      <c r="KWZ1" s="22"/>
      <c r="KXA1" s="22"/>
      <c r="KXB1" s="22"/>
      <c r="KXC1" s="22"/>
      <c r="KXD1" s="22"/>
      <c r="KXE1" s="22"/>
      <c r="KXF1" s="22"/>
      <c r="KXG1" s="22"/>
      <c r="KXH1" s="22"/>
      <c r="KXI1" s="22"/>
      <c r="KXJ1" s="22"/>
      <c r="KXK1" s="22"/>
      <c r="KXL1" s="22"/>
      <c r="KXM1" s="22"/>
      <c r="KXN1" s="22"/>
      <c r="KXO1" s="22"/>
      <c r="KXP1" s="22"/>
      <c r="KXQ1" s="22"/>
      <c r="KXR1" s="22"/>
      <c r="KXS1" s="22"/>
      <c r="KXT1" s="22"/>
      <c r="KXU1" s="22"/>
      <c r="KXV1" s="22"/>
      <c r="KXW1" s="22"/>
      <c r="KXX1" s="22"/>
      <c r="KXY1" s="22"/>
      <c r="KXZ1" s="22"/>
      <c r="KYA1" s="22"/>
      <c r="KYB1" s="22"/>
      <c r="KYC1" s="22"/>
      <c r="KYD1" s="22"/>
      <c r="KYE1" s="22"/>
      <c r="KYF1" s="22"/>
      <c r="KYG1" s="22"/>
      <c r="KYH1" s="22"/>
      <c r="KYI1" s="22"/>
      <c r="KYJ1" s="22"/>
      <c r="KYK1" s="22"/>
      <c r="KYL1" s="22"/>
      <c r="KYM1" s="22"/>
      <c r="KYN1" s="22"/>
      <c r="KYO1" s="22"/>
      <c r="KYP1" s="22"/>
      <c r="KYQ1" s="22"/>
      <c r="KYR1" s="22"/>
      <c r="KYS1" s="22"/>
      <c r="KYT1" s="22"/>
      <c r="KYU1" s="22"/>
      <c r="KYV1" s="22"/>
      <c r="KYW1" s="22"/>
      <c r="KYX1" s="22"/>
      <c r="KYY1" s="22"/>
      <c r="KYZ1" s="22"/>
      <c r="KZA1" s="22"/>
      <c r="KZB1" s="22"/>
      <c r="KZC1" s="22"/>
      <c r="KZD1" s="22"/>
      <c r="KZE1" s="22"/>
      <c r="KZF1" s="22"/>
      <c r="KZG1" s="22"/>
      <c r="KZH1" s="22"/>
      <c r="KZI1" s="22"/>
      <c r="KZJ1" s="22"/>
      <c r="KZK1" s="22"/>
      <c r="KZL1" s="22"/>
      <c r="KZM1" s="22"/>
      <c r="KZN1" s="22"/>
      <c r="KZO1" s="22"/>
      <c r="KZP1" s="22"/>
      <c r="KZQ1" s="22"/>
      <c r="KZR1" s="22"/>
      <c r="KZS1" s="22"/>
      <c r="KZT1" s="22"/>
      <c r="KZU1" s="22"/>
      <c r="KZV1" s="22"/>
      <c r="KZW1" s="22"/>
      <c r="KZX1" s="22"/>
      <c r="KZY1" s="22"/>
      <c r="KZZ1" s="22"/>
      <c r="LAA1" s="22"/>
      <c r="LAB1" s="22"/>
      <c r="LAC1" s="22"/>
      <c r="LAD1" s="22"/>
      <c r="LAE1" s="22"/>
      <c r="LAF1" s="22"/>
      <c r="LAG1" s="22"/>
      <c r="LAH1" s="22"/>
      <c r="LAI1" s="22"/>
      <c r="LAJ1" s="22"/>
      <c r="LAK1" s="22"/>
      <c r="LAL1" s="22"/>
      <c r="LAM1" s="22"/>
      <c r="LAN1" s="22"/>
      <c r="LAO1" s="22"/>
      <c r="LAP1" s="22"/>
      <c r="LAQ1" s="22"/>
      <c r="LAR1" s="22"/>
      <c r="LAS1" s="22"/>
      <c r="LAT1" s="22"/>
      <c r="LAU1" s="22"/>
      <c r="LAV1" s="22"/>
      <c r="LAW1" s="22"/>
      <c r="LAX1" s="22"/>
      <c r="LAY1" s="22"/>
      <c r="LAZ1" s="22"/>
      <c r="LBA1" s="22"/>
      <c r="LBB1" s="22"/>
      <c r="LBC1" s="22"/>
      <c r="LBD1" s="22"/>
      <c r="LBE1" s="22"/>
      <c r="LBF1" s="22"/>
      <c r="LBG1" s="22"/>
      <c r="LBH1" s="22"/>
      <c r="LBI1" s="22"/>
      <c r="LBJ1" s="22"/>
      <c r="LBK1" s="22"/>
      <c r="LBL1" s="22"/>
      <c r="LBM1" s="22"/>
      <c r="LBN1" s="22"/>
      <c r="LBO1" s="22"/>
      <c r="LBP1" s="22"/>
      <c r="LBQ1" s="22"/>
      <c r="LBR1" s="22"/>
      <c r="LBS1" s="22"/>
      <c r="LBT1" s="22"/>
      <c r="LBU1" s="22"/>
      <c r="LBV1" s="22"/>
      <c r="LBW1" s="22"/>
      <c r="LBX1" s="22"/>
      <c r="LBY1" s="22"/>
      <c r="LBZ1" s="22"/>
      <c r="LCA1" s="22"/>
      <c r="LCB1" s="22"/>
      <c r="LCC1" s="22"/>
      <c r="LCD1" s="22"/>
      <c r="LCE1" s="22"/>
      <c r="LCF1" s="22"/>
      <c r="LCG1" s="22"/>
      <c r="LCH1" s="22"/>
      <c r="LCI1" s="22"/>
      <c r="LCJ1" s="22"/>
      <c r="LCK1" s="22"/>
      <c r="LCL1" s="22"/>
      <c r="LCM1" s="22"/>
      <c r="LCN1" s="22"/>
      <c r="LCO1" s="22"/>
      <c r="LCP1" s="22"/>
      <c r="LCQ1" s="22"/>
      <c r="LCR1" s="22"/>
      <c r="LCS1" s="22"/>
      <c r="LCT1" s="22"/>
      <c r="LCU1" s="22"/>
      <c r="LCV1" s="22"/>
      <c r="LCW1" s="22"/>
      <c r="LCX1" s="22"/>
      <c r="LCY1" s="22"/>
      <c r="LCZ1" s="22"/>
      <c r="LDA1" s="22"/>
      <c r="LDB1" s="22"/>
      <c r="LDC1" s="22"/>
      <c r="LDD1" s="22"/>
      <c r="LDE1" s="22"/>
      <c r="LDF1" s="22"/>
      <c r="LDG1" s="22"/>
      <c r="LDH1" s="22"/>
      <c r="LDI1" s="22"/>
      <c r="LDJ1" s="22"/>
      <c r="LDK1" s="22"/>
      <c r="LDL1" s="22"/>
      <c r="LDM1" s="22"/>
      <c r="LDN1" s="22"/>
      <c r="LDO1" s="22"/>
      <c r="LDP1" s="22"/>
      <c r="LDQ1" s="22"/>
      <c r="LDR1" s="22"/>
      <c r="LDS1" s="22"/>
      <c r="LDT1" s="22"/>
      <c r="LDU1" s="22"/>
      <c r="LDV1" s="22"/>
      <c r="LDW1" s="22"/>
      <c r="LDX1" s="22"/>
      <c r="LDY1" s="22"/>
      <c r="LDZ1" s="22"/>
      <c r="LEA1" s="22"/>
      <c r="LEB1" s="22"/>
      <c r="LEC1" s="22"/>
      <c r="LED1" s="22"/>
      <c r="LEE1" s="22"/>
      <c r="LEF1" s="22"/>
      <c r="LEG1" s="22"/>
      <c r="LEH1" s="22"/>
      <c r="LEI1" s="22"/>
      <c r="LEJ1" s="22"/>
      <c r="LEK1" s="22"/>
      <c r="LEL1" s="22"/>
      <c r="LEM1" s="22"/>
      <c r="LEN1" s="22"/>
      <c r="LEO1" s="22"/>
      <c r="LEP1" s="22"/>
      <c r="LEQ1" s="22"/>
      <c r="LER1" s="22"/>
      <c r="LES1" s="22"/>
      <c r="LET1" s="22"/>
      <c r="LEU1" s="22"/>
      <c r="LEV1" s="22"/>
      <c r="LEW1" s="22"/>
      <c r="LEX1" s="22"/>
      <c r="LEY1" s="22"/>
      <c r="LEZ1" s="22"/>
      <c r="LFA1" s="22"/>
      <c r="LFB1" s="22"/>
      <c r="LFC1" s="22"/>
      <c r="LFD1" s="22"/>
      <c r="LFE1" s="22"/>
      <c r="LFF1" s="22"/>
      <c r="LFG1" s="22"/>
      <c r="LFH1" s="22"/>
      <c r="LFI1" s="22"/>
      <c r="LFJ1" s="22"/>
      <c r="LFK1" s="22"/>
      <c r="LFL1" s="22"/>
      <c r="LFM1" s="22"/>
      <c r="LFN1" s="22"/>
      <c r="LFO1" s="22"/>
      <c r="LFP1" s="22"/>
      <c r="LFQ1" s="22"/>
      <c r="LFR1" s="22"/>
      <c r="LFS1" s="22"/>
      <c r="LFT1" s="22"/>
      <c r="LFU1" s="22"/>
      <c r="LFV1" s="22"/>
      <c r="LFW1" s="22"/>
      <c r="LFX1" s="22"/>
      <c r="LFY1" s="22"/>
      <c r="LFZ1" s="22"/>
      <c r="LGA1" s="22"/>
      <c r="LGB1" s="22"/>
      <c r="LGC1" s="22"/>
      <c r="LGD1" s="22"/>
      <c r="LGE1" s="22"/>
      <c r="LGF1" s="22"/>
      <c r="LGG1" s="22"/>
      <c r="LGH1" s="22"/>
      <c r="LGI1" s="22"/>
      <c r="LGJ1" s="22"/>
      <c r="LGK1" s="22"/>
      <c r="LGL1" s="22"/>
      <c r="LGM1" s="22"/>
      <c r="LGN1" s="22"/>
      <c r="LGO1" s="22"/>
      <c r="LGP1" s="22"/>
      <c r="LGQ1" s="22"/>
      <c r="LGR1" s="22"/>
      <c r="LGS1" s="22"/>
      <c r="LGT1" s="22"/>
      <c r="LGU1" s="22"/>
      <c r="LGV1" s="22"/>
      <c r="LGW1" s="22"/>
      <c r="LGX1" s="22"/>
      <c r="LGY1" s="22"/>
      <c r="LGZ1" s="22"/>
      <c r="LHA1" s="22"/>
      <c r="LHB1" s="22"/>
      <c r="LHC1" s="22"/>
      <c r="LHD1" s="22"/>
      <c r="LHE1" s="22"/>
      <c r="LHF1" s="22"/>
      <c r="LHG1" s="22"/>
      <c r="LHH1" s="22"/>
      <c r="LHI1" s="22"/>
      <c r="LHJ1" s="22"/>
      <c r="LHK1" s="22"/>
      <c r="LHL1" s="22"/>
      <c r="LHM1" s="22"/>
      <c r="LHN1" s="22"/>
      <c r="LHO1" s="22"/>
      <c r="LHP1" s="22"/>
      <c r="LHQ1" s="22"/>
      <c r="LHR1" s="22"/>
      <c r="LHS1" s="22"/>
      <c r="LHT1" s="22"/>
      <c r="LHU1" s="22"/>
      <c r="LHV1" s="22"/>
      <c r="LHW1" s="22"/>
      <c r="LHX1" s="22"/>
      <c r="LHY1" s="22"/>
      <c r="LHZ1" s="22"/>
      <c r="LIA1" s="22"/>
      <c r="LIB1" s="22"/>
      <c r="LIC1" s="22"/>
      <c r="LID1" s="22"/>
      <c r="LIE1" s="22"/>
      <c r="LIF1" s="22"/>
      <c r="LIG1" s="22"/>
      <c r="LIH1" s="22"/>
      <c r="LII1" s="22"/>
      <c r="LIJ1" s="22"/>
      <c r="LIK1" s="22"/>
      <c r="LIL1" s="22"/>
      <c r="LIM1" s="22"/>
      <c r="LIN1" s="22"/>
      <c r="LIO1" s="22"/>
      <c r="LIP1" s="22"/>
      <c r="LIQ1" s="22"/>
      <c r="LIR1" s="22"/>
      <c r="LIS1" s="22"/>
      <c r="LIT1" s="22"/>
      <c r="LIU1" s="22"/>
      <c r="LIV1" s="22"/>
      <c r="LIW1" s="22"/>
      <c r="LIX1" s="22"/>
      <c r="LIY1" s="22"/>
      <c r="LIZ1" s="22"/>
      <c r="LJA1" s="22"/>
      <c r="LJB1" s="22"/>
      <c r="LJC1" s="22"/>
      <c r="LJD1" s="22"/>
      <c r="LJE1" s="22"/>
      <c r="LJF1" s="22"/>
      <c r="LJG1" s="22"/>
      <c r="LJH1" s="22"/>
      <c r="LJI1" s="22"/>
      <c r="LJJ1" s="22"/>
      <c r="LJK1" s="22"/>
      <c r="LJL1" s="22"/>
      <c r="LJM1" s="22"/>
      <c r="LJN1" s="22"/>
      <c r="LJO1" s="22"/>
      <c r="LJP1" s="22"/>
      <c r="LJQ1" s="22"/>
      <c r="LJR1" s="22"/>
      <c r="LJS1" s="22"/>
      <c r="LJT1" s="22"/>
      <c r="LJU1" s="22"/>
      <c r="LJV1" s="22"/>
      <c r="LJW1" s="22"/>
      <c r="LJX1" s="22"/>
      <c r="LJY1" s="22"/>
      <c r="LJZ1" s="22"/>
      <c r="LKA1" s="22"/>
      <c r="LKB1" s="22"/>
      <c r="LKC1" s="22"/>
      <c r="LKD1" s="22"/>
      <c r="LKE1" s="22"/>
      <c r="LKF1" s="22"/>
      <c r="LKG1" s="22"/>
      <c r="LKH1" s="22"/>
      <c r="LKI1" s="22"/>
      <c r="LKJ1" s="22"/>
      <c r="LKK1" s="22"/>
      <c r="LKL1" s="22"/>
      <c r="LKM1" s="22"/>
      <c r="LKN1" s="22"/>
      <c r="LKO1" s="22"/>
      <c r="LKP1" s="22"/>
      <c r="LKQ1" s="22"/>
      <c r="LKR1" s="22"/>
      <c r="LKS1" s="22"/>
      <c r="LKT1" s="22"/>
      <c r="LKU1" s="22"/>
      <c r="LKV1" s="22"/>
      <c r="LKW1" s="22"/>
      <c r="LKX1" s="22"/>
      <c r="LKY1" s="22"/>
      <c r="LKZ1" s="22"/>
      <c r="LLA1" s="22"/>
      <c r="LLB1" s="22"/>
      <c r="LLC1" s="22"/>
      <c r="LLD1" s="22"/>
      <c r="LLE1" s="22"/>
      <c r="LLF1" s="22"/>
      <c r="LLG1" s="22"/>
      <c r="LLH1" s="22"/>
      <c r="LLI1" s="22"/>
      <c r="LLJ1" s="22"/>
      <c r="LLK1" s="22"/>
      <c r="LLL1" s="22"/>
      <c r="LLM1" s="22"/>
      <c r="LLN1" s="22"/>
      <c r="LLO1" s="22"/>
      <c r="LLP1" s="22"/>
      <c r="LLQ1" s="22"/>
      <c r="LLR1" s="22"/>
      <c r="LLS1" s="22"/>
      <c r="LLT1" s="22"/>
      <c r="LLU1" s="22"/>
      <c r="LLV1" s="22"/>
      <c r="LLW1" s="22"/>
      <c r="LLX1" s="22"/>
      <c r="LLY1" s="22"/>
      <c r="LLZ1" s="22"/>
      <c r="LMA1" s="22"/>
      <c r="LMB1" s="22"/>
      <c r="LMC1" s="22"/>
      <c r="LMD1" s="22"/>
      <c r="LME1" s="22"/>
      <c r="LMF1" s="22"/>
      <c r="LMG1" s="22"/>
      <c r="LMH1" s="22"/>
      <c r="LMI1" s="22"/>
      <c r="LMJ1" s="22"/>
      <c r="LMK1" s="22"/>
      <c r="LML1" s="22"/>
      <c r="LMM1" s="22"/>
      <c r="LMN1" s="22"/>
      <c r="LMO1" s="22"/>
      <c r="LMP1" s="22"/>
      <c r="LMQ1" s="22"/>
      <c r="LMR1" s="22"/>
      <c r="LMS1" s="22"/>
      <c r="LMT1" s="22"/>
      <c r="LMU1" s="22"/>
      <c r="LMV1" s="22"/>
      <c r="LMW1" s="22"/>
      <c r="LMX1" s="22"/>
      <c r="LMY1" s="22"/>
      <c r="LMZ1" s="22"/>
      <c r="LNA1" s="22"/>
      <c r="LNB1" s="22"/>
      <c r="LNC1" s="22"/>
      <c r="LND1" s="22"/>
      <c r="LNE1" s="22"/>
      <c r="LNF1" s="22"/>
      <c r="LNG1" s="22"/>
      <c r="LNH1" s="22"/>
      <c r="LNI1" s="22"/>
      <c r="LNJ1" s="22"/>
      <c r="LNK1" s="22"/>
      <c r="LNL1" s="22"/>
      <c r="LNM1" s="22"/>
      <c r="LNN1" s="22"/>
      <c r="LNO1" s="22"/>
      <c r="LNP1" s="22"/>
      <c r="LNQ1" s="22"/>
      <c r="LNR1" s="22"/>
      <c r="LNS1" s="22"/>
      <c r="LNT1" s="22"/>
      <c r="LNU1" s="22"/>
      <c r="LNV1" s="22"/>
      <c r="LNW1" s="22"/>
      <c r="LNX1" s="22"/>
      <c r="LNY1" s="22"/>
      <c r="LNZ1" s="22"/>
      <c r="LOA1" s="22"/>
      <c r="LOB1" s="22"/>
      <c r="LOC1" s="22"/>
      <c r="LOD1" s="22"/>
      <c r="LOE1" s="22"/>
      <c r="LOF1" s="22"/>
      <c r="LOG1" s="22"/>
      <c r="LOH1" s="22"/>
      <c r="LOI1" s="22"/>
      <c r="LOJ1" s="22"/>
      <c r="LOK1" s="22"/>
      <c r="LOL1" s="22"/>
      <c r="LOM1" s="22"/>
      <c r="LON1" s="22"/>
      <c r="LOO1" s="22"/>
      <c r="LOP1" s="22"/>
      <c r="LOQ1" s="22"/>
      <c r="LOR1" s="22"/>
      <c r="LOS1" s="22"/>
      <c r="LOT1" s="22"/>
      <c r="LOU1" s="22"/>
      <c r="LOV1" s="22"/>
      <c r="LOW1" s="22"/>
      <c r="LOX1" s="22"/>
      <c r="LOY1" s="22"/>
      <c r="LOZ1" s="22"/>
      <c r="LPA1" s="22"/>
      <c r="LPB1" s="22"/>
      <c r="LPC1" s="22"/>
      <c r="LPD1" s="22"/>
      <c r="LPE1" s="22"/>
      <c r="LPF1" s="22"/>
      <c r="LPG1" s="22"/>
      <c r="LPH1" s="22"/>
      <c r="LPI1" s="22"/>
      <c r="LPJ1" s="22"/>
      <c r="LPK1" s="22"/>
      <c r="LPL1" s="22"/>
      <c r="LPM1" s="22"/>
      <c r="LPN1" s="22"/>
      <c r="LPO1" s="22"/>
      <c r="LPP1" s="22"/>
      <c r="LPQ1" s="22"/>
      <c r="LPR1" s="22"/>
      <c r="LPS1" s="22"/>
      <c r="LPT1" s="22"/>
      <c r="LPU1" s="22"/>
      <c r="LPV1" s="22"/>
      <c r="LPW1" s="22"/>
      <c r="LPX1" s="22"/>
      <c r="LPY1" s="22"/>
      <c r="LPZ1" s="22"/>
      <c r="LQA1" s="22"/>
      <c r="LQB1" s="22"/>
      <c r="LQC1" s="22"/>
      <c r="LQD1" s="22"/>
      <c r="LQE1" s="22"/>
      <c r="LQF1" s="22"/>
      <c r="LQG1" s="22"/>
      <c r="LQH1" s="22"/>
      <c r="LQI1" s="22"/>
      <c r="LQJ1" s="22"/>
      <c r="LQK1" s="22"/>
      <c r="LQL1" s="22"/>
      <c r="LQM1" s="22"/>
      <c r="LQN1" s="22"/>
      <c r="LQO1" s="22"/>
      <c r="LQP1" s="22"/>
      <c r="LQQ1" s="22"/>
      <c r="LQR1" s="22"/>
      <c r="LQS1" s="22"/>
      <c r="LQT1" s="22"/>
      <c r="LQU1" s="22"/>
      <c r="LQV1" s="22"/>
      <c r="LQW1" s="22"/>
      <c r="LQX1" s="22"/>
      <c r="LQY1" s="22"/>
      <c r="LQZ1" s="22"/>
      <c r="LRA1" s="22"/>
      <c r="LRB1" s="22"/>
      <c r="LRC1" s="22"/>
      <c r="LRD1" s="22"/>
      <c r="LRE1" s="22"/>
      <c r="LRF1" s="22"/>
      <c r="LRG1" s="22"/>
      <c r="LRH1" s="22"/>
      <c r="LRI1" s="22"/>
      <c r="LRJ1" s="22"/>
      <c r="LRK1" s="22"/>
      <c r="LRL1" s="22"/>
      <c r="LRM1" s="22"/>
      <c r="LRN1" s="22"/>
      <c r="LRO1" s="22"/>
      <c r="LRP1" s="22"/>
      <c r="LRQ1" s="22"/>
      <c r="LRR1" s="22"/>
      <c r="LRS1" s="22"/>
      <c r="LRT1" s="22"/>
      <c r="LRU1" s="22"/>
      <c r="LRV1" s="22"/>
      <c r="LRW1" s="22"/>
      <c r="LRX1" s="22"/>
      <c r="LRY1" s="22"/>
      <c r="LRZ1" s="22"/>
      <c r="LSA1" s="22"/>
      <c r="LSB1" s="22"/>
      <c r="LSC1" s="22"/>
      <c r="LSD1" s="22"/>
      <c r="LSE1" s="22"/>
      <c r="LSF1" s="22"/>
      <c r="LSG1" s="22"/>
      <c r="LSH1" s="22"/>
      <c r="LSI1" s="22"/>
      <c r="LSJ1" s="22"/>
      <c r="LSK1" s="22"/>
      <c r="LSL1" s="22"/>
      <c r="LSM1" s="22"/>
      <c r="LSN1" s="22"/>
      <c r="LSO1" s="22"/>
      <c r="LSP1" s="22"/>
      <c r="LSQ1" s="22"/>
      <c r="LSR1" s="22"/>
      <c r="LSS1" s="22"/>
      <c r="LST1" s="22"/>
      <c r="LSU1" s="22"/>
      <c r="LSV1" s="22"/>
      <c r="LSW1" s="22"/>
      <c r="LSX1" s="22"/>
      <c r="LSY1" s="22"/>
      <c r="LSZ1" s="22"/>
      <c r="LTA1" s="22"/>
      <c r="LTB1" s="22"/>
      <c r="LTC1" s="22"/>
      <c r="LTD1" s="22"/>
      <c r="LTE1" s="22"/>
      <c r="LTF1" s="22"/>
      <c r="LTG1" s="22"/>
      <c r="LTH1" s="22"/>
      <c r="LTI1" s="22"/>
      <c r="LTJ1" s="22"/>
      <c r="LTK1" s="22"/>
      <c r="LTL1" s="22"/>
      <c r="LTM1" s="22"/>
      <c r="LTN1" s="22"/>
      <c r="LTO1" s="22"/>
      <c r="LTP1" s="22"/>
      <c r="LTQ1" s="22"/>
      <c r="LTR1" s="22"/>
      <c r="LTS1" s="22"/>
      <c r="LTT1" s="22"/>
      <c r="LTU1" s="22"/>
      <c r="LTV1" s="22"/>
      <c r="LTW1" s="22"/>
      <c r="LTX1" s="22"/>
      <c r="LTY1" s="22"/>
      <c r="LTZ1" s="22"/>
      <c r="LUA1" s="22"/>
      <c r="LUB1" s="22"/>
      <c r="LUC1" s="22"/>
      <c r="LUD1" s="22"/>
      <c r="LUE1" s="22"/>
      <c r="LUF1" s="22"/>
      <c r="LUG1" s="22"/>
      <c r="LUH1" s="22"/>
      <c r="LUI1" s="22"/>
      <c r="LUJ1" s="22"/>
      <c r="LUK1" s="22"/>
      <c r="LUL1" s="22"/>
      <c r="LUM1" s="22"/>
      <c r="LUN1" s="22"/>
      <c r="LUO1" s="22"/>
      <c r="LUP1" s="22"/>
      <c r="LUQ1" s="22"/>
      <c r="LUR1" s="22"/>
      <c r="LUS1" s="22"/>
      <c r="LUT1" s="22"/>
      <c r="LUU1" s="22"/>
      <c r="LUV1" s="22"/>
      <c r="LUW1" s="22"/>
      <c r="LUX1" s="22"/>
      <c r="LUY1" s="22"/>
      <c r="LUZ1" s="22"/>
      <c r="LVA1" s="22"/>
      <c r="LVB1" s="22"/>
      <c r="LVC1" s="22"/>
      <c r="LVD1" s="22"/>
      <c r="LVE1" s="22"/>
      <c r="LVF1" s="22"/>
      <c r="LVG1" s="22"/>
      <c r="LVH1" s="22"/>
      <c r="LVI1" s="22"/>
      <c r="LVJ1" s="22"/>
      <c r="LVK1" s="22"/>
      <c r="LVL1" s="22"/>
      <c r="LVM1" s="22"/>
      <c r="LVN1" s="22"/>
      <c r="LVO1" s="22"/>
      <c r="LVP1" s="22"/>
      <c r="LVQ1" s="22"/>
      <c r="LVR1" s="22"/>
      <c r="LVS1" s="22"/>
      <c r="LVT1" s="22"/>
      <c r="LVU1" s="22"/>
      <c r="LVV1" s="22"/>
      <c r="LVW1" s="22"/>
      <c r="LVX1" s="22"/>
      <c r="LVY1" s="22"/>
      <c r="LVZ1" s="22"/>
      <c r="LWA1" s="22"/>
      <c r="LWB1" s="22"/>
      <c r="LWC1" s="22"/>
      <c r="LWD1" s="22"/>
      <c r="LWE1" s="22"/>
      <c r="LWF1" s="22"/>
      <c r="LWG1" s="22"/>
      <c r="LWH1" s="22"/>
      <c r="LWI1" s="22"/>
      <c r="LWJ1" s="22"/>
      <c r="LWK1" s="22"/>
      <c r="LWL1" s="22"/>
      <c r="LWM1" s="22"/>
      <c r="LWN1" s="22"/>
      <c r="LWO1" s="22"/>
      <c r="LWP1" s="22"/>
      <c r="LWQ1" s="22"/>
      <c r="LWR1" s="22"/>
      <c r="LWS1" s="22"/>
      <c r="LWT1" s="22"/>
      <c r="LWU1" s="22"/>
      <c r="LWV1" s="22"/>
      <c r="LWW1" s="22"/>
      <c r="LWX1" s="22"/>
      <c r="LWY1" s="22"/>
      <c r="LWZ1" s="22"/>
      <c r="LXA1" s="22"/>
      <c r="LXB1" s="22"/>
      <c r="LXC1" s="22"/>
      <c r="LXD1" s="22"/>
      <c r="LXE1" s="22"/>
      <c r="LXF1" s="22"/>
      <c r="LXG1" s="22"/>
      <c r="LXH1" s="22"/>
      <c r="LXI1" s="22"/>
      <c r="LXJ1" s="22"/>
      <c r="LXK1" s="22"/>
      <c r="LXL1" s="22"/>
      <c r="LXM1" s="22"/>
      <c r="LXN1" s="22"/>
      <c r="LXO1" s="22"/>
      <c r="LXP1" s="22"/>
      <c r="LXQ1" s="22"/>
      <c r="LXR1" s="22"/>
      <c r="LXS1" s="22"/>
      <c r="LXT1" s="22"/>
      <c r="LXU1" s="22"/>
      <c r="LXV1" s="22"/>
      <c r="LXW1" s="22"/>
      <c r="LXX1" s="22"/>
      <c r="LXY1" s="22"/>
      <c r="LXZ1" s="22"/>
      <c r="LYA1" s="22"/>
      <c r="LYB1" s="22"/>
      <c r="LYC1" s="22"/>
      <c r="LYD1" s="22"/>
      <c r="LYE1" s="22"/>
      <c r="LYF1" s="22"/>
      <c r="LYG1" s="22"/>
      <c r="LYH1" s="22"/>
      <c r="LYI1" s="22"/>
      <c r="LYJ1" s="22"/>
      <c r="LYK1" s="22"/>
      <c r="LYL1" s="22"/>
      <c r="LYM1" s="22"/>
      <c r="LYN1" s="22"/>
      <c r="LYO1" s="22"/>
      <c r="LYP1" s="22"/>
      <c r="LYQ1" s="22"/>
      <c r="LYR1" s="22"/>
      <c r="LYS1" s="22"/>
      <c r="LYT1" s="22"/>
      <c r="LYU1" s="22"/>
      <c r="LYV1" s="22"/>
      <c r="LYW1" s="22"/>
      <c r="LYX1" s="22"/>
      <c r="LYY1" s="22"/>
      <c r="LYZ1" s="22"/>
      <c r="LZA1" s="22"/>
      <c r="LZB1" s="22"/>
      <c r="LZC1" s="22"/>
      <c r="LZD1" s="22"/>
      <c r="LZE1" s="22"/>
      <c r="LZF1" s="22"/>
      <c r="LZG1" s="22"/>
      <c r="LZH1" s="22"/>
      <c r="LZI1" s="22"/>
      <c r="LZJ1" s="22"/>
      <c r="LZK1" s="22"/>
      <c r="LZL1" s="22"/>
      <c r="LZM1" s="22"/>
      <c r="LZN1" s="22"/>
      <c r="LZO1" s="22"/>
      <c r="LZP1" s="22"/>
      <c r="LZQ1" s="22"/>
      <c r="LZR1" s="22"/>
      <c r="LZS1" s="22"/>
      <c r="LZT1" s="22"/>
      <c r="LZU1" s="22"/>
      <c r="LZV1" s="22"/>
      <c r="LZW1" s="22"/>
      <c r="LZX1" s="22"/>
      <c r="LZY1" s="22"/>
      <c r="LZZ1" s="22"/>
      <c r="MAA1" s="22"/>
      <c r="MAB1" s="22"/>
      <c r="MAC1" s="22"/>
      <c r="MAD1" s="22"/>
      <c r="MAE1" s="22"/>
      <c r="MAF1" s="22"/>
      <c r="MAG1" s="22"/>
      <c r="MAH1" s="22"/>
      <c r="MAI1" s="22"/>
      <c r="MAJ1" s="22"/>
      <c r="MAK1" s="22"/>
      <c r="MAL1" s="22"/>
      <c r="MAM1" s="22"/>
      <c r="MAN1" s="22"/>
      <c r="MAO1" s="22"/>
      <c r="MAP1" s="22"/>
      <c r="MAQ1" s="22"/>
      <c r="MAR1" s="22"/>
      <c r="MAS1" s="22"/>
      <c r="MAT1" s="22"/>
      <c r="MAU1" s="22"/>
      <c r="MAV1" s="22"/>
      <c r="MAW1" s="22"/>
      <c r="MAX1" s="22"/>
      <c r="MAY1" s="22"/>
      <c r="MAZ1" s="22"/>
      <c r="MBA1" s="22"/>
      <c r="MBB1" s="22"/>
      <c r="MBC1" s="22"/>
      <c r="MBD1" s="22"/>
      <c r="MBE1" s="22"/>
      <c r="MBF1" s="22"/>
      <c r="MBG1" s="22"/>
      <c r="MBH1" s="22"/>
      <c r="MBI1" s="22"/>
      <c r="MBJ1" s="22"/>
      <c r="MBK1" s="22"/>
      <c r="MBL1" s="22"/>
      <c r="MBM1" s="22"/>
      <c r="MBN1" s="22"/>
      <c r="MBO1" s="22"/>
      <c r="MBP1" s="22"/>
      <c r="MBQ1" s="22"/>
      <c r="MBR1" s="22"/>
      <c r="MBS1" s="22"/>
      <c r="MBT1" s="22"/>
      <c r="MBU1" s="22"/>
      <c r="MBV1" s="22"/>
      <c r="MBW1" s="22"/>
      <c r="MBX1" s="22"/>
      <c r="MBY1" s="22"/>
      <c r="MBZ1" s="22"/>
      <c r="MCA1" s="22"/>
      <c r="MCB1" s="22"/>
      <c r="MCC1" s="22"/>
      <c r="MCD1" s="22"/>
      <c r="MCE1" s="22"/>
      <c r="MCF1" s="22"/>
      <c r="MCG1" s="22"/>
      <c r="MCH1" s="22"/>
      <c r="MCI1" s="22"/>
      <c r="MCJ1" s="22"/>
      <c r="MCK1" s="22"/>
      <c r="MCL1" s="22"/>
      <c r="MCM1" s="22"/>
      <c r="MCN1" s="22"/>
      <c r="MCO1" s="22"/>
      <c r="MCP1" s="22"/>
      <c r="MCQ1" s="22"/>
      <c r="MCR1" s="22"/>
      <c r="MCS1" s="22"/>
      <c r="MCT1" s="22"/>
      <c r="MCU1" s="22"/>
      <c r="MCV1" s="22"/>
      <c r="MCW1" s="22"/>
      <c r="MCX1" s="22"/>
      <c r="MCY1" s="22"/>
      <c r="MCZ1" s="22"/>
      <c r="MDA1" s="22"/>
      <c r="MDB1" s="22"/>
      <c r="MDC1" s="22"/>
      <c r="MDD1" s="22"/>
      <c r="MDE1" s="22"/>
      <c r="MDF1" s="22"/>
      <c r="MDG1" s="22"/>
      <c r="MDH1" s="22"/>
      <c r="MDI1" s="22"/>
      <c r="MDJ1" s="22"/>
      <c r="MDK1" s="22"/>
      <c r="MDL1" s="22"/>
      <c r="MDM1" s="22"/>
      <c r="MDN1" s="22"/>
      <c r="MDO1" s="22"/>
      <c r="MDP1" s="22"/>
      <c r="MDQ1" s="22"/>
      <c r="MDR1" s="22"/>
      <c r="MDS1" s="22"/>
      <c r="MDT1" s="22"/>
      <c r="MDU1" s="22"/>
      <c r="MDV1" s="22"/>
      <c r="MDW1" s="22"/>
      <c r="MDX1" s="22"/>
      <c r="MDY1" s="22"/>
      <c r="MDZ1" s="22"/>
      <c r="MEA1" s="22"/>
      <c r="MEB1" s="22"/>
      <c r="MEC1" s="22"/>
      <c r="MED1" s="22"/>
      <c r="MEE1" s="22"/>
      <c r="MEF1" s="22"/>
      <c r="MEG1" s="22"/>
      <c r="MEH1" s="22"/>
      <c r="MEI1" s="22"/>
      <c r="MEJ1" s="22"/>
      <c r="MEK1" s="22"/>
      <c r="MEL1" s="22"/>
      <c r="MEM1" s="22"/>
      <c r="MEN1" s="22"/>
      <c r="MEO1" s="22"/>
      <c r="MEP1" s="22"/>
      <c r="MEQ1" s="22"/>
      <c r="MER1" s="22"/>
      <c r="MES1" s="22"/>
      <c r="MET1" s="22"/>
      <c r="MEU1" s="22"/>
      <c r="MEV1" s="22"/>
      <c r="MEW1" s="22"/>
      <c r="MEX1" s="22"/>
      <c r="MEY1" s="22"/>
      <c r="MEZ1" s="22"/>
      <c r="MFA1" s="22"/>
      <c r="MFB1" s="22"/>
      <c r="MFC1" s="22"/>
      <c r="MFD1" s="22"/>
      <c r="MFE1" s="22"/>
      <c r="MFF1" s="22"/>
      <c r="MFG1" s="22"/>
      <c r="MFH1" s="22"/>
      <c r="MFI1" s="22"/>
      <c r="MFJ1" s="22"/>
      <c r="MFK1" s="22"/>
      <c r="MFL1" s="22"/>
      <c r="MFM1" s="22"/>
      <c r="MFN1" s="22"/>
      <c r="MFO1" s="22"/>
      <c r="MFP1" s="22"/>
      <c r="MFQ1" s="22"/>
      <c r="MFR1" s="22"/>
      <c r="MFS1" s="22"/>
      <c r="MFT1" s="22"/>
      <c r="MFU1" s="22"/>
      <c r="MFV1" s="22"/>
      <c r="MFW1" s="22"/>
      <c r="MFX1" s="22"/>
      <c r="MFY1" s="22"/>
      <c r="MFZ1" s="22"/>
      <c r="MGA1" s="22"/>
      <c r="MGB1" s="22"/>
      <c r="MGC1" s="22"/>
      <c r="MGD1" s="22"/>
      <c r="MGE1" s="22"/>
      <c r="MGF1" s="22"/>
      <c r="MGG1" s="22"/>
      <c r="MGH1" s="22"/>
      <c r="MGI1" s="22"/>
      <c r="MGJ1" s="22"/>
      <c r="MGK1" s="22"/>
      <c r="MGL1" s="22"/>
      <c r="MGM1" s="22"/>
      <c r="MGN1" s="22"/>
      <c r="MGO1" s="22"/>
      <c r="MGP1" s="22"/>
      <c r="MGQ1" s="22"/>
      <c r="MGR1" s="22"/>
      <c r="MGS1" s="22"/>
      <c r="MGT1" s="22"/>
      <c r="MGU1" s="22"/>
      <c r="MGV1" s="22"/>
      <c r="MGW1" s="22"/>
      <c r="MGX1" s="22"/>
      <c r="MGY1" s="22"/>
      <c r="MGZ1" s="22"/>
      <c r="MHA1" s="22"/>
      <c r="MHB1" s="22"/>
      <c r="MHC1" s="22"/>
      <c r="MHD1" s="22"/>
      <c r="MHE1" s="22"/>
      <c r="MHF1" s="22"/>
      <c r="MHG1" s="22"/>
      <c r="MHH1" s="22"/>
      <c r="MHI1" s="22"/>
      <c r="MHJ1" s="22"/>
      <c r="MHK1" s="22"/>
      <c r="MHL1" s="22"/>
      <c r="MHM1" s="22"/>
      <c r="MHN1" s="22"/>
      <c r="MHO1" s="22"/>
      <c r="MHP1" s="22"/>
      <c r="MHQ1" s="22"/>
      <c r="MHR1" s="22"/>
      <c r="MHS1" s="22"/>
      <c r="MHT1" s="22"/>
      <c r="MHU1" s="22"/>
      <c r="MHV1" s="22"/>
      <c r="MHW1" s="22"/>
      <c r="MHX1" s="22"/>
      <c r="MHY1" s="22"/>
      <c r="MHZ1" s="22"/>
      <c r="MIA1" s="22"/>
      <c r="MIB1" s="22"/>
      <c r="MIC1" s="22"/>
      <c r="MID1" s="22"/>
      <c r="MIE1" s="22"/>
      <c r="MIF1" s="22"/>
      <c r="MIG1" s="22"/>
      <c r="MIH1" s="22"/>
      <c r="MII1" s="22"/>
      <c r="MIJ1" s="22"/>
      <c r="MIK1" s="22"/>
      <c r="MIL1" s="22"/>
      <c r="MIM1" s="22"/>
      <c r="MIN1" s="22"/>
      <c r="MIO1" s="22"/>
      <c r="MIP1" s="22"/>
      <c r="MIQ1" s="22"/>
      <c r="MIR1" s="22"/>
      <c r="MIS1" s="22"/>
      <c r="MIT1" s="22"/>
      <c r="MIU1" s="22"/>
      <c r="MIV1" s="22"/>
      <c r="MIW1" s="22"/>
      <c r="MIX1" s="22"/>
      <c r="MIY1" s="22"/>
      <c r="MIZ1" s="22"/>
      <c r="MJA1" s="22"/>
      <c r="MJB1" s="22"/>
      <c r="MJC1" s="22"/>
      <c r="MJD1" s="22"/>
      <c r="MJE1" s="22"/>
      <c r="MJF1" s="22"/>
      <c r="MJG1" s="22"/>
      <c r="MJH1" s="22"/>
      <c r="MJI1" s="22"/>
      <c r="MJJ1" s="22"/>
      <c r="MJK1" s="22"/>
      <c r="MJL1" s="22"/>
      <c r="MJM1" s="22"/>
      <c r="MJN1" s="22"/>
      <c r="MJO1" s="22"/>
      <c r="MJP1" s="22"/>
      <c r="MJQ1" s="22"/>
      <c r="MJR1" s="22"/>
      <c r="MJS1" s="22"/>
      <c r="MJT1" s="22"/>
      <c r="MJU1" s="22"/>
      <c r="MJV1" s="22"/>
      <c r="MJW1" s="22"/>
      <c r="MJX1" s="22"/>
      <c r="MJY1" s="22"/>
      <c r="MJZ1" s="22"/>
      <c r="MKA1" s="22"/>
      <c r="MKB1" s="22"/>
      <c r="MKC1" s="22"/>
      <c r="MKD1" s="22"/>
      <c r="MKE1" s="22"/>
      <c r="MKF1" s="22"/>
      <c r="MKG1" s="22"/>
      <c r="MKH1" s="22"/>
      <c r="MKI1" s="22"/>
      <c r="MKJ1" s="22"/>
      <c r="MKK1" s="22"/>
      <c r="MKL1" s="22"/>
      <c r="MKM1" s="22"/>
      <c r="MKN1" s="22"/>
      <c r="MKO1" s="22"/>
      <c r="MKP1" s="22"/>
      <c r="MKQ1" s="22"/>
      <c r="MKR1" s="22"/>
      <c r="MKS1" s="22"/>
      <c r="MKT1" s="22"/>
      <c r="MKU1" s="22"/>
      <c r="MKV1" s="22"/>
      <c r="MKW1" s="22"/>
      <c r="MKX1" s="22"/>
      <c r="MKY1" s="22"/>
      <c r="MKZ1" s="22"/>
      <c r="MLA1" s="22"/>
      <c r="MLB1" s="22"/>
      <c r="MLC1" s="22"/>
      <c r="MLD1" s="22"/>
      <c r="MLE1" s="22"/>
      <c r="MLF1" s="22"/>
      <c r="MLG1" s="22"/>
      <c r="MLH1" s="22"/>
      <c r="MLI1" s="22"/>
      <c r="MLJ1" s="22"/>
      <c r="MLK1" s="22"/>
      <c r="MLL1" s="22"/>
      <c r="MLM1" s="22"/>
      <c r="MLN1" s="22"/>
      <c r="MLO1" s="22"/>
      <c r="MLP1" s="22"/>
      <c r="MLQ1" s="22"/>
      <c r="MLR1" s="22"/>
      <c r="MLS1" s="22"/>
      <c r="MLT1" s="22"/>
      <c r="MLU1" s="22"/>
      <c r="MLV1" s="22"/>
      <c r="MLW1" s="22"/>
      <c r="MLX1" s="22"/>
      <c r="MLY1" s="22"/>
      <c r="MLZ1" s="22"/>
      <c r="MMA1" s="22"/>
      <c r="MMB1" s="22"/>
      <c r="MMC1" s="22"/>
      <c r="MMD1" s="22"/>
      <c r="MME1" s="22"/>
      <c r="MMF1" s="22"/>
      <c r="MMG1" s="22"/>
      <c r="MMH1" s="22"/>
      <c r="MMI1" s="22"/>
      <c r="MMJ1" s="22"/>
      <c r="MMK1" s="22"/>
      <c r="MML1" s="22"/>
      <c r="MMM1" s="22"/>
      <c r="MMN1" s="22"/>
      <c r="MMO1" s="22"/>
      <c r="MMP1" s="22"/>
      <c r="MMQ1" s="22"/>
      <c r="MMR1" s="22"/>
      <c r="MMS1" s="22"/>
      <c r="MMT1" s="22"/>
      <c r="MMU1" s="22"/>
      <c r="MMV1" s="22"/>
      <c r="MMW1" s="22"/>
      <c r="MMX1" s="22"/>
      <c r="MMY1" s="22"/>
      <c r="MMZ1" s="22"/>
      <c r="MNA1" s="22"/>
      <c r="MNB1" s="22"/>
      <c r="MNC1" s="22"/>
      <c r="MND1" s="22"/>
      <c r="MNE1" s="22"/>
      <c r="MNF1" s="22"/>
      <c r="MNG1" s="22"/>
      <c r="MNH1" s="22"/>
      <c r="MNI1" s="22"/>
      <c r="MNJ1" s="22"/>
      <c r="MNK1" s="22"/>
      <c r="MNL1" s="22"/>
      <c r="MNM1" s="22"/>
      <c r="MNN1" s="22"/>
      <c r="MNO1" s="22"/>
      <c r="MNP1" s="22"/>
      <c r="MNQ1" s="22"/>
      <c r="MNR1" s="22"/>
      <c r="MNS1" s="22"/>
      <c r="MNT1" s="22"/>
      <c r="MNU1" s="22"/>
      <c r="MNV1" s="22"/>
      <c r="MNW1" s="22"/>
      <c r="MNX1" s="22"/>
      <c r="MNY1" s="22"/>
      <c r="MNZ1" s="22"/>
      <c r="MOA1" s="22"/>
      <c r="MOB1" s="22"/>
      <c r="MOC1" s="22"/>
      <c r="MOD1" s="22"/>
      <c r="MOE1" s="22"/>
      <c r="MOF1" s="22"/>
      <c r="MOG1" s="22"/>
      <c r="MOH1" s="22"/>
      <c r="MOI1" s="22"/>
      <c r="MOJ1" s="22"/>
      <c r="MOK1" s="22"/>
      <c r="MOL1" s="22"/>
      <c r="MOM1" s="22"/>
      <c r="MON1" s="22"/>
      <c r="MOO1" s="22"/>
      <c r="MOP1" s="22"/>
      <c r="MOQ1" s="22"/>
      <c r="MOR1" s="22"/>
      <c r="MOS1" s="22"/>
      <c r="MOT1" s="22"/>
      <c r="MOU1" s="22"/>
      <c r="MOV1" s="22"/>
      <c r="MOW1" s="22"/>
      <c r="MOX1" s="22"/>
      <c r="MOY1" s="22"/>
      <c r="MOZ1" s="22"/>
      <c r="MPA1" s="22"/>
      <c r="MPB1" s="22"/>
      <c r="MPC1" s="22"/>
      <c r="MPD1" s="22"/>
      <c r="MPE1" s="22"/>
      <c r="MPF1" s="22"/>
      <c r="MPG1" s="22"/>
      <c r="MPH1" s="22"/>
      <c r="MPI1" s="22"/>
      <c r="MPJ1" s="22"/>
      <c r="MPK1" s="22"/>
      <c r="MPL1" s="22"/>
      <c r="MPM1" s="22"/>
      <c r="MPN1" s="22"/>
      <c r="MPO1" s="22"/>
      <c r="MPP1" s="22"/>
      <c r="MPQ1" s="22"/>
      <c r="MPR1" s="22"/>
      <c r="MPS1" s="22"/>
      <c r="MPT1" s="22"/>
      <c r="MPU1" s="22"/>
      <c r="MPV1" s="22"/>
      <c r="MPW1" s="22"/>
      <c r="MPX1" s="22"/>
      <c r="MPY1" s="22"/>
      <c r="MPZ1" s="22"/>
      <c r="MQA1" s="22"/>
      <c r="MQB1" s="22"/>
      <c r="MQC1" s="22"/>
      <c r="MQD1" s="22"/>
      <c r="MQE1" s="22"/>
      <c r="MQF1" s="22"/>
      <c r="MQG1" s="22"/>
      <c r="MQH1" s="22"/>
      <c r="MQI1" s="22"/>
      <c r="MQJ1" s="22"/>
      <c r="MQK1" s="22"/>
      <c r="MQL1" s="22"/>
      <c r="MQM1" s="22"/>
      <c r="MQN1" s="22"/>
      <c r="MQO1" s="22"/>
      <c r="MQP1" s="22"/>
      <c r="MQQ1" s="22"/>
      <c r="MQR1" s="22"/>
      <c r="MQS1" s="22"/>
      <c r="MQT1" s="22"/>
      <c r="MQU1" s="22"/>
      <c r="MQV1" s="22"/>
      <c r="MQW1" s="22"/>
      <c r="MQX1" s="22"/>
      <c r="MQY1" s="22"/>
      <c r="MQZ1" s="22"/>
      <c r="MRA1" s="22"/>
      <c r="MRB1" s="22"/>
      <c r="MRC1" s="22"/>
      <c r="MRD1" s="22"/>
      <c r="MRE1" s="22"/>
      <c r="MRF1" s="22"/>
      <c r="MRG1" s="22"/>
      <c r="MRH1" s="22"/>
      <c r="MRI1" s="22"/>
      <c r="MRJ1" s="22"/>
      <c r="MRK1" s="22"/>
      <c r="MRL1" s="22"/>
      <c r="MRM1" s="22"/>
      <c r="MRN1" s="22"/>
      <c r="MRO1" s="22"/>
      <c r="MRP1" s="22"/>
      <c r="MRQ1" s="22"/>
      <c r="MRR1" s="22"/>
      <c r="MRS1" s="22"/>
      <c r="MRT1" s="22"/>
      <c r="MRU1" s="22"/>
      <c r="MRV1" s="22"/>
      <c r="MRW1" s="22"/>
      <c r="MRX1" s="22"/>
      <c r="MRY1" s="22"/>
      <c r="MRZ1" s="22"/>
      <c r="MSA1" s="22"/>
      <c r="MSB1" s="22"/>
      <c r="MSC1" s="22"/>
      <c r="MSD1" s="22"/>
      <c r="MSE1" s="22"/>
      <c r="MSF1" s="22"/>
      <c r="MSG1" s="22"/>
      <c r="MSH1" s="22"/>
      <c r="MSI1" s="22"/>
      <c r="MSJ1" s="22"/>
      <c r="MSK1" s="22"/>
      <c r="MSL1" s="22"/>
      <c r="MSM1" s="22"/>
      <c r="MSN1" s="22"/>
      <c r="MSO1" s="22"/>
      <c r="MSP1" s="22"/>
      <c r="MSQ1" s="22"/>
      <c r="MSR1" s="22"/>
      <c r="MSS1" s="22"/>
      <c r="MST1" s="22"/>
      <c r="MSU1" s="22"/>
      <c r="MSV1" s="22"/>
      <c r="MSW1" s="22"/>
      <c r="MSX1" s="22"/>
      <c r="MSY1" s="22"/>
      <c r="MSZ1" s="22"/>
      <c r="MTA1" s="22"/>
      <c r="MTB1" s="22"/>
      <c r="MTC1" s="22"/>
      <c r="MTD1" s="22"/>
      <c r="MTE1" s="22"/>
      <c r="MTF1" s="22"/>
      <c r="MTG1" s="22"/>
      <c r="MTH1" s="22"/>
      <c r="MTI1" s="22"/>
      <c r="MTJ1" s="22"/>
      <c r="MTK1" s="22"/>
      <c r="MTL1" s="22"/>
      <c r="MTM1" s="22"/>
      <c r="MTN1" s="22"/>
      <c r="MTO1" s="22"/>
      <c r="MTP1" s="22"/>
      <c r="MTQ1" s="22"/>
      <c r="MTR1" s="22"/>
      <c r="MTS1" s="22"/>
      <c r="MTT1" s="22"/>
      <c r="MTU1" s="22"/>
      <c r="MTV1" s="22"/>
      <c r="MTW1" s="22"/>
      <c r="MTX1" s="22"/>
      <c r="MTY1" s="22"/>
      <c r="MTZ1" s="22"/>
      <c r="MUA1" s="22"/>
      <c r="MUB1" s="22"/>
      <c r="MUC1" s="22"/>
      <c r="MUD1" s="22"/>
      <c r="MUE1" s="22"/>
      <c r="MUF1" s="22"/>
      <c r="MUG1" s="22"/>
      <c r="MUH1" s="22"/>
      <c r="MUI1" s="22"/>
      <c r="MUJ1" s="22"/>
      <c r="MUK1" s="22"/>
      <c r="MUL1" s="22"/>
      <c r="MUM1" s="22"/>
      <c r="MUN1" s="22"/>
      <c r="MUO1" s="22"/>
      <c r="MUP1" s="22"/>
      <c r="MUQ1" s="22"/>
      <c r="MUR1" s="22"/>
      <c r="MUS1" s="22"/>
      <c r="MUT1" s="22"/>
      <c r="MUU1" s="22"/>
      <c r="MUV1" s="22"/>
      <c r="MUW1" s="22"/>
      <c r="MUX1" s="22"/>
      <c r="MUY1" s="22"/>
      <c r="MUZ1" s="22"/>
      <c r="MVA1" s="22"/>
      <c r="MVB1" s="22"/>
      <c r="MVC1" s="22"/>
      <c r="MVD1" s="22"/>
      <c r="MVE1" s="22"/>
      <c r="MVF1" s="22"/>
      <c r="MVG1" s="22"/>
      <c r="MVH1" s="22"/>
      <c r="MVI1" s="22"/>
      <c r="MVJ1" s="22"/>
      <c r="MVK1" s="22"/>
      <c r="MVL1" s="22"/>
      <c r="MVM1" s="22"/>
      <c r="MVN1" s="22"/>
      <c r="MVO1" s="22"/>
      <c r="MVP1" s="22"/>
      <c r="MVQ1" s="22"/>
      <c r="MVR1" s="22"/>
      <c r="MVS1" s="22"/>
      <c r="MVT1" s="22"/>
      <c r="MVU1" s="22"/>
      <c r="MVV1" s="22"/>
      <c r="MVW1" s="22"/>
      <c r="MVX1" s="22"/>
      <c r="MVY1" s="22"/>
      <c r="MVZ1" s="22"/>
      <c r="MWA1" s="22"/>
      <c r="MWB1" s="22"/>
      <c r="MWC1" s="22"/>
      <c r="MWD1" s="22"/>
      <c r="MWE1" s="22"/>
      <c r="MWF1" s="22"/>
      <c r="MWG1" s="22"/>
      <c r="MWH1" s="22"/>
      <c r="MWI1" s="22"/>
      <c r="MWJ1" s="22"/>
      <c r="MWK1" s="22"/>
      <c r="MWL1" s="22"/>
      <c r="MWM1" s="22"/>
      <c r="MWN1" s="22"/>
      <c r="MWO1" s="22"/>
      <c r="MWP1" s="22"/>
      <c r="MWQ1" s="22"/>
      <c r="MWR1" s="22"/>
      <c r="MWS1" s="22"/>
      <c r="MWT1" s="22"/>
      <c r="MWU1" s="22"/>
      <c r="MWV1" s="22"/>
      <c r="MWW1" s="22"/>
      <c r="MWX1" s="22"/>
      <c r="MWY1" s="22"/>
      <c r="MWZ1" s="22"/>
      <c r="MXA1" s="22"/>
      <c r="MXB1" s="22"/>
      <c r="MXC1" s="22"/>
      <c r="MXD1" s="22"/>
      <c r="MXE1" s="22"/>
      <c r="MXF1" s="22"/>
      <c r="MXG1" s="22"/>
      <c r="MXH1" s="22"/>
      <c r="MXI1" s="22"/>
      <c r="MXJ1" s="22"/>
      <c r="MXK1" s="22"/>
      <c r="MXL1" s="22"/>
      <c r="MXM1" s="22"/>
      <c r="MXN1" s="22"/>
      <c r="MXO1" s="22"/>
      <c r="MXP1" s="22"/>
      <c r="MXQ1" s="22"/>
      <c r="MXR1" s="22"/>
      <c r="MXS1" s="22"/>
      <c r="MXT1" s="22"/>
      <c r="MXU1" s="22"/>
      <c r="MXV1" s="22"/>
      <c r="MXW1" s="22"/>
      <c r="MXX1" s="22"/>
      <c r="MXY1" s="22"/>
      <c r="MXZ1" s="22"/>
      <c r="MYA1" s="22"/>
      <c r="MYB1" s="22"/>
      <c r="MYC1" s="22"/>
      <c r="MYD1" s="22"/>
      <c r="MYE1" s="22"/>
      <c r="MYF1" s="22"/>
      <c r="MYG1" s="22"/>
      <c r="MYH1" s="22"/>
      <c r="MYI1" s="22"/>
      <c r="MYJ1" s="22"/>
      <c r="MYK1" s="22"/>
      <c r="MYL1" s="22"/>
      <c r="MYM1" s="22"/>
      <c r="MYN1" s="22"/>
      <c r="MYO1" s="22"/>
      <c r="MYP1" s="22"/>
      <c r="MYQ1" s="22"/>
      <c r="MYR1" s="22"/>
      <c r="MYS1" s="22"/>
      <c r="MYT1" s="22"/>
      <c r="MYU1" s="22"/>
      <c r="MYV1" s="22"/>
      <c r="MYW1" s="22"/>
      <c r="MYX1" s="22"/>
      <c r="MYY1" s="22"/>
      <c r="MYZ1" s="22"/>
      <c r="MZA1" s="22"/>
      <c r="MZB1" s="22"/>
      <c r="MZC1" s="22"/>
      <c r="MZD1" s="22"/>
      <c r="MZE1" s="22"/>
      <c r="MZF1" s="22"/>
      <c r="MZG1" s="22"/>
      <c r="MZH1" s="22"/>
      <c r="MZI1" s="22"/>
      <c r="MZJ1" s="22"/>
      <c r="MZK1" s="22"/>
      <c r="MZL1" s="22"/>
      <c r="MZM1" s="22"/>
      <c r="MZN1" s="22"/>
      <c r="MZO1" s="22"/>
      <c r="MZP1" s="22"/>
      <c r="MZQ1" s="22"/>
      <c r="MZR1" s="22"/>
      <c r="MZS1" s="22"/>
      <c r="MZT1" s="22"/>
      <c r="MZU1" s="22"/>
      <c r="MZV1" s="22"/>
      <c r="MZW1" s="22"/>
      <c r="MZX1" s="22"/>
      <c r="MZY1" s="22"/>
      <c r="MZZ1" s="22"/>
      <c r="NAA1" s="22"/>
      <c r="NAB1" s="22"/>
      <c r="NAC1" s="22"/>
      <c r="NAD1" s="22"/>
      <c r="NAE1" s="22"/>
      <c r="NAF1" s="22"/>
      <c r="NAG1" s="22"/>
      <c r="NAH1" s="22"/>
      <c r="NAI1" s="22"/>
      <c r="NAJ1" s="22"/>
      <c r="NAK1" s="22"/>
      <c r="NAL1" s="22"/>
      <c r="NAM1" s="22"/>
      <c r="NAN1" s="22"/>
      <c r="NAO1" s="22"/>
      <c r="NAP1" s="22"/>
      <c r="NAQ1" s="22"/>
      <c r="NAR1" s="22"/>
      <c r="NAS1" s="22"/>
      <c r="NAT1" s="22"/>
      <c r="NAU1" s="22"/>
      <c r="NAV1" s="22"/>
      <c r="NAW1" s="22"/>
      <c r="NAX1" s="22"/>
      <c r="NAY1" s="22"/>
      <c r="NAZ1" s="22"/>
      <c r="NBA1" s="22"/>
      <c r="NBB1" s="22"/>
      <c r="NBC1" s="22"/>
      <c r="NBD1" s="22"/>
      <c r="NBE1" s="22"/>
      <c r="NBF1" s="22"/>
      <c r="NBG1" s="22"/>
      <c r="NBH1" s="22"/>
      <c r="NBI1" s="22"/>
      <c r="NBJ1" s="22"/>
      <c r="NBK1" s="22"/>
      <c r="NBL1" s="22"/>
      <c r="NBM1" s="22"/>
      <c r="NBN1" s="22"/>
      <c r="NBO1" s="22"/>
      <c r="NBP1" s="22"/>
      <c r="NBQ1" s="22"/>
      <c r="NBR1" s="22"/>
      <c r="NBS1" s="22"/>
      <c r="NBT1" s="22"/>
      <c r="NBU1" s="22"/>
      <c r="NBV1" s="22"/>
      <c r="NBW1" s="22"/>
      <c r="NBX1" s="22"/>
      <c r="NBY1" s="22"/>
      <c r="NBZ1" s="22"/>
      <c r="NCA1" s="22"/>
      <c r="NCB1" s="22"/>
      <c r="NCC1" s="22"/>
      <c r="NCD1" s="22"/>
      <c r="NCE1" s="22"/>
      <c r="NCF1" s="22"/>
      <c r="NCG1" s="22"/>
      <c r="NCH1" s="22"/>
      <c r="NCI1" s="22"/>
      <c r="NCJ1" s="22"/>
      <c r="NCK1" s="22"/>
      <c r="NCL1" s="22"/>
      <c r="NCM1" s="22"/>
      <c r="NCN1" s="22"/>
      <c r="NCO1" s="22"/>
      <c r="NCP1" s="22"/>
      <c r="NCQ1" s="22"/>
      <c r="NCR1" s="22"/>
      <c r="NCS1" s="22"/>
      <c r="NCT1" s="22"/>
      <c r="NCU1" s="22"/>
      <c r="NCV1" s="22"/>
      <c r="NCW1" s="22"/>
      <c r="NCX1" s="22"/>
      <c r="NCY1" s="22"/>
      <c r="NCZ1" s="22"/>
      <c r="NDA1" s="22"/>
      <c r="NDB1" s="22"/>
      <c r="NDC1" s="22"/>
      <c r="NDD1" s="22"/>
      <c r="NDE1" s="22"/>
      <c r="NDF1" s="22"/>
      <c r="NDG1" s="22"/>
      <c r="NDH1" s="22"/>
      <c r="NDI1" s="22"/>
      <c r="NDJ1" s="22"/>
      <c r="NDK1" s="22"/>
      <c r="NDL1" s="22"/>
      <c r="NDM1" s="22"/>
      <c r="NDN1" s="22"/>
      <c r="NDO1" s="22"/>
      <c r="NDP1" s="22"/>
      <c r="NDQ1" s="22"/>
      <c r="NDR1" s="22"/>
      <c r="NDS1" s="22"/>
      <c r="NDT1" s="22"/>
      <c r="NDU1" s="22"/>
      <c r="NDV1" s="22"/>
      <c r="NDW1" s="22"/>
      <c r="NDX1" s="22"/>
      <c r="NDY1" s="22"/>
      <c r="NDZ1" s="22"/>
      <c r="NEA1" s="22"/>
      <c r="NEB1" s="22"/>
      <c r="NEC1" s="22"/>
      <c r="NED1" s="22"/>
      <c r="NEE1" s="22"/>
      <c r="NEF1" s="22"/>
      <c r="NEG1" s="22"/>
      <c r="NEH1" s="22"/>
      <c r="NEI1" s="22"/>
      <c r="NEJ1" s="22"/>
      <c r="NEK1" s="22"/>
      <c r="NEL1" s="22"/>
      <c r="NEM1" s="22"/>
      <c r="NEN1" s="22"/>
      <c r="NEO1" s="22"/>
      <c r="NEP1" s="22"/>
      <c r="NEQ1" s="22"/>
      <c r="NER1" s="22"/>
      <c r="NES1" s="22"/>
      <c r="NET1" s="22"/>
      <c r="NEU1" s="22"/>
      <c r="NEV1" s="22"/>
      <c r="NEW1" s="22"/>
      <c r="NEX1" s="22"/>
      <c r="NEY1" s="22"/>
      <c r="NEZ1" s="22"/>
      <c r="NFA1" s="22"/>
      <c r="NFB1" s="22"/>
      <c r="NFC1" s="22"/>
      <c r="NFD1" s="22"/>
      <c r="NFE1" s="22"/>
      <c r="NFF1" s="22"/>
      <c r="NFG1" s="22"/>
      <c r="NFH1" s="22"/>
      <c r="NFI1" s="22"/>
      <c r="NFJ1" s="22"/>
      <c r="NFK1" s="22"/>
      <c r="NFL1" s="22"/>
      <c r="NFM1" s="22"/>
      <c r="NFN1" s="22"/>
      <c r="NFO1" s="22"/>
      <c r="NFP1" s="22"/>
      <c r="NFQ1" s="22"/>
      <c r="NFR1" s="22"/>
      <c r="NFS1" s="22"/>
      <c r="NFT1" s="22"/>
      <c r="NFU1" s="22"/>
      <c r="NFV1" s="22"/>
      <c r="NFW1" s="22"/>
      <c r="NFX1" s="22"/>
      <c r="NFY1" s="22"/>
      <c r="NFZ1" s="22"/>
      <c r="NGA1" s="22"/>
      <c r="NGB1" s="22"/>
      <c r="NGC1" s="22"/>
      <c r="NGD1" s="22"/>
      <c r="NGE1" s="22"/>
      <c r="NGF1" s="22"/>
      <c r="NGG1" s="22"/>
      <c r="NGH1" s="22"/>
      <c r="NGI1" s="22"/>
      <c r="NGJ1" s="22"/>
      <c r="NGK1" s="22"/>
      <c r="NGL1" s="22"/>
      <c r="NGM1" s="22"/>
      <c r="NGN1" s="22"/>
      <c r="NGO1" s="22"/>
      <c r="NGP1" s="22"/>
      <c r="NGQ1" s="22"/>
      <c r="NGR1" s="22"/>
      <c r="NGS1" s="22"/>
      <c r="NGT1" s="22"/>
      <c r="NGU1" s="22"/>
      <c r="NGV1" s="22"/>
      <c r="NGW1" s="22"/>
      <c r="NGX1" s="22"/>
      <c r="NGY1" s="22"/>
      <c r="NGZ1" s="22"/>
      <c r="NHA1" s="22"/>
      <c r="NHB1" s="22"/>
      <c r="NHC1" s="22"/>
      <c r="NHD1" s="22"/>
      <c r="NHE1" s="22"/>
      <c r="NHF1" s="22"/>
      <c r="NHG1" s="22"/>
      <c r="NHH1" s="22"/>
      <c r="NHI1" s="22"/>
      <c r="NHJ1" s="22"/>
      <c r="NHK1" s="22"/>
      <c r="NHL1" s="22"/>
      <c r="NHM1" s="22"/>
      <c r="NHN1" s="22"/>
      <c r="NHO1" s="22"/>
      <c r="NHP1" s="22"/>
      <c r="NHQ1" s="22"/>
      <c r="NHR1" s="22"/>
      <c r="NHS1" s="22"/>
      <c r="NHT1" s="22"/>
      <c r="NHU1" s="22"/>
      <c r="NHV1" s="22"/>
      <c r="NHW1" s="22"/>
      <c r="NHX1" s="22"/>
      <c r="NHY1" s="22"/>
      <c r="NHZ1" s="22"/>
      <c r="NIA1" s="22"/>
      <c r="NIB1" s="22"/>
      <c r="NIC1" s="22"/>
      <c r="NID1" s="22"/>
      <c r="NIE1" s="22"/>
      <c r="NIF1" s="22"/>
      <c r="NIG1" s="22"/>
      <c r="NIH1" s="22"/>
      <c r="NII1" s="22"/>
      <c r="NIJ1" s="22"/>
      <c r="NIK1" s="22"/>
      <c r="NIL1" s="22"/>
      <c r="NIM1" s="22"/>
      <c r="NIN1" s="22"/>
      <c r="NIO1" s="22"/>
      <c r="NIP1" s="22"/>
      <c r="NIQ1" s="22"/>
      <c r="NIR1" s="22"/>
      <c r="NIS1" s="22"/>
      <c r="NIT1" s="22"/>
      <c r="NIU1" s="22"/>
      <c r="NIV1" s="22"/>
      <c r="NIW1" s="22"/>
      <c r="NIX1" s="22"/>
      <c r="NIY1" s="22"/>
      <c r="NIZ1" s="22"/>
      <c r="NJA1" s="22"/>
      <c r="NJB1" s="22"/>
      <c r="NJC1" s="22"/>
      <c r="NJD1" s="22"/>
      <c r="NJE1" s="22"/>
      <c r="NJF1" s="22"/>
      <c r="NJG1" s="22"/>
      <c r="NJH1" s="22"/>
      <c r="NJI1" s="22"/>
      <c r="NJJ1" s="22"/>
      <c r="NJK1" s="22"/>
      <c r="NJL1" s="22"/>
      <c r="NJM1" s="22"/>
      <c r="NJN1" s="22"/>
      <c r="NJO1" s="22"/>
      <c r="NJP1" s="22"/>
      <c r="NJQ1" s="22"/>
      <c r="NJR1" s="22"/>
      <c r="NJS1" s="22"/>
      <c r="NJT1" s="22"/>
      <c r="NJU1" s="22"/>
      <c r="NJV1" s="22"/>
      <c r="NJW1" s="22"/>
      <c r="NJX1" s="22"/>
      <c r="NJY1" s="22"/>
      <c r="NJZ1" s="22"/>
      <c r="NKA1" s="22"/>
      <c r="NKB1" s="22"/>
      <c r="NKC1" s="22"/>
      <c r="NKD1" s="22"/>
      <c r="NKE1" s="22"/>
      <c r="NKF1" s="22"/>
      <c r="NKG1" s="22"/>
      <c r="NKH1" s="22"/>
      <c r="NKI1" s="22"/>
      <c r="NKJ1" s="22"/>
      <c r="NKK1" s="22"/>
      <c r="NKL1" s="22"/>
      <c r="NKM1" s="22"/>
      <c r="NKN1" s="22"/>
      <c r="NKO1" s="22"/>
      <c r="NKP1" s="22"/>
      <c r="NKQ1" s="22"/>
      <c r="NKR1" s="22"/>
      <c r="NKS1" s="22"/>
      <c r="NKT1" s="22"/>
      <c r="NKU1" s="22"/>
      <c r="NKV1" s="22"/>
      <c r="NKW1" s="22"/>
      <c r="NKX1" s="22"/>
      <c r="NKY1" s="22"/>
      <c r="NKZ1" s="22"/>
      <c r="NLA1" s="22"/>
      <c r="NLB1" s="22"/>
      <c r="NLC1" s="22"/>
      <c r="NLD1" s="22"/>
      <c r="NLE1" s="22"/>
      <c r="NLF1" s="22"/>
      <c r="NLG1" s="22"/>
      <c r="NLH1" s="22"/>
      <c r="NLI1" s="22"/>
      <c r="NLJ1" s="22"/>
      <c r="NLK1" s="22"/>
      <c r="NLL1" s="22"/>
      <c r="NLM1" s="22"/>
      <c r="NLN1" s="22"/>
      <c r="NLO1" s="22"/>
      <c r="NLP1" s="22"/>
      <c r="NLQ1" s="22"/>
      <c r="NLR1" s="22"/>
      <c r="NLS1" s="22"/>
      <c r="NLT1" s="22"/>
      <c r="NLU1" s="22"/>
      <c r="NLV1" s="22"/>
      <c r="NLW1" s="22"/>
      <c r="NLX1" s="22"/>
      <c r="NLY1" s="22"/>
      <c r="NLZ1" s="22"/>
      <c r="NMA1" s="22"/>
      <c r="NMB1" s="22"/>
      <c r="NMC1" s="22"/>
      <c r="NMD1" s="22"/>
      <c r="NME1" s="22"/>
      <c r="NMF1" s="22"/>
      <c r="NMG1" s="22"/>
      <c r="NMH1" s="22"/>
      <c r="NMI1" s="22"/>
      <c r="NMJ1" s="22"/>
      <c r="NMK1" s="22"/>
      <c r="NML1" s="22"/>
      <c r="NMM1" s="22"/>
      <c r="NMN1" s="22"/>
      <c r="NMO1" s="22"/>
      <c r="NMP1" s="22"/>
      <c r="NMQ1" s="22"/>
      <c r="NMR1" s="22"/>
      <c r="NMS1" s="22"/>
      <c r="NMT1" s="22"/>
      <c r="NMU1" s="22"/>
      <c r="NMV1" s="22"/>
      <c r="NMW1" s="22"/>
      <c r="NMX1" s="22"/>
      <c r="NMY1" s="22"/>
      <c r="NMZ1" s="22"/>
      <c r="NNA1" s="22"/>
      <c r="NNB1" s="22"/>
      <c r="NNC1" s="22"/>
      <c r="NND1" s="22"/>
      <c r="NNE1" s="22"/>
      <c r="NNF1" s="22"/>
      <c r="NNG1" s="22"/>
      <c r="NNH1" s="22"/>
      <c r="NNI1" s="22"/>
      <c r="NNJ1" s="22"/>
      <c r="NNK1" s="22"/>
      <c r="NNL1" s="22"/>
      <c r="NNM1" s="22"/>
      <c r="NNN1" s="22"/>
      <c r="NNO1" s="22"/>
      <c r="NNP1" s="22"/>
      <c r="NNQ1" s="22"/>
      <c r="NNR1" s="22"/>
      <c r="NNS1" s="22"/>
      <c r="NNT1" s="22"/>
      <c r="NNU1" s="22"/>
      <c r="NNV1" s="22"/>
      <c r="NNW1" s="22"/>
      <c r="NNX1" s="22"/>
      <c r="NNY1" s="22"/>
      <c r="NNZ1" s="22"/>
      <c r="NOA1" s="22"/>
      <c r="NOB1" s="22"/>
      <c r="NOC1" s="22"/>
      <c r="NOD1" s="22"/>
      <c r="NOE1" s="22"/>
      <c r="NOF1" s="22"/>
      <c r="NOG1" s="22"/>
      <c r="NOH1" s="22"/>
      <c r="NOI1" s="22"/>
      <c r="NOJ1" s="22"/>
      <c r="NOK1" s="22"/>
      <c r="NOL1" s="22"/>
      <c r="NOM1" s="22"/>
      <c r="NON1" s="22"/>
      <c r="NOO1" s="22"/>
      <c r="NOP1" s="22"/>
      <c r="NOQ1" s="22"/>
      <c r="NOR1" s="22"/>
      <c r="NOS1" s="22"/>
      <c r="NOT1" s="22"/>
      <c r="NOU1" s="22"/>
      <c r="NOV1" s="22"/>
      <c r="NOW1" s="22"/>
      <c r="NOX1" s="22"/>
      <c r="NOY1" s="22"/>
      <c r="NOZ1" s="22"/>
      <c r="NPA1" s="22"/>
      <c r="NPB1" s="22"/>
      <c r="NPC1" s="22"/>
      <c r="NPD1" s="22"/>
      <c r="NPE1" s="22"/>
      <c r="NPF1" s="22"/>
      <c r="NPG1" s="22"/>
      <c r="NPH1" s="22"/>
      <c r="NPI1" s="22"/>
      <c r="NPJ1" s="22"/>
      <c r="NPK1" s="22"/>
      <c r="NPL1" s="22"/>
      <c r="NPM1" s="22"/>
      <c r="NPN1" s="22"/>
      <c r="NPO1" s="22"/>
      <c r="NPP1" s="22"/>
      <c r="NPQ1" s="22"/>
      <c r="NPR1" s="22"/>
      <c r="NPS1" s="22"/>
      <c r="NPT1" s="22"/>
      <c r="NPU1" s="22"/>
      <c r="NPV1" s="22"/>
      <c r="NPW1" s="22"/>
      <c r="NPX1" s="22"/>
      <c r="NPY1" s="22"/>
      <c r="NPZ1" s="22"/>
      <c r="NQA1" s="22"/>
      <c r="NQB1" s="22"/>
      <c r="NQC1" s="22"/>
      <c r="NQD1" s="22"/>
      <c r="NQE1" s="22"/>
      <c r="NQF1" s="22"/>
      <c r="NQG1" s="22"/>
      <c r="NQH1" s="22"/>
      <c r="NQI1" s="22"/>
      <c r="NQJ1" s="22"/>
      <c r="NQK1" s="22"/>
      <c r="NQL1" s="22"/>
      <c r="NQM1" s="22"/>
      <c r="NQN1" s="22"/>
      <c r="NQO1" s="22"/>
      <c r="NQP1" s="22"/>
      <c r="NQQ1" s="22"/>
      <c r="NQR1" s="22"/>
      <c r="NQS1" s="22"/>
      <c r="NQT1" s="22"/>
      <c r="NQU1" s="22"/>
      <c r="NQV1" s="22"/>
      <c r="NQW1" s="22"/>
      <c r="NQX1" s="22"/>
      <c r="NQY1" s="22"/>
      <c r="NQZ1" s="22"/>
      <c r="NRA1" s="22"/>
      <c r="NRB1" s="22"/>
      <c r="NRC1" s="22"/>
      <c r="NRD1" s="22"/>
      <c r="NRE1" s="22"/>
      <c r="NRF1" s="22"/>
      <c r="NRG1" s="22"/>
      <c r="NRH1" s="22"/>
      <c r="NRI1" s="22"/>
      <c r="NRJ1" s="22"/>
      <c r="NRK1" s="22"/>
      <c r="NRL1" s="22"/>
      <c r="NRM1" s="22"/>
      <c r="NRN1" s="22"/>
      <c r="NRO1" s="22"/>
      <c r="NRP1" s="22"/>
      <c r="NRQ1" s="22"/>
      <c r="NRR1" s="22"/>
      <c r="NRS1" s="22"/>
      <c r="NRT1" s="22"/>
      <c r="NRU1" s="22"/>
      <c r="NRV1" s="22"/>
      <c r="NRW1" s="22"/>
      <c r="NRX1" s="22"/>
      <c r="NRY1" s="22"/>
      <c r="NRZ1" s="22"/>
      <c r="NSA1" s="22"/>
      <c r="NSB1" s="22"/>
      <c r="NSC1" s="22"/>
      <c r="NSD1" s="22"/>
      <c r="NSE1" s="22"/>
      <c r="NSF1" s="22"/>
      <c r="NSG1" s="22"/>
      <c r="NSH1" s="22"/>
      <c r="NSI1" s="22"/>
      <c r="NSJ1" s="22"/>
      <c r="NSK1" s="22"/>
      <c r="NSL1" s="22"/>
      <c r="NSM1" s="22"/>
      <c r="NSN1" s="22"/>
      <c r="NSO1" s="22"/>
      <c r="NSP1" s="22"/>
      <c r="NSQ1" s="22"/>
      <c r="NSR1" s="22"/>
      <c r="NSS1" s="22"/>
      <c r="NST1" s="22"/>
      <c r="NSU1" s="22"/>
      <c r="NSV1" s="22"/>
      <c r="NSW1" s="22"/>
      <c r="NSX1" s="22"/>
      <c r="NSY1" s="22"/>
      <c r="NSZ1" s="22"/>
      <c r="NTA1" s="22"/>
      <c r="NTB1" s="22"/>
      <c r="NTC1" s="22"/>
      <c r="NTD1" s="22"/>
      <c r="NTE1" s="22"/>
      <c r="NTF1" s="22"/>
      <c r="NTG1" s="22"/>
      <c r="NTH1" s="22"/>
      <c r="NTI1" s="22"/>
      <c r="NTJ1" s="22"/>
      <c r="NTK1" s="22"/>
      <c r="NTL1" s="22"/>
      <c r="NTM1" s="22"/>
      <c r="NTN1" s="22"/>
      <c r="NTO1" s="22"/>
      <c r="NTP1" s="22"/>
      <c r="NTQ1" s="22"/>
      <c r="NTR1" s="22"/>
      <c r="NTS1" s="22"/>
      <c r="NTT1" s="22"/>
      <c r="NTU1" s="22"/>
      <c r="NTV1" s="22"/>
      <c r="NTW1" s="22"/>
      <c r="NTX1" s="22"/>
      <c r="NTY1" s="22"/>
      <c r="NTZ1" s="22"/>
      <c r="NUA1" s="22"/>
      <c r="NUB1" s="22"/>
      <c r="NUC1" s="22"/>
      <c r="NUD1" s="22"/>
      <c r="NUE1" s="22"/>
      <c r="NUF1" s="22"/>
      <c r="NUG1" s="22"/>
      <c r="NUH1" s="22"/>
      <c r="NUI1" s="22"/>
      <c r="NUJ1" s="22"/>
      <c r="NUK1" s="22"/>
      <c r="NUL1" s="22"/>
      <c r="NUM1" s="22"/>
      <c r="NUN1" s="22"/>
      <c r="NUO1" s="22"/>
      <c r="NUP1" s="22"/>
      <c r="NUQ1" s="22"/>
      <c r="NUR1" s="22"/>
      <c r="NUS1" s="22"/>
      <c r="NUT1" s="22"/>
      <c r="NUU1" s="22"/>
      <c r="NUV1" s="22"/>
      <c r="NUW1" s="22"/>
      <c r="NUX1" s="22"/>
      <c r="NUY1" s="22"/>
      <c r="NUZ1" s="22"/>
      <c r="NVA1" s="22"/>
      <c r="NVB1" s="22"/>
      <c r="NVC1" s="22"/>
      <c r="NVD1" s="22"/>
      <c r="NVE1" s="22"/>
      <c r="NVF1" s="22"/>
      <c r="NVG1" s="22"/>
      <c r="NVH1" s="22"/>
      <c r="NVI1" s="22"/>
      <c r="NVJ1" s="22"/>
      <c r="NVK1" s="22"/>
      <c r="NVL1" s="22"/>
      <c r="NVM1" s="22"/>
      <c r="NVN1" s="22"/>
      <c r="NVO1" s="22"/>
      <c r="NVP1" s="22"/>
      <c r="NVQ1" s="22"/>
      <c r="NVR1" s="22"/>
      <c r="NVS1" s="22"/>
      <c r="NVT1" s="22"/>
      <c r="NVU1" s="22"/>
      <c r="NVV1" s="22"/>
      <c r="NVW1" s="22"/>
      <c r="NVX1" s="22"/>
      <c r="NVY1" s="22"/>
      <c r="NVZ1" s="22"/>
      <c r="NWA1" s="22"/>
      <c r="NWB1" s="22"/>
      <c r="NWC1" s="22"/>
      <c r="NWD1" s="22"/>
      <c r="NWE1" s="22"/>
      <c r="NWF1" s="22"/>
      <c r="NWG1" s="22"/>
      <c r="NWH1" s="22"/>
      <c r="NWI1" s="22"/>
      <c r="NWJ1" s="22"/>
      <c r="NWK1" s="22"/>
      <c r="NWL1" s="22"/>
      <c r="NWM1" s="22"/>
      <c r="NWN1" s="22"/>
      <c r="NWO1" s="22"/>
      <c r="NWP1" s="22"/>
      <c r="NWQ1" s="22"/>
      <c r="NWR1" s="22"/>
      <c r="NWS1" s="22"/>
      <c r="NWT1" s="22"/>
      <c r="NWU1" s="22"/>
      <c r="NWV1" s="22"/>
      <c r="NWW1" s="22"/>
      <c r="NWX1" s="22"/>
      <c r="NWY1" s="22"/>
      <c r="NWZ1" s="22"/>
      <c r="NXA1" s="22"/>
      <c r="NXB1" s="22"/>
      <c r="NXC1" s="22"/>
      <c r="NXD1" s="22"/>
      <c r="NXE1" s="22"/>
      <c r="NXF1" s="22"/>
      <c r="NXG1" s="22"/>
      <c r="NXH1" s="22"/>
      <c r="NXI1" s="22"/>
      <c r="NXJ1" s="22"/>
      <c r="NXK1" s="22"/>
      <c r="NXL1" s="22"/>
      <c r="NXM1" s="22"/>
      <c r="NXN1" s="22"/>
      <c r="NXO1" s="22"/>
      <c r="NXP1" s="22"/>
      <c r="NXQ1" s="22"/>
      <c r="NXR1" s="22"/>
      <c r="NXS1" s="22"/>
      <c r="NXT1" s="22"/>
      <c r="NXU1" s="22"/>
      <c r="NXV1" s="22"/>
      <c r="NXW1" s="22"/>
      <c r="NXX1" s="22"/>
      <c r="NXY1" s="22"/>
      <c r="NXZ1" s="22"/>
      <c r="NYA1" s="22"/>
      <c r="NYB1" s="22"/>
      <c r="NYC1" s="22"/>
      <c r="NYD1" s="22"/>
      <c r="NYE1" s="22"/>
      <c r="NYF1" s="22"/>
      <c r="NYG1" s="22"/>
      <c r="NYH1" s="22"/>
      <c r="NYI1" s="22"/>
      <c r="NYJ1" s="22"/>
      <c r="NYK1" s="22"/>
      <c r="NYL1" s="22"/>
      <c r="NYM1" s="22"/>
      <c r="NYN1" s="22"/>
      <c r="NYO1" s="22"/>
      <c r="NYP1" s="22"/>
      <c r="NYQ1" s="22"/>
      <c r="NYR1" s="22"/>
      <c r="NYS1" s="22"/>
      <c r="NYT1" s="22"/>
      <c r="NYU1" s="22"/>
      <c r="NYV1" s="22"/>
      <c r="NYW1" s="22"/>
      <c r="NYX1" s="22"/>
      <c r="NYY1" s="22"/>
      <c r="NYZ1" s="22"/>
      <c r="NZA1" s="22"/>
      <c r="NZB1" s="22"/>
      <c r="NZC1" s="22"/>
      <c r="NZD1" s="22"/>
      <c r="NZE1" s="22"/>
      <c r="NZF1" s="22"/>
      <c r="NZG1" s="22"/>
      <c r="NZH1" s="22"/>
      <c r="NZI1" s="22"/>
      <c r="NZJ1" s="22"/>
      <c r="NZK1" s="22"/>
      <c r="NZL1" s="22"/>
      <c r="NZM1" s="22"/>
      <c r="NZN1" s="22"/>
      <c r="NZO1" s="22"/>
      <c r="NZP1" s="22"/>
      <c r="NZQ1" s="22"/>
      <c r="NZR1" s="22"/>
      <c r="NZS1" s="22"/>
      <c r="NZT1" s="22"/>
      <c r="NZU1" s="22"/>
      <c r="NZV1" s="22"/>
      <c r="NZW1" s="22"/>
      <c r="NZX1" s="22"/>
      <c r="NZY1" s="22"/>
      <c r="NZZ1" s="22"/>
      <c r="OAA1" s="22"/>
      <c r="OAB1" s="22"/>
      <c r="OAC1" s="22"/>
      <c r="OAD1" s="22"/>
      <c r="OAE1" s="22"/>
      <c r="OAF1" s="22"/>
      <c r="OAG1" s="22"/>
      <c r="OAH1" s="22"/>
      <c r="OAI1" s="22"/>
      <c r="OAJ1" s="22"/>
      <c r="OAK1" s="22"/>
      <c r="OAL1" s="22"/>
      <c r="OAM1" s="22"/>
      <c r="OAN1" s="22"/>
      <c r="OAO1" s="22"/>
      <c r="OAP1" s="22"/>
      <c r="OAQ1" s="22"/>
      <c r="OAR1" s="22"/>
      <c r="OAS1" s="22"/>
      <c r="OAT1" s="22"/>
      <c r="OAU1" s="22"/>
      <c r="OAV1" s="22"/>
      <c r="OAW1" s="22"/>
      <c r="OAX1" s="22"/>
      <c r="OAY1" s="22"/>
      <c r="OAZ1" s="22"/>
      <c r="OBA1" s="22"/>
      <c r="OBB1" s="22"/>
      <c r="OBC1" s="22"/>
      <c r="OBD1" s="22"/>
      <c r="OBE1" s="22"/>
      <c r="OBF1" s="22"/>
      <c r="OBG1" s="22"/>
      <c r="OBH1" s="22"/>
      <c r="OBI1" s="22"/>
      <c r="OBJ1" s="22"/>
      <c r="OBK1" s="22"/>
      <c r="OBL1" s="22"/>
      <c r="OBM1" s="22"/>
      <c r="OBN1" s="22"/>
      <c r="OBO1" s="22"/>
      <c r="OBP1" s="22"/>
      <c r="OBQ1" s="22"/>
      <c r="OBR1" s="22"/>
      <c r="OBS1" s="22"/>
      <c r="OBT1" s="22"/>
      <c r="OBU1" s="22"/>
      <c r="OBV1" s="22"/>
      <c r="OBW1" s="22"/>
      <c r="OBX1" s="22"/>
      <c r="OBY1" s="22"/>
      <c r="OBZ1" s="22"/>
      <c r="OCA1" s="22"/>
      <c r="OCB1" s="22"/>
      <c r="OCC1" s="22"/>
      <c r="OCD1" s="22"/>
      <c r="OCE1" s="22"/>
      <c r="OCF1" s="22"/>
      <c r="OCG1" s="22"/>
      <c r="OCH1" s="22"/>
      <c r="OCI1" s="22"/>
      <c r="OCJ1" s="22"/>
      <c r="OCK1" s="22"/>
      <c r="OCL1" s="22"/>
      <c r="OCM1" s="22"/>
      <c r="OCN1" s="22"/>
      <c r="OCO1" s="22"/>
      <c r="OCP1" s="22"/>
      <c r="OCQ1" s="22"/>
      <c r="OCR1" s="22"/>
      <c r="OCS1" s="22"/>
      <c r="OCT1" s="22"/>
      <c r="OCU1" s="22"/>
      <c r="OCV1" s="22"/>
      <c r="OCW1" s="22"/>
      <c r="OCX1" s="22"/>
      <c r="OCY1" s="22"/>
      <c r="OCZ1" s="22"/>
      <c r="ODA1" s="22"/>
      <c r="ODB1" s="22"/>
      <c r="ODC1" s="22"/>
      <c r="ODD1" s="22"/>
      <c r="ODE1" s="22"/>
      <c r="ODF1" s="22"/>
      <c r="ODG1" s="22"/>
      <c r="ODH1" s="22"/>
      <c r="ODI1" s="22"/>
      <c r="ODJ1" s="22"/>
      <c r="ODK1" s="22"/>
      <c r="ODL1" s="22"/>
      <c r="ODM1" s="22"/>
      <c r="ODN1" s="22"/>
      <c r="ODO1" s="22"/>
      <c r="ODP1" s="22"/>
      <c r="ODQ1" s="22"/>
      <c r="ODR1" s="22"/>
      <c r="ODS1" s="22"/>
      <c r="ODT1" s="22"/>
      <c r="ODU1" s="22"/>
      <c r="ODV1" s="22"/>
      <c r="ODW1" s="22"/>
      <c r="ODX1" s="22"/>
      <c r="ODY1" s="22"/>
      <c r="ODZ1" s="22"/>
      <c r="OEA1" s="22"/>
      <c r="OEB1" s="22"/>
      <c r="OEC1" s="22"/>
      <c r="OED1" s="22"/>
      <c r="OEE1" s="22"/>
      <c r="OEF1" s="22"/>
      <c r="OEG1" s="22"/>
      <c r="OEH1" s="22"/>
      <c r="OEI1" s="22"/>
      <c r="OEJ1" s="22"/>
      <c r="OEK1" s="22"/>
      <c r="OEL1" s="22"/>
      <c r="OEM1" s="22"/>
      <c r="OEN1" s="22"/>
      <c r="OEO1" s="22"/>
      <c r="OEP1" s="22"/>
      <c r="OEQ1" s="22"/>
      <c r="OER1" s="22"/>
      <c r="OES1" s="22"/>
      <c r="OET1" s="22"/>
      <c r="OEU1" s="22"/>
      <c r="OEV1" s="22"/>
      <c r="OEW1" s="22"/>
      <c r="OEX1" s="22"/>
      <c r="OEY1" s="22"/>
      <c r="OEZ1" s="22"/>
      <c r="OFA1" s="22"/>
      <c r="OFB1" s="22"/>
      <c r="OFC1" s="22"/>
      <c r="OFD1" s="22"/>
      <c r="OFE1" s="22"/>
      <c r="OFF1" s="22"/>
      <c r="OFG1" s="22"/>
      <c r="OFH1" s="22"/>
      <c r="OFI1" s="22"/>
      <c r="OFJ1" s="22"/>
      <c r="OFK1" s="22"/>
      <c r="OFL1" s="22"/>
      <c r="OFM1" s="22"/>
      <c r="OFN1" s="22"/>
      <c r="OFO1" s="22"/>
      <c r="OFP1" s="22"/>
      <c r="OFQ1" s="22"/>
      <c r="OFR1" s="22"/>
      <c r="OFS1" s="22"/>
      <c r="OFT1" s="22"/>
      <c r="OFU1" s="22"/>
      <c r="OFV1" s="22"/>
      <c r="OFW1" s="22"/>
      <c r="OFX1" s="22"/>
      <c r="OFY1" s="22"/>
      <c r="OFZ1" s="22"/>
      <c r="OGA1" s="22"/>
      <c r="OGB1" s="22"/>
      <c r="OGC1" s="22"/>
      <c r="OGD1" s="22"/>
      <c r="OGE1" s="22"/>
      <c r="OGF1" s="22"/>
      <c r="OGG1" s="22"/>
      <c r="OGH1" s="22"/>
      <c r="OGI1" s="22"/>
      <c r="OGJ1" s="22"/>
      <c r="OGK1" s="22"/>
      <c r="OGL1" s="22"/>
      <c r="OGM1" s="22"/>
      <c r="OGN1" s="22"/>
      <c r="OGO1" s="22"/>
      <c r="OGP1" s="22"/>
      <c r="OGQ1" s="22"/>
      <c r="OGR1" s="22"/>
      <c r="OGS1" s="22"/>
      <c r="OGT1" s="22"/>
      <c r="OGU1" s="22"/>
      <c r="OGV1" s="22"/>
      <c r="OGW1" s="22"/>
      <c r="OGX1" s="22"/>
      <c r="OGY1" s="22"/>
      <c r="OGZ1" s="22"/>
      <c r="OHA1" s="22"/>
      <c r="OHB1" s="22"/>
      <c r="OHC1" s="22"/>
      <c r="OHD1" s="22"/>
      <c r="OHE1" s="22"/>
      <c r="OHF1" s="22"/>
      <c r="OHG1" s="22"/>
      <c r="OHH1" s="22"/>
      <c r="OHI1" s="22"/>
      <c r="OHJ1" s="22"/>
      <c r="OHK1" s="22"/>
      <c r="OHL1" s="22"/>
      <c r="OHM1" s="22"/>
      <c r="OHN1" s="22"/>
      <c r="OHO1" s="22"/>
      <c r="OHP1" s="22"/>
      <c r="OHQ1" s="22"/>
      <c r="OHR1" s="22"/>
      <c r="OHS1" s="22"/>
      <c r="OHT1" s="22"/>
      <c r="OHU1" s="22"/>
      <c r="OHV1" s="22"/>
      <c r="OHW1" s="22"/>
      <c r="OHX1" s="22"/>
      <c r="OHY1" s="22"/>
      <c r="OHZ1" s="22"/>
      <c r="OIA1" s="22"/>
      <c r="OIB1" s="22"/>
      <c r="OIC1" s="22"/>
      <c r="OID1" s="22"/>
      <c r="OIE1" s="22"/>
      <c r="OIF1" s="22"/>
      <c r="OIG1" s="22"/>
      <c r="OIH1" s="22"/>
      <c r="OII1" s="22"/>
      <c r="OIJ1" s="22"/>
      <c r="OIK1" s="22"/>
      <c r="OIL1" s="22"/>
      <c r="OIM1" s="22"/>
      <c r="OIN1" s="22"/>
      <c r="OIO1" s="22"/>
      <c r="OIP1" s="22"/>
      <c r="OIQ1" s="22"/>
      <c r="OIR1" s="22"/>
      <c r="OIS1" s="22"/>
      <c r="OIT1" s="22"/>
      <c r="OIU1" s="22"/>
      <c r="OIV1" s="22"/>
      <c r="OIW1" s="22"/>
      <c r="OIX1" s="22"/>
      <c r="OIY1" s="22"/>
      <c r="OIZ1" s="22"/>
      <c r="OJA1" s="22"/>
      <c r="OJB1" s="22"/>
      <c r="OJC1" s="22"/>
      <c r="OJD1" s="22"/>
      <c r="OJE1" s="22"/>
      <c r="OJF1" s="22"/>
      <c r="OJG1" s="22"/>
      <c r="OJH1" s="22"/>
      <c r="OJI1" s="22"/>
      <c r="OJJ1" s="22"/>
      <c r="OJK1" s="22"/>
      <c r="OJL1" s="22"/>
      <c r="OJM1" s="22"/>
      <c r="OJN1" s="22"/>
      <c r="OJO1" s="22"/>
      <c r="OJP1" s="22"/>
      <c r="OJQ1" s="22"/>
      <c r="OJR1" s="22"/>
      <c r="OJS1" s="22"/>
      <c r="OJT1" s="22"/>
      <c r="OJU1" s="22"/>
      <c r="OJV1" s="22"/>
      <c r="OJW1" s="22"/>
      <c r="OJX1" s="22"/>
      <c r="OJY1" s="22"/>
      <c r="OJZ1" s="22"/>
      <c r="OKA1" s="22"/>
      <c r="OKB1" s="22"/>
      <c r="OKC1" s="22"/>
      <c r="OKD1" s="22"/>
      <c r="OKE1" s="22"/>
      <c r="OKF1" s="22"/>
      <c r="OKG1" s="22"/>
      <c r="OKH1" s="22"/>
      <c r="OKI1" s="22"/>
      <c r="OKJ1" s="22"/>
      <c r="OKK1" s="22"/>
      <c r="OKL1" s="22"/>
      <c r="OKM1" s="22"/>
      <c r="OKN1" s="22"/>
      <c r="OKO1" s="22"/>
      <c r="OKP1" s="22"/>
      <c r="OKQ1" s="22"/>
      <c r="OKR1" s="22"/>
      <c r="OKS1" s="22"/>
      <c r="OKT1" s="22"/>
      <c r="OKU1" s="22"/>
      <c r="OKV1" s="22"/>
      <c r="OKW1" s="22"/>
      <c r="OKX1" s="22"/>
      <c r="OKY1" s="22"/>
      <c r="OKZ1" s="22"/>
      <c r="OLA1" s="22"/>
      <c r="OLB1" s="22"/>
      <c r="OLC1" s="22"/>
      <c r="OLD1" s="22"/>
      <c r="OLE1" s="22"/>
      <c r="OLF1" s="22"/>
      <c r="OLG1" s="22"/>
      <c r="OLH1" s="22"/>
      <c r="OLI1" s="22"/>
      <c r="OLJ1" s="22"/>
      <c r="OLK1" s="22"/>
      <c r="OLL1" s="22"/>
      <c r="OLM1" s="22"/>
      <c r="OLN1" s="22"/>
      <c r="OLO1" s="22"/>
      <c r="OLP1" s="22"/>
      <c r="OLQ1" s="22"/>
      <c r="OLR1" s="22"/>
      <c r="OLS1" s="22"/>
      <c r="OLT1" s="22"/>
      <c r="OLU1" s="22"/>
      <c r="OLV1" s="22"/>
      <c r="OLW1" s="22"/>
      <c r="OLX1" s="22"/>
      <c r="OLY1" s="22"/>
      <c r="OLZ1" s="22"/>
      <c r="OMA1" s="22"/>
      <c r="OMB1" s="22"/>
      <c r="OMC1" s="22"/>
      <c r="OMD1" s="22"/>
      <c r="OME1" s="22"/>
      <c r="OMF1" s="22"/>
      <c r="OMG1" s="22"/>
      <c r="OMH1" s="22"/>
      <c r="OMI1" s="22"/>
      <c r="OMJ1" s="22"/>
      <c r="OMK1" s="22"/>
      <c r="OML1" s="22"/>
      <c r="OMM1" s="22"/>
      <c r="OMN1" s="22"/>
      <c r="OMO1" s="22"/>
      <c r="OMP1" s="22"/>
      <c r="OMQ1" s="22"/>
      <c r="OMR1" s="22"/>
      <c r="OMS1" s="22"/>
      <c r="OMT1" s="22"/>
      <c r="OMU1" s="22"/>
      <c r="OMV1" s="22"/>
      <c r="OMW1" s="22"/>
      <c r="OMX1" s="22"/>
      <c r="OMY1" s="22"/>
      <c r="OMZ1" s="22"/>
      <c r="ONA1" s="22"/>
      <c r="ONB1" s="22"/>
      <c r="ONC1" s="22"/>
      <c r="OND1" s="22"/>
      <c r="ONE1" s="22"/>
      <c r="ONF1" s="22"/>
      <c r="ONG1" s="22"/>
      <c r="ONH1" s="22"/>
      <c r="ONI1" s="22"/>
      <c r="ONJ1" s="22"/>
      <c r="ONK1" s="22"/>
      <c r="ONL1" s="22"/>
      <c r="ONM1" s="22"/>
      <c r="ONN1" s="22"/>
      <c r="ONO1" s="22"/>
      <c r="ONP1" s="22"/>
      <c r="ONQ1" s="22"/>
      <c r="ONR1" s="22"/>
      <c r="ONS1" s="22"/>
      <c r="ONT1" s="22"/>
      <c r="ONU1" s="22"/>
      <c r="ONV1" s="22"/>
      <c r="ONW1" s="22"/>
      <c r="ONX1" s="22"/>
      <c r="ONY1" s="22"/>
      <c r="ONZ1" s="22"/>
      <c r="OOA1" s="22"/>
      <c r="OOB1" s="22"/>
      <c r="OOC1" s="22"/>
      <c r="OOD1" s="22"/>
      <c r="OOE1" s="22"/>
      <c r="OOF1" s="22"/>
      <c r="OOG1" s="22"/>
      <c r="OOH1" s="22"/>
      <c r="OOI1" s="22"/>
      <c r="OOJ1" s="22"/>
      <c r="OOK1" s="22"/>
      <c r="OOL1" s="22"/>
      <c r="OOM1" s="22"/>
      <c r="OON1" s="22"/>
      <c r="OOO1" s="22"/>
      <c r="OOP1" s="22"/>
      <c r="OOQ1" s="22"/>
      <c r="OOR1" s="22"/>
      <c r="OOS1" s="22"/>
      <c r="OOT1" s="22"/>
      <c r="OOU1" s="22"/>
      <c r="OOV1" s="22"/>
      <c r="OOW1" s="22"/>
      <c r="OOX1" s="22"/>
      <c r="OOY1" s="22"/>
      <c r="OOZ1" s="22"/>
      <c r="OPA1" s="22"/>
      <c r="OPB1" s="22"/>
      <c r="OPC1" s="22"/>
      <c r="OPD1" s="22"/>
      <c r="OPE1" s="22"/>
      <c r="OPF1" s="22"/>
      <c r="OPG1" s="22"/>
      <c r="OPH1" s="22"/>
      <c r="OPI1" s="22"/>
      <c r="OPJ1" s="22"/>
      <c r="OPK1" s="22"/>
      <c r="OPL1" s="22"/>
      <c r="OPM1" s="22"/>
      <c r="OPN1" s="22"/>
      <c r="OPO1" s="22"/>
      <c r="OPP1" s="22"/>
      <c r="OPQ1" s="22"/>
      <c r="OPR1" s="22"/>
      <c r="OPS1" s="22"/>
      <c r="OPT1" s="22"/>
      <c r="OPU1" s="22"/>
      <c r="OPV1" s="22"/>
      <c r="OPW1" s="22"/>
      <c r="OPX1" s="22"/>
      <c r="OPY1" s="22"/>
      <c r="OPZ1" s="22"/>
      <c r="OQA1" s="22"/>
      <c r="OQB1" s="22"/>
      <c r="OQC1" s="22"/>
      <c r="OQD1" s="22"/>
      <c r="OQE1" s="22"/>
      <c r="OQF1" s="22"/>
      <c r="OQG1" s="22"/>
      <c r="OQH1" s="22"/>
      <c r="OQI1" s="22"/>
      <c r="OQJ1" s="22"/>
      <c r="OQK1" s="22"/>
      <c r="OQL1" s="22"/>
      <c r="OQM1" s="22"/>
      <c r="OQN1" s="22"/>
      <c r="OQO1" s="22"/>
      <c r="OQP1" s="22"/>
      <c r="OQQ1" s="22"/>
      <c r="OQR1" s="22"/>
      <c r="OQS1" s="22"/>
      <c r="OQT1" s="22"/>
      <c r="OQU1" s="22"/>
      <c r="OQV1" s="22"/>
      <c r="OQW1" s="22"/>
      <c r="OQX1" s="22"/>
      <c r="OQY1" s="22"/>
      <c r="OQZ1" s="22"/>
      <c r="ORA1" s="22"/>
      <c r="ORB1" s="22"/>
      <c r="ORC1" s="22"/>
      <c r="ORD1" s="22"/>
      <c r="ORE1" s="22"/>
      <c r="ORF1" s="22"/>
      <c r="ORG1" s="22"/>
      <c r="ORH1" s="22"/>
      <c r="ORI1" s="22"/>
      <c r="ORJ1" s="22"/>
      <c r="ORK1" s="22"/>
      <c r="ORL1" s="22"/>
      <c r="ORM1" s="22"/>
      <c r="ORN1" s="22"/>
      <c r="ORO1" s="22"/>
      <c r="ORP1" s="22"/>
      <c r="ORQ1" s="22"/>
      <c r="ORR1" s="22"/>
      <c r="ORS1" s="22"/>
      <c r="ORT1" s="22"/>
      <c r="ORU1" s="22"/>
      <c r="ORV1" s="22"/>
      <c r="ORW1" s="22"/>
      <c r="ORX1" s="22"/>
      <c r="ORY1" s="22"/>
      <c r="ORZ1" s="22"/>
      <c r="OSA1" s="22"/>
      <c r="OSB1" s="22"/>
      <c r="OSC1" s="22"/>
      <c r="OSD1" s="22"/>
      <c r="OSE1" s="22"/>
      <c r="OSF1" s="22"/>
      <c r="OSG1" s="22"/>
      <c r="OSH1" s="22"/>
      <c r="OSI1" s="22"/>
      <c r="OSJ1" s="22"/>
      <c r="OSK1" s="22"/>
      <c r="OSL1" s="22"/>
      <c r="OSM1" s="22"/>
      <c r="OSN1" s="22"/>
      <c r="OSO1" s="22"/>
      <c r="OSP1" s="22"/>
      <c r="OSQ1" s="22"/>
      <c r="OSR1" s="22"/>
      <c r="OSS1" s="22"/>
      <c r="OST1" s="22"/>
      <c r="OSU1" s="22"/>
      <c r="OSV1" s="22"/>
      <c r="OSW1" s="22"/>
      <c r="OSX1" s="22"/>
      <c r="OSY1" s="22"/>
      <c r="OSZ1" s="22"/>
      <c r="OTA1" s="22"/>
      <c r="OTB1" s="22"/>
      <c r="OTC1" s="22"/>
      <c r="OTD1" s="22"/>
      <c r="OTE1" s="22"/>
      <c r="OTF1" s="22"/>
      <c r="OTG1" s="22"/>
      <c r="OTH1" s="22"/>
      <c r="OTI1" s="22"/>
      <c r="OTJ1" s="22"/>
      <c r="OTK1" s="22"/>
      <c r="OTL1" s="22"/>
      <c r="OTM1" s="22"/>
      <c r="OTN1" s="22"/>
      <c r="OTO1" s="22"/>
      <c r="OTP1" s="22"/>
      <c r="OTQ1" s="22"/>
      <c r="OTR1" s="22"/>
      <c r="OTS1" s="22"/>
      <c r="OTT1" s="22"/>
      <c r="OTU1" s="22"/>
      <c r="OTV1" s="22"/>
      <c r="OTW1" s="22"/>
      <c r="OTX1" s="22"/>
      <c r="OTY1" s="22"/>
      <c r="OTZ1" s="22"/>
      <c r="OUA1" s="22"/>
      <c r="OUB1" s="22"/>
      <c r="OUC1" s="22"/>
      <c r="OUD1" s="22"/>
      <c r="OUE1" s="22"/>
      <c r="OUF1" s="22"/>
      <c r="OUG1" s="22"/>
      <c r="OUH1" s="22"/>
      <c r="OUI1" s="22"/>
      <c r="OUJ1" s="22"/>
      <c r="OUK1" s="22"/>
      <c r="OUL1" s="22"/>
      <c r="OUM1" s="22"/>
      <c r="OUN1" s="22"/>
      <c r="OUO1" s="22"/>
      <c r="OUP1" s="22"/>
      <c r="OUQ1" s="22"/>
      <c r="OUR1" s="22"/>
      <c r="OUS1" s="22"/>
      <c r="OUT1" s="22"/>
      <c r="OUU1" s="22"/>
      <c r="OUV1" s="22"/>
      <c r="OUW1" s="22"/>
      <c r="OUX1" s="22"/>
      <c r="OUY1" s="22"/>
      <c r="OUZ1" s="22"/>
      <c r="OVA1" s="22"/>
      <c r="OVB1" s="22"/>
      <c r="OVC1" s="22"/>
      <c r="OVD1" s="22"/>
      <c r="OVE1" s="22"/>
      <c r="OVF1" s="22"/>
      <c r="OVG1" s="22"/>
      <c r="OVH1" s="22"/>
      <c r="OVI1" s="22"/>
      <c r="OVJ1" s="22"/>
      <c r="OVK1" s="22"/>
      <c r="OVL1" s="22"/>
      <c r="OVM1" s="22"/>
      <c r="OVN1" s="22"/>
      <c r="OVO1" s="22"/>
      <c r="OVP1" s="22"/>
      <c r="OVQ1" s="22"/>
      <c r="OVR1" s="22"/>
      <c r="OVS1" s="22"/>
      <c r="OVT1" s="22"/>
      <c r="OVU1" s="22"/>
      <c r="OVV1" s="22"/>
      <c r="OVW1" s="22"/>
      <c r="OVX1" s="22"/>
      <c r="OVY1" s="22"/>
      <c r="OVZ1" s="22"/>
      <c r="OWA1" s="22"/>
      <c r="OWB1" s="22"/>
      <c r="OWC1" s="22"/>
      <c r="OWD1" s="22"/>
      <c r="OWE1" s="22"/>
      <c r="OWF1" s="22"/>
      <c r="OWG1" s="22"/>
      <c r="OWH1" s="22"/>
      <c r="OWI1" s="22"/>
      <c r="OWJ1" s="22"/>
      <c r="OWK1" s="22"/>
      <c r="OWL1" s="22"/>
      <c r="OWM1" s="22"/>
      <c r="OWN1" s="22"/>
      <c r="OWO1" s="22"/>
      <c r="OWP1" s="22"/>
      <c r="OWQ1" s="22"/>
      <c r="OWR1" s="22"/>
      <c r="OWS1" s="22"/>
      <c r="OWT1" s="22"/>
      <c r="OWU1" s="22"/>
      <c r="OWV1" s="22"/>
      <c r="OWW1" s="22"/>
      <c r="OWX1" s="22"/>
      <c r="OWY1" s="22"/>
      <c r="OWZ1" s="22"/>
      <c r="OXA1" s="22"/>
      <c r="OXB1" s="22"/>
      <c r="OXC1" s="22"/>
      <c r="OXD1" s="22"/>
      <c r="OXE1" s="22"/>
      <c r="OXF1" s="22"/>
      <c r="OXG1" s="22"/>
      <c r="OXH1" s="22"/>
      <c r="OXI1" s="22"/>
      <c r="OXJ1" s="22"/>
      <c r="OXK1" s="22"/>
      <c r="OXL1" s="22"/>
      <c r="OXM1" s="22"/>
      <c r="OXN1" s="22"/>
      <c r="OXO1" s="22"/>
      <c r="OXP1" s="22"/>
      <c r="OXQ1" s="22"/>
      <c r="OXR1" s="22"/>
      <c r="OXS1" s="22"/>
      <c r="OXT1" s="22"/>
      <c r="OXU1" s="22"/>
      <c r="OXV1" s="22"/>
      <c r="OXW1" s="22"/>
      <c r="OXX1" s="22"/>
      <c r="OXY1" s="22"/>
      <c r="OXZ1" s="22"/>
      <c r="OYA1" s="22"/>
      <c r="OYB1" s="22"/>
      <c r="OYC1" s="22"/>
      <c r="OYD1" s="22"/>
      <c r="OYE1" s="22"/>
      <c r="OYF1" s="22"/>
      <c r="OYG1" s="22"/>
      <c r="OYH1" s="22"/>
      <c r="OYI1" s="22"/>
      <c r="OYJ1" s="22"/>
      <c r="OYK1" s="22"/>
      <c r="OYL1" s="22"/>
      <c r="OYM1" s="22"/>
      <c r="OYN1" s="22"/>
      <c r="OYO1" s="22"/>
      <c r="OYP1" s="22"/>
      <c r="OYQ1" s="22"/>
      <c r="OYR1" s="22"/>
      <c r="OYS1" s="22"/>
      <c r="OYT1" s="22"/>
      <c r="OYU1" s="22"/>
      <c r="OYV1" s="22"/>
      <c r="OYW1" s="22"/>
      <c r="OYX1" s="22"/>
      <c r="OYY1" s="22"/>
      <c r="OYZ1" s="22"/>
      <c r="OZA1" s="22"/>
      <c r="OZB1" s="22"/>
      <c r="OZC1" s="22"/>
      <c r="OZD1" s="22"/>
      <c r="OZE1" s="22"/>
      <c r="OZF1" s="22"/>
      <c r="OZG1" s="22"/>
      <c r="OZH1" s="22"/>
      <c r="OZI1" s="22"/>
      <c r="OZJ1" s="22"/>
      <c r="OZK1" s="22"/>
      <c r="OZL1" s="22"/>
      <c r="OZM1" s="22"/>
      <c r="OZN1" s="22"/>
      <c r="OZO1" s="22"/>
      <c r="OZP1" s="22"/>
      <c r="OZQ1" s="22"/>
      <c r="OZR1" s="22"/>
      <c r="OZS1" s="22"/>
      <c r="OZT1" s="22"/>
      <c r="OZU1" s="22"/>
      <c r="OZV1" s="22"/>
      <c r="OZW1" s="22"/>
      <c r="OZX1" s="22"/>
      <c r="OZY1" s="22"/>
      <c r="OZZ1" s="22"/>
      <c r="PAA1" s="22"/>
      <c r="PAB1" s="22"/>
      <c r="PAC1" s="22"/>
      <c r="PAD1" s="22"/>
      <c r="PAE1" s="22"/>
      <c r="PAF1" s="22"/>
      <c r="PAG1" s="22"/>
      <c r="PAH1" s="22"/>
      <c r="PAI1" s="22"/>
      <c r="PAJ1" s="22"/>
      <c r="PAK1" s="22"/>
      <c r="PAL1" s="22"/>
      <c r="PAM1" s="22"/>
      <c r="PAN1" s="22"/>
      <c r="PAO1" s="22"/>
      <c r="PAP1" s="22"/>
      <c r="PAQ1" s="22"/>
      <c r="PAR1" s="22"/>
      <c r="PAS1" s="22"/>
      <c r="PAT1" s="22"/>
      <c r="PAU1" s="22"/>
      <c r="PAV1" s="22"/>
      <c r="PAW1" s="22"/>
      <c r="PAX1" s="22"/>
      <c r="PAY1" s="22"/>
      <c r="PAZ1" s="22"/>
      <c r="PBA1" s="22"/>
      <c r="PBB1" s="22"/>
      <c r="PBC1" s="22"/>
      <c r="PBD1" s="22"/>
      <c r="PBE1" s="22"/>
      <c r="PBF1" s="22"/>
      <c r="PBG1" s="22"/>
      <c r="PBH1" s="22"/>
      <c r="PBI1" s="22"/>
      <c r="PBJ1" s="22"/>
      <c r="PBK1" s="22"/>
      <c r="PBL1" s="22"/>
      <c r="PBM1" s="22"/>
      <c r="PBN1" s="22"/>
      <c r="PBO1" s="22"/>
      <c r="PBP1" s="22"/>
      <c r="PBQ1" s="22"/>
      <c r="PBR1" s="22"/>
      <c r="PBS1" s="22"/>
      <c r="PBT1" s="22"/>
      <c r="PBU1" s="22"/>
      <c r="PBV1" s="22"/>
      <c r="PBW1" s="22"/>
      <c r="PBX1" s="22"/>
      <c r="PBY1" s="22"/>
      <c r="PBZ1" s="22"/>
      <c r="PCA1" s="22"/>
      <c r="PCB1" s="22"/>
      <c r="PCC1" s="22"/>
      <c r="PCD1" s="22"/>
      <c r="PCE1" s="22"/>
      <c r="PCF1" s="22"/>
      <c r="PCG1" s="22"/>
      <c r="PCH1" s="22"/>
      <c r="PCI1" s="22"/>
      <c r="PCJ1" s="22"/>
      <c r="PCK1" s="22"/>
      <c r="PCL1" s="22"/>
      <c r="PCM1" s="22"/>
      <c r="PCN1" s="22"/>
      <c r="PCO1" s="22"/>
      <c r="PCP1" s="22"/>
      <c r="PCQ1" s="22"/>
      <c r="PCR1" s="22"/>
      <c r="PCS1" s="22"/>
      <c r="PCT1" s="22"/>
      <c r="PCU1" s="22"/>
      <c r="PCV1" s="22"/>
      <c r="PCW1" s="22"/>
      <c r="PCX1" s="22"/>
      <c r="PCY1" s="22"/>
      <c r="PCZ1" s="22"/>
      <c r="PDA1" s="22"/>
      <c r="PDB1" s="22"/>
      <c r="PDC1" s="22"/>
      <c r="PDD1" s="22"/>
      <c r="PDE1" s="22"/>
      <c r="PDF1" s="22"/>
      <c r="PDG1" s="22"/>
      <c r="PDH1" s="22"/>
      <c r="PDI1" s="22"/>
      <c r="PDJ1" s="22"/>
      <c r="PDK1" s="22"/>
      <c r="PDL1" s="22"/>
      <c r="PDM1" s="22"/>
      <c r="PDN1" s="22"/>
      <c r="PDO1" s="22"/>
      <c r="PDP1" s="22"/>
      <c r="PDQ1" s="22"/>
      <c r="PDR1" s="22"/>
      <c r="PDS1" s="22"/>
      <c r="PDT1" s="22"/>
      <c r="PDU1" s="22"/>
      <c r="PDV1" s="22"/>
      <c r="PDW1" s="22"/>
      <c r="PDX1" s="22"/>
      <c r="PDY1" s="22"/>
      <c r="PDZ1" s="22"/>
      <c r="PEA1" s="22"/>
      <c r="PEB1" s="22"/>
      <c r="PEC1" s="22"/>
      <c r="PED1" s="22"/>
      <c r="PEE1" s="22"/>
      <c r="PEF1" s="22"/>
      <c r="PEG1" s="22"/>
      <c r="PEH1" s="22"/>
      <c r="PEI1" s="22"/>
      <c r="PEJ1" s="22"/>
      <c r="PEK1" s="22"/>
      <c r="PEL1" s="22"/>
      <c r="PEM1" s="22"/>
      <c r="PEN1" s="22"/>
      <c r="PEO1" s="22"/>
      <c r="PEP1" s="22"/>
      <c r="PEQ1" s="22"/>
      <c r="PER1" s="22"/>
      <c r="PES1" s="22"/>
      <c r="PET1" s="22"/>
      <c r="PEU1" s="22"/>
      <c r="PEV1" s="22"/>
      <c r="PEW1" s="22"/>
      <c r="PEX1" s="22"/>
      <c r="PEY1" s="22"/>
      <c r="PEZ1" s="22"/>
      <c r="PFA1" s="22"/>
      <c r="PFB1" s="22"/>
      <c r="PFC1" s="22"/>
      <c r="PFD1" s="22"/>
      <c r="PFE1" s="22"/>
      <c r="PFF1" s="22"/>
      <c r="PFG1" s="22"/>
      <c r="PFH1" s="22"/>
      <c r="PFI1" s="22"/>
      <c r="PFJ1" s="22"/>
      <c r="PFK1" s="22"/>
      <c r="PFL1" s="22"/>
      <c r="PFM1" s="22"/>
      <c r="PFN1" s="22"/>
      <c r="PFO1" s="22"/>
      <c r="PFP1" s="22"/>
      <c r="PFQ1" s="22"/>
      <c r="PFR1" s="22"/>
      <c r="PFS1" s="22"/>
      <c r="PFT1" s="22"/>
      <c r="PFU1" s="22"/>
      <c r="PFV1" s="22"/>
      <c r="PFW1" s="22"/>
      <c r="PFX1" s="22"/>
      <c r="PFY1" s="22"/>
      <c r="PFZ1" s="22"/>
      <c r="PGA1" s="22"/>
      <c r="PGB1" s="22"/>
      <c r="PGC1" s="22"/>
      <c r="PGD1" s="22"/>
      <c r="PGE1" s="22"/>
      <c r="PGF1" s="22"/>
      <c r="PGG1" s="22"/>
      <c r="PGH1" s="22"/>
      <c r="PGI1" s="22"/>
      <c r="PGJ1" s="22"/>
      <c r="PGK1" s="22"/>
      <c r="PGL1" s="22"/>
      <c r="PGM1" s="22"/>
      <c r="PGN1" s="22"/>
      <c r="PGO1" s="22"/>
      <c r="PGP1" s="22"/>
      <c r="PGQ1" s="22"/>
      <c r="PGR1" s="22"/>
      <c r="PGS1" s="22"/>
      <c r="PGT1" s="22"/>
      <c r="PGU1" s="22"/>
      <c r="PGV1" s="22"/>
      <c r="PGW1" s="22"/>
      <c r="PGX1" s="22"/>
      <c r="PGY1" s="22"/>
      <c r="PGZ1" s="22"/>
      <c r="PHA1" s="22"/>
      <c r="PHB1" s="22"/>
      <c r="PHC1" s="22"/>
      <c r="PHD1" s="22"/>
      <c r="PHE1" s="22"/>
      <c r="PHF1" s="22"/>
      <c r="PHG1" s="22"/>
      <c r="PHH1" s="22"/>
      <c r="PHI1" s="22"/>
      <c r="PHJ1" s="22"/>
      <c r="PHK1" s="22"/>
      <c r="PHL1" s="22"/>
      <c r="PHM1" s="22"/>
      <c r="PHN1" s="22"/>
      <c r="PHO1" s="22"/>
      <c r="PHP1" s="22"/>
      <c r="PHQ1" s="22"/>
      <c r="PHR1" s="22"/>
      <c r="PHS1" s="22"/>
      <c r="PHT1" s="22"/>
      <c r="PHU1" s="22"/>
      <c r="PHV1" s="22"/>
      <c r="PHW1" s="22"/>
      <c r="PHX1" s="22"/>
      <c r="PHY1" s="22"/>
      <c r="PHZ1" s="22"/>
      <c r="PIA1" s="22"/>
      <c r="PIB1" s="22"/>
      <c r="PIC1" s="22"/>
      <c r="PID1" s="22"/>
      <c r="PIE1" s="22"/>
      <c r="PIF1" s="22"/>
      <c r="PIG1" s="22"/>
      <c r="PIH1" s="22"/>
      <c r="PII1" s="22"/>
      <c r="PIJ1" s="22"/>
      <c r="PIK1" s="22"/>
      <c r="PIL1" s="22"/>
      <c r="PIM1" s="22"/>
      <c r="PIN1" s="22"/>
      <c r="PIO1" s="22"/>
      <c r="PIP1" s="22"/>
      <c r="PIQ1" s="22"/>
      <c r="PIR1" s="22"/>
      <c r="PIS1" s="22"/>
      <c r="PIT1" s="22"/>
      <c r="PIU1" s="22"/>
      <c r="PIV1" s="22"/>
      <c r="PIW1" s="22"/>
      <c r="PIX1" s="22"/>
      <c r="PIY1" s="22"/>
      <c r="PIZ1" s="22"/>
      <c r="PJA1" s="22"/>
      <c r="PJB1" s="22"/>
      <c r="PJC1" s="22"/>
      <c r="PJD1" s="22"/>
      <c r="PJE1" s="22"/>
      <c r="PJF1" s="22"/>
      <c r="PJG1" s="22"/>
      <c r="PJH1" s="22"/>
      <c r="PJI1" s="22"/>
      <c r="PJJ1" s="22"/>
      <c r="PJK1" s="22"/>
      <c r="PJL1" s="22"/>
      <c r="PJM1" s="22"/>
      <c r="PJN1" s="22"/>
      <c r="PJO1" s="22"/>
      <c r="PJP1" s="22"/>
      <c r="PJQ1" s="22"/>
      <c r="PJR1" s="22"/>
      <c r="PJS1" s="22"/>
      <c r="PJT1" s="22"/>
      <c r="PJU1" s="22"/>
      <c r="PJV1" s="22"/>
      <c r="PJW1" s="22"/>
      <c r="PJX1" s="22"/>
      <c r="PJY1" s="22"/>
      <c r="PJZ1" s="22"/>
      <c r="PKA1" s="22"/>
      <c r="PKB1" s="22"/>
      <c r="PKC1" s="22"/>
      <c r="PKD1" s="22"/>
      <c r="PKE1" s="22"/>
      <c r="PKF1" s="22"/>
      <c r="PKG1" s="22"/>
      <c r="PKH1" s="22"/>
      <c r="PKI1" s="22"/>
      <c r="PKJ1" s="22"/>
      <c r="PKK1" s="22"/>
      <c r="PKL1" s="22"/>
      <c r="PKM1" s="22"/>
      <c r="PKN1" s="22"/>
      <c r="PKO1" s="22"/>
      <c r="PKP1" s="22"/>
      <c r="PKQ1" s="22"/>
      <c r="PKR1" s="22"/>
      <c r="PKS1" s="22"/>
      <c r="PKT1" s="22"/>
      <c r="PKU1" s="22"/>
      <c r="PKV1" s="22"/>
      <c r="PKW1" s="22"/>
      <c r="PKX1" s="22"/>
      <c r="PKY1" s="22"/>
      <c r="PKZ1" s="22"/>
      <c r="PLA1" s="22"/>
      <c r="PLB1" s="22"/>
      <c r="PLC1" s="22"/>
      <c r="PLD1" s="22"/>
      <c r="PLE1" s="22"/>
      <c r="PLF1" s="22"/>
      <c r="PLG1" s="22"/>
      <c r="PLH1" s="22"/>
      <c r="PLI1" s="22"/>
      <c r="PLJ1" s="22"/>
      <c r="PLK1" s="22"/>
      <c r="PLL1" s="22"/>
      <c r="PLM1" s="22"/>
      <c r="PLN1" s="22"/>
      <c r="PLO1" s="22"/>
      <c r="PLP1" s="22"/>
      <c r="PLQ1" s="22"/>
      <c r="PLR1" s="22"/>
      <c r="PLS1" s="22"/>
      <c r="PLT1" s="22"/>
      <c r="PLU1" s="22"/>
      <c r="PLV1" s="22"/>
      <c r="PLW1" s="22"/>
      <c r="PLX1" s="22"/>
      <c r="PLY1" s="22"/>
      <c r="PLZ1" s="22"/>
      <c r="PMA1" s="22"/>
      <c r="PMB1" s="22"/>
      <c r="PMC1" s="22"/>
      <c r="PMD1" s="22"/>
      <c r="PME1" s="22"/>
      <c r="PMF1" s="22"/>
      <c r="PMG1" s="22"/>
      <c r="PMH1" s="22"/>
      <c r="PMI1" s="22"/>
      <c r="PMJ1" s="22"/>
      <c r="PMK1" s="22"/>
      <c r="PML1" s="22"/>
      <c r="PMM1" s="22"/>
      <c r="PMN1" s="22"/>
      <c r="PMO1" s="22"/>
      <c r="PMP1" s="22"/>
      <c r="PMQ1" s="22"/>
      <c r="PMR1" s="22"/>
      <c r="PMS1" s="22"/>
      <c r="PMT1" s="22"/>
      <c r="PMU1" s="22"/>
      <c r="PMV1" s="22"/>
      <c r="PMW1" s="22"/>
      <c r="PMX1" s="22"/>
      <c r="PMY1" s="22"/>
      <c r="PMZ1" s="22"/>
      <c r="PNA1" s="22"/>
      <c r="PNB1" s="22"/>
      <c r="PNC1" s="22"/>
      <c r="PND1" s="22"/>
      <c r="PNE1" s="22"/>
      <c r="PNF1" s="22"/>
      <c r="PNG1" s="22"/>
      <c r="PNH1" s="22"/>
      <c r="PNI1" s="22"/>
      <c r="PNJ1" s="22"/>
      <c r="PNK1" s="22"/>
      <c r="PNL1" s="22"/>
      <c r="PNM1" s="22"/>
      <c r="PNN1" s="22"/>
      <c r="PNO1" s="22"/>
      <c r="PNP1" s="22"/>
      <c r="PNQ1" s="22"/>
      <c r="PNR1" s="22"/>
      <c r="PNS1" s="22"/>
      <c r="PNT1" s="22"/>
      <c r="PNU1" s="22"/>
      <c r="PNV1" s="22"/>
      <c r="PNW1" s="22"/>
      <c r="PNX1" s="22"/>
      <c r="PNY1" s="22"/>
      <c r="PNZ1" s="22"/>
      <c r="POA1" s="22"/>
      <c r="POB1" s="22"/>
      <c r="POC1" s="22"/>
      <c r="POD1" s="22"/>
      <c r="POE1" s="22"/>
      <c r="POF1" s="22"/>
      <c r="POG1" s="22"/>
      <c r="POH1" s="22"/>
      <c r="POI1" s="22"/>
      <c r="POJ1" s="22"/>
      <c r="POK1" s="22"/>
      <c r="POL1" s="22"/>
      <c r="POM1" s="22"/>
      <c r="PON1" s="22"/>
      <c r="POO1" s="22"/>
      <c r="POP1" s="22"/>
      <c r="POQ1" s="22"/>
      <c r="POR1" s="22"/>
      <c r="POS1" s="22"/>
      <c r="POT1" s="22"/>
      <c r="POU1" s="22"/>
      <c r="POV1" s="22"/>
      <c r="POW1" s="22"/>
      <c r="POX1" s="22"/>
      <c r="POY1" s="22"/>
      <c r="POZ1" s="22"/>
      <c r="PPA1" s="22"/>
      <c r="PPB1" s="22"/>
      <c r="PPC1" s="22"/>
      <c r="PPD1" s="22"/>
      <c r="PPE1" s="22"/>
      <c r="PPF1" s="22"/>
      <c r="PPG1" s="22"/>
      <c r="PPH1" s="22"/>
      <c r="PPI1" s="22"/>
      <c r="PPJ1" s="22"/>
      <c r="PPK1" s="22"/>
      <c r="PPL1" s="22"/>
      <c r="PPM1" s="22"/>
      <c r="PPN1" s="22"/>
      <c r="PPO1" s="22"/>
      <c r="PPP1" s="22"/>
      <c r="PPQ1" s="22"/>
      <c r="PPR1" s="22"/>
      <c r="PPS1" s="22"/>
      <c r="PPT1" s="22"/>
      <c r="PPU1" s="22"/>
      <c r="PPV1" s="22"/>
      <c r="PPW1" s="22"/>
      <c r="PPX1" s="22"/>
      <c r="PPY1" s="22"/>
      <c r="PPZ1" s="22"/>
      <c r="PQA1" s="22"/>
      <c r="PQB1" s="22"/>
      <c r="PQC1" s="22"/>
      <c r="PQD1" s="22"/>
      <c r="PQE1" s="22"/>
      <c r="PQF1" s="22"/>
      <c r="PQG1" s="22"/>
      <c r="PQH1" s="22"/>
      <c r="PQI1" s="22"/>
      <c r="PQJ1" s="22"/>
      <c r="PQK1" s="22"/>
      <c r="PQL1" s="22"/>
      <c r="PQM1" s="22"/>
      <c r="PQN1" s="22"/>
      <c r="PQO1" s="22"/>
      <c r="PQP1" s="22"/>
      <c r="PQQ1" s="22"/>
      <c r="PQR1" s="22"/>
      <c r="PQS1" s="22"/>
      <c r="PQT1" s="22"/>
      <c r="PQU1" s="22"/>
      <c r="PQV1" s="22"/>
      <c r="PQW1" s="22"/>
      <c r="PQX1" s="22"/>
      <c r="PQY1" s="22"/>
      <c r="PQZ1" s="22"/>
      <c r="PRA1" s="22"/>
      <c r="PRB1" s="22"/>
      <c r="PRC1" s="22"/>
      <c r="PRD1" s="22"/>
      <c r="PRE1" s="22"/>
      <c r="PRF1" s="22"/>
      <c r="PRG1" s="22"/>
      <c r="PRH1" s="22"/>
      <c r="PRI1" s="22"/>
      <c r="PRJ1" s="22"/>
      <c r="PRK1" s="22"/>
      <c r="PRL1" s="22"/>
      <c r="PRM1" s="22"/>
      <c r="PRN1" s="22"/>
      <c r="PRO1" s="22"/>
      <c r="PRP1" s="22"/>
      <c r="PRQ1" s="22"/>
      <c r="PRR1" s="22"/>
      <c r="PRS1" s="22"/>
      <c r="PRT1" s="22"/>
      <c r="PRU1" s="22"/>
      <c r="PRV1" s="22"/>
      <c r="PRW1" s="22"/>
      <c r="PRX1" s="22"/>
      <c r="PRY1" s="22"/>
      <c r="PRZ1" s="22"/>
      <c r="PSA1" s="22"/>
      <c r="PSB1" s="22"/>
      <c r="PSC1" s="22"/>
      <c r="PSD1" s="22"/>
      <c r="PSE1" s="22"/>
      <c r="PSF1" s="22"/>
      <c r="PSG1" s="22"/>
      <c r="PSH1" s="22"/>
      <c r="PSI1" s="22"/>
      <c r="PSJ1" s="22"/>
      <c r="PSK1" s="22"/>
      <c r="PSL1" s="22"/>
      <c r="PSM1" s="22"/>
      <c r="PSN1" s="22"/>
      <c r="PSO1" s="22"/>
      <c r="PSP1" s="22"/>
      <c r="PSQ1" s="22"/>
      <c r="PSR1" s="22"/>
      <c r="PSS1" s="22"/>
      <c r="PST1" s="22"/>
      <c r="PSU1" s="22"/>
      <c r="PSV1" s="22"/>
      <c r="PSW1" s="22"/>
      <c r="PSX1" s="22"/>
      <c r="PSY1" s="22"/>
      <c r="PSZ1" s="22"/>
      <c r="PTA1" s="22"/>
      <c r="PTB1" s="22"/>
      <c r="PTC1" s="22"/>
      <c r="PTD1" s="22"/>
      <c r="PTE1" s="22"/>
      <c r="PTF1" s="22"/>
      <c r="PTG1" s="22"/>
      <c r="PTH1" s="22"/>
      <c r="PTI1" s="22"/>
      <c r="PTJ1" s="22"/>
      <c r="PTK1" s="22"/>
      <c r="PTL1" s="22"/>
      <c r="PTM1" s="22"/>
      <c r="PTN1" s="22"/>
      <c r="PTO1" s="22"/>
      <c r="PTP1" s="22"/>
      <c r="PTQ1" s="22"/>
      <c r="PTR1" s="22"/>
      <c r="PTS1" s="22"/>
      <c r="PTT1" s="22"/>
      <c r="PTU1" s="22"/>
      <c r="PTV1" s="22"/>
      <c r="PTW1" s="22"/>
      <c r="PTX1" s="22"/>
      <c r="PTY1" s="22"/>
      <c r="PTZ1" s="22"/>
      <c r="PUA1" s="22"/>
      <c r="PUB1" s="22"/>
      <c r="PUC1" s="22"/>
      <c r="PUD1" s="22"/>
      <c r="PUE1" s="22"/>
      <c r="PUF1" s="22"/>
      <c r="PUG1" s="22"/>
      <c r="PUH1" s="22"/>
      <c r="PUI1" s="22"/>
      <c r="PUJ1" s="22"/>
      <c r="PUK1" s="22"/>
      <c r="PUL1" s="22"/>
      <c r="PUM1" s="22"/>
      <c r="PUN1" s="22"/>
      <c r="PUO1" s="22"/>
      <c r="PUP1" s="22"/>
      <c r="PUQ1" s="22"/>
      <c r="PUR1" s="22"/>
      <c r="PUS1" s="22"/>
      <c r="PUT1" s="22"/>
      <c r="PUU1" s="22"/>
      <c r="PUV1" s="22"/>
      <c r="PUW1" s="22"/>
      <c r="PUX1" s="22"/>
      <c r="PUY1" s="22"/>
      <c r="PUZ1" s="22"/>
      <c r="PVA1" s="22"/>
      <c r="PVB1" s="22"/>
      <c r="PVC1" s="22"/>
      <c r="PVD1" s="22"/>
      <c r="PVE1" s="22"/>
      <c r="PVF1" s="22"/>
      <c r="PVG1" s="22"/>
      <c r="PVH1" s="22"/>
      <c r="PVI1" s="22"/>
      <c r="PVJ1" s="22"/>
      <c r="PVK1" s="22"/>
      <c r="PVL1" s="22"/>
      <c r="PVM1" s="22"/>
      <c r="PVN1" s="22"/>
      <c r="PVO1" s="22"/>
      <c r="PVP1" s="22"/>
      <c r="PVQ1" s="22"/>
      <c r="PVR1" s="22"/>
      <c r="PVS1" s="22"/>
      <c r="PVT1" s="22"/>
      <c r="PVU1" s="22"/>
      <c r="PVV1" s="22"/>
      <c r="PVW1" s="22"/>
      <c r="PVX1" s="22"/>
      <c r="PVY1" s="22"/>
      <c r="PVZ1" s="22"/>
      <c r="PWA1" s="22"/>
      <c r="PWB1" s="22"/>
      <c r="PWC1" s="22"/>
      <c r="PWD1" s="22"/>
      <c r="PWE1" s="22"/>
      <c r="PWF1" s="22"/>
      <c r="PWG1" s="22"/>
      <c r="PWH1" s="22"/>
      <c r="PWI1" s="22"/>
      <c r="PWJ1" s="22"/>
      <c r="PWK1" s="22"/>
      <c r="PWL1" s="22"/>
      <c r="PWM1" s="22"/>
      <c r="PWN1" s="22"/>
      <c r="PWO1" s="22"/>
      <c r="PWP1" s="22"/>
      <c r="PWQ1" s="22"/>
      <c r="PWR1" s="22"/>
      <c r="PWS1" s="22"/>
      <c r="PWT1" s="22"/>
      <c r="PWU1" s="22"/>
      <c r="PWV1" s="22"/>
      <c r="PWW1" s="22"/>
      <c r="PWX1" s="22"/>
      <c r="PWY1" s="22"/>
      <c r="PWZ1" s="22"/>
      <c r="PXA1" s="22"/>
      <c r="PXB1" s="22"/>
      <c r="PXC1" s="22"/>
      <c r="PXD1" s="22"/>
      <c r="PXE1" s="22"/>
      <c r="PXF1" s="22"/>
      <c r="PXG1" s="22"/>
      <c r="PXH1" s="22"/>
      <c r="PXI1" s="22"/>
      <c r="PXJ1" s="22"/>
      <c r="PXK1" s="22"/>
      <c r="PXL1" s="22"/>
      <c r="PXM1" s="22"/>
      <c r="PXN1" s="22"/>
      <c r="PXO1" s="22"/>
      <c r="PXP1" s="22"/>
      <c r="PXQ1" s="22"/>
      <c r="PXR1" s="22"/>
      <c r="PXS1" s="22"/>
      <c r="PXT1" s="22"/>
      <c r="PXU1" s="22"/>
      <c r="PXV1" s="22"/>
      <c r="PXW1" s="22"/>
      <c r="PXX1" s="22"/>
      <c r="PXY1" s="22"/>
      <c r="PXZ1" s="22"/>
      <c r="PYA1" s="22"/>
      <c r="PYB1" s="22"/>
      <c r="PYC1" s="22"/>
      <c r="PYD1" s="22"/>
      <c r="PYE1" s="22"/>
      <c r="PYF1" s="22"/>
      <c r="PYG1" s="22"/>
      <c r="PYH1" s="22"/>
      <c r="PYI1" s="22"/>
      <c r="PYJ1" s="22"/>
      <c r="PYK1" s="22"/>
      <c r="PYL1" s="22"/>
      <c r="PYM1" s="22"/>
      <c r="PYN1" s="22"/>
      <c r="PYO1" s="22"/>
      <c r="PYP1" s="22"/>
      <c r="PYQ1" s="22"/>
      <c r="PYR1" s="22"/>
      <c r="PYS1" s="22"/>
      <c r="PYT1" s="22"/>
      <c r="PYU1" s="22"/>
      <c r="PYV1" s="22"/>
      <c r="PYW1" s="22"/>
      <c r="PYX1" s="22"/>
      <c r="PYY1" s="22"/>
      <c r="PYZ1" s="22"/>
      <c r="PZA1" s="22"/>
      <c r="PZB1" s="22"/>
      <c r="PZC1" s="22"/>
      <c r="PZD1" s="22"/>
      <c r="PZE1" s="22"/>
      <c r="PZF1" s="22"/>
      <c r="PZG1" s="22"/>
      <c r="PZH1" s="22"/>
      <c r="PZI1" s="22"/>
      <c r="PZJ1" s="22"/>
      <c r="PZK1" s="22"/>
      <c r="PZL1" s="22"/>
      <c r="PZM1" s="22"/>
      <c r="PZN1" s="22"/>
      <c r="PZO1" s="22"/>
      <c r="PZP1" s="22"/>
      <c r="PZQ1" s="22"/>
      <c r="PZR1" s="22"/>
      <c r="PZS1" s="22"/>
      <c r="PZT1" s="22"/>
      <c r="PZU1" s="22"/>
      <c r="PZV1" s="22"/>
      <c r="PZW1" s="22"/>
      <c r="PZX1" s="22"/>
      <c r="PZY1" s="22"/>
      <c r="PZZ1" s="22"/>
      <c r="QAA1" s="22"/>
      <c r="QAB1" s="22"/>
      <c r="QAC1" s="22"/>
      <c r="QAD1" s="22"/>
      <c r="QAE1" s="22"/>
      <c r="QAF1" s="22"/>
      <c r="QAG1" s="22"/>
      <c r="QAH1" s="22"/>
      <c r="QAI1" s="22"/>
      <c r="QAJ1" s="22"/>
      <c r="QAK1" s="22"/>
      <c r="QAL1" s="22"/>
      <c r="QAM1" s="22"/>
      <c r="QAN1" s="22"/>
      <c r="QAO1" s="22"/>
      <c r="QAP1" s="22"/>
      <c r="QAQ1" s="22"/>
      <c r="QAR1" s="22"/>
      <c r="QAS1" s="22"/>
      <c r="QAT1" s="22"/>
      <c r="QAU1" s="22"/>
      <c r="QAV1" s="22"/>
      <c r="QAW1" s="22"/>
      <c r="QAX1" s="22"/>
      <c r="QAY1" s="22"/>
      <c r="QAZ1" s="22"/>
      <c r="QBA1" s="22"/>
      <c r="QBB1" s="22"/>
      <c r="QBC1" s="22"/>
      <c r="QBD1" s="22"/>
      <c r="QBE1" s="22"/>
      <c r="QBF1" s="22"/>
      <c r="QBG1" s="22"/>
      <c r="QBH1" s="22"/>
      <c r="QBI1" s="22"/>
      <c r="QBJ1" s="22"/>
      <c r="QBK1" s="22"/>
      <c r="QBL1" s="22"/>
      <c r="QBM1" s="22"/>
      <c r="QBN1" s="22"/>
      <c r="QBO1" s="22"/>
      <c r="QBP1" s="22"/>
      <c r="QBQ1" s="22"/>
      <c r="QBR1" s="22"/>
      <c r="QBS1" s="22"/>
      <c r="QBT1" s="22"/>
      <c r="QBU1" s="22"/>
      <c r="QBV1" s="22"/>
      <c r="QBW1" s="22"/>
      <c r="QBX1" s="22"/>
      <c r="QBY1" s="22"/>
      <c r="QBZ1" s="22"/>
      <c r="QCA1" s="22"/>
      <c r="QCB1" s="22"/>
      <c r="QCC1" s="22"/>
      <c r="QCD1" s="22"/>
      <c r="QCE1" s="22"/>
      <c r="QCF1" s="22"/>
      <c r="QCG1" s="22"/>
      <c r="QCH1" s="22"/>
      <c r="QCI1" s="22"/>
      <c r="QCJ1" s="22"/>
      <c r="QCK1" s="22"/>
      <c r="QCL1" s="22"/>
      <c r="QCM1" s="22"/>
      <c r="QCN1" s="22"/>
      <c r="QCO1" s="22"/>
      <c r="QCP1" s="22"/>
      <c r="QCQ1" s="22"/>
      <c r="QCR1" s="22"/>
      <c r="QCS1" s="22"/>
      <c r="QCT1" s="22"/>
      <c r="QCU1" s="22"/>
      <c r="QCV1" s="22"/>
      <c r="QCW1" s="22"/>
      <c r="QCX1" s="22"/>
      <c r="QCY1" s="22"/>
      <c r="QCZ1" s="22"/>
      <c r="QDA1" s="22"/>
      <c r="QDB1" s="22"/>
      <c r="QDC1" s="22"/>
      <c r="QDD1" s="22"/>
      <c r="QDE1" s="22"/>
      <c r="QDF1" s="22"/>
      <c r="QDG1" s="22"/>
      <c r="QDH1" s="22"/>
      <c r="QDI1" s="22"/>
      <c r="QDJ1" s="22"/>
      <c r="QDK1" s="22"/>
      <c r="QDL1" s="22"/>
      <c r="QDM1" s="22"/>
      <c r="QDN1" s="22"/>
      <c r="QDO1" s="22"/>
      <c r="QDP1" s="22"/>
      <c r="QDQ1" s="22"/>
      <c r="QDR1" s="22"/>
      <c r="QDS1" s="22"/>
      <c r="QDT1" s="22"/>
      <c r="QDU1" s="22"/>
      <c r="QDV1" s="22"/>
      <c r="QDW1" s="22"/>
      <c r="QDX1" s="22"/>
      <c r="QDY1" s="22"/>
      <c r="QDZ1" s="22"/>
      <c r="QEA1" s="22"/>
      <c r="QEB1" s="22"/>
      <c r="QEC1" s="22"/>
      <c r="QED1" s="22"/>
      <c r="QEE1" s="22"/>
      <c r="QEF1" s="22"/>
      <c r="QEG1" s="22"/>
      <c r="QEH1" s="22"/>
      <c r="QEI1" s="22"/>
      <c r="QEJ1" s="22"/>
      <c r="QEK1" s="22"/>
      <c r="QEL1" s="22"/>
      <c r="QEM1" s="22"/>
      <c r="QEN1" s="22"/>
      <c r="QEO1" s="22"/>
      <c r="QEP1" s="22"/>
      <c r="QEQ1" s="22"/>
      <c r="QER1" s="22"/>
      <c r="QES1" s="22"/>
      <c r="QET1" s="22"/>
      <c r="QEU1" s="22"/>
      <c r="QEV1" s="22"/>
      <c r="QEW1" s="22"/>
      <c r="QEX1" s="22"/>
      <c r="QEY1" s="22"/>
      <c r="QEZ1" s="22"/>
      <c r="QFA1" s="22"/>
      <c r="QFB1" s="22"/>
      <c r="QFC1" s="22"/>
      <c r="QFD1" s="22"/>
      <c r="QFE1" s="22"/>
      <c r="QFF1" s="22"/>
      <c r="QFG1" s="22"/>
      <c r="QFH1" s="22"/>
      <c r="QFI1" s="22"/>
      <c r="QFJ1" s="22"/>
      <c r="QFK1" s="22"/>
      <c r="QFL1" s="22"/>
      <c r="QFM1" s="22"/>
      <c r="QFN1" s="22"/>
      <c r="QFO1" s="22"/>
      <c r="QFP1" s="22"/>
      <c r="QFQ1" s="22"/>
      <c r="QFR1" s="22"/>
      <c r="QFS1" s="22"/>
      <c r="QFT1" s="22"/>
      <c r="QFU1" s="22"/>
      <c r="QFV1" s="22"/>
      <c r="QFW1" s="22"/>
      <c r="QFX1" s="22"/>
      <c r="QFY1" s="22"/>
      <c r="QFZ1" s="22"/>
      <c r="QGA1" s="22"/>
      <c r="QGB1" s="22"/>
      <c r="QGC1" s="22"/>
      <c r="QGD1" s="22"/>
      <c r="QGE1" s="22"/>
      <c r="QGF1" s="22"/>
      <c r="QGG1" s="22"/>
      <c r="QGH1" s="22"/>
      <c r="QGI1" s="22"/>
      <c r="QGJ1" s="22"/>
      <c r="QGK1" s="22"/>
      <c r="QGL1" s="22"/>
      <c r="QGM1" s="22"/>
      <c r="QGN1" s="22"/>
      <c r="QGO1" s="22"/>
      <c r="QGP1" s="22"/>
      <c r="QGQ1" s="22"/>
      <c r="QGR1" s="22"/>
      <c r="QGS1" s="22"/>
      <c r="QGT1" s="22"/>
      <c r="QGU1" s="22"/>
      <c r="QGV1" s="22"/>
      <c r="QGW1" s="22"/>
      <c r="QGX1" s="22"/>
      <c r="QGY1" s="22"/>
      <c r="QGZ1" s="22"/>
      <c r="QHA1" s="22"/>
      <c r="QHB1" s="22"/>
      <c r="QHC1" s="22"/>
      <c r="QHD1" s="22"/>
      <c r="QHE1" s="22"/>
      <c r="QHF1" s="22"/>
      <c r="QHG1" s="22"/>
      <c r="QHH1" s="22"/>
      <c r="QHI1" s="22"/>
      <c r="QHJ1" s="22"/>
      <c r="QHK1" s="22"/>
      <c r="QHL1" s="22"/>
      <c r="QHM1" s="22"/>
      <c r="QHN1" s="22"/>
      <c r="QHO1" s="22"/>
      <c r="QHP1" s="22"/>
      <c r="QHQ1" s="22"/>
      <c r="QHR1" s="22"/>
      <c r="QHS1" s="22"/>
      <c r="QHT1" s="22"/>
      <c r="QHU1" s="22"/>
      <c r="QHV1" s="22"/>
      <c r="QHW1" s="22"/>
      <c r="QHX1" s="22"/>
      <c r="QHY1" s="22"/>
      <c r="QHZ1" s="22"/>
      <c r="QIA1" s="22"/>
      <c r="QIB1" s="22"/>
      <c r="QIC1" s="22"/>
      <c r="QID1" s="22"/>
      <c r="QIE1" s="22"/>
      <c r="QIF1" s="22"/>
      <c r="QIG1" s="22"/>
      <c r="QIH1" s="22"/>
      <c r="QII1" s="22"/>
      <c r="QIJ1" s="22"/>
      <c r="QIK1" s="22"/>
      <c r="QIL1" s="22"/>
      <c r="QIM1" s="22"/>
      <c r="QIN1" s="22"/>
      <c r="QIO1" s="22"/>
      <c r="QIP1" s="22"/>
      <c r="QIQ1" s="22"/>
      <c r="QIR1" s="22"/>
      <c r="QIS1" s="22"/>
      <c r="QIT1" s="22"/>
      <c r="QIU1" s="22"/>
      <c r="QIV1" s="22"/>
      <c r="QIW1" s="22"/>
      <c r="QIX1" s="22"/>
      <c r="QIY1" s="22"/>
      <c r="QIZ1" s="22"/>
      <c r="QJA1" s="22"/>
      <c r="QJB1" s="22"/>
      <c r="QJC1" s="22"/>
      <c r="QJD1" s="22"/>
      <c r="QJE1" s="22"/>
      <c r="QJF1" s="22"/>
      <c r="QJG1" s="22"/>
      <c r="QJH1" s="22"/>
      <c r="QJI1" s="22"/>
      <c r="QJJ1" s="22"/>
      <c r="QJK1" s="22"/>
      <c r="QJL1" s="22"/>
      <c r="QJM1" s="22"/>
      <c r="QJN1" s="22"/>
      <c r="QJO1" s="22"/>
      <c r="QJP1" s="22"/>
      <c r="QJQ1" s="22"/>
      <c r="QJR1" s="22"/>
      <c r="QJS1" s="22"/>
      <c r="QJT1" s="22"/>
      <c r="QJU1" s="22"/>
      <c r="QJV1" s="22"/>
      <c r="QJW1" s="22"/>
      <c r="QJX1" s="22"/>
      <c r="QJY1" s="22"/>
      <c r="QJZ1" s="22"/>
      <c r="QKA1" s="22"/>
      <c r="QKB1" s="22"/>
      <c r="QKC1" s="22"/>
      <c r="QKD1" s="22"/>
      <c r="QKE1" s="22"/>
      <c r="QKF1" s="22"/>
      <c r="QKG1" s="22"/>
      <c r="QKH1" s="22"/>
      <c r="QKI1" s="22"/>
      <c r="QKJ1" s="22"/>
      <c r="QKK1" s="22"/>
      <c r="QKL1" s="22"/>
      <c r="QKM1" s="22"/>
      <c r="QKN1" s="22"/>
      <c r="QKO1" s="22"/>
      <c r="QKP1" s="22"/>
      <c r="QKQ1" s="22"/>
      <c r="QKR1" s="22"/>
      <c r="QKS1" s="22"/>
      <c r="QKT1" s="22"/>
      <c r="QKU1" s="22"/>
      <c r="QKV1" s="22"/>
      <c r="QKW1" s="22"/>
      <c r="QKX1" s="22"/>
      <c r="QKY1" s="22"/>
      <c r="QKZ1" s="22"/>
      <c r="QLA1" s="22"/>
      <c r="QLB1" s="22"/>
      <c r="QLC1" s="22"/>
      <c r="QLD1" s="22"/>
      <c r="QLE1" s="22"/>
      <c r="QLF1" s="22"/>
      <c r="QLG1" s="22"/>
      <c r="QLH1" s="22"/>
      <c r="QLI1" s="22"/>
      <c r="QLJ1" s="22"/>
      <c r="QLK1" s="22"/>
      <c r="QLL1" s="22"/>
      <c r="QLM1" s="22"/>
      <c r="QLN1" s="22"/>
      <c r="QLO1" s="22"/>
      <c r="QLP1" s="22"/>
      <c r="QLQ1" s="22"/>
      <c r="QLR1" s="22"/>
      <c r="QLS1" s="22"/>
      <c r="QLT1" s="22"/>
      <c r="QLU1" s="22"/>
      <c r="QLV1" s="22"/>
      <c r="QLW1" s="22"/>
      <c r="QLX1" s="22"/>
      <c r="QLY1" s="22"/>
      <c r="QLZ1" s="22"/>
      <c r="QMA1" s="22"/>
      <c r="QMB1" s="22"/>
      <c r="QMC1" s="22"/>
      <c r="QMD1" s="22"/>
      <c r="QME1" s="22"/>
      <c r="QMF1" s="22"/>
      <c r="QMG1" s="22"/>
      <c r="QMH1" s="22"/>
      <c r="QMI1" s="22"/>
      <c r="QMJ1" s="22"/>
      <c r="QMK1" s="22"/>
      <c r="QML1" s="22"/>
      <c r="QMM1" s="22"/>
      <c r="QMN1" s="22"/>
      <c r="QMO1" s="22"/>
      <c r="QMP1" s="22"/>
      <c r="QMQ1" s="22"/>
      <c r="QMR1" s="22"/>
      <c r="QMS1" s="22"/>
      <c r="QMT1" s="22"/>
      <c r="QMU1" s="22"/>
      <c r="QMV1" s="22"/>
      <c r="QMW1" s="22"/>
      <c r="QMX1" s="22"/>
      <c r="QMY1" s="22"/>
      <c r="QMZ1" s="22"/>
      <c r="QNA1" s="22"/>
      <c r="QNB1" s="22"/>
      <c r="QNC1" s="22"/>
      <c r="QND1" s="22"/>
      <c r="QNE1" s="22"/>
      <c r="QNF1" s="22"/>
      <c r="QNG1" s="22"/>
      <c r="QNH1" s="22"/>
      <c r="QNI1" s="22"/>
      <c r="QNJ1" s="22"/>
      <c r="QNK1" s="22"/>
      <c r="QNL1" s="22"/>
      <c r="QNM1" s="22"/>
      <c r="QNN1" s="22"/>
      <c r="QNO1" s="22"/>
      <c r="QNP1" s="22"/>
      <c r="QNQ1" s="22"/>
      <c r="QNR1" s="22"/>
      <c r="QNS1" s="22"/>
      <c r="QNT1" s="22"/>
      <c r="QNU1" s="22"/>
      <c r="QNV1" s="22"/>
      <c r="QNW1" s="22"/>
      <c r="QNX1" s="22"/>
      <c r="QNY1" s="22"/>
      <c r="QNZ1" s="22"/>
      <c r="QOA1" s="22"/>
      <c r="QOB1" s="22"/>
      <c r="QOC1" s="22"/>
      <c r="QOD1" s="22"/>
      <c r="QOE1" s="22"/>
      <c r="QOF1" s="22"/>
      <c r="QOG1" s="22"/>
      <c r="QOH1" s="22"/>
      <c r="QOI1" s="22"/>
      <c r="QOJ1" s="22"/>
      <c r="QOK1" s="22"/>
      <c r="QOL1" s="22"/>
      <c r="QOM1" s="22"/>
      <c r="QON1" s="22"/>
      <c r="QOO1" s="22"/>
      <c r="QOP1" s="22"/>
      <c r="QOQ1" s="22"/>
      <c r="QOR1" s="22"/>
      <c r="QOS1" s="22"/>
      <c r="QOT1" s="22"/>
      <c r="QOU1" s="22"/>
      <c r="QOV1" s="22"/>
      <c r="QOW1" s="22"/>
      <c r="QOX1" s="22"/>
      <c r="QOY1" s="22"/>
      <c r="QOZ1" s="22"/>
      <c r="QPA1" s="22"/>
      <c r="QPB1" s="22"/>
      <c r="QPC1" s="22"/>
      <c r="QPD1" s="22"/>
      <c r="QPE1" s="22"/>
      <c r="QPF1" s="22"/>
      <c r="QPG1" s="22"/>
      <c r="QPH1" s="22"/>
      <c r="QPI1" s="22"/>
      <c r="QPJ1" s="22"/>
      <c r="QPK1" s="22"/>
      <c r="QPL1" s="22"/>
      <c r="QPM1" s="22"/>
      <c r="QPN1" s="22"/>
      <c r="QPO1" s="22"/>
      <c r="QPP1" s="22"/>
      <c r="QPQ1" s="22"/>
      <c r="QPR1" s="22"/>
      <c r="QPS1" s="22"/>
      <c r="QPT1" s="22"/>
      <c r="QPU1" s="22"/>
      <c r="QPV1" s="22"/>
      <c r="QPW1" s="22"/>
      <c r="QPX1" s="22"/>
      <c r="QPY1" s="22"/>
      <c r="QPZ1" s="22"/>
      <c r="QQA1" s="22"/>
      <c r="QQB1" s="22"/>
      <c r="QQC1" s="22"/>
      <c r="QQD1" s="22"/>
      <c r="QQE1" s="22"/>
      <c r="QQF1" s="22"/>
      <c r="QQG1" s="22"/>
      <c r="QQH1" s="22"/>
      <c r="QQI1" s="22"/>
      <c r="QQJ1" s="22"/>
      <c r="QQK1" s="22"/>
      <c r="QQL1" s="22"/>
      <c r="QQM1" s="22"/>
      <c r="QQN1" s="22"/>
      <c r="QQO1" s="22"/>
      <c r="QQP1" s="22"/>
      <c r="QQQ1" s="22"/>
      <c r="QQR1" s="22"/>
      <c r="QQS1" s="22"/>
      <c r="QQT1" s="22"/>
      <c r="QQU1" s="22"/>
      <c r="QQV1" s="22"/>
      <c r="QQW1" s="22"/>
      <c r="QQX1" s="22"/>
      <c r="QQY1" s="22"/>
      <c r="QQZ1" s="22"/>
      <c r="QRA1" s="22"/>
      <c r="QRB1" s="22"/>
      <c r="QRC1" s="22"/>
      <c r="QRD1" s="22"/>
      <c r="QRE1" s="22"/>
      <c r="QRF1" s="22"/>
      <c r="QRG1" s="22"/>
      <c r="QRH1" s="22"/>
      <c r="QRI1" s="22"/>
      <c r="QRJ1" s="22"/>
      <c r="QRK1" s="22"/>
      <c r="QRL1" s="22"/>
      <c r="QRM1" s="22"/>
      <c r="QRN1" s="22"/>
      <c r="QRO1" s="22"/>
      <c r="QRP1" s="22"/>
      <c r="QRQ1" s="22"/>
      <c r="QRR1" s="22"/>
      <c r="QRS1" s="22"/>
      <c r="QRT1" s="22"/>
      <c r="QRU1" s="22"/>
      <c r="QRV1" s="22"/>
      <c r="QRW1" s="22"/>
      <c r="QRX1" s="22"/>
      <c r="QRY1" s="22"/>
      <c r="QRZ1" s="22"/>
      <c r="QSA1" s="22"/>
      <c r="QSB1" s="22"/>
      <c r="QSC1" s="22"/>
      <c r="QSD1" s="22"/>
      <c r="QSE1" s="22"/>
      <c r="QSF1" s="22"/>
      <c r="QSG1" s="22"/>
      <c r="QSH1" s="22"/>
      <c r="QSI1" s="22"/>
      <c r="QSJ1" s="22"/>
      <c r="QSK1" s="22"/>
      <c r="QSL1" s="22"/>
      <c r="QSM1" s="22"/>
      <c r="QSN1" s="22"/>
      <c r="QSO1" s="22"/>
      <c r="QSP1" s="22"/>
      <c r="QSQ1" s="22"/>
      <c r="QSR1" s="22"/>
      <c r="QSS1" s="22"/>
      <c r="QST1" s="22"/>
      <c r="QSU1" s="22"/>
      <c r="QSV1" s="22"/>
      <c r="QSW1" s="22"/>
      <c r="QSX1" s="22"/>
      <c r="QSY1" s="22"/>
      <c r="QSZ1" s="22"/>
      <c r="QTA1" s="22"/>
      <c r="QTB1" s="22"/>
      <c r="QTC1" s="22"/>
      <c r="QTD1" s="22"/>
      <c r="QTE1" s="22"/>
      <c r="QTF1" s="22"/>
      <c r="QTG1" s="22"/>
      <c r="QTH1" s="22"/>
      <c r="QTI1" s="22"/>
      <c r="QTJ1" s="22"/>
      <c r="QTK1" s="22"/>
      <c r="QTL1" s="22"/>
      <c r="QTM1" s="22"/>
      <c r="QTN1" s="22"/>
      <c r="QTO1" s="22"/>
      <c r="QTP1" s="22"/>
      <c r="QTQ1" s="22"/>
      <c r="QTR1" s="22"/>
      <c r="QTS1" s="22"/>
      <c r="QTT1" s="22"/>
      <c r="QTU1" s="22"/>
      <c r="QTV1" s="22"/>
      <c r="QTW1" s="22"/>
      <c r="QTX1" s="22"/>
      <c r="QTY1" s="22"/>
      <c r="QTZ1" s="22"/>
      <c r="QUA1" s="22"/>
      <c r="QUB1" s="22"/>
      <c r="QUC1" s="22"/>
      <c r="QUD1" s="22"/>
      <c r="QUE1" s="22"/>
      <c r="QUF1" s="22"/>
      <c r="QUG1" s="22"/>
      <c r="QUH1" s="22"/>
      <c r="QUI1" s="22"/>
      <c r="QUJ1" s="22"/>
      <c r="QUK1" s="22"/>
      <c r="QUL1" s="22"/>
      <c r="QUM1" s="22"/>
      <c r="QUN1" s="22"/>
      <c r="QUO1" s="22"/>
      <c r="QUP1" s="22"/>
      <c r="QUQ1" s="22"/>
      <c r="QUR1" s="22"/>
      <c r="QUS1" s="22"/>
      <c r="QUT1" s="22"/>
      <c r="QUU1" s="22"/>
      <c r="QUV1" s="22"/>
      <c r="QUW1" s="22"/>
      <c r="QUX1" s="22"/>
      <c r="QUY1" s="22"/>
      <c r="QUZ1" s="22"/>
      <c r="QVA1" s="22"/>
      <c r="QVB1" s="22"/>
      <c r="QVC1" s="22"/>
      <c r="QVD1" s="22"/>
      <c r="QVE1" s="22"/>
      <c r="QVF1" s="22"/>
      <c r="QVG1" s="22"/>
      <c r="QVH1" s="22"/>
      <c r="QVI1" s="22"/>
      <c r="QVJ1" s="22"/>
      <c r="QVK1" s="22"/>
      <c r="QVL1" s="22"/>
      <c r="QVM1" s="22"/>
      <c r="QVN1" s="22"/>
      <c r="QVO1" s="22"/>
      <c r="QVP1" s="22"/>
      <c r="QVQ1" s="22"/>
      <c r="QVR1" s="22"/>
      <c r="QVS1" s="22"/>
      <c r="QVT1" s="22"/>
      <c r="QVU1" s="22"/>
      <c r="QVV1" s="22"/>
      <c r="QVW1" s="22"/>
      <c r="QVX1" s="22"/>
      <c r="QVY1" s="22"/>
      <c r="QVZ1" s="22"/>
      <c r="QWA1" s="22"/>
      <c r="QWB1" s="22"/>
      <c r="QWC1" s="22"/>
      <c r="QWD1" s="22"/>
      <c r="QWE1" s="22"/>
      <c r="QWF1" s="22"/>
      <c r="QWG1" s="22"/>
      <c r="QWH1" s="22"/>
      <c r="QWI1" s="22"/>
      <c r="QWJ1" s="22"/>
      <c r="QWK1" s="22"/>
      <c r="QWL1" s="22"/>
      <c r="QWM1" s="22"/>
      <c r="QWN1" s="22"/>
      <c r="QWO1" s="22"/>
      <c r="QWP1" s="22"/>
      <c r="QWQ1" s="22"/>
      <c r="QWR1" s="22"/>
      <c r="QWS1" s="22"/>
      <c r="QWT1" s="22"/>
      <c r="QWU1" s="22"/>
      <c r="QWV1" s="22"/>
      <c r="QWW1" s="22"/>
      <c r="QWX1" s="22"/>
      <c r="QWY1" s="22"/>
      <c r="QWZ1" s="22"/>
      <c r="QXA1" s="22"/>
      <c r="QXB1" s="22"/>
      <c r="QXC1" s="22"/>
      <c r="QXD1" s="22"/>
      <c r="QXE1" s="22"/>
      <c r="QXF1" s="22"/>
      <c r="QXG1" s="22"/>
      <c r="QXH1" s="22"/>
      <c r="QXI1" s="22"/>
      <c r="QXJ1" s="22"/>
      <c r="QXK1" s="22"/>
      <c r="QXL1" s="22"/>
      <c r="QXM1" s="22"/>
      <c r="QXN1" s="22"/>
      <c r="QXO1" s="22"/>
      <c r="QXP1" s="22"/>
      <c r="QXQ1" s="22"/>
      <c r="QXR1" s="22"/>
      <c r="QXS1" s="22"/>
      <c r="QXT1" s="22"/>
      <c r="QXU1" s="22"/>
      <c r="QXV1" s="22"/>
      <c r="QXW1" s="22"/>
      <c r="QXX1" s="22"/>
      <c r="QXY1" s="22"/>
      <c r="QXZ1" s="22"/>
      <c r="QYA1" s="22"/>
      <c r="QYB1" s="22"/>
      <c r="QYC1" s="22"/>
      <c r="QYD1" s="22"/>
      <c r="QYE1" s="22"/>
      <c r="QYF1" s="22"/>
      <c r="QYG1" s="22"/>
      <c r="QYH1" s="22"/>
      <c r="QYI1" s="22"/>
      <c r="QYJ1" s="22"/>
      <c r="QYK1" s="22"/>
      <c r="QYL1" s="22"/>
      <c r="QYM1" s="22"/>
      <c r="QYN1" s="22"/>
      <c r="QYO1" s="22"/>
      <c r="QYP1" s="22"/>
      <c r="QYQ1" s="22"/>
      <c r="QYR1" s="22"/>
      <c r="QYS1" s="22"/>
      <c r="QYT1" s="22"/>
      <c r="QYU1" s="22"/>
      <c r="QYV1" s="22"/>
      <c r="QYW1" s="22"/>
      <c r="QYX1" s="22"/>
      <c r="QYY1" s="22"/>
      <c r="QYZ1" s="22"/>
      <c r="QZA1" s="22"/>
      <c r="QZB1" s="22"/>
      <c r="QZC1" s="22"/>
      <c r="QZD1" s="22"/>
      <c r="QZE1" s="22"/>
      <c r="QZF1" s="22"/>
      <c r="QZG1" s="22"/>
      <c r="QZH1" s="22"/>
      <c r="QZI1" s="22"/>
      <c r="QZJ1" s="22"/>
      <c r="QZK1" s="22"/>
      <c r="QZL1" s="22"/>
      <c r="QZM1" s="22"/>
      <c r="QZN1" s="22"/>
      <c r="QZO1" s="22"/>
      <c r="QZP1" s="22"/>
      <c r="QZQ1" s="22"/>
      <c r="QZR1" s="22"/>
      <c r="QZS1" s="22"/>
      <c r="QZT1" s="22"/>
      <c r="QZU1" s="22"/>
      <c r="QZV1" s="22"/>
      <c r="QZW1" s="22"/>
      <c r="QZX1" s="22"/>
      <c r="QZY1" s="22"/>
      <c r="QZZ1" s="22"/>
      <c r="RAA1" s="22"/>
      <c r="RAB1" s="22"/>
      <c r="RAC1" s="22"/>
      <c r="RAD1" s="22"/>
      <c r="RAE1" s="22"/>
      <c r="RAF1" s="22"/>
      <c r="RAG1" s="22"/>
      <c r="RAH1" s="22"/>
      <c r="RAI1" s="22"/>
      <c r="RAJ1" s="22"/>
      <c r="RAK1" s="22"/>
      <c r="RAL1" s="22"/>
      <c r="RAM1" s="22"/>
      <c r="RAN1" s="22"/>
      <c r="RAO1" s="22"/>
      <c r="RAP1" s="22"/>
      <c r="RAQ1" s="22"/>
      <c r="RAR1" s="22"/>
      <c r="RAS1" s="22"/>
      <c r="RAT1" s="22"/>
      <c r="RAU1" s="22"/>
      <c r="RAV1" s="22"/>
      <c r="RAW1" s="22"/>
      <c r="RAX1" s="22"/>
      <c r="RAY1" s="22"/>
      <c r="RAZ1" s="22"/>
      <c r="RBA1" s="22"/>
      <c r="RBB1" s="22"/>
      <c r="RBC1" s="22"/>
      <c r="RBD1" s="22"/>
      <c r="RBE1" s="22"/>
      <c r="RBF1" s="22"/>
      <c r="RBG1" s="22"/>
      <c r="RBH1" s="22"/>
      <c r="RBI1" s="22"/>
      <c r="RBJ1" s="22"/>
      <c r="RBK1" s="22"/>
      <c r="RBL1" s="22"/>
      <c r="RBM1" s="22"/>
      <c r="RBN1" s="22"/>
      <c r="RBO1" s="22"/>
      <c r="RBP1" s="22"/>
      <c r="RBQ1" s="22"/>
      <c r="RBR1" s="22"/>
      <c r="RBS1" s="22"/>
      <c r="RBT1" s="22"/>
      <c r="RBU1" s="22"/>
      <c r="RBV1" s="22"/>
      <c r="RBW1" s="22"/>
      <c r="RBX1" s="22"/>
      <c r="RBY1" s="22"/>
      <c r="RBZ1" s="22"/>
      <c r="RCA1" s="22"/>
      <c r="RCB1" s="22"/>
      <c r="RCC1" s="22"/>
      <c r="RCD1" s="22"/>
      <c r="RCE1" s="22"/>
      <c r="RCF1" s="22"/>
      <c r="RCG1" s="22"/>
      <c r="RCH1" s="22"/>
      <c r="RCI1" s="22"/>
      <c r="RCJ1" s="22"/>
      <c r="RCK1" s="22"/>
      <c r="RCL1" s="22"/>
      <c r="RCM1" s="22"/>
      <c r="RCN1" s="22"/>
      <c r="RCO1" s="22"/>
      <c r="RCP1" s="22"/>
      <c r="RCQ1" s="22"/>
      <c r="RCR1" s="22"/>
      <c r="RCS1" s="22"/>
      <c r="RCT1" s="22"/>
      <c r="RCU1" s="22"/>
      <c r="RCV1" s="22"/>
      <c r="RCW1" s="22"/>
      <c r="RCX1" s="22"/>
      <c r="RCY1" s="22"/>
      <c r="RCZ1" s="22"/>
      <c r="RDA1" s="22"/>
      <c r="RDB1" s="22"/>
      <c r="RDC1" s="22"/>
      <c r="RDD1" s="22"/>
      <c r="RDE1" s="22"/>
      <c r="RDF1" s="22"/>
      <c r="RDG1" s="22"/>
      <c r="RDH1" s="22"/>
      <c r="RDI1" s="22"/>
      <c r="RDJ1" s="22"/>
      <c r="RDK1" s="22"/>
      <c r="RDL1" s="22"/>
      <c r="RDM1" s="22"/>
      <c r="RDN1" s="22"/>
      <c r="RDO1" s="22"/>
      <c r="RDP1" s="22"/>
      <c r="RDQ1" s="22"/>
      <c r="RDR1" s="22"/>
      <c r="RDS1" s="22"/>
      <c r="RDT1" s="22"/>
      <c r="RDU1" s="22"/>
      <c r="RDV1" s="22"/>
      <c r="RDW1" s="22"/>
      <c r="RDX1" s="22"/>
      <c r="RDY1" s="22"/>
      <c r="RDZ1" s="22"/>
      <c r="REA1" s="22"/>
      <c r="REB1" s="22"/>
      <c r="REC1" s="22"/>
      <c r="RED1" s="22"/>
      <c r="REE1" s="22"/>
      <c r="REF1" s="22"/>
      <c r="REG1" s="22"/>
      <c r="REH1" s="22"/>
      <c r="REI1" s="22"/>
      <c r="REJ1" s="22"/>
      <c r="REK1" s="22"/>
      <c r="REL1" s="22"/>
      <c r="REM1" s="22"/>
      <c r="REN1" s="22"/>
      <c r="REO1" s="22"/>
      <c r="REP1" s="22"/>
      <c r="REQ1" s="22"/>
      <c r="RER1" s="22"/>
      <c r="RES1" s="22"/>
      <c r="RET1" s="22"/>
      <c r="REU1" s="22"/>
      <c r="REV1" s="22"/>
      <c r="REW1" s="22"/>
      <c r="REX1" s="22"/>
      <c r="REY1" s="22"/>
      <c r="REZ1" s="22"/>
      <c r="RFA1" s="22"/>
      <c r="RFB1" s="22"/>
      <c r="RFC1" s="22"/>
      <c r="RFD1" s="22"/>
      <c r="RFE1" s="22"/>
      <c r="RFF1" s="22"/>
      <c r="RFG1" s="22"/>
      <c r="RFH1" s="22"/>
      <c r="RFI1" s="22"/>
      <c r="RFJ1" s="22"/>
      <c r="RFK1" s="22"/>
      <c r="RFL1" s="22"/>
      <c r="RFM1" s="22"/>
      <c r="RFN1" s="22"/>
      <c r="RFO1" s="22"/>
      <c r="RFP1" s="22"/>
      <c r="RFQ1" s="22"/>
      <c r="RFR1" s="22"/>
      <c r="RFS1" s="22"/>
      <c r="RFT1" s="22"/>
      <c r="RFU1" s="22"/>
      <c r="RFV1" s="22"/>
      <c r="RFW1" s="22"/>
      <c r="RFX1" s="22"/>
      <c r="RFY1" s="22"/>
      <c r="RFZ1" s="22"/>
      <c r="RGA1" s="22"/>
      <c r="RGB1" s="22"/>
      <c r="RGC1" s="22"/>
      <c r="RGD1" s="22"/>
      <c r="RGE1" s="22"/>
      <c r="RGF1" s="22"/>
      <c r="RGG1" s="22"/>
      <c r="RGH1" s="22"/>
      <c r="RGI1" s="22"/>
      <c r="RGJ1" s="22"/>
      <c r="RGK1" s="22"/>
      <c r="RGL1" s="22"/>
      <c r="RGM1" s="22"/>
      <c r="RGN1" s="22"/>
      <c r="RGO1" s="22"/>
      <c r="RGP1" s="22"/>
      <c r="RGQ1" s="22"/>
      <c r="RGR1" s="22"/>
      <c r="RGS1" s="22"/>
      <c r="RGT1" s="22"/>
      <c r="RGU1" s="22"/>
      <c r="RGV1" s="22"/>
      <c r="RGW1" s="22"/>
      <c r="RGX1" s="22"/>
      <c r="RGY1" s="22"/>
      <c r="RGZ1" s="22"/>
      <c r="RHA1" s="22"/>
      <c r="RHB1" s="22"/>
      <c r="RHC1" s="22"/>
      <c r="RHD1" s="22"/>
      <c r="RHE1" s="22"/>
      <c r="RHF1" s="22"/>
      <c r="RHG1" s="22"/>
      <c r="RHH1" s="22"/>
      <c r="RHI1" s="22"/>
      <c r="RHJ1" s="22"/>
      <c r="RHK1" s="22"/>
      <c r="RHL1" s="22"/>
      <c r="RHM1" s="22"/>
      <c r="RHN1" s="22"/>
      <c r="RHO1" s="22"/>
      <c r="RHP1" s="22"/>
      <c r="RHQ1" s="22"/>
      <c r="RHR1" s="22"/>
      <c r="RHS1" s="22"/>
      <c r="RHT1" s="22"/>
      <c r="RHU1" s="22"/>
      <c r="RHV1" s="22"/>
      <c r="RHW1" s="22"/>
      <c r="RHX1" s="22"/>
      <c r="RHY1" s="22"/>
      <c r="RHZ1" s="22"/>
      <c r="RIA1" s="22"/>
      <c r="RIB1" s="22"/>
      <c r="RIC1" s="22"/>
      <c r="RID1" s="22"/>
      <c r="RIE1" s="22"/>
      <c r="RIF1" s="22"/>
      <c r="RIG1" s="22"/>
      <c r="RIH1" s="22"/>
      <c r="RII1" s="22"/>
      <c r="RIJ1" s="22"/>
      <c r="RIK1" s="22"/>
      <c r="RIL1" s="22"/>
      <c r="RIM1" s="22"/>
      <c r="RIN1" s="22"/>
      <c r="RIO1" s="22"/>
      <c r="RIP1" s="22"/>
      <c r="RIQ1" s="22"/>
      <c r="RIR1" s="22"/>
      <c r="RIS1" s="22"/>
      <c r="RIT1" s="22"/>
      <c r="RIU1" s="22"/>
      <c r="RIV1" s="22"/>
      <c r="RIW1" s="22"/>
      <c r="RIX1" s="22"/>
      <c r="RIY1" s="22"/>
      <c r="RIZ1" s="22"/>
      <c r="RJA1" s="22"/>
      <c r="RJB1" s="22"/>
      <c r="RJC1" s="22"/>
      <c r="RJD1" s="22"/>
      <c r="RJE1" s="22"/>
      <c r="RJF1" s="22"/>
      <c r="RJG1" s="22"/>
      <c r="RJH1" s="22"/>
      <c r="RJI1" s="22"/>
      <c r="RJJ1" s="22"/>
      <c r="RJK1" s="22"/>
      <c r="RJL1" s="22"/>
      <c r="RJM1" s="22"/>
      <c r="RJN1" s="22"/>
      <c r="RJO1" s="22"/>
      <c r="RJP1" s="22"/>
      <c r="RJQ1" s="22"/>
      <c r="RJR1" s="22"/>
      <c r="RJS1" s="22"/>
      <c r="RJT1" s="22"/>
      <c r="RJU1" s="22"/>
      <c r="RJV1" s="22"/>
      <c r="RJW1" s="22"/>
      <c r="RJX1" s="22"/>
      <c r="RJY1" s="22"/>
      <c r="RJZ1" s="22"/>
      <c r="RKA1" s="22"/>
      <c r="RKB1" s="22"/>
      <c r="RKC1" s="22"/>
      <c r="RKD1" s="22"/>
      <c r="RKE1" s="22"/>
      <c r="RKF1" s="22"/>
      <c r="RKG1" s="22"/>
      <c r="RKH1" s="22"/>
      <c r="RKI1" s="22"/>
      <c r="RKJ1" s="22"/>
      <c r="RKK1" s="22"/>
      <c r="RKL1" s="22"/>
      <c r="RKM1" s="22"/>
      <c r="RKN1" s="22"/>
      <c r="RKO1" s="22"/>
      <c r="RKP1" s="22"/>
      <c r="RKQ1" s="22"/>
      <c r="RKR1" s="22"/>
      <c r="RKS1" s="22"/>
      <c r="RKT1" s="22"/>
      <c r="RKU1" s="22"/>
      <c r="RKV1" s="22"/>
      <c r="RKW1" s="22"/>
      <c r="RKX1" s="22"/>
      <c r="RKY1" s="22"/>
      <c r="RKZ1" s="22"/>
      <c r="RLA1" s="22"/>
      <c r="RLB1" s="22"/>
      <c r="RLC1" s="22"/>
      <c r="RLD1" s="22"/>
      <c r="RLE1" s="22"/>
      <c r="RLF1" s="22"/>
      <c r="RLG1" s="22"/>
      <c r="RLH1" s="22"/>
      <c r="RLI1" s="22"/>
      <c r="RLJ1" s="22"/>
      <c r="RLK1" s="22"/>
      <c r="RLL1" s="22"/>
      <c r="RLM1" s="22"/>
      <c r="RLN1" s="22"/>
      <c r="RLO1" s="22"/>
      <c r="RLP1" s="22"/>
      <c r="RLQ1" s="22"/>
      <c r="RLR1" s="22"/>
      <c r="RLS1" s="22"/>
      <c r="RLT1" s="22"/>
      <c r="RLU1" s="22"/>
      <c r="RLV1" s="22"/>
      <c r="RLW1" s="22"/>
      <c r="RLX1" s="22"/>
      <c r="RLY1" s="22"/>
      <c r="RLZ1" s="22"/>
      <c r="RMA1" s="22"/>
      <c r="RMB1" s="22"/>
      <c r="RMC1" s="22"/>
      <c r="RMD1" s="22"/>
      <c r="RME1" s="22"/>
      <c r="RMF1" s="22"/>
      <c r="RMG1" s="22"/>
      <c r="RMH1" s="22"/>
      <c r="RMI1" s="22"/>
      <c r="RMJ1" s="22"/>
      <c r="RMK1" s="22"/>
      <c r="RML1" s="22"/>
      <c r="RMM1" s="22"/>
      <c r="RMN1" s="22"/>
      <c r="RMO1" s="22"/>
      <c r="RMP1" s="22"/>
      <c r="RMQ1" s="22"/>
      <c r="RMR1" s="22"/>
      <c r="RMS1" s="22"/>
      <c r="RMT1" s="22"/>
      <c r="RMU1" s="22"/>
      <c r="RMV1" s="22"/>
      <c r="RMW1" s="22"/>
      <c r="RMX1" s="22"/>
      <c r="RMY1" s="22"/>
      <c r="RMZ1" s="22"/>
      <c r="RNA1" s="22"/>
      <c r="RNB1" s="22"/>
      <c r="RNC1" s="22"/>
      <c r="RND1" s="22"/>
      <c r="RNE1" s="22"/>
      <c r="RNF1" s="22"/>
      <c r="RNG1" s="22"/>
      <c r="RNH1" s="22"/>
      <c r="RNI1" s="22"/>
      <c r="RNJ1" s="22"/>
      <c r="RNK1" s="22"/>
      <c r="RNL1" s="22"/>
      <c r="RNM1" s="22"/>
      <c r="RNN1" s="22"/>
      <c r="RNO1" s="22"/>
      <c r="RNP1" s="22"/>
      <c r="RNQ1" s="22"/>
      <c r="RNR1" s="22"/>
      <c r="RNS1" s="22"/>
      <c r="RNT1" s="22"/>
      <c r="RNU1" s="22"/>
      <c r="RNV1" s="22"/>
      <c r="RNW1" s="22"/>
      <c r="RNX1" s="22"/>
      <c r="RNY1" s="22"/>
      <c r="RNZ1" s="22"/>
      <c r="ROA1" s="22"/>
      <c r="ROB1" s="22"/>
      <c r="ROC1" s="22"/>
      <c r="ROD1" s="22"/>
      <c r="ROE1" s="22"/>
      <c r="ROF1" s="22"/>
      <c r="ROG1" s="22"/>
      <c r="ROH1" s="22"/>
      <c r="ROI1" s="22"/>
      <c r="ROJ1" s="22"/>
      <c r="ROK1" s="22"/>
      <c r="ROL1" s="22"/>
      <c r="ROM1" s="22"/>
      <c r="RON1" s="22"/>
      <c r="ROO1" s="22"/>
      <c r="ROP1" s="22"/>
      <c r="ROQ1" s="22"/>
      <c r="ROR1" s="22"/>
      <c r="ROS1" s="22"/>
      <c r="ROT1" s="22"/>
      <c r="ROU1" s="22"/>
      <c r="ROV1" s="22"/>
      <c r="ROW1" s="22"/>
      <c r="ROX1" s="22"/>
      <c r="ROY1" s="22"/>
      <c r="ROZ1" s="22"/>
      <c r="RPA1" s="22"/>
      <c r="RPB1" s="22"/>
      <c r="RPC1" s="22"/>
      <c r="RPD1" s="22"/>
      <c r="RPE1" s="22"/>
      <c r="RPF1" s="22"/>
      <c r="RPG1" s="22"/>
      <c r="RPH1" s="22"/>
      <c r="RPI1" s="22"/>
      <c r="RPJ1" s="22"/>
      <c r="RPK1" s="22"/>
      <c r="RPL1" s="22"/>
      <c r="RPM1" s="22"/>
      <c r="RPN1" s="22"/>
      <c r="RPO1" s="22"/>
      <c r="RPP1" s="22"/>
      <c r="RPQ1" s="22"/>
      <c r="RPR1" s="22"/>
      <c r="RPS1" s="22"/>
      <c r="RPT1" s="22"/>
      <c r="RPU1" s="22"/>
      <c r="RPV1" s="22"/>
      <c r="RPW1" s="22"/>
      <c r="RPX1" s="22"/>
      <c r="RPY1" s="22"/>
      <c r="RPZ1" s="22"/>
      <c r="RQA1" s="22"/>
      <c r="RQB1" s="22"/>
      <c r="RQC1" s="22"/>
      <c r="RQD1" s="22"/>
      <c r="RQE1" s="22"/>
      <c r="RQF1" s="22"/>
      <c r="RQG1" s="22"/>
      <c r="RQH1" s="22"/>
      <c r="RQI1" s="22"/>
      <c r="RQJ1" s="22"/>
      <c r="RQK1" s="22"/>
      <c r="RQL1" s="22"/>
      <c r="RQM1" s="22"/>
      <c r="RQN1" s="22"/>
      <c r="RQO1" s="22"/>
      <c r="RQP1" s="22"/>
      <c r="RQQ1" s="22"/>
      <c r="RQR1" s="22"/>
      <c r="RQS1" s="22"/>
      <c r="RQT1" s="22"/>
      <c r="RQU1" s="22"/>
      <c r="RQV1" s="22"/>
      <c r="RQW1" s="22"/>
      <c r="RQX1" s="22"/>
      <c r="RQY1" s="22"/>
      <c r="RQZ1" s="22"/>
      <c r="RRA1" s="22"/>
      <c r="RRB1" s="22"/>
      <c r="RRC1" s="22"/>
      <c r="RRD1" s="22"/>
      <c r="RRE1" s="22"/>
      <c r="RRF1" s="22"/>
      <c r="RRG1" s="22"/>
      <c r="RRH1" s="22"/>
      <c r="RRI1" s="22"/>
      <c r="RRJ1" s="22"/>
      <c r="RRK1" s="22"/>
      <c r="RRL1" s="22"/>
      <c r="RRM1" s="22"/>
      <c r="RRN1" s="22"/>
      <c r="RRO1" s="22"/>
      <c r="RRP1" s="22"/>
      <c r="RRQ1" s="22"/>
      <c r="RRR1" s="22"/>
      <c r="RRS1" s="22"/>
      <c r="RRT1" s="22"/>
      <c r="RRU1" s="22"/>
      <c r="RRV1" s="22"/>
      <c r="RRW1" s="22"/>
      <c r="RRX1" s="22"/>
      <c r="RRY1" s="22"/>
      <c r="RRZ1" s="22"/>
      <c r="RSA1" s="22"/>
      <c r="RSB1" s="22"/>
      <c r="RSC1" s="22"/>
      <c r="RSD1" s="22"/>
      <c r="RSE1" s="22"/>
      <c r="RSF1" s="22"/>
      <c r="RSG1" s="22"/>
      <c r="RSH1" s="22"/>
      <c r="RSI1" s="22"/>
      <c r="RSJ1" s="22"/>
      <c r="RSK1" s="22"/>
      <c r="RSL1" s="22"/>
      <c r="RSM1" s="22"/>
      <c r="RSN1" s="22"/>
      <c r="RSO1" s="22"/>
      <c r="RSP1" s="22"/>
      <c r="RSQ1" s="22"/>
      <c r="RSR1" s="22"/>
      <c r="RSS1" s="22"/>
      <c r="RST1" s="22"/>
      <c r="RSU1" s="22"/>
      <c r="RSV1" s="22"/>
      <c r="RSW1" s="22"/>
      <c r="RSX1" s="22"/>
      <c r="RSY1" s="22"/>
      <c r="RSZ1" s="22"/>
      <c r="RTA1" s="22"/>
      <c r="RTB1" s="22"/>
      <c r="RTC1" s="22"/>
      <c r="RTD1" s="22"/>
      <c r="RTE1" s="22"/>
      <c r="RTF1" s="22"/>
      <c r="RTG1" s="22"/>
      <c r="RTH1" s="22"/>
      <c r="RTI1" s="22"/>
      <c r="RTJ1" s="22"/>
      <c r="RTK1" s="22"/>
      <c r="RTL1" s="22"/>
      <c r="RTM1" s="22"/>
      <c r="RTN1" s="22"/>
      <c r="RTO1" s="22"/>
      <c r="RTP1" s="22"/>
      <c r="RTQ1" s="22"/>
      <c r="RTR1" s="22"/>
      <c r="RTS1" s="22"/>
      <c r="RTT1" s="22"/>
      <c r="RTU1" s="22"/>
      <c r="RTV1" s="22"/>
      <c r="RTW1" s="22"/>
      <c r="RTX1" s="22"/>
      <c r="RTY1" s="22"/>
      <c r="RTZ1" s="22"/>
      <c r="RUA1" s="22"/>
      <c r="RUB1" s="22"/>
      <c r="RUC1" s="22"/>
      <c r="RUD1" s="22"/>
      <c r="RUE1" s="22"/>
      <c r="RUF1" s="22"/>
      <c r="RUG1" s="22"/>
      <c r="RUH1" s="22"/>
      <c r="RUI1" s="22"/>
      <c r="RUJ1" s="22"/>
      <c r="RUK1" s="22"/>
      <c r="RUL1" s="22"/>
      <c r="RUM1" s="22"/>
      <c r="RUN1" s="22"/>
      <c r="RUO1" s="22"/>
      <c r="RUP1" s="22"/>
      <c r="RUQ1" s="22"/>
      <c r="RUR1" s="22"/>
      <c r="RUS1" s="22"/>
      <c r="RUT1" s="22"/>
      <c r="RUU1" s="22"/>
      <c r="RUV1" s="22"/>
      <c r="RUW1" s="22"/>
      <c r="RUX1" s="22"/>
      <c r="RUY1" s="22"/>
      <c r="RUZ1" s="22"/>
      <c r="RVA1" s="22"/>
      <c r="RVB1" s="22"/>
      <c r="RVC1" s="22"/>
      <c r="RVD1" s="22"/>
      <c r="RVE1" s="22"/>
      <c r="RVF1" s="22"/>
      <c r="RVG1" s="22"/>
      <c r="RVH1" s="22"/>
      <c r="RVI1" s="22"/>
      <c r="RVJ1" s="22"/>
      <c r="RVK1" s="22"/>
      <c r="RVL1" s="22"/>
      <c r="RVM1" s="22"/>
      <c r="RVN1" s="22"/>
      <c r="RVO1" s="22"/>
      <c r="RVP1" s="22"/>
      <c r="RVQ1" s="22"/>
      <c r="RVR1" s="22"/>
      <c r="RVS1" s="22"/>
      <c r="RVT1" s="22"/>
      <c r="RVU1" s="22"/>
      <c r="RVV1" s="22"/>
      <c r="RVW1" s="22"/>
      <c r="RVX1" s="22"/>
      <c r="RVY1" s="22"/>
      <c r="RVZ1" s="22"/>
      <c r="RWA1" s="22"/>
      <c r="RWB1" s="22"/>
      <c r="RWC1" s="22"/>
      <c r="RWD1" s="22"/>
      <c r="RWE1" s="22"/>
      <c r="RWF1" s="22"/>
      <c r="RWG1" s="22"/>
      <c r="RWH1" s="22"/>
      <c r="RWI1" s="22"/>
      <c r="RWJ1" s="22"/>
      <c r="RWK1" s="22"/>
      <c r="RWL1" s="22"/>
      <c r="RWM1" s="22"/>
      <c r="RWN1" s="22"/>
      <c r="RWO1" s="22"/>
      <c r="RWP1" s="22"/>
      <c r="RWQ1" s="22"/>
      <c r="RWR1" s="22"/>
      <c r="RWS1" s="22"/>
      <c r="RWT1" s="22"/>
      <c r="RWU1" s="22"/>
      <c r="RWV1" s="22"/>
      <c r="RWW1" s="22"/>
      <c r="RWX1" s="22"/>
      <c r="RWY1" s="22"/>
      <c r="RWZ1" s="22"/>
      <c r="RXA1" s="22"/>
      <c r="RXB1" s="22"/>
      <c r="RXC1" s="22"/>
      <c r="RXD1" s="22"/>
      <c r="RXE1" s="22"/>
      <c r="RXF1" s="22"/>
      <c r="RXG1" s="22"/>
      <c r="RXH1" s="22"/>
      <c r="RXI1" s="22"/>
      <c r="RXJ1" s="22"/>
      <c r="RXK1" s="22"/>
      <c r="RXL1" s="22"/>
      <c r="RXM1" s="22"/>
      <c r="RXN1" s="22"/>
      <c r="RXO1" s="22"/>
      <c r="RXP1" s="22"/>
      <c r="RXQ1" s="22"/>
      <c r="RXR1" s="22"/>
      <c r="RXS1" s="22"/>
      <c r="RXT1" s="22"/>
      <c r="RXU1" s="22"/>
      <c r="RXV1" s="22"/>
      <c r="RXW1" s="22"/>
      <c r="RXX1" s="22"/>
      <c r="RXY1" s="22"/>
      <c r="RXZ1" s="22"/>
      <c r="RYA1" s="22"/>
      <c r="RYB1" s="22"/>
      <c r="RYC1" s="22"/>
      <c r="RYD1" s="22"/>
      <c r="RYE1" s="22"/>
      <c r="RYF1" s="22"/>
      <c r="RYG1" s="22"/>
      <c r="RYH1" s="22"/>
      <c r="RYI1" s="22"/>
      <c r="RYJ1" s="22"/>
      <c r="RYK1" s="22"/>
      <c r="RYL1" s="22"/>
      <c r="RYM1" s="22"/>
      <c r="RYN1" s="22"/>
      <c r="RYO1" s="22"/>
      <c r="RYP1" s="22"/>
      <c r="RYQ1" s="22"/>
      <c r="RYR1" s="22"/>
      <c r="RYS1" s="22"/>
      <c r="RYT1" s="22"/>
      <c r="RYU1" s="22"/>
      <c r="RYV1" s="22"/>
      <c r="RYW1" s="22"/>
      <c r="RYX1" s="22"/>
      <c r="RYY1" s="22"/>
      <c r="RYZ1" s="22"/>
      <c r="RZA1" s="22"/>
      <c r="RZB1" s="22"/>
      <c r="RZC1" s="22"/>
      <c r="RZD1" s="22"/>
      <c r="RZE1" s="22"/>
      <c r="RZF1" s="22"/>
      <c r="RZG1" s="22"/>
      <c r="RZH1" s="22"/>
      <c r="RZI1" s="22"/>
      <c r="RZJ1" s="22"/>
      <c r="RZK1" s="22"/>
      <c r="RZL1" s="22"/>
      <c r="RZM1" s="22"/>
      <c r="RZN1" s="22"/>
      <c r="RZO1" s="22"/>
      <c r="RZP1" s="22"/>
      <c r="RZQ1" s="22"/>
      <c r="RZR1" s="22"/>
      <c r="RZS1" s="22"/>
      <c r="RZT1" s="22"/>
      <c r="RZU1" s="22"/>
      <c r="RZV1" s="22"/>
      <c r="RZW1" s="22"/>
      <c r="RZX1" s="22"/>
      <c r="RZY1" s="22"/>
      <c r="RZZ1" s="22"/>
      <c r="SAA1" s="22"/>
      <c r="SAB1" s="22"/>
      <c r="SAC1" s="22"/>
      <c r="SAD1" s="22"/>
      <c r="SAE1" s="22"/>
      <c r="SAF1" s="22"/>
      <c r="SAG1" s="22"/>
      <c r="SAH1" s="22"/>
      <c r="SAI1" s="22"/>
      <c r="SAJ1" s="22"/>
      <c r="SAK1" s="22"/>
      <c r="SAL1" s="22"/>
      <c r="SAM1" s="22"/>
      <c r="SAN1" s="22"/>
      <c r="SAO1" s="22"/>
      <c r="SAP1" s="22"/>
      <c r="SAQ1" s="22"/>
      <c r="SAR1" s="22"/>
      <c r="SAS1" s="22"/>
      <c r="SAT1" s="22"/>
      <c r="SAU1" s="22"/>
      <c r="SAV1" s="22"/>
      <c r="SAW1" s="22"/>
      <c r="SAX1" s="22"/>
      <c r="SAY1" s="22"/>
      <c r="SAZ1" s="22"/>
      <c r="SBA1" s="22"/>
      <c r="SBB1" s="22"/>
      <c r="SBC1" s="22"/>
      <c r="SBD1" s="22"/>
      <c r="SBE1" s="22"/>
      <c r="SBF1" s="22"/>
      <c r="SBG1" s="22"/>
      <c r="SBH1" s="22"/>
      <c r="SBI1" s="22"/>
      <c r="SBJ1" s="22"/>
      <c r="SBK1" s="22"/>
      <c r="SBL1" s="22"/>
      <c r="SBM1" s="22"/>
      <c r="SBN1" s="22"/>
      <c r="SBO1" s="22"/>
      <c r="SBP1" s="22"/>
      <c r="SBQ1" s="22"/>
      <c r="SBR1" s="22"/>
      <c r="SBS1" s="22"/>
      <c r="SBT1" s="22"/>
      <c r="SBU1" s="22"/>
      <c r="SBV1" s="22"/>
      <c r="SBW1" s="22"/>
      <c r="SBX1" s="22"/>
      <c r="SBY1" s="22"/>
      <c r="SBZ1" s="22"/>
      <c r="SCA1" s="22"/>
      <c r="SCB1" s="22"/>
      <c r="SCC1" s="22"/>
      <c r="SCD1" s="22"/>
      <c r="SCE1" s="22"/>
      <c r="SCF1" s="22"/>
      <c r="SCG1" s="22"/>
      <c r="SCH1" s="22"/>
      <c r="SCI1" s="22"/>
      <c r="SCJ1" s="22"/>
      <c r="SCK1" s="22"/>
      <c r="SCL1" s="22"/>
      <c r="SCM1" s="22"/>
      <c r="SCN1" s="22"/>
      <c r="SCO1" s="22"/>
      <c r="SCP1" s="22"/>
      <c r="SCQ1" s="22"/>
      <c r="SCR1" s="22"/>
      <c r="SCS1" s="22"/>
      <c r="SCT1" s="22"/>
      <c r="SCU1" s="22"/>
      <c r="SCV1" s="22"/>
      <c r="SCW1" s="22"/>
      <c r="SCX1" s="22"/>
      <c r="SCY1" s="22"/>
      <c r="SCZ1" s="22"/>
      <c r="SDA1" s="22"/>
      <c r="SDB1" s="22"/>
      <c r="SDC1" s="22"/>
      <c r="SDD1" s="22"/>
      <c r="SDE1" s="22"/>
      <c r="SDF1" s="22"/>
      <c r="SDG1" s="22"/>
      <c r="SDH1" s="22"/>
      <c r="SDI1" s="22"/>
      <c r="SDJ1" s="22"/>
      <c r="SDK1" s="22"/>
      <c r="SDL1" s="22"/>
      <c r="SDM1" s="22"/>
      <c r="SDN1" s="22"/>
      <c r="SDO1" s="22"/>
      <c r="SDP1" s="22"/>
      <c r="SDQ1" s="22"/>
      <c r="SDR1" s="22"/>
      <c r="SDS1" s="22"/>
      <c r="SDT1" s="22"/>
      <c r="SDU1" s="22"/>
      <c r="SDV1" s="22"/>
      <c r="SDW1" s="22"/>
      <c r="SDX1" s="22"/>
      <c r="SDY1" s="22"/>
      <c r="SDZ1" s="22"/>
      <c r="SEA1" s="22"/>
      <c r="SEB1" s="22"/>
      <c r="SEC1" s="22"/>
      <c r="SED1" s="22"/>
      <c r="SEE1" s="22"/>
      <c r="SEF1" s="22"/>
      <c r="SEG1" s="22"/>
      <c r="SEH1" s="22"/>
      <c r="SEI1" s="22"/>
      <c r="SEJ1" s="22"/>
      <c r="SEK1" s="22"/>
      <c r="SEL1" s="22"/>
      <c r="SEM1" s="22"/>
      <c r="SEN1" s="22"/>
      <c r="SEO1" s="22"/>
      <c r="SEP1" s="22"/>
      <c r="SEQ1" s="22"/>
      <c r="SER1" s="22"/>
      <c r="SES1" s="22"/>
      <c r="SET1" s="22"/>
      <c r="SEU1" s="22"/>
      <c r="SEV1" s="22"/>
      <c r="SEW1" s="22"/>
      <c r="SEX1" s="22"/>
      <c r="SEY1" s="22"/>
      <c r="SEZ1" s="22"/>
      <c r="SFA1" s="22"/>
      <c r="SFB1" s="22"/>
      <c r="SFC1" s="22"/>
      <c r="SFD1" s="22"/>
      <c r="SFE1" s="22"/>
      <c r="SFF1" s="22"/>
      <c r="SFG1" s="22"/>
      <c r="SFH1" s="22"/>
      <c r="SFI1" s="22"/>
      <c r="SFJ1" s="22"/>
      <c r="SFK1" s="22"/>
      <c r="SFL1" s="22"/>
      <c r="SFM1" s="22"/>
      <c r="SFN1" s="22"/>
      <c r="SFO1" s="22"/>
      <c r="SFP1" s="22"/>
      <c r="SFQ1" s="22"/>
      <c r="SFR1" s="22"/>
      <c r="SFS1" s="22"/>
      <c r="SFT1" s="22"/>
      <c r="SFU1" s="22"/>
      <c r="SFV1" s="22"/>
      <c r="SFW1" s="22"/>
      <c r="SFX1" s="22"/>
      <c r="SFY1" s="22"/>
      <c r="SFZ1" s="22"/>
      <c r="SGA1" s="22"/>
      <c r="SGB1" s="22"/>
      <c r="SGC1" s="22"/>
      <c r="SGD1" s="22"/>
      <c r="SGE1" s="22"/>
      <c r="SGF1" s="22"/>
      <c r="SGG1" s="22"/>
      <c r="SGH1" s="22"/>
      <c r="SGI1" s="22"/>
      <c r="SGJ1" s="22"/>
      <c r="SGK1" s="22"/>
      <c r="SGL1" s="22"/>
      <c r="SGM1" s="22"/>
      <c r="SGN1" s="22"/>
      <c r="SGO1" s="22"/>
      <c r="SGP1" s="22"/>
      <c r="SGQ1" s="22"/>
      <c r="SGR1" s="22"/>
      <c r="SGS1" s="22"/>
      <c r="SGT1" s="22"/>
      <c r="SGU1" s="22"/>
      <c r="SGV1" s="22"/>
      <c r="SGW1" s="22"/>
      <c r="SGX1" s="22"/>
      <c r="SGY1" s="22"/>
      <c r="SGZ1" s="22"/>
      <c r="SHA1" s="22"/>
      <c r="SHB1" s="22"/>
      <c r="SHC1" s="22"/>
      <c r="SHD1" s="22"/>
      <c r="SHE1" s="22"/>
      <c r="SHF1" s="22"/>
      <c r="SHG1" s="22"/>
      <c r="SHH1" s="22"/>
      <c r="SHI1" s="22"/>
      <c r="SHJ1" s="22"/>
      <c r="SHK1" s="22"/>
      <c r="SHL1" s="22"/>
      <c r="SHM1" s="22"/>
      <c r="SHN1" s="22"/>
      <c r="SHO1" s="22"/>
      <c r="SHP1" s="22"/>
      <c r="SHQ1" s="22"/>
      <c r="SHR1" s="22"/>
      <c r="SHS1" s="22"/>
      <c r="SHT1" s="22"/>
      <c r="SHU1" s="22"/>
      <c r="SHV1" s="22"/>
      <c r="SHW1" s="22"/>
      <c r="SHX1" s="22"/>
      <c r="SHY1" s="22"/>
      <c r="SHZ1" s="22"/>
      <c r="SIA1" s="22"/>
      <c r="SIB1" s="22"/>
      <c r="SIC1" s="22"/>
      <c r="SID1" s="22"/>
      <c r="SIE1" s="22"/>
      <c r="SIF1" s="22"/>
      <c r="SIG1" s="22"/>
      <c r="SIH1" s="22"/>
      <c r="SII1" s="22"/>
      <c r="SIJ1" s="22"/>
      <c r="SIK1" s="22"/>
      <c r="SIL1" s="22"/>
      <c r="SIM1" s="22"/>
      <c r="SIN1" s="22"/>
      <c r="SIO1" s="22"/>
      <c r="SIP1" s="22"/>
      <c r="SIQ1" s="22"/>
      <c r="SIR1" s="22"/>
      <c r="SIS1" s="22"/>
      <c r="SIT1" s="22"/>
      <c r="SIU1" s="22"/>
      <c r="SIV1" s="22"/>
      <c r="SIW1" s="22"/>
      <c r="SIX1" s="22"/>
      <c r="SIY1" s="22"/>
      <c r="SIZ1" s="22"/>
      <c r="SJA1" s="22"/>
      <c r="SJB1" s="22"/>
      <c r="SJC1" s="22"/>
      <c r="SJD1" s="22"/>
      <c r="SJE1" s="22"/>
      <c r="SJF1" s="22"/>
      <c r="SJG1" s="22"/>
      <c r="SJH1" s="22"/>
      <c r="SJI1" s="22"/>
      <c r="SJJ1" s="22"/>
      <c r="SJK1" s="22"/>
      <c r="SJL1" s="22"/>
      <c r="SJM1" s="22"/>
      <c r="SJN1" s="22"/>
      <c r="SJO1" s="22"/>
      <c r="SJP1" s="22"/>
      <c r="SJQ1" s="22"/>
      <c r="SJR1" s="22"/>
      <c r="SJS1" s="22"/>
      <c r="SJT1" s="22"/>
      <c r="SJU1" s="22"/>
      <c r="SJV1" s="22"/>
      <c r="SJW1" s="22"/>
      <c r="SJX1" s="22"/>
      <c r="SJY1" s="22"/>
      <c r="SJZ1" s="22"/>
      <c r="SKA1" s="22"/>
      <c r="SKB1" s="22"/>
      <c r="SKC1" s="22"/>
      <c r="SKD1" s="22"/>
      <c r="SKE1" s="22"/>
      <c r="SKF1" s="22"/>
      <c r="SKG1" s="22"/>
      <c r="SKH1" s="22"/>
      <c r="SKI1" s="22"/>
      <c r="SKJ1" s="22"/>
      <c r="SKK1" s="22"/>
      <c r="SKL1" s="22"/>
      <c r="SKM1" s="22"/>
      <c r="SKN1" s="22"/>
      <c r="SKO1" s="22"/>
      <c r="SKP1" s="22"/>
      <c r="SKQ1" s="22"/>
      <c r="SKR1" s="22"/>
      <c r="SKS1" s="22"/>
      <c r="SKT1" s="22"/>
      <c r="SKU1" s="22"/>
      <c r="SKV1" s="22"/>
      <c r="SKW1" s="22"/>
      <c r="SKX1" s="22"/>
      <c r="SKY1" s="22"/>
      <c r="SKZ1" s="22"/>
      <c r="SLA1" s="22"/>
      <c r="SLB1" s="22"/>
      <c r="SLC1" s="22"/>
      <c r="SLD1" s="22"/>
      <c r="SLE1" s="22"/>
      <c r="SLF1" s="22"/>
      <c r="SLG1" s="22"/>
      <c r="SLH1" s="22"/>
      <c r="SLI1" s="22"/>
      <c r="SLJ1" s="22"/>
      <c r="SLK1" s="22"/>
      <c r="SLL1" s="22"/>
      <c r="SLM1" s="22"/>
      <c r="SLN1" s="22"/>
      <c r="SLO1" s="22"/>
      <c r="SLP1" s="22"/>
      <c r="SLQ1" s="22"/>
      <c r="SLR1" s="22"/>
      <c r="SLS1" s="22"/>
      <c r="SLT1" s="22"/>
      <c r="SLU1" s="22"/>
      <c r="SLV1" s="22"/>
      <c r="SLW1" s="22"/>
      <c r="SLX1" s="22"/>
      <c r="SLY1" s="22"/>
      <c r="SLZ1" s="22"/>
      <c r="SMA1" s="22"/>
      <c r="SMB1" s="22"/>
      <c r="SMC1" s="22"/>
      <c r="SMD1" s="22"/>
      <c r="SME1" s="22"/>
      <c r="SMF1" s="22"/>
      <c r="SMG1" s="22"/>
      <c r="SMH1" s="22"/>
      <c r="SMI1" s="22"/>
      <c r="SMJ1" s="22"/>
      <c r="SMK1" s="22"/>
      <c r="SML1" s="22"/>
      <c r="SMM1" s="22"/>
      <c r="SMN1" s="22"/>
      <c r="SMO1" s="22"/>
      <c r="SMP1" s="22"/>
      <c r="SMQ1" s="22"/>
      <c r="SMR1" s="22"/>
      <c r="SMS1" s="22"/>
      <c r="SMT1" s="22"/>
      <c r="SMU1" s="22"/>
      <c r="SMV1" s="22"/>
      <c r="SMW1" s="22"/>
      <c r="SMX1" s="22"/>
      <c r="SMY1" s="22"/>
      <c r="SMZ1" s="22"/>
      <c r="SNA1" s="22"/>
      <c r="SNB1" s="22"/>
      <c r="SNC1" s="22"/>
      <c r="SND1" s="22"/>
      <c r="SNE1" s="22"/>
      <c r="SNF1" s="22"/>
      <c r="SNG1" s="22"/>
      <c r="SNH1" s="22"/>
      <c r="SNI1" s="22"/>
      <c r="SNJ1" s="22"/>
      <c r="SNK1" s="22"/>
      <c r="SNL1" s="22"/>
      <c r="SNM1" s="22"/>
      <c r="SNN1" s="22"/>
      <c r="SNO1" s="22"/>
      <c r="SNP1" s="22"/>
      <c r="SNQ1" s="22"/>
      <c r="SNR1" s="22"/>
      <c r="SNS1" s="22"/>
      <c r="SNT1" s="22"/>
      <c r="SNU1" s="22"/>
      <c r="SNV1" s="22"/>
      <c r="SNW1" s="22"/>
      <c r="SNX1" s="22"/>
      <c r="SNY1" s="22"/>
      <c r="SNZ1" s="22"/>
      <c r="SOA1" s="22"/>
      <c r="SOB1" s="22"/>
      <c r="SOC1" s="22"/>
      <c r="SOD1" s="22"/>
      <c r="SOE1" s="22"/>
      <c r="SOF1" s="22"/>
      <c r="SOG1" s="22"/>
      <c r="SOH1" s="22"/>
      <c r="SOI1" s="22"/>
      <c r="SOJ1" s="22"/>
      <c r="SOK1" s="22"/>
      <c r="SOL1" s="22"/>
      <c r="SOM1" s="22"/>
      <c r="SON1" s="22"/>
      <c r="SOO1" s="22"/>
      <c r="SOP1" s="22"/>
      <c r="SOQ1" s="22"/>
      <c r="SOR1" s="22"/>
      <c r="SOS1" s="22"/>
      <c r="SOT1" s="22"/>
      <c r="SOU1" s="22"/>
      <c r="SOV1" s="22"/>
      <c r="SOW1" s="22"/>
      <c r="SOX1" s="22"/>
      <c r="SOY1" s="22"/>
      <c r="SOZ1" s="22"/>
      <c r="SPA1" s="22"/>
      <c r="SPB1" s="22"/>
      <c r="SPC1" s="22"/>
      <c r="SPD1" s="22"/>
      <c r="SPE1" s="22"/>
      <c r="SPF1" s="22"/>
      <c r="SPG1" s="22"/>
      <c r="SPH1" s="22"/>
      <c r="SPI1" s="22"/>
      <c r="SPJ1" s="22"/>
      <c r="SPK1" s="22"/>
      <c r="SPL1" s="22"/>
      <c r="SPM1" s="22"/>
      <c r="SPN1" s="22"/>
      <c r="SPO1" s="22"/>
      <c r="SPP1" s="22"/>
      <c r="SPQ1" s="22"/>
      <c r="SPR1" s="22"/>
      <c r="SPS1" s="22"/>
      <c r="SPT1" s="22"/>
      <c r="SPU1" s="22"/>
      <c r="SPV1" s="22"/>
      <c r="SPW1" s="22"/>
      <c r="SPX1" s="22"/>
      <c r="SPY1" s="22"/>
      <c r="SPZ1" s="22"/>
      <c r="SQA1" s="22"/>
      <c r="SQB1" s="22"/>
      <c r="SQC1" s="22"/>
      <c r="SQD1" s="22"/>
      <c r="SQE1" s="22"/>
      <c r="SQF1" s="22"/>
      <c r="SQG1" s="22"/>
      <c r="SQH1" s="22"/>
      <c r="SQI1" s="22"/>
      <c r="SQJ1" s="22"/>
      <c r="SQK1" s="22"/>
      <c r="SQL1" s="22"/>
      <c r="SQM1" s="22"/>
      <c r="SQN1" s="22"/>
      <c r="SQO1" s="22"/>
      <c r="SQP1" s="22"/>
      <c r="SQQ1" s="22"/>
      <c r="SQR1" s="22"/>
      <c r="SQS1" s="22"/>
      <c r="SQT1" s="22"/>
      <c r="SQU1" s="22"/>
      <c r="SQV1" s="22"/>
      <c r="SQW1" s="22"/>
      <c r="SQX1" s="22"/>
      <c r="SQY1" s="22"/>
      <c r="SQZ1" s="22"/>
      <c r="SRA1" s="22"/>
      <c r="SRB1" s="22"/>
      <c r="SRC1" s="22"/>
      <c r="SRD1" s="22"/>
      <c r="SRE1" s="22"/>
      <c r="SRF1" s="22"/>
      <c r="SRG1" s="22"/>
      <c r="SRH1" s="22"/>
      <c r="SRI1" s="22"/>
      <c r="SRJ1" s="22"/>
      <c r="SRK1" s="22"/>
      <c r="SRL1" s="22"/>
      <c r="SRM1" s="22"/>
      <c r="SRN1" s="22"/>
      <c r="SRO1" s="22"/>
      <c r="SRP1" s="22"/>
      <c r="SRQ1" s="22"/>
      <c r="SRR1" s="22"/>
      <c r="SRS1" s="22"/>
      <c r="SRT1" s="22"/>
      <c r="SRU1" s="22"/>
      <c r="SRV1" s="22"/>
      <c r="SRW1" s="22"/>
      <c r="SRX1" s="22"/>
      <c r="SRY1" s="22"/>
      <c r="SRZ1" s="22"/>
      <c r="SSA1" s="22"/>
      <c r="SSB1" s="22"/>
      <c r="SSC1" s="22"/>
      <c r="SSD1" s="22"/>
      <c r="SSE1" s="22"/>
      <c r="SSF1" s="22"/>
      <c r="SSG1" s="22"/>
      <c r="SSH1" s="22"/>
      <c r="SSI1" s="22"/>
      <c r="SSJ1" s="22"/>
      <c r="SSK1" s="22"/>
      <c r="SSL1" s="22"/>
      <c r="SSM1" s="22"/>
      <c r="SSN1" s="22"/>
      <c r="SSO1" s="22"/>
      <c r="SSP1" s="22"/>
      <c r="SSQ1" s="22"/>
      <c r="SSR1" s="22"/>
      <c r="SSS1" s="22"/>
      <c r="SST1" s="22"/>
      <c r="SSU1" s="22"/>
      <c r="SSV1" s="22"/>
      <c r="SSW1" s="22"/>
      <c r="SSX1" s="22"/>
      <c r="SSY1" s="22"/>
      <c r="SSZ1" s="22"/>
      <c r="STA1" s="22"/>
      <c r="STB1" s="22"/>
      <c r="STC1" s="22"/>
      <c r="STD1" s="22"/>
      <c r="STE1" s="22"/>
      <c r="STF1" s="22"/>
      <c r="STG1" s="22"/>
      <c r="STH1" s="22"/>
      <c r="STI1" s="22"/>
      <c r="STJ1" s="22"/>
      <c r="STK1" s="22"/>
      <c r="STL1" s="22"/>
      <c r="STM1" s="22"/>
      <c r="STN1" s="22"/>
      <c r="STO1" s="22"/>
      <c r="STP1" s="22"/>
      <c r="STQ1" s="22"/>
      <c r="STR1" s="22"/>
      <c r="STS1" s="22"/>
      <c r="STT1" s="22"/>
      <c r="STU1" s="22"/>
      <c r="STV1" s="22"/>
      <c r="STW1" s="22"/>
      <c r="STX1" s="22"/>
      <c r="STY1" s="22"/>
      <c r="STZ1" s="22"/>
      <c r="SUA1" s="22"/>
      <c r="SUB1" s="22"/>
      <c r="SUC1" s="22"/>
      <c r="SUD1" s="22"/>
      <c r="SUE1" s="22"/>
      <c r="SUF1" s="22"/>
      <c r="SUG1" s="22"/>
      <c r="SUH1" s="22"/>
      <c r="SUI1" s="22"/>
      <c r="SUJ1" s="22"/>
      <c r="SUK1" s="22"/>
      <c r="SUL1" s="22"/>
      <c r="SUM1" s="22"/>
      <c r="SUN1" s="22"/>
      <c r="SUO1" s="22"/>
      <c r="SUP1" s="22"/>
      <c r="SUQ1" s="22"/>
      <c r="SUR1" s="22"/>
      <c r="SUS1" s="22"/>
      <c r="SUT1" s="22"/>
      <c r="SUU1" s="22"/>
      <c r="SUV1" s="22"/>
      <c r="SUW1" s="22"/>
      <c r="SUX1" s="22"/>
      <c r="SUY1" s="22"/>
      <c r="SUZ1" s="22"/>
      <c r="SVA1" s="22"/>
      <c r="SVB1" s="22"/>
      <c r="SVC1" s="22"/>
      <c r="SVD1" s="22"/>
      <c r="SVE1" s="22"/>
      <c r="SVF1" s="22"/>
      <c r="SVG1" s="22"/>
      <c r="SVH1" s="22"/>
      <c r="SVI1" s="22"/>
      <c r="SVJ1" s="22"/>
      <c r="SVK1" s="22"/>
      <c r="SVL1" s="22"/>
      <c r="SVM1" s="22"/>
      <c r="SVN1" s="22"/>
      <c r="SVO1" s="22"/>
      <c r="SVP1" s="22"/>
      <c r="SVQ1" s="22"/>
      <c r="SVR1" s="22"/>
      <c r="SVS1" s="22"/>
      <c r="SVT1" s="22"/>
      <c r="SVU1" s="22"/>
      <c r="SVV1" s="22"/>
      <c r="SVW1" s="22"/>
      <c r="SVX1" s="22"/>
      <c r="SVY1" s="22"/>
      <c r="SVZ1" s="22"/>
      <c r="SWA1" s="22"/>
      <c r="SWB1" s="22"/>
      <c r="SWC1" s="22"/>
      <c r="SWD1" s="22"/>
      <c r="SWE1" s="22"/>
      <c r="SWF1" s="22"/>
      <c r="SWG1" s="22"/>
      <c r="SWH1" s="22"/>
      <c r="SWI1" s="22"/>
      <c r="SWJ1" s="22"/>
      <c r="SWK1" s="22"/>
      <c r="SWL1" s="22"/>
      <c r="SWM1" s="22"/>
      <c r="SWN1" s="22"/>
      <c r="SWO1" s="22"/>
      <c r="SWP1" s="22"/>
      <c r="SWQ1" s="22"/>
      <c r="SWR1" s="22"/>
      <c r="SWS1" s="22"/>
      <c r="SWT1" s="22"/>
      <c r="SWU1" s="22"/>
      <c r="SWV1" s="22"/>
      <c r="SWW1" s="22"/>
      <c r="SWX1" s="22"/>
      <c r="SWY1" s="22"/>
      <c r="SWZ1" s="22"/>
      <c r="SXA1" s="22"/>
      <c r="SXB1" s="22"/>
      <c r="SXC1" s="22"/>
      <c r="SXD1" s="22"/>
      <c r="SXE1" s="22"/>
      <c r="SXF1" s="22"/>
      <c r="SXG1" s="22"/>
      <c r="SXH1" s="22"/>
      <c r="SXI1" s="22"/>
      <c r="SXJ1" s="22"/>
      <c r="SXK1" s="22"/>
      <c r="SXL1" s="22"/>
      <c r="SXM1" s="22"/>
      <c r="SXN1" s="22"/>
      <c r="SXO1" s="22"/>
      <c r="SXP1" s="22"/>
      <c r="SXQ1" s="22"/>
      <c r="SXR1" s="22"/>
      <c r="SXS1" s="22"/>
      <c r="SXT1" s="22"/>
      <c r="SXU1" s="22"/>
      <c r="SXV1" s="22"/>
      <c r="SXW1" s="22"/>
      <c r="SXX1" s="22"/>
      <c r="SXY1" s="22"/>
      <c r="SXZ1" s="22"/>
      <c r="SYA1" s="22"/>
      <c r="SYB1" s="22"/>
      <c r="SYC1" s="22"/>
      <c r="SYD1" s="22"/>
      <c r="SYE1" s="22"/>
      <c r="SYF1" s="22"/>
      <c r="SYG1" s="22"/>
      <c r="SYH1" s="22"/>
      <c r="SYI1" s="22"/>
      <c r="SYJ1" s="22"/>
      <c r="SYK1" s="22"/>
      <c r="SYL1" s="22"/>
      <c r="SYM1" s="22"/>
      <c r="SYN1" s="22"/>
      <c r="SYO1" s="22"/>
      <c r="SYP1" s="22"/>
      <c r="SYQ1" s="22"/>
      <c r="SYR1" s="22"/>
      <c r="SYS1" s="22"/>
      <c r="SYT1" s="22"/>
      <c r="SYU1" s="22"/>
      <c r="SYV1" s="22"/>
      <c r="SYW1" s="22"/>
      <c r="SYX1" s="22"/>
      <c r="SYY1" s="22"/>
      <c r="SYZ1" s="22"/>
      <c r="SZA1" s="22"/>
      <c r="SZB1" s="22"/>
      <c r="SZC1" s="22"/>
      <c r="SZD1" s="22"/>
      <c r="SZE1" s="22"/>
      <c r="SZF1" s="22"/>
      <c r="SZG1" s="22"/>
      <c r="SZH1" s="22"/>
      <c r="SZI1" s="22"/>
      <c r="SZJ1" s="22"/>
      <c r="SZK1" s="22"/>
      <c r="SZL1" s="22"/>
      <c r="SZM1" s="22"/>
      <c r="SZN1" s="22"/>
      <c r="SZO1" s="22"/>
      <c r="SZP1" s="22"/>
      <c r="SZQ1" s="22"/>
      <c r="SZR1" s="22"/>
      <c r="SZS1" s="22"/>
      <c r="SZT1" s="22"/>
      <c r="SZU1" s="22"/>
      <c r="SZV1" s="22"/>
      <c r="SZW1" s="22"/>
      <c r="SZX1" s="22"/>
      <c r="SZY1" s="22"/>
      <c r="SZZ1" s="22"/>
      <c r="TAA1" s="22"/>
      <c r="TAB1" s="22"/>
      <c r="TAC1" s="22"/>
      <c r="TAD1" s="22"/>
      <c r="TAE1" s="22"/>
      <c r="TAF1" s="22"/>
      <c r="TAG1" s="22"/>
      <c r="TAH1" s="22"/>
      <c r="TAI1" s="22"/>
      <c r="TAJ1" s="22"/>
      <c r="TAK1" s="22"/>
      <c r="TAL1" s="22"/>
      <c r="TAM1" s="22"/>
      <c r="TAN1" s="22"/>
      <c r="TAO1" s="22"/>
      <c r="TAP1" s="22"/>
      <c r="TAQ1" s="22"/>
      <c r="TAR1" s="22"/>
      <c r="TAS1" s="22"/>
      <c r="TAT1" s="22"/>
      <c r="TAU1" s="22"/>
      <c r="TAV1" s="22"/>
      <c r="TAW1" s="22"/>
      <c r="TAX1" s="22"/>
      <c r="TAY1" s="22"/>
      <c r="TAZ1" s="22"/>
      <c r="TBA1" s="22"/>
      <c r="TBB1" s="22"/>
      <c r="TBC1" s="22"/>
      <c r="TBD1" s="22"/>
      <c r="TBE1" s="22"/>
      <c r="TBF1" s="22"/>
      <c r="TBG1" s="22"/>
      <c r="TBH1" s="22"/>
      <c r="TBI1" s="22"/>
      <c r="TBJ1" s="22"/>
      <c r="TBK1" s="22"/>
      <c r="TBL1" s="22"/>
      <c r="TBM1" s="22"/>
      <c r="TBN1" s="22"/>
      <c r="TBO1" s="22"/>
      <c r="TBP1" s="22"/>
      <c r="TBQ1" s="22"/>
      <c r="TBR1" s="22"/>
      <c r="TBS1" s="22"/>
      <c r="TBT1" s="22"/>
      <c r="TBU1" s="22"/>
      <c r="TBV1" s="22"/>
      <c r="TBW1" s="22"/>
      <c r="TBX1" s="22"/>
      <c r="TBY1" s="22"/>
      <c r="TBZ1" s="22"/>
      <c r="TCA1" s="22"/>
      <c r="TCB1" s="22"/>
      <c r="TCC1" s="22"/>
      <c r="TCD1" s="22"/>
      <c r="TCE1" s="22"/>
      <c r="TCF1" s="22"/>
      <c r="TCG1" s="22"/>
      <c r="TCH1" s="22"/>
      <c r="TCI1" s="22"/>
      <c r="TCJ1" s="22"/>
      <c r="TCK1" s="22"/>
      <c r="TCL1" s="22"/>
      <c r="TCM1" s="22"/>
      <c r="TCN1" s="22"/>
      <c r="TCO1" s="22"/>
      <c r="TCP1" s="22"/>
      <c r="TCQ1" s="22"/>
      <c r="TCR1" s="22"/>
      <c r="TCS1" s="22"/>
      <c r="TCT1" s="22"/>
      <c r="TCU1" s="22"/>
      <c r="TCV1" s="22"/>
      <c r="TCW1" s="22"/>
      <c r="TCX1" s="22"/>
      <c r="TCY1" s="22"/>
      <c r="TCZ1" s="22"/>
      <c r="TDA1" s="22"/>
      <c r="TDB1" s="22"/>
      <c r="TDC1" s="22"/>
      <c r="TDD1" s="22"/>
      <c r="TDE1" s="22"/>
      <c r="TDF1" s="22"/>
      <c r="TDG1" s="22"/>
      <c r="TDH1" s="22"/>
      <c r="TDI1" s="22"/>
      <c r="TDJ1" s="22"/>
      <c r="TDK1" s="22"/>
      <c r="TDL1" s="22"/>
      <c r="TDM1" s="22"/>
      <c r="TDN1" s="22"/>
      <c r="TDO1" s="22"/>
      <c r="TDP1" s="22"/>
      <c r="TDQ1" s="22"/>
      <c r="TDR1" s="22"/>
      <c r="TDS1" s="22"/>
      <c r="TDT1" s="22"/>
      <c r="TDU1" s="22"/>
      <c r="TDV1" s="22"/>
      <c r="TDW1" s="22"/>
      <c r="TDX1" s="22"/>
      <c r="TDY1" s="22"/>
      <c r="TDZ1" s="22"/>
      <c r="TEA1" s="22"/>
      <c r="TEB1" s="22"/>
      <c r="TEC1" s="22"/>
      <c r="TED1" s="22"/>
      <c r="TEE1" s="22"/>
      <c r="TEF1" s="22"/>
      <c r="TEG1" s="22"/>
      <c r="TEH1" s="22"/>
      <c r="TEI1" s="22"/>
      <c r="TEJ1" s="22"/>
      <c r="TEK1" s="22"/>
      <c r="TEL1" s="22"/>
      <c r="TEM1" s="22"/>
      <c r="TEN1" s="22"/>
      <c r="TEO1" s="22"/>
      <c r="TEP1" s="22"/>
      <c r="TEQ1" s="22"/>
      <c r="TER1" s="22"/>
      <c r="TES1" s="22"/>
      <c r="TET1" s="22"/>
      <c r="TEU1" s="22"/>
      <c r="TEV1" s="22"/>
      <c r="TEW1" s="22"/>
      <c r="TEX1" s="22"/>
      <c r="TEY1" s="22"/>
      <c r="TEZ1" s="22"/>
      <c r="TFA1" s="22"/>
      <c r="TFB1" s="22"/>
      <c r="TFC1" s="22"/>
      <c r="TFD1" s="22"/>
      <c r="TFE1" s="22"/>
      <c r="TFF1" s="22"/>
      <c r="TFG1" s="22"/>
      <c r="TFH1" s="22"/>
      <c r="TFI1" s="22"/>
      <c r="TFJ1" s="22"/>
      <c r="TFK1" s="22"/>
      <c r="TFL1" s="22"/>
      <c r="TFM1" s="22"/>
      <c r="TFN1" s="22"/>
      <c r="TFO1" s="22"/>
      <c r="TFP1" s="22"/>
      <c r="TFQ1" s="22"/>
      <c r="TFR1" s="22"/>
      <c r="TFS1" s="22"/>
      <c r="TFT1" s="22"/>
      <c r="TFU1" s="22"/>
      <c r="TFV1" s="22"/>
      <c r="TFW1" s="22"/>
      <c r="TFX1" s="22"/>
      <c r="TFY1" s="22"/>
      <c r="TFZ1" s="22"/>
      <c r="TGA1" s="22"/>
      <c r="TGB1" s="22"/>
      <c r="TGC1" s="22"/>
      <c r="TGD1" s="22"/>
      <c r="TGE1" s="22"/>
      <c r="TGF1" s="22"/>
      <c r="TGG1" s="22"/>
      <c r="TGH1" s="22"/>
      <c r="TGI1" s="22"/>
      <c r="TGJ1" s="22"/>
      <c r="TGK1" s="22"/>
      <c r="TGL1" s="22"/>
      <c r="TGM1" s="22"/>
      <c r="TGN1" s="22"/>
      <c r="TGO1" s="22"/>
      <c r="TGP1" s="22"/>
      <c r="TGQ1" s="22"/>
      <c r="TGR1" s="22"/>
      <c r="TGS1" s="22"/>
      <c r="TGT1" s="22"/>
      <c r="TGU1" s="22"/>
      <c r="TGV1" s="22"/>
      <c r="TGW1" s="22"/>
      <c r="TGX1" s="22"/>
      <c r="TGY1" s="22"/>
      <c r="TGZ1" s="22"/>
      <c r="THA1" s="22"/>
      <c r="THB1" s="22"/>
      <c r="THC1" s="22"/>
      <c r="THD1" s="22"/>
      <c r="THE1" s="22"/>
      <c r="THF1" s="22"/>
      <c r="THG1" s="22"/>
      <c r="THH1" s="22"/>
      <c r="THI1" s="22"/>
      <c r="THJ1" s="22"/>
      <c r="THK1" s="22"/>
      <c r="THL1" s="22"/>
      <c r="THM1" s="22"/>
      <c r="THN1" s="22"/>
      <c r="THO1" s="22"/>
      <c r="THP1" s="22"/>
      <c r="THQ1" s="22"/>
      <c r="THR1" s="22"/>
      <c r="THS1" s="22"/>
      <c r="THT1" s="22"/>
      <c r="THU1" s="22"/>
      <c r="THV1" s="22"/>
      <c r="THW1" s="22"/>
      <c r="THX1" s="22"/>
      <c r="THY1" s="22"/>
      <c r="THZ1" s="22"/>
      <c r="TIA1" s="22"/>
      <c r="TIB1" s="22"/>
      <c r="TIC1" s="22"/>
      <c r="TID1" s="22"/>
      <c r="TIE1" s="22"/>
      <c r="TIF1" s="22"/>
      <c r="TIG1" s="22"/>
      <c r="TIH1" s="22"/>
      <c r="TII1" s="22"/>
      <c r="TIJ1" s="22"/>
      <c r="TIK1" s="22"/>
      <c r="TIL1" s="22"/>
      <c r="TIM1" s="22"/>
      <c r="TIN1" s="22"/>
      <c r="TIO1" s="22"/>
      <c r="TIP1" s="22"/>
      <c r="TIQ1" s="22"/>
      <c r="TIR1" s="22"/>
      <c r="TIS1" s="22"/>
      <c r="TIT1" s="22"/>
      <c r="TIU1" s="22"/>
      <c r="TIV1" s="22"/>
      <c r="TIW1" s="22"/>
      <c r="TIX1" s="22"/>
      <c r="TIY1" s="22"/>
      <c r="TIZ1" s="22"/>
      <c r="TJA1" s="22"/>
      <c r="TJB1" s="22"/>
      <c r="TJC1" s="22"/>
      <c r="TJD1" s="22"/>
      <c r="TJE1" s="22"/>
      <c r="TJF1" s="22"/>
      <c r="TJG1" s="22"/>
      <c r="TJH1" s="22"/>
      <c r="TJI1" s="22"/>
      <c r="TJJ1" s="22"/>
      <c r="TJK1" s="22"/>
      <c r="TJL1" s="22"/>
      <c r="TJM1" s="22"/>
      <c r="TJN1" s="22"/>
      <c r="TJO1" s="22"/>
      <c r="TJP1" s="22"/>
      <c r="TJQ1" s="22"/>
      <c r="TJR1" s="22"/>
      <c r="TJS1" s="22"/>
      <c r="TJT1" s="22"/>
      <c r="TJU1" s="22"/>
      <c r="TJV1" s="22"/>
      <c r="TJW1" s="22"/>
      <c r="TJX1" s="22"/>
      <c r="TJY1" s="22"/>
      <c r="TJZ1" s="22"/>
      <c r="TKA1" s="22"/>
      <c r="TKB1" s="22"/>
      <c r="TKC1" s="22"/>
      <c r="TKD1" s="22"/>
      <c r="TKE1" s="22"/>
      <c r="TKF1" s="22"/>
      <c r="TKG1" s="22"/>
      <c r="TKH1" s="22"/>
      <c r="TKI1" s="22"/>
      <c r="TKJ1" s="22"/>
      <c r="TKK1" s="22"/>
      <c r="TKL1" s="22"/>
      <c r="TKM1" s="22"/>
      <c r="TKN1" s="22"/>
      <c r="TKO1" s="22"/>
      <c r="TKP1" s="22"/>
      <c r="TKQ1" s="22"/>
      <c r="TKR1" s="22"/>
      <c r="TKS1" s="22"/>
      <c r="TKT1" s="22"/>
      <c r="TKU1" s="22"/>
      <c r="TKV1" s="22"/>
      <c r="TKW1" s="22"/>
      <c r="TKX1" s="22"/>
      <c r="TKY1" s="22"/>
      <c r="TKZ1" s="22"/>
      <c r="TLA1" s="22"/>
      <c r="TLB1" s="22"/>
      <c r="TLC1" s="22"/>
      <c r="TLD1" s="22"/>
      <c r="TLE1" s="22"/>
      <c r="TLF1" s="22"/>
      <c r="TLG1" s="22"/>
      <c r="TLH1" s="22"/>
      <c r="TLI1" s="22"/>
      <c r="TLJ1" s="22"/>
      <c r="TLK1" s="22"/>
      <c r="TLL1" s="22"/>
      <c r="TLM1" s="22"/>
      <c r="TLN1" s="22"/>
      <c r="TLO1" s="22"/>
      <c r="TLP1" s="22"/>
      <c r="TLQ1" s="22"/>
      <c r="TLR1" s="22"/>
      <c r="TLS1" s="22"/>
      <c r="TLT1" s="22"/>
      <c r="TLU1" s="22"/>
      <c r="TLV1" s="22"/>
      <c r="TLW1" s="22"/>
      <c r="TLX1" s="22"/>
      <c r="TLY1" s="22"/>
      <c r="TLZ1" s="22"/>
      <c r="TMA1" s="22"/>
      <c r="TMB1" s="22"/>
      <c r="TMC1" s="22"/>
      <c r="TMD1" s="22"/>
      <c r="TME1" s="22"/>
      <c r="TMF1" s="22"/>
      <c r="TMG1" s="22"/>
      <c r="TMH1" s="22"/>
      <c r="TMI1" s="22"/>
      <c r="TMJ1" s="22"/>
      <c r="TMK1" s="22"/>
      <c r="TML1" s="22"/>
      <c r="TMM1" s="22"/>
      <c r="TMN1" s="22"/>
      <c r="TMO1" s="22"/>
      <c r="TMP1" s="22"/>
      <c r="TMQ1" s="22"/>
      <c r="TMR1" s="22"/>
      <c r="TMS1" s="22"/>
      <c r="TMT1" s="22"/>
      <c r="TMU1" s="22"/>
      <c r="TMV1" s="22"/>
      <c r="TMW1" s="22"/>
      <c r="TMX1" s="22"/>
      <c r="TMY1" s="22"/>
      <c r="TMZ1" s="22"/>
      <c r="TNA1" s="22"/>
      <c r="TNB1" s="22"/>
      <c r="TNC1" s="22"/>
      <c r="TND1" s="22"/>
      <c r="TNE1" s="22"/>
      <c r="TNF1" s="22"/>
      <c r="TNG1" s="22"/>
      <c r="TNH1" s="22"/>
      <c r="TNI1" s="22"/>
      <c r="TNJ1" s="22"/>
      <c r="TNK1" s="22"/>
      <c r="TNL1" s="22"/>
      <c r="TNM1" s="22"/>
      <c r="TNN1" s="22"/>
      <c r="TNO1" s="22"/>
      <c r="TNP1" s="22"/>
      <c r="TNQ1" s="22"/>
      <c r="TNR1" s="22"/>
      <c r="TNS1" s="22"/>
      <c r="TNT1" s="22"/>
      <c r="TNU1" s="22"/>
      <c r="TNV1" s="22"/>
      <c r="TNW1" s="22"/>
      <c r="TNX1" s="22"/>
      <c r="TNY1" s="22"/>
      <c r="TNZ1" s="22"/>
      <c r="TOA1" s="22"/>
      <c r="TOB1" s="22"/>
      <c r="TOC1" s="22"/>
      <c r="TOD1" s="22"/>
      <c r="TOE1" s="22"/>
      <c r="TOF1" s="22"/>
      <c r="TOG1" s="22"/>
      <c r="TOH1" s="22"/>
      <c r="TOI1" s="22"/>
      <c r="TOJ1" s="22"/>
      <c r="TOK1" s="22"/>
      <c r="TOL1" s="22"/>
      <c r="TOM1" s="22"/>
      <c r="TON1" s="22"/>
      <c r="TOO1" s="22"/>
      <c r="TOP1" s="22"/>
      <c r="TOQ1" s="22"/>
      <c r="TOR1" s="22"/>
      <c r="TOS1" s="22"/>
      <c r="TOT1" s="22"/>
      <c r="TOU1" s="22"/>
      <c r="TOV1" s="22"/>
      <c r="TOW1" s="22"/>
      <c r="TOX1" s="22"/>
      <c r="TOY1" s="22"/>
      <c r="TOZ1" s="22"/>
      <c r="TPA1" s="22"/>
      <c r="TPB1" s="22"/>
      <c r="TPC1" s="22"/>
      <c r="TPD1" s="22"/>
      <c r="TPE1" s="22"/>
      <c r="TPF1" s="22"/>
      <c r="TPG1" s="22"/>
      <c r="TPH1" s="22"/>
      <c r="TPI1" s="22"/>
      <c r="TPJ1" s="22"/>
      <c r="TPK1" s="22"/>
      <c r="TPL1" s="22"/>
      <c r="TPM1" s="22"/>
      <c r="TPN1" s="22"/>
      <c r="TPO1" s="22"/>
      <c r="TPP1" s="22"/>
      <c r="TPQ1" s="22"/>
      <c r="TPR1" s="22"/>
      <c r="TPS1" s="22"/>
      <c r="TPT1" s="22"/>
      <c r="TPU1" s="22"/>
      <c r="TPV1" s="22"/>
      <c r="TPW1" s="22"/>
      <c r="TPX1" s="22"/>
      <c r="TPY1" s="22"/>
      <c r="TPZ1" s="22"/>
      <c r="TQA1" s="22"/>
      <c r="TQB1" s="22"/>
      <c r="TQC1" s="22"/>
      <c r="TQD1" s="22"/>
      <c r="TQE1" s="22"/>
      <c r="TQF1" s="22"/>
      <c r="TQG1" s="22"/>
      <c r="TQH1" s="22"/>
      <c r="TQI1" s="22"/>
      <c r="TQJ1" s="22"/>
      <c r="TQK1" s="22"/>
      <c r="TQL1" s="22"/>
      <c r="TQM1" s="22"/>
      <c r="TQN1" s="22"/>
      <c r="TQO1" s="22"/>
      <c r="TQP1" s="22"/>
      <c r="TQQ1" s="22"/>
      <c r="TQR1" s="22"/>
      <c r="TQS1" s="22"/>
      <c r="TQT1" s="22"/>
      <c r="TQU1" s="22"/>
      <c r="TQV1" s="22"/>
      <c r="TQW1" s="22"/>
      <c r="TQX1" s="22"/>
      <c r="TQY1" s="22"/>
      <c r="TQZ1" s="22"/>
      <c r="TRA1" s="22"/>
      <c r="TRB1" s="22"/>
      <c r="TRC1" s="22"/>
      <c r="TRD1" s="22"/>
      <c r="TRE1" s="22"/>
      <c r="TRF1" s="22"/>
      <c r="TRG1" s="22"/>
      <c r="TRH1" s="22"/>
      <c r="TRI1" s="22"/>
      <c r="TRJ1" s="22"/>
      <c r="TRK1" s="22"/>
      <c r="TRL1" s="22"/>
      <c r="TRM1" s="22"/>
      <c r="TRN1" s="22"/>
      <c r="TRO1" s="22"/>
      <c r="TRP1" s="22"/>
      <c r="TRQ1" s="22"/>
      <c r="TRR1" s="22"/>
      <c r="TRS1" s="22"/>
      <c r="TRT1" s="22"/>
      <c r="TRU1" s="22"/>
      <c r="TRV1" s="22"/>
      <c r="TRW1" s="22"/>
      <c r="TRX1" s="22"/>
      <c r="TRY1" s="22"/>
      <c r="TRZ1" s="22"/>
      <c r="TSA1" s="22"/>
      <c r="TSB1" s="22"/>
      <c r="TSC1" s="22"/>
      <c r="TSD1" s="22"/>
      <c r="TSE1" s="22"/>
      <c r="TSF1" s="22"/>
      <c r="TSG1" s="22"/>
      <c r="TSH1" s="22"/>
      <c r="TSI1" s="22"/>
      <c r="TSJ1" s="22"/>
      <c r="TSK1" s="22"/>
      <c r="TSL1" s="22"/>
      <c r="TSM1" s="22"/>
      <c r="TSN1" s="22"/>
      <c r="TSO1" s="22"/>
      <c r="TSP1" s="22"/>
      <c r="TSQ1" s="22"/>
      <c r="TSR1" s="22"/>
      <c r="TSS1" s="22"/>
      <c r="TST1" s="22"/>
      <c r="TSU1" s="22"/>
      <c r="TSV1" s="22"/>
      <c r="TSW1" s="22"/>
      <c r="TSX1" s="22"/>
      <c r="TSY1" s="22"/>
      <c r="TSZ1" s="22"/>
      <c r="TTA1" s="22"/>
      <c r="TTB1" s="22"/>
      <c r="TTC1" s="22"/>
      <c r="TTD1" s="22"/>
      <c r="TTE1" s="22"/>
      <c r="TTF1" s="22"/>
      <c r="TTG1" s="22"/>
      <c r="TTH1" s="22"/>
      <c r="TTI1" s="22"/>
      <c r="TTJ1" s="22"/>
      <c r="TTK1" s="22"/>
      <c r="TTL1" s="22"/>
      <c r="TTM1" s="22"/>
      <c r="TTN1" s="22"/>
      <c r="TTO1" s="22"/>
      <c r="TTP1" s="22"/>
      <c r="TTQ1" s="22"/>
      <c r="TTR1" s="22"/>
      <c r="TTS1" s="22"/>
      <c r="TTT1" s="22"/>
      <c r="TTU1" s="22"/>
      <c r="TTV1" s="22"/>
      <c r="TTW1" s="22"/>
      <c r="TTX1" s="22"/>
      <c r="TTY1" s="22"/>
      <c r="TTZ1" s="22"/>
      <c r="TUA1" s="22"/>
      <c r="TUB1" s="22"/>
      <c r="TUC1" s="22"/>
      <c r="TUD1" s="22"/>
      <c r="TUE1" s="22"/>
      <c r="TUF1" s="22"/>
      <c r="TUG1" s="22"/>
      <c r="TUH1" s="22"/>
      <c r="TUI1" s="22"/>
      <c r="TUJ1" s="22"/>
      <c r="TUK1" s="22"/>
      <c r="TUL1" s="22"/>
      <c r="TUM1" s="22"/>
      <c r="TUN1" s="22"/>
      <c r="TUO1" s="22"/>
      <c r="TUP1" s="22"/>
      <c r="TUQ1" s="22"/>
      <c r="TUR1" s="22"/>
      <c r="TUS1" s="22"/>
      <c r="TUT1" s="22"/>
      <c r="TUU1" s="22"/>
      <c r="TUV1" s="22"/>
      <c r="TUW1" s="22"/>
      <c r="TUX1" s="22"/>
      <c r="TUY1" s="22"/>
      <c r="TUZ1" s="22"/>
      <c r="TVA1" s="22"/>
      <c r="TVB1" s="22"/>
      <c r="TVC1" s="22"/>
      <c r="TVD1" s="22"/>
      <c r="TVE1" s="22"/>
      <c r="TVF1" s="22"/>
      <c r="TVG1" s="22"/>
      <c r="TVH1" s="22"/>
      <c r="TVI1" s="22"/>
      <c r="TVJ1" s="22"/>
      <c r="TVK1" s="22"/>
      <c r="TVL1" s="22"/>
      <c r="TVM1" s="22"/>
      <c r="TVN1" s="22"/>
      <c r="TVO1" s="22"/>
      <c r="TVP1" s="22"/>
      <c r="TVQ1" s="22"/>
      <c r="TVR1" s="22"/>
      <c r="TVS1" s="22"/>
      <c r="TVT1" s="22"/>
      <c r="TVU1" s="22"/>
      <c r="TVV1" s="22"/>
      <c r="TVW1" s="22"/>
      <c r="TVX1" s="22"/>
      <c r="TVY1" s="22"/>
      <c r="TVZ1" s="22"/>
      <c r="TWA1" s="22"/>
      <c r="TWB1" s="22"/>
      <c r="TWC1" s="22"/>
      <c r="TWD1" s="22"/>
      <c r="TWE1" s="22"/>
      <c r="TWF1" s="22"/>
      <c r="TWG1" s="22"/>
      <c r="TWH1" s="22"/>
      <c r="TWI1" s="22"/>
      <c r="TWJ1" s="22"/>
      <c r="TWK1" s="22"/>
      <c r="TWL1" s="22"/>
      <c r="TWM1" s="22"/>
      <c r="TWN1" s="22"/>
      <c r="TWO1" s="22"/>
      <c r="TWP1" s="22"/>
      <c r="TWQ1" s="22"/>
      <c r="TWR1" s="22"/>
      <c r="TWS1" s="22"/>
      <c r="TWT1" s="22"/>
      <c r="TWU1" s="22"/>
      <c r="TWV1" s="22"/>
      <c r="TWW1" s="22"/>
      <c r="TWX1" s="22"/>
      <c r="TWY1" s="22"/>
      <c r="TWZ1" s="22"/>
      <c r="TXA1" s="22"/>
      <c r="TXB1" s="22"/>
      <c r="TXC1" s="22"/>
      <c r="TXD1" s="22"/>
      <c r="TXE1" s="22"/>
      <c r="TXF1" s="22"/>
      <c r="TXG1" s="22"/>
      <c r="TXH1" s="22"/>
      <c r="TXI1" s="22"/>
      <c r="TXJ1" s="22"/>
      <c r="TXK1" s="22"/>
      <c r="TXL1" s="22"/>
      <c r="TXM1" s="22"/>
      <c r="TXN1" s="22"/>
      <c r="TXO1" s="22"/>
      <c r="TXP1" s="22"/>
      <c r="TXQ1" s="22"/>
      <c r="TXR1" s="22"/>
      <c r="TXS1" s="22"/>
      <c r="TXT1" s="22"/>
      <c r="TXU1" s="22"/>
      <c r="TXV1" s="22"/>
      <c r="TXW1" s="22"/>
      <c r="TXX1" s="22"/>
      <c r="TXY1" s="22"/>
      <c r="TXZ1" s="22"/>
      <c r="TYA1" s="22"/>
      <c r="TYB1" s="22"/>
      <c r="TYC1" s="22"/>
      <c r="TYD1" s="22"/>
      <c r="TYE1" s="22"/>
      <c r="TYF1" s="22"/>
      <c r="TYG1" s="22"/>
      <c r="TYH1" s="22"/>
      <c r="TYI1" s="22"/>
      <c r="TYJ1" s="22"/>
      <c r="TYK1" s="22"/>
      <c r="TYL1" s="22"/>
      <c r="TYM1" s="22"/>
      <c r="TYN1" s="22"/>
      <c r="TYO1" s="22"/>
      <c r="TYP1" s="22"/>
      <c r="TYQ1" s="22"/>
      <c r="TYR1" s="22"/>
      <c r="TYS1" s="22"/>
      <c r="TYT1" s="22"/>
      <c r="TYU1" s="22"/>
      <c r="TYV1" s="22"/>
      <c r="TYW1" s="22"/>
      <c r="TYX1" s="22"/>
      <c r="TYY1" s="22"/>
      <c r="TYZ1" s="22"/>
      <c r="TZA1" s="22"/>
      <c r="TZB1" s="22"/>
      <c r="TZC1" s="22"/>
      <c r="TZD1" s="22"/>
      <c r="TZE1" s="22"/>
      <c r="TZF1" s="22"/>
      <c r="TZG1" s="22"/>
      <c r="TZH1" s="22"/>
      <c r="TZI1" s="22"/>
      <c r="TZJ1" s="22"/>
      <c r="TZK1" s="22"/>
      <c r="TZL1" s="22"/>
      <c r="TZM1" s="22"/>
      <c r="TZN1" s="22"/>
      <c r="TZO1" s="22"/>
      <c r="TZP1" s="22"/>
      <c r="TZQ1" s="22"/>
      <c r="TZR1" s="22"/>
      <c r="TZS1" s="22"/>
      <c r="TZT1" s="22"/>
      <c r="TZU1" s="22"/>
      <c r="TZV1" s="22"/>
      <c r="TZW1" s="22"/>
      <c r="TZX1" s="22"/>
      <c r="TZY1" s="22"/>
      <c r="TZZ1" s="22"/>
      <c r="UAA1" s="22"/>
      <c r="UAB1" s="22"/>
      <c r="UAC1" s="22"/>
      <c r="UAD1" s="22"/>
      <c r="UAE1" s="22"/>
      <c r="UAF1" s="22"/>
      <c r="UAG1" s="22"/>
      <c r="UAH1" s="22"/>
      <c r="UAI1" s="22"/>
      <c r="UAJ1" s="22"/>
      <c r="UAK1" s="22"/>
      <c r="UAL1" s="22"/>
      <c r="UAM1" s="22"/>
      <c r="UAN1" s="22"/>
      <c r="UAO1" s="22"/>
      <c r="UAP1" s="22"/>
      <c r="UAQ1" s="22"/>
      <c r="UAR1" s="22"/>
      <c r="UAS1" s="22"/>
      <c r="UAT1" s="22"/>
      <c r="UAU1" s="22"/>
      <c r="UAV1" s="22"/>
      <c r="UAW1" s="22"/>
      <c r="UAX1" s="22"/>
      <c r="UAY1" s="22"/>
      <c r="UAZ1" s="22"/>
      <c r="UBA1" s="22"/>
      <c r="UBB1" s="22"/>
      <c r="UBC1" s="22"/>
      <c r="UBD1" s="22"/>
      <c r="UBE1" s="22"/>
      <c r="UBF1" s="22"/>
      <c r="UBG1" s="22"/>
      <c r="UBH1" s="22"/>
      <c r="UBI1" s="22"/>
      <c r="UBJ1" s="22"/>
      <c r="UBK1" s="22"/>
      <c r="UBL1" s="22"/>
      <c r="UBM1" s="22"/>
      <c r="UBN1" s="22"/>
      <c r="UBO1" s="22"/>
      <c r="UBP1" s="22"/>
      <c r="UBQ1" s="22"/>
      <c r="UBR1" s="22"/>
      <c r="UBS1" s="22"/>
      <c r="UBT1" s="22"/>
      <c r="UBU1" s="22"/>
      <c r="UBV1" s="22"/>
      <c r="UBW1" s="22"/>
      <c r="UBX1" s="22"/>
      <c r="UBY1" s="22"/>
      <c r="UBZ1" s="22"/>
      <c r="UCA1" s="22"/>
      <c r="UCB1" s="22"/>
      <c r="UCC1" s="22"/>
      <c r="UCD1" s="22"/>
      <c r="UCE1" s="22"/>
      <c r="UCF1" s="22"/>
      <c r="UCG1" s="22"/>
      <c r="UCH1" s="22"/>
      <c r="UCI1" s="22"/>
      <c r="UCJ1" s="22"/>
      <c r="UCK1" s="22"/>
      <c r="UCL1" s="22"/>
      <c r="UCM1" s="22"/>
      <c r="UCN1" s="22"/>
      <c r="UCO1" s="22"/>
      <c r="UCP1" s="22"/>
      <c r="UCQ1" s="22"/>
      <c r="UCR1" s="22"/>
      <c r="UCS1" s="22"/>
      <c r="UCT1" s="22"/>
      <c r="UCU1" s="22"/>
      <c r="UCV1" s="22"/>
      <c r="UCW1" s="22"/>
      <c r="UCX1" s="22"/>
      <c r="UCY1" s="22"/>
      <c r="UCZ1" s="22"/>
      <c r="UDA1" s="22"/>
      <c r="UDB1" s="22"/>
      <c r="UDC1" s="22"/>
      <c r="UDD1" s="22"/>
      <c r="UDE1" s="22"/>
      <c r="UDF1" s="22"/>
      <c r="UDG1" s="22"/>
      <c r="UDH1" s="22"/>
      <c r="UDI1" s="22"/>
      <c r="UDJ1" s="22"/>
      <c r="UDK1" s="22"/>
      <c r="UDL1" s="22"/>
      <c r="UDM1" s="22"/>
      <c r="UDN1" s="22"/>
      <c r="UDO1" s="22"/>
      <c r="UDP1" s="22"/>
      <c r="UDQ1" s="22"/>
      <c r="UDR1" s="22"/>
      <c r="UDS1" s="22"/>
      <c r="UDT1" s="22"/>
      <c r="UDU1" s="22"/>
      <c r="UDV1" s="22"/>
      <c r="UDW1" s="22"/>
      <c r="UDX1" s="22"/>
      <c r="UDY1" s="22"/>
      <c r="UDZ1" s="22"/>
      <c r="UEA1" s="22"/>
      <c r="UEB1" s="22"/>
      <c r="UEC1" s="22"/>
      <c r="UED1" s="22"/>
      <c r="UEE1" s="22"/>
      <c r="UEF1" s="22"/>
      <c r="UEG1" s="22"/>
      <c r="UEH1" s="22"/>
      <c r="UEI1" s="22"/>
      <c r="UEJ1" s="22"/>
      <c r="UEK1" s="22"/>
      <c r="UEL1" s="22"/>
      <c r="UEM1" s="22"/>
      <c r="UEN1" s="22"/>
      <c r="UEO1" s="22"/>
      <c r="UEP1" s="22"/>
      <c r="UEQ1" s="22"/>
      <c r="UER1" s="22"/>
      <c r="UES1" s="22"/>
      <c r="UET1" s="22"/>
      <c r="UEU1" s="22"/>
      <c r="UEV1" s="22"/>
      <c r="UEW1" s="22"/>
      <c r="UEX1" s="22"/>
      <c r="UEY1" s="22"/>
      <c r="UEZ1" s="22"/>
      <c r="UFA1" s="22"/>
      <c r="UFB1" s="22"/>
      <c r="UFC1" s="22"/>
      <c r="UFD1" s="22"/>
      <c r="UFE1" s="22"/>
      <c r="UFF1" s="22"/>
      <c r="UFG1" s="22"/>
      <c r="UFH1" s="22"/>
      <c r="UFI1" s="22"/>
      <c r="UFJ1" s="22"/>
      <c r="UFK1" s="22"/>
      <c r="UFL1" s="22"/>
      <c r="UFM1" s="22"/>
      <c r="UFN1" s="22"/>
      <c r="UFO1" s="22"/>
      <c r="UFP1" s="22"/>
      <c r="UFQ1" s="22"/>
      <c r="UFR1" s="22"/>
      <c r="UFS1" s="22"/>
      <c r="UFT1" s="22"/>
      <c r="UFU1" s="22"/>
      <c r="UFV1" s="22"/>
      <c r="UFW1" s="22"/>
      <c r="UFX1" s="22"/>
      <c r="UFY1" s="22"/>
      <c r="UFZ1" s="22"/>
      <c r="UGA1" s="22"/>
      <c r="UGB1" s="22"/>
      <c r="UGC1" s="22"/>
      <c r="UGD1" s="22"/>
      <c r="UGE1" s="22"/>
      <c r="UGF1" s="22"/>
      <c r="UGG1" s="22"/>
      <c r="UGH1" s="22"/>
      <c r="UGI1" s="22"/>
      <c r="UGJ1" s="22"/>
      <c r="UGK1" s="22"/>
      <c r="UGL1" s="22"/>
      <c r="UGM1" s="22"/>
      <c r="UGN1" s="22"/>
      <c r="UGO1" s="22"/>
      <c r="UGP1" s="22"/>
      <c r="UGQ1" s="22"/>
      <c r="UGR1" s="22"/>
      <c r="UGS1" s="22"/>
      <c r="UGT1" s="22"/>
      <c r="UGU1" s="22"/>
      <c r="UGV1" s="22"/>
      <c r="UGW1" s="22"/>
      <c r="UGX1" s="22"/>
      <c r="UGY1" s="22"/>
      <c r="UGZ1" s="22"/>
      <c r="UHA1" s="22"/>
      <c r="UHB1" s="22"/>
      <c r="UHC1" s="22"/>
      <c r="UHD1" s="22"/>
      <c r="UHE1" s="22"/>
      <c r="UHF1" s="22"/>
      <c r="UHG1" s="22"/>
      <c r="UHH1" s="22"/>
      <c r="UHI1" s="22"/>
      <c r="UHJ1" s="22"/>
      <c r="UHK1" s="22"/>
      <c r="UHL1" s="22"/>
      <c r="UHM1" s="22"/>
      <c r="UHN1" s="22"/>
      <c r="UHO1" s="22"/>
      <c r="UHP1" s="22"/>
      <c r="UHQ1" s="22"/>
      <c r="UHR1" s="22"/>
      <c r="UHS1" s="22"/>
      <c r="UHT1" s="22"/>
      <c r="UHU1" s="22"/>
      <c r="UHV1" s="22"/>
      <c r="UHW1" s="22"/>
      <c r="UHX1" s="22"/>
      <c r="UHY1" s="22"/>
      <c r="UHZ1" s="22"/>
      <c r="UIA1" s="22"/>
      <c r="UIB1" s="22"/>
      <c r="UIC1" s="22"/>
      <c r="UID1" s="22"/>
      <c r="UIE1" s="22"/>
      <c r="UIF1" s="22"/>
      <c r="UIG1" s="22"/>
      <c r="UIH1" s="22"/>
      <c r="UII1" s="22"/>
      <c r="UIJ1" s="22"/>
      <c r="UIK1" s="22"/>
      <c r="UIL1" s="22"/>
      <c r="UIM1" s="22"/>
      <c r="UIN1" s="22"/>
      <c r="UIO1" s="22"/>
      <c r="UIP1" s="22"/>
      <c r="UIQ1" s="22"/>
      <c r="UIR1" s="22"/>
      <c r="UIS1" s="22"/>
      <c r="UIT1" s="22"/>
      <c r="UIU1" s="22"/>
      <c r="UIV1" s="22"/>
      <c r="UIW1" s="22"/>
      <c r="UIX1" s="22"/>
      <c r="UIY1" s="22"/>
      <c r="UIZ1" s="22"/>
      <c r="UJA1" s="22"/>
      <c r="UJB1" s="22"/>
      <c r="UJC1" s="22"/>
      <c r="UJD1" s="22"/>
      <c r="UJE1" s="22"/>
      <c r="UJF1" s="22"/>
      <c r="UJG1" s="22"/>
      <c r="UJH1" s="22"/>
      <c r="UJI1" s="22"/>
      <c r="UJJ1" s="22"/>
      <c r="UJK1" s="22"/>
      <c r="UJL1" s="22"/>
      <c r="UJM1" s="22"/>
      <c r="UJN1" s="22"/>
      <c r="UJO1" s="22"/>
      <c r="UJP1" s="22"/>
      <c r="UJQ1" s="22"/>
      <c r="UJR1" s="22"/>
      <c r="UJS1" s="22"/>
      <c r="UJT1" s="22"/>
      <c r="UJU1" s="22"/>
      <c r="UJV1" s="22"/>
      <c r="UJW1" s="22"/>
      <c r="UJX1" s="22"/>
      <c r="UJY1" s="22"/>
      <c r="UJZ1" s="22"/>
      <c r="UKA1" s="22"/>
      <c r="UKB1" s="22"/>
      <c r="UKC1" s="22"/>
      <c r="UKD1" s="22"/>
      <c r="UKE1" s="22"/>
      <c r="UKF1" s="22"/>
      <c r="UKG1" s="22"/>
      <c r="UKH1" s="22"/>
      <c r="UKI1" s="22"/>
      <c r="UKJ1" s="22"/>
      <c r="UKK1" s="22"/>
      <c r="UKL1" s="22"/>
      <c r="UKM1" s="22"/>
      <c r="UKN1" s="22"/>
      <c r="UKO1" s="22"/>
      <c r="UKP1" s="22"/>
      <c r="UKQ1" s="22"/>
      <c r="UKR1" s="22"/>
      <c r="UKS1" s="22"/>
      <c r="UKT1" s="22"/>
      <c r="UKU1" s="22"/>
      <c r="UKV1" s="22"/>
      <c r="UKW1" s="22"/>
      <c r="UKX1" s="22"/>
      <c r="UKY1" s="22"/>
      <c r="UKZ1" s="22"/>
      <c r="ULA1" s="22"/>
      <c r="ULB1" s="22"/>
      <c r="ULC1" s="22"/>
      <c r="ULD1" s="22"/>
      <c r="ULE1" s="22"/>
      <c r="ULF1" s="22"/>
      <c r="ULG1" s="22"/>
      <c r="ULH1" s="22"/>
      <c r="ULI1" s="22"/>
      <c r="ULJ1" s="22"/>
      <c r="ULK1" s="22"/>
      <c r="ULL1" s="22"/>
      <c r="ULM1" s="22"/>
      <c r="ULN1" s="22"/>
      <c r="ULO1" s="22"/>
      <c r="ULP1" s="22"/>
      <c r="ULQ1" s="22"/>
      <c r="ULR1" s="22"/>
      <c r="ULS1" s="22"/>
      <c r="ULT1" s="22"/>
      <c r="ULU1" s="22"/>
      <c r="ULV1" s="22"/>
      <c r="ULW1" s="22"/>
      <c r="ULX1" s="22"/>
      <c r="ULY1" s="22"/>
      <c r="ULZ1" s="22"/>
      <c r="UMA1" s="22"/>
      <c r="UMB1" s="22"/>
      <c r="UMC1" s="22"/>
      <c r="UMD1" s="22"/>
      <c r="UME1" s="22"/>
      <c r="UMF1" s="22"/>
      <c r="UMG1" s="22"/>
      <c r="UMH1" s="22"/>
      <c r="UMI1" s="22"/>
      <c r="UMJ1" s="22"/>
      <c r="UMK1" s="22"/>
      <c r="UML1" s="22"/>
      <c r="UMM1" s="22"/>
      <c r="UMN1" s="22"/>
      <c r="UMO1" s="22"/>
      <c r="UMP1" s="22"/>
      <c r="UMQ1" s="22"/>
      <c r="UMR1" s="22"/>
      <c r="UMS1" s="22"/>
      <c r="UMT1" s="22"/>
      <c r="UMU1" s="22"/>
      <c r="UMV1" s="22"/>
      <c r="UMW1" s="22"/>
      <c r="UMX1" s="22"/>
      <c r="UMY1" s="22"/>
      <c r="UMZ1" s="22"/>
      <c r="UNA1" s="22"/>
      <c r="UNB1" s="22"/>
      <c r="UNC1" s="22"/>
      <c r="UND1" s="22"/>
      <c r="UNE1" s="22"/>
      <c r="UNF1" s="22"/>
      <c r="UNG1" s="22"/>
      <c r="UNH1" s="22"/>
      <c r="UNI1" s="22"/>
      <c r="UNJ1" s="22"/>
      <c r="UNK1" s="22"/>
      <c r="UNL1" s="22"/>
      <c r="UNM1" s="22"/>
      <c r="UNN1" s="22"/>
      <c r="UNO1" s="22"/>
      <c r="UNP1" s="22"/>
      <c r="UNQ1" s="22"/>
      <c r="UNR1" s="22"/>
      <c r="UNS1" s="22"/>
      <c r="UNT1" s="22"/>
      <c r="UNU1" s="22"/>
      <c r="UNV1" s="22"/>
      <c r="UNW1" s="22"/>
      <c r="UNX1" s="22"/>
      <c r="UNY1" s="22"/>
      <c r="UNZ1" s="22"/>
      <c r="UOA1" s="22"/>
      <c r="UOB1" s="22"/>
      <c r="UOC1" s="22"/>
      <c r="UOD1" s="22"/>
      <c r="UOE1" s="22"/>
      <c r="UOF1" s="22"/>
      <c r="UOG1" s="22"/>
      <c r="UOH1" s="22"/>
      <c r="UOI1" s="22"/>
      <c r="UOJ1" s="22"/>
      <c r="UOK1" s="22"/>
      <c r="UOL1" s="22"/>
      <c r="UOM1" s="22"/>
      <c r="UON1" s="22"/>
      <c r="UOO1" s="22"/>
      <c r="UOP1" s="22"/>
      <c r="UOQ1" s="22"/>
      <c r="UOR1" s="22"/>
      <c r="UOS1" s="22"/>
      <c r="UOT1" s="22"/>
      <c r="UOU1" s="22"/>
      <c r="UOV1" s="22"/>
      <c r="UOW1" s="22"/>
      <c r="UOX1" s="22"/>
      <c r="UOY1" s="22"/>
      <c r="UOZ1" s="22"/>
      <c r="UPA1" s="22"/>
      <c r="UPB1" s="22"/>
      <c r="UPC1" s="22"/>
      <c r="UPD1" s="22"/>
      <c r="UPE1" s="22"/>
      <c r="UPF1" s="22"/>
      <c r="UPG1" s="22"/>
      <c r="UPH1" s="22"/>
      <c r="UPI1" s="22"/>
      <c r="UPJ1" s="22"/>
      <c r="UPK1" s="22"/>
      <c r="UPL1" s="22"/>
      <c r="UPM1" s="22"/>
      <c r="UPN1" s="22"/>
      <c r="UPO1" s="22"/>
      <c r="UPP1" s="22"/>
      <c r="UPQ1" s="22"/>
      <c r="UPR1" s="22"/>
      <c r="UPS1" s="22"/>
      <c r="UPT1" s="22"/>
      <c r="UPU1" s="22"/>
      <c r="UPV1" s="22"/>
      <c r="UPW1" s="22"/>
      <c r="UPX1" s="22"/>
      <c r="UPY1" s="22"/>
      <c r="UPZ1" s="22"/>
      <c r="UQA1" s="22"/>
      <c r="UQB1" s="22"/>
      <c r="UQC1" s="22"/>
      <c r="UQD1" s="22"/>
      <c r="UQE1" s="22"/>
      <c r="UQF1" s="22"/>
      <c r="UQG1" s="22"/>
      <c r="UQH1" s="22"/>
      <c r="UQI1" s="22"/>
      <c r="UQJ1" s="22"/>
      <c r="UQK1" s="22"/>
      <c r="UQL1" s="22"/>
      <c r="UQM1" s="22"/>
      <c r="UQN1" s="22"/>
      <c r="UQO1" s="22"/>
      <c r="UQP1" s="22"/>
      <c r="UQQ1" s="22"/>
      <c r="UQR1" s="22"/>
      <c r="UQS1" s="22"/>
      <c r="UQT1" s="22"/>
      <c r="UQU1" s="22"/>
      <c r="UQV1" s="22"/>
      <c r="UQW1" s="22"/>
      <c r="UQX1" s="22"/>
      <c r="UQY1" s="22"/>
      <c r="UQZ1" s="22"/>
      <c r="URA1" s="22"/>
      <c r="URB1" s="22"/>
      <c r="URC1" s="22"/>
      <c r="URD1" s="22"/>
      <c r="URE1" s="22"/>
      <c r="URF1" s="22"/>
      <c r="URG1" s="22"/>
      <c r="URH1" s="22"/>
      <c r="URI1" s="22"/>
      <c r="URJ1" s="22"/>
      <c r="URK1" s="22"/>
      <c r="URL1" s="22"/>
      <c r="URM1" s="22"/>
      <c r="URN1" s="22"/>
      <c r="URO1" s="22"/>
      <c r="URP1" s="22"/>
      <c r="URQ1" s="22"/>
      <c r="URR1" s="22"/>
      <c r="URS1" s="22"/>
      <c r="URT1" s="22"/>
      <c r="URU1" s="22"/>
      <c r="URV1" s="22"/>
      <c r="URW1" s="22"/>
      <c r="URX1" s="22"/>
      <c r="URY1" s="22"/>
      <c r="URZ1" s="22"/>
      <c r="USA1" s="22"/>
      <c r="USB1" s="22"/>
      <c r="USC1" s="22"/>
      <c r="USD1" s="22"/>
      <c r="USE1" s="22"/>
      <c r="USF1" s="22"/>
      <c r="USG1" s="22"/>
      <c r="USH1" s="22"/>
      <c r="USI1" s="22"/>
      <c r="USJ1" s="22"/>
      <c r="USK1" s="22"/>
      <c r="USL1" s="22"/>
      <c r="USM1" s="22"/>
      <c r="USN1" s="22"/>
      <c r="USO1" s="22"/>
      <c r="USP1" s="22"/>
      <c r="USQ1" s="22"/>
      <c r="USR1" s="22"/>
      <c r="USS1" s="22"/>
      <c r="UST1" s="22"/>
      <c r="USU1" s="22"/>
      <c r="USV1" s="22"/>
      <c r="USW1" s="22"/>
      <c r="USX1" s="22"/>
      <c r="USY1" s="22"/>
      <c r="USZ1" s="22"/>
      <c r="UTA1" s="22"/>
      <c r="UTB1" s="22"/>
      <c r="UTC1" s="22"/>
      <c r="UTD1" s="22"/>
      <c r="UTE1" s="22"/>
      <c r="UTF1" s="22"/>
      <c r="UTG1" s="22"/>
      <c r="UTH1" s="22"/>
      <c r="UTI1" s="22"/>
      <c r="UTJ1" s="22"/>
      <c r="UTK1" s="22"/>
      <c r="UTL1" s="22"/>
      <c r="UTM1" s="22"/>
      <c r="UTN1" s="22"/>
      <c r="UTO1" s="22"/>
      <c r="UTP1" s="22"/>
      <c r="UTQ1" s="22"/>
      <c r="UTR1" s="22"/>
      <c r="UTS1" s="22"/>
      <c r="UTT1" s="22"/>
      <c r="UTU1" s="22"/>
      <c r="UTV1" s="22"/>
      <c r="UTW1" s="22"/>
      <c r="UTX1" s="22"/>
      <c r="UTY1" s="22"/>
      <c r="UTZ1" s="22"/>
      <c r="UUA1" s="22"/>
      <c r="UUB1" s="22"/>
      <c r="UUC1" s="22"/>
      <c r="UUD1" s="22"/>
      <c r="UUE1" s="22"/>
      <c r="UUF1" s="22"/>
      <c r="UUG1" s="22"/>
      <c r="UUH1" s="22"/>
      <c r="UUI1" s="22"/>
      <c r="UUJ1" s="22"/>
      <c r="UUK1" s="22"/>
      <c r="UUL1" s="22"/>
      <c r="UUM1" s="22"/>
      <c r="UUN1" s="22"/>
      <c r="UUO1" s="22"/>
      <c r="UUP1" s="22"/>
      <c r="UUQ1" s="22"/>
      <c r="UUR1" s="22"/>
      <c r="UUS1" s="22"/>
      <c r="UUT1" s="22"/>
      <c r="UUU1" s="22"/>
      <c r="UUV1" s="22"/>
      <c r="UUW1" s="22"/>
      <c r="UUX1" s="22"/>
      <c r="UUY1" s="22"/>
      <c r="UUZ1" s="22"/>
      <c r="UVA1" s="22"/>
      <c r="UVB1" s="22"/>
      <c r="UVC1" s="22"/>
      <c r="UVD1" s="22"/>
      <c r="UVE1" s="22"/>
      <c r="UVF1" s="22"/>
      <c r="UVG1" s="22"/>
      <c r="UVH1" s="22"/>
      <c r="UVI1" s="22"/>
      <c r="UVJ1" s="22"/>
      <c r="UVK1" s="22"/>
      <c r="UVL1" s="22"/>
      <c r="UVM1" s="22"/>
      <c r="UVN1" s="22"/>
      <c r="UVO1" s="22"/>
      <c r="UVP1" s="22"/>
      <c r="UVQ1" s="22"/>
      <c r="UVR1" s="22"/>
      <c r="UVS1" s="22"/>
      <c r="UVT1" s="22"/>
      <c r="UVU1" s="22"/>
      <c r="UVV1" s="22"/>
      <c r="UVW1" s="22"/>
      <c r="UVX1" s="22"/>
      <c r="UVY1" s="22"/>
      <c r="UVZ1" s="22"/>
      <c r="UWA1" s="22"/>
      <c r="UWB1" s="22"/>
      <c r="UWC1" s="22"/>
      <c r="UWD1" s="22"/>
      <c r="UWE1" s="22"/>
      <c r="UWF1" s="22"/>
      <c r="UWG1" s="22"/>
      <c r="UWH1" s="22"/>
      <c r="UWI1" s="22"/>
      <c r="UWJ1" s="22"/>
      <c r="UWK1" s="22"/>
      <c r="UWL1" s="22"/>
      <c r="UWM1" s="22"/>
      <c r="UWN1" s="22"/>
      <c r="UWO1" s="22"/>
      <c r="UWP1" s="22"/>
      <c r="UWQ1" s="22"/>
      <c r="UWR1" s="22"/>
      <c r="UWS1" s="22"/>
      <c r="UWT1" s="22"/>
      <c r="UWU1" s="22"/>
      <c r="UWV1" s="22"/>
      <c r="UWW1" s="22"/>
      <c r="UWX1" s="22"/>
      <c r="UWY1" s="22"/>
      <c r="UWZ1" s="22"/>
      <c r="UXA1" s="22"/>
      <c r="UXB1" s="22"/>
      <c r="UXC1" s="22"/>
      <c r="UXD1" s="22"/>
      <c r="UXE1" s="22"/>
      <c r="UXF1" s="22"/>
      <c r="UXG1" s="22"/>
      <c r="UXH1" s="22"/>
      <c r="UXI1" s="22"/>
      <c r="UXJ1" s="22"/>
      <c r="UXK1" s="22"/>
      <c r="UXL1" s="22"/>
      <c r="UXM1" s="22"/>
      <c r="UXN1" s="22"/>
      <c r="UXO1" s="22"/>
      <c r="UXP1" s="22"/>
      <c r="UXQ1" s="22"/>
      <c r="UXR1" s="22"/>
      <c r="UXS1" s="22"/>
      <c r="UXT1" s="22"/>
      <c r="UXU1" s="22"/>
      <c r="UXV1" s="22"/>
      <c r="UXW1" s="22"/>
      <c r="UXX1" s="22"/>
      <c r="UXY1" s="22"/>
      <c r="UXZ1" s="22"/>
      <c r="UYA1" s="22"/>
      <c r="UYB1" s="22"/>
      <c r="UYC1" s="22"/>
      <c r="UYD1" s="22"/>
      <c r="UYE1" s="22"/>
      <c r="UYF1" s="22"/>
      <c r="UYG1" s="22"/>
      <c r="UYH1" s="22"/>
      <c r="UYI1" s="22"/>
      <c r="UYJ1" s="22"/>
      <c r="UYK1" s="22"/>
      <c r="UYL1" s="22"/>
      <c r="UYM1" s="22"/>
      <c r="UYN1" s="22"/>
      <c r="UYO1" s="22"/>
      <c r="UYP1" s="22"/>
      <c r="UYQ1" s="22"/>
      <c r="UYR1" s="22"/>
      <c r="UYS1" s="22"/>
      <c r="UYT1" s="22"/>
      <c r="UYU1" s="22"/>
      <c r="UYV1" s="22"/>
      <c r="UYW1" s="22"/>
      <c r="UYX1" s="22"/>
      <c r="UYY1" s="22"/>
      <c r="UYZ1" s="22"/>
      <c r="UZA1" s="22"/>
      <c r="UZB1" s="22"/>
      <c r="UZC1" s="22"/>
      <c r="UZD1" s="22"/>
      <c r="UZE1" s="22"/>
      <c r="UZF1" s="22"/>
      <c r="UZG1" s="22"/>
      <c r="UZH1" s="22"/>
      <c r="UZI1" s="22"/>
      <c r="UZJ1" s="22"/>
      <c r="UZK1" s="22"/>
      <c r="UZL1" s="22"/>
      <c r="UZM1" s="22"/>
      <c r="UZN1" s="22"/>
      <c r="UZO1" s="22"/>
      <c r="UZP1" s="22"/>
      <c r="UZQ1" s="22"/>
      <c r="UZR1" s="22"/>
      <c r="UZS1" s="22"/>
      <c r="UZT1" s="22"/>
      <c r="UZU1" s="22"/>
      <c r="UZV1" s="22"/>
      <c r="UZW1" s="22"/>
      <c r="UZX1" s="22"/>
      <c r="UZY1" s="22"/>
      <c r="UZZ1" s="22"/>
      <c r="VAA1" s="22"/>
      <c r="VAB1" s="22"/>
      <c r="VAC1" s="22"/>
      <c r="VAD1" s="22"/>
      <c r="VAE1" s="22"/>
      <c r="VAF1" s="22"/>
      <c r="VAG1" s="22"/>
      <c r="VAH1" s="22"/>
      <c r="VAI1" s="22"/>
      <c r="VAJ1" s="22"/>
      <c r="VAK1" s="22"/>
      <c r="VAL1" s="22"/>
      <c r="VAM1" s="22"/>
      <c r="VAN1" s="22"/>
      <c r="VAO1" s="22"/>
      <c r="VAP1" s="22"/>
      <c r="VAQ1" s="22"/>
      <c r="VAR1" s="22"/>
      <c r="VAS1" s="22"/>
      <c r="VAT1" s="22"/>
      <c r="VAU1" s="22"/>
      <c r="VAV1" s="22"/>
      <c r="VAW1" s="22"/>
      <c r="VAX1" s="22"/>
      <c r="VAY1" s="22"/>
      <c r="VAZ1" s="22"/>
      <c r="VBA1" s="22"/>
      <c r="VBB1" s="22"/>
      <c r="VBC1" s="22"/>
      <c r="VBD1" s="22"/>
      <c r="VBE1" s="22"/>
      <c r="VBF1" s="22"/>
      <c r="VBG1" s="22"/>
      <c r="VBH1" s="22"/>
      <c r="VBI1" s="22"/>
      <c r="VBJ1" s="22"/>
      <c r="VBK1" s="22"/>
      <c r="VBL1" s="22"/>
      <c r="VBM1" s="22"/>
      <c r="VBN1" s="22"/>
      <c r="VBO1" s="22"/>
      <c r="VBP1" s="22"/>
      <c r="VBQ1" s="22"/>
      <c r="VBR1" s="22"/>
      <c r="VBS1" s="22"/>
      <c r="VBT1" s="22"/>
      <c r="VBU1" s="22"/>
      <c r="VBV1" s="22"/>
      <c r="VBW1" s="22"/>
      <c r="VBX1" s="22"/>
      <c r="VBY1" s="22"/>
      <c r="VBZ1" s="22"/>
      <c r="VCA1" s="22"/>
      <c r="VCB1" s="22"/>
      <c r="VCC1" s="22"/>
      <c r="VCD1" s="22"/>
      <c r="VCE1" s="22"/>
      <c r="VCF1" s="22"/>
      <c r="VCG1" s="22"/>
      <c r="VCH1" s="22"/>
      <c r="VCI1" s="22"/>
      <c r="VCJ1" s="22"/>
      <c r="VCK1" s="22"/>
      <c r="VCL1" s="22"/>
      <c r="VCM1" s="22"/>
      <c r="VCN1" s="22"/>
      <c r="VCO1" s="22"/>
      <c r="VCP1" s="22"/>
      <c r="VCQ1" s="22"/>
      <c r="VCR1" s="22"/>
      <c r="VCS1" s="22"/>
      <c r="VCT1" s="22"/>
      <c r="VCU1" s="22"/>
      <c r="VCV1" s="22"/>
      <c r="VCW1" s="22"/>
      <c r="VCX1" s="22"/>
      <c r="VCY1" s="22"/>
      <c r="VCZ1" s="22"/>
      <c r="VDA1" s="22"/>
      <c r="VDB1" s="22"/>
      <c r="VDC1" s="22"/>
      <c r="VDD1" s="22"/>
      <c r="VDE1" s="22"/>
      <c r="VDF1" s="22"/>
      <c r="VDG1" s="22"/>
      <c r="VDH1" s="22"/>
      <c r="VDI1" s="22"/>
      <c r="VDJ1" s="22"/>
      <c r="VDK1" s="22"/>
      <c r="VDL1" s="22"/>
      <c r="VDM1" s="22"/>
      <c r="VDN1" s="22"/>
      <c r="VDO1" s="22"/>
      <c r="VDP1" s="22"/>
      <c r="VDQ1" s="22"/>
      <c r="VDR1" s="22"/>
      <c r="VDS1" s="22"/>
      <c r="VDT1" s="22"/>
      <c r="VDU1" s="22"/>
      <c r="VDV1" s="22"/>
      <c r="VDW1" s="22"/>
      <c r="VDX1" s="22"/>
      <c r="VDY1" s="22"/>
      <c r="VDZ1" s="22"/>
      <c r="VEA1" s="22"/>
      <c r="VEB1" s="22"/>
      <c r="VEC1" s="22"/>
      <c r="VED1" s="22"/>
      <c r="VEE1" s="22"/>
      <c r="VEF1" s="22"/>
      <c r="VEG1" s="22"/>
      <c r="VEH1" s="22"/>
      <c r="VEI1" s="22"/>
      <c r="VEJ1" s="22"/>
      <c r="VEK1" s="22"/>
      <c r="VEL1" s="22"/>
      <c r="VEM1" s="22"/>
      <c r="VEN1" s="22"/>
      <c r="VEO1" s="22"/>
      <c r="VEP1" s="22"/>
      <c r="VEQ1" s="22"/>
      <c r="VER1" s="22"/>
      <c r="VES1" s="22"/>
      <c r="VET1" s="22"/>
      <c r="VEU1" s="22"/>
      <c r="VEV1" s="22"/>
      <c r="VEW1" s="22"/>
      <c r="VEX1" s="22"/>
      <c r="VEY1" s="22"/>
      <c r="VEZ1" s="22"/>
      <c r="VFA1" s="22"/>
      <c r="VFB1" s="22"/>
      <c r="VFC1" s="22"/>
      <c r="VFD1" s="22"/>
      <c r="VFE1" s="22"/>
      <c r="VFF1" s="22"/>
      <c r="VFG1" s="22"/>
      <c r="VFH1" s="22"/>
      <c r="VFI1" s="22"/>
      <c r="VFJ1" s="22"/>
      <c r="VFK1" s="22"/>
      <c r="VFL1" s="22"/>
      <c r="VFM1" s="22"/>
      <c r="VFN1" s="22"/>
      <c r="VFO1" s="22"/>
      <c r="VFP1" s="22"/>
      <c r="VFQ1" s="22"/>
      <c r="VFR1" s="22"/>
      <c r="VFS1" s="22"/>
      <c r="VFT1" s="22"/>
      <c r="VFU1" s="22"/>
      <c r="VFV1" s="22"/>
      <c r="VFW1" s="22"/>
      <c r="VFX1" s="22"/>
      <c r="VFY1" s="22"/>
      <c r="VFZ1" s="22"/>
      <c r="VGA1" s="22"/>
      <c r="VGB1" s="22"/>
      <c r="VGC1" s="22"/>
      <c r="VGD1" s="22"/>
      <c r="VGE1" s="22"/>
      <c r="VGF1" s="22"/>
      <c r="VGG1" s="22"/>
      <c r="VGH1" s="22"/>
      <c r="VGI1" s="22"/>
      <c r="VGJ1" s="22"/>
      <c r="VGK1" s="22"/>
      <c r="VGL1" s="22"/>
      <c r="VGM1" s="22"/>
      <c r="VGN1" s="22"/>
      <c r="VGO1" s="22"/>
      <c r="VGP1" s="22"/>
      <c r="VGQ1" s="22"/>
      <c r="VGR1" s="22"/>
      <c r="VGS1" s="22"/>
      <c r="VGT1" s="22"/>
      <c r="VGU1" s="22"/>
      <c r="VGV1" s="22"/>
      <c r="VGW1" s="22"/>
      <c r="VGX1" s="22"/>
      <c r="VGY1" s="22"/>
      <c r="VGZ1" s="22"/>
      <c r="VHA1" s="22"/>
      <c r="VHB1" s="22"/>
      <c r="VHC1" s="22"/>
      <c r="VHD1" s="22"/>
      <c r="VHE1" s="22"/>
      <c r="VHF1" s="22"/>
      <c r="VHG1" s="22"/>
      <c r="VHH1" s="22"/>
      <c r="VHI1" s="22"/>
      <c r="VHJ1" s="22"/>
      <c r="VHK1" s="22"/>
      <c r="VHL1" s="22"/>
      <c r="VHM1" s="22"/>
      <c r="VHN1" s="22"/>
      <c r="VHO1" s="22"/>
      <c r="VHP1" s="22"/>
      <c r="VHQ1" s="22"/>
      <c r="VHR1" s="22"/>
      <c r="VHS1" s="22"/>
      <c r="VHT1" s="22"/>
      <c r="VHU1" s="22"/>
      <c r="VHV1" s="22"/>
      <c r="VHW1" s="22"/>
      <c r="VHX1" s="22"/>
      <c r="VHY1" s="22"/>
      <c r="VHZ1" s="22"/>
      <c r="VIA1" s="22"/>
      <c r="VIB1" s="22"/>
      <c r="VIC1" s="22"/>
      <c r="VID1" s="22"/>
      <c r="VIE1" s="22"/>
      <c r="VIF1" s="22"/>
      <c r="VIG1" s="22"/>
      <c r="VIH1" s="22"/>
      <c r="VII1" s="22"/>
      <c r="VIJ1" s="22"/>
      <c r="VIK1" s="22"/>
      <c r="VIL1" s="22"/>
      <c r="VIM1" s="22"/>
      <c r="VIN1" s="22"/>
      <c r="VIO1" s="22"/>
      <c r="VIP1" s="22"/>
      <c r="VIQ1" s="22"/>
      <c r="VIR1" s="22"/>
      <c r="VIS1" s="22"/>
      <c r="VIT1" s="22"/>
      <c r="VIU1" s="22"/>
      <c r="VIV1" s="22"/>
      <c r="VIW1" s="22"/>
      <c r="VIX1" s="22"/>
      <c r="VIY1" s="22"/>
      <c r="VIZ1" s="22"/>
      <c r="VJA1" s="22"/>
      <c r="VJB1" s="22"/>
      <c r="VJC1" s="22"/>
      <c r="VJD1" s="22"/>
      <c r="VJE1" s="22"/>
      <c r="VJF1" s="22"/>
      <c r="VJG1" s="22"/>
      <c r="VJH1" s="22"/>
      <c r="VJI1" s="22"/>
      <c r="VJJ1" s="22"/>
      <c r="VJK1" s="22"/>
      <c r="VJL1" s="22"/>
      <c r="VJM1" s="22"/>
      <c r="VJN1" s="22"/>
      <c r="VJO1" s="22"/>
      <c r="VJP1" s="22"/>
      <c r="VJQ1" s="22"/>
      <c r="VJR1" s="22"/>
      <c r="VJS1" s="22"/>
      <c r="VJT1" s="22"/>
      <c r="VJU1" s="22"/>
      <c r="VJV1" s="22"/>
      <c r="VJW1" s="22"/>
      <c r="VJX1" s="22"/>
      <c r="VJY1" s="22"/>
      <c r="VJZ1" s="22"/>
      <c r="VKA1" s="22"/>
      <c r="VKB1" s="22"/>
      <c r="VKC1" s="22"/>
      <c r="VKD1" s="22"/>
      <c r="VKE1" s="22"/>
      <c r="VKF1" s="22"/>
      <c r="VKG1" s="22"/>
      <c r="VKH1" s="22"/>
      <c r="VKI1" s="22"/>
      <c r="VKJ1" s="22"/>
      <c r="VKK1" s="22"/>
      <c r="VKL1" s="22"/>
      <c r="VKM1" s="22"/>
      <c r="VKN1" s="22"/>
      <c r="VKO1" s="22"/>
      <c r="VKP1" s="22"/>
      <c r="VKQ1" s="22"/>
      <c r="VKR1" s="22"/>
      <c r="VKS1" s="22"/>
      <c r="VKT1" s="22"/>
      <c r="VKU1" s="22"/>
      <c r="VKV1" s="22"/>
      <c r="VKW1" s="22"/>
      <c r="VKX1" s="22"/>
      <c r="VKY1" s="22"/>
      <c r="VKZ1" s="22"/>
      <c r="VLA1" s="22"/>
      <c r="VLB1" s="22"/>
      <c r="VLC1" s="22"/>
      <c r="VLD1" s="22"/>
      <c r="VLE1" s="22"/>
      <c r="VLF1" s="22"/>
      <c r="VLG1" s="22"/>
      <c r="VLH1" s="22"/>
      <c r="VLI1" s="22"/>
      <c r="VLJ1" s="22"/>
      <c r="VLK1" s="22"/>
      <c r="VLL1" s="22"/>
      <c r="VLM1" s="22"/>
      <c r="VLN1" s="22"/>
      <c r="VLO1" s="22"/>
      <c r="VLP1" s="22"/>
      <c r="VLQ1" s="22"/>
      <c r="VLR1" s="22"/>
      <c r="VLS1" s="22"/>
      <c r="VLT1" s="22"/>
      <c r="VLU1" s="22"/>
      <c r="VLV1" s="22"/>
      <c r="VLW1" s="22"/>
      <c r="VLX1" s="22"/>
      <c r="VLY1" s="22"/>
      <c r="VLZ1" s="22"/>
      <c r="VMA1" s="22"/>
      <c r="VMB1" s="22"/>
      <c r="VMC1" s="22"/>
      <c r="VMD1" s="22"/>
      <c r="VME1" s="22"/>
      <c r="VMF1" s="22"/>
      <c r="VMG1" s="22"/>
      <c r="VMH1" s="22"/>
      <c r="VMI1" s="22"/>
      <c r="VMJ1" s="22"/>
      <c r="VMK1" s="22"/>
      <c r="VML1" s="22"/>
      <c r="VMM1" s="22"/>
      <c r="VMN1" s="22"/>
      <c r="VMO1" s="22"/>
      <c r="VMP1" s="22"/>
      <c r="VMQ1" s="22"/>
      <c r="VMR1" s="22"/>
      <c r="VMS1" s="22"/>
      <c r="VMT1" s="22"/>
      <c r="VMU1" s="22"/>
      <c r="VMV1" s="22"/>
      <c r="VMW1" s="22"/>
      <c r="VMX1" s="22"/>
      <c r="VMY1" s="22"/>
      <c r="VMZ1" s="22"/>
      <c r="VNA1" s="22"/>
      <c r="VNB1" s="22"/>
      <c r="VNC1" s="22"/>
      <c r="VND1" s="22"/>
      <c r="VNE1" s="22"/>
      <c r="VNF1" s="22"/>
      <c r="VNG1" s="22"/>
      <c r="VNH1" s="22"/>
      <c r="VNI1" s="22"/>
      <c r="VNJ1" s="22"/>
      <c r="VNK1" s="22"/>
      <c r="VNL1" s="22"/>
      <c r="VNM1" s="22"/>
      <c r="VNN1" s="22"/>
      <c r="VNO1" s="22"/>
      <c r="VNP1" s="22"/>
      <c r="VNQ1" s="22"/>
      <c r="VNR1" s="22"/>
      <c r="VNS1" s="22"/>
      <c r="VNT1" s="22"/>
      <c r="VNU1" s="22"/>
      <c r="VNV1" s="22"/>
      <c r="VNW1" s="22"/>
      <c r="VNX1" s="22"/>
      <c r="VNY1" s="22"/>
      <c r="VNZ1" s="22"/>
      <c r="VOA1" s="22"/>
      <c r="VOB1" s="22"/>
      <c r="VOC1" s="22"/>
      <c r="VOD1" s="22"/>
      <c r="VOE1" s="22"/>
      <c r="VOF1" s="22"/>
      <c r="VOG1" s="22"/>
      <c r="VOH1" s="22"/>
      <c r="VOI1" s="22"/>
      <c r="VOJ1" s="22"/>
      <c r="VOK1" s="22"/>
      <c r="VOL1" s="22"/>
      <c r="VOM1" s="22"/>
      <c r="VON1" s="22"/>
      <c r="VOO1" s="22"/>
      <c r="VOP1" s="22"/>
      <c r="VOQ1" s="22"/>
      <c r="VOR1" s="22"/>
      <c r="VOS1" s="22"/>
      <c r="VOT1" s="22"/>
      <c r="VOU1" s="22"/>
      <c r="VOV1" s="22"/>
      <c r="VOW1" s="22"/>
      <c r="VOX1" s="22"/>
      <c r="VOY1" s="22"/>
      <c r="VOZ1" s="22"/>
      <c r="VPA1" s="22"/>
      <c r="VPB1" s="22"/>
      <c r="VPC1" s="22"/>
      <c r="VPD1" s="22"/>
      <c r="VPE1" s="22"/>
      <c r="VPF1" s="22"/>
      <c r="VPG1" s="22"/>
      <c r="VPH1" s="22"/>
      <c r="VPI1" s="22"/>
      <c r="VPJ1" s="22"/>
      <c r="VPK1" s="22"/>
      <c r="VPL1" s="22"/>
      <c r="VPM1" s="22"/>
      <c r="VPN1" s="22"/>
      <c r="VPO1" s="22"/>
      <c r="VPP1" s="22"/>
      <c r="VPQ1" s="22"/>
      <c r="VPR1" s="22"/>
      <c r="VPS1" s="22"/>
      <c r="VPT1" s="22"/>
      <c r="VPU1" s="22"/>
      <c r="VPV1" s="22"/>
      <c r="VPW1" s="22"/>
      <c r="VPX1" s="22"/>
      <c r="VPY1" s="22"/>
      <c r="VPZ1" s="22"/>
      <c r="VQA1" s="22"/>
      <c r="VQB1" s="22"/>
      <c r="VQC1" s="22"/>
      <c r="VQD1" s="22"/>
      <c r="VQE1" s="22"/>
      <c r="VQF1" s="22"/>
      <c r="VQG1" s="22"/>
      <c r="VQH1" s="22"/>
      <c r="VQI1" s="22"/>
      <c r="VQJ1" s="22"/>
      <c r="VQK1" s="22"/>
      <c r="VQL1" s="22"/>
      <c r="VQM1" s="22"/>
      <c r="VQN1" s="22"/>
      <c r="VQO1" s="22"/>
      <c r="VQP1" s="22"/>
      <c r="VQQ1" s="22"/>
      <c r="VQR1" s="22"/>
      <c r="VQS1" s="22"/>
      <c r="VQT1" s="22"/>
      <c r="VQU1" s="22"/>
      <c r="VQV1" s="22"/>
      <c r="VQW1" s="22"/>
      <c r="VQX1" s="22"/>
      <c r="VQY1" s="22"/>
      <c r="VQZ1" s="22"/>
      <c r="VRA1" s="22"/>
      <c r="VRB1" s="22"/>
      <c r="VRC1" s="22"/>
      <c r="VRD1" s="22"/>
      <c r="VRE1" s="22"/>
      <c r="VRF1" s="22"/>
      <c r="VRG1" s="22"/>
      <c r="VRH1" s="22"/>
      <c r="VRI1" s="22"/>
      <c r="VRJ1" s="22"/>
      <c r="VRK1" s="22"/>
      <c r="VRL1" s="22"/>
      <c r="VRM1" s="22"/>
      <c r="VRN1" s="22"/>
      <c r="VRO1" s="22"/>
      <c r="VRP1" s="22"/>
      <c r="VRQ1" s="22"/>
      <c r="VRR1" s="22"/>
      <c r="VRS1" s="22"/>
      <c r="VRT1" s="22"/>
      <c r="VRU1" s="22"/>
      <c r="VRV1" s="22"/>
      <c r="VRW1" s="22"/>
      <c r="VRX1" s="22"/>
      <c r="VRY1" s="22"/>
      <c r="VRZ1" s="22"/>
      <c r="VSA1" s="22"/>
      <c r="VSB1" s="22"/>
      <c r="VSC1" s="22"/>
      <c r="VSD1" s="22"/>
      <c r="VSE1" s="22"/>
      <c r="VSF1" s="22"/>
      <c r="VSG1" s="22"/>
      <c r="VSH1" s="22"/>
      <c r="VSI1" s="22"/>
      <c r="VSJ1" s="22"/>
      <c r="VSK1" s="22"/>
      <c r="VSL1" s="22"/>
      <c r="VSM1" s="22"/>
      <c r="VSN1" s="22"/>
      <c r="VSO1" s="22"/>
      <c r="VSP1" s="22"/>
      <c r="VSQ1" s="22"/>
      <c r="VSR1" s="22"/>
      <c r="VSS1" s="22"/>
      <c r="VST1" s="22"/>
      <c r="VSU1" s="22"/>
      <c r="VSV1" s="22"/>
      <c r="VSW1" s="22"/>
      <c r="VSX1" s="22"/>
      <c r="VSY1" s="22"/>
      <c r="VSZ1" s="22"/>
      <c r="VTA1" s="22"/>
      <c r="VTB1" s="22"/>
      <c r="VTC1" s="22"/>
      <c r="VTD1" s="22"/>
      <c r="VTE1" s="22"/>
      <c r="VTF1" s="22"/>
      <c r="VTG1" s="22"/>
      <c r="VTH1" s="22"/>
      <c r="VTI1" s="22"/>
      <c r="VTJ1" s="22"/>
      <c r="VTK1" s="22"/>
      <c r="VTL1" s="22"/>
      <c r="VTM1" s="22"/>
      <c r="VTN1" s="22"/>
      <c r="VTO1" s="22"/>
      <c r="VTP1" s="22"/>
      <c r="VTQ1" s="22"/>
      <c r="VTR1" s="22"/>
      <c r="VTS1" s="22"/>
      <c r="VTT1" s="22"/>
      <c r="VTU1" s="22"/>
      <c r="VTV1" s="22"/>
      <c r="VTW1" s="22"/>
      <c r="VTX1" s="22"/>
      <c r="VTY1" s="22"/>
      <c r="VTZ1" s="22"/>
      <c r="VUA1" s="22"/>
      <c r="VUB1" s="22"/>
      <c r="VUC1" s="22"/>
      <c r="VUD1" s="22"/>
      <c r="VUE1" s="22"/>
      <c r="VUF1" s="22"/>
      <c r="VUG1" s="22"/>
      <c r="VUH1" s="22"/>
      <c r="VUI1" s="22"/>
      <c r="VUJ1" s="22"/>
      <c r="VUK1" s="22"/>
      <c r="VUL1" s="22"/>
      <c r="VUM1" s="22"/>
      <c r="VUN1" s="22"/>
      <c r="VUO1" s="22"/>
      <c r="VUP1" s="22"/>
      <c r="VUQ1" s="22"/>
      <c r="VUR1" s="22"/>
      <c r="VUS1" s="22"/>
      <c r="VUT1" s="22"/>
      <c r="VUU1" s="22"/>
      <c r="VUV1" s="22"/>
      <c r="VUW1" s="22"/>
      <c r="VUX1" s="22"/>
      <c r="VUY1" s="22"/>
      <c r="VUZ1" s="22"/>
      <c r="VVA1" s="22"/>
      <c r="VVB1" s="22"/>
      <c r="VVC1" s="22"/>
      <c r="VVD1" s="22"/>
      <c r="VVE1" s="22"/>
      <c r="VVF1" s="22"/>
      <c r="VVG1" s="22"/>
      <c r="VVH1" s="22"/>
      <c r="VVI1" s="22"/>
      <c r="VVJ1" s="22"/>
      <c r="VVK1" s="22"/>
      <c r="VVL1" s="22"/>
      <c r="VVM1" s="22"/>
      <c r="VVN1" s="22"/>
      <c r="VVO1" s="22"/>
      <c r="VVP1" s="22"/>
      <c r="VVQ1" s="22"/>
      <c r="VVR1" s="22"/>
      <c r="VVS1" s="22"/>
      <c r="VVT1" s="22"/>
      <c r="VVU1" s="22"/>
      <c r="VVV1" s="22"/>
      <c r="VVW1" s="22"/>
      <c r="VVX1" s="22"/>
      <c r="VVY1" s="22"/>
      <c r="VVZ1" s="22"/>
      <c r="VWA1" s="22"/>
      <c r="VWB1" s="22"/>
      <c r="VWC1" s="22"/>
      <c r="VWD1" s="22"/>
      <c r="VWE1" s="22"/>
      <c r="VWF1" s="22"/>
      <c r="VWG1" s="22"/>
      <c r="VWH1" s="22"/>
      <c r="VWI1" s="22"/>
      <c r="VWJ1" s="22"/>
      <c r="VWK1" s="22"/>
      <c r="VWL1" s="22"/>
      <c r="VWM1" s="22"/>
      <c r="VWN1" s="22"/>
      <c r="VWO1" s="22"/>
      <c r="VWP1" s="22"/>
      <c r="VWQ1" s="22"/>
      <c r="VWR1" s="22"/>
      <c r="VWS1" s="22"/>
      <c r="VWT1" s="22"/>
      <c r="VWU1" s="22"/>
      <c r="VWV1" s="22"/>
      <c r="VWW1" s="22"/>
      <c r="VWX1" s="22"/>
      <c r="VWY1" s="22"/>
      <c r="VWZ1" s="22"/>
      <c r="VXA1" s="22"/>
      <c r="VXB1" s="22"/>
      <c r="VXC1" s="22"/>
      <c r="VXD1" s="22"/>
      <c r="VXE1" s="22"/>
      <c r="VXF1" s="22"/>
      <c r="VXG1" s="22"/>
      <c r="VXH1" s="22"/>
      <c r="VXI1" s="22"/>
      <c r="VXJ1" s="22"/>
      <c r="VXK1" s="22"/>
      <c r="VXL1" s="22"/>
      <c r="VXM1" s="22"/>
      <c r="VXN1" s="22"/>
      <c r="VXO1" s="22"/>
      <c r="VXP1" s="22"/>
      <c r="VXQ1" s="22"/>
      <c r="VXR1" s="22"/>
      <c r="VXS1" s="22"/>
      <c r="VXT1" s="22"/>
      <c r="VXU1" s="22"/>
      <c r="VXV1" s="22"/>
      <c r="VXW1" s="22"/>
      <c r="VXX1" s="22"/>
      <c r="VXY1" s="22"/>
      <c r="VXZ1" s="22"/>
      <c r="VYA1" s="22"/>
      <c r="VYB1" s="22"/>
      <c r="VYC1" s="22"/>
      <c r="VYD1" s="22"/>
      <c r="VYE1" s="22"/>
      <c r="VYF1" s="22"/>
      <c r="VYG1" s="22"/>
      <c r="VYH1" s="22"/>
      <c r="VYI1" s="22"/>
      <c r="VYJ1" s="22"/>
      <c r="VYK1" s="22"/>
      <c r="VYL1" s="22"/>
      <c r="VYM1" s="22"/>
      <c r="VYN1" s="22"/>
      <c r="VYO1" s="22"/>
      <c r="VYP1" s="22"/>
      <c r="VYQ1" s="22"/>
      <c r="VYR1" s="22"/>
      <c r="VYS1" s="22"/>
      <c r="VYT1" s="22"/>
      <c r="VYU1" s="22"/>
      <c r="VYV1" s="22"/>
      <c r="VYW1" s="22"/>
      <c r="VYX1" s="22"/>
      <c r="VYY1" s="22"/>
      <c r="VYZ1" s="22"/>
      <c r="VZA1" s="22"/>
      <c r="VZB1" s="22"/>
      <c r="VZC1" s="22"/>
      <c r="VZD1" s="22"/>
      <c r="VZE1" s="22"/>
      <c r="VZF1" s="22"/>
      <c r="VZG1" s="22"/>
      <c r="VZH1" s="22"/>
      <c r="VZI1" s="22"/>
      <c r="VZJ1" s="22"/>
      <c r="VZK1" s="22"/>
      <c r="VZL1" s="22"/>
      <c r="VZM1" s="22"/>
      <c r="VZN1" s="22"/>
      <c r="VZO1" s="22"/>
      <c r="VZP1" s="22"/>
      <c r="VZQ1" s="22"/>
      <c r="VZR1" s="22"/>
      <c r="VZS1" s="22"/>
      <c r="VZT1" s="22"/>
      <c r="VZU1" s="22"/>
      <c r="VZV1" s="22"/>
      <c r="VZW1" s="22"/>
      <c r="VZX1" s="22"/>
      <c r="VZY1" s="22"/>
      <c r="VZZ1" s="22"/>
      <c r="WAA1" s="22"/>
      <c r="WAB1" s="22"/>
      <c r="WAC1" s="22"/>
      <c r="WAD1" s="22"/>
      <c r="WAE1" s="22"/>
      <c r="WAF1" s="22"/>
      <c r="WAG1" s="22"/>
      <c r="WAH1" s="22"/>
      <c r="WAI1" s="22"/>
      <c r="WAJ1" s="22"/>
      <c r="WAK1" s="22"/>
      <c r="WAL1" s="22"/>
      <c r="WAM1" s="22"/>
      <c r="WAN1" s="22"/>
      <c r="WAO1" s="22"/>
      <c r="WAP1" s="22"/>
      <c r="WAQ1" s="22"/>
      <c r="WAR1" s="22"/>
      <c r="WAS1" s="22"/>
      <c r="WAT1" s="22"/>
      <c r="WAU1" s="22"/>
      <c r="WAV1" s="22"/>
      <c r="WAW1" s="22"/>
      <c r="WAX1" s="22"/>
      <c r="WAY1" s="22"/>
      <c r="WAZ1" s="22"/>
      <c r="WBA1" s="22"/>
      <c r="WBB1" s="22"/>
      <c r="WBC1" s="22"/>
      <c r="WBD1" s="22"/>
      <c r="WBE1" s="22"/>
      <c r="WBF1" s="22"/>
      <c r="WBG1" s="22"/>
      <c r="WBH1" s="22"/>
      <c r="WBI1" s="22"/>
      <c r="WBJ1" s="22"/>
      <c r="WBK1" s="22"/>
      <c r="WBL1" s="22"/>
      <c r="WBM1" s="22"/>
      <c r="WBN1" s="22"/>
      <c r="WBO1" s="22"/>
      <c r="WBP1" s="22"/>
      <c r="WBQ1" s="22"/>
      <c r="WBR1" s="22"/>
      <c r="WBS1" s="22"/>
      <c r="WBT1" s="22"/>
      <c r="WBU1" s="22"/>
      <c r="WBV1" s="22"/>
      <c r="WBW1" s="22"/>
      <c r="WBX1" s="22"/>
      <c r="WBY1" s="22"/>
      <c r="WBZ1" s="22"/>
      <c r="WCA1" s="22"/>
      <c r="WCB1" s="22"/>
      <c r="WCC1" s="22"/>
      <c r="WCD1" s="22"/>
      <c r="WCE1" s="22"/>
      <c r="WCF1" s="22"/>
      <c r="WCG1" s="22"/>
      <c r="WCH1" s="22"/>
      <c r="WCI1" s="22"/>
      <c r="WCJ1" s="22"/>
      <c r="WCK1" s="22"/>
      <c r="WCL1" s="22"/>
      <c r="WCM1" s="22"/>
      <c r="WCN1" s="22"/>
      <c r="WCO1" s="22"/>
      <c r="WCP1" s="22"/>
      <c r="WCQ1" s="22"/>
      <c r="WCR1" s="22"/>
      <c r="WCS1" s="22"/>
      <c r="WCT1" s="22"/>
      <c r="WCU1" s="22"/>
      <c r="WCV1" s="22"/>
      <c r="WCW1" s="22"/>
      <c r="WCX1" s="22"/>
      <c r="WCY1" s="22"/>
      <c r="WCZ1" s="22"/>
      <c r="WDA1" s="22"/>
      <c r="WDB1" s="22"/>
      <c r="WDC1" s="22"/>
      <c r="WDD1" s="22"/>
      <c r="WDE1" s="22"/>
      <c r="WDF1" s="22"/>
      <c r="WDG1" s="22"/>
      <c r="WDH1" s="22"/>
      <c r="WDI1" s="22"/>
      <c r="WDJ1" s="22"/>
      <c r="WDK1" s="22"/>
      <c r="WDL1" s="22"/>
      <c r="WDM1" s="22"/>
      <c r="WDN1" s="22"/>
      <c r="WDO1" s="22"/>
      <c r="WDP1" s="22"/>
      <c r="WDQ1" s="22"/>
      <c r="WDR1" s="22"/>
      <c r="WDS1" s="22"/>
      <c r="WDT1" s="22"/>
      <c r="WDU1" s="22"/>
      <c r="WDV1" s="22"/>
      <c r="WDW1" s="22"/>
      <c r="WDX1" s="22"/>
      <c r="WDY1" s="22"/>
      <c r="WDZ1" s="22"/>
      <c r="WEA1" s="22"/>
      <c r="WEB1" s="22"/>
      <c r="WEC1" s="22"/>
      <c r="WED1" s="22"/>
      <c r="WEE1" s="22"/>
      <c r="WEF1" s="22"/>
      <c r="WEG1" s="22"/>
      <c r="WEH1" s="22"/>
      <c r="WEI1" s="22"/>
      <c r="WEJ1" s="22"/>
      <c r="WEK1" s="22"/>
      <c r="WEL1" s="22"/>
      <c r="WEM1" s="22"/>
      <c r="WEN1" s="22"/>
      <c r="WEO1" s="22"/>
      <c r="WEP1" s="22"/>
      <c r="WEQ1" s="22"/>
      <c r="WER1" s="22"/>
      <c r="WES1" s="22"/>
      <c r="WET1" s="22"/>
      <c r="WEU1" s="22"/>
      <c r="WEV1" s="22"/>
      <c r="WEW1" s="22"/>
      <c r="WEX1" s="22"/>
      <c r="WEY1" s="22"/>
      <c r="WEZ1" s="22"/>
      <c r="WFA1" s="22"/>
      <c r="WFB1" s="22"/>
      <c r="WFC1" s="22"/>
      <c r="WFD1" s="22"/>
      <c r="WFE1" s="22"/>
      <c r="WFF1" s="22"/>
      <c r="WFG1" s="22"/>
      <c r="WFH1" s="22"/>
      <c r="WFI1" s="22"/>
      <c r="WFJ1" s="22"/>
      <c r="WFK1" s="22"/>
      <c r="WFL1" s="22"/>
      <c r="WFM1" s="22"/>
      <c r="WFN1" s="22"/>
      <c r="WFO1" s="22"/>
      <c r="WFP1" s="22"/>
      <c r="WFQ1" s="22"/>
      <c r="WFR1" s="22"/>
      <c r="WFS1" s="22"/>
      <c r="WFT1" s="22"/>
      <c r="WFU1" s="22"/>
      <c r="WFV1" s="22"/>
      <c r="WFW1" s="22"/>
      <c r="WFX1" s="22"/>
      <c r="WFY1" s="22"/>
      <c r="WFZ1" s="22"/>
      <c r="WGA1" s="22"/>
      <c r="WGB1" s="22"/>
      <c r="WGC1" s="22"/>
      <c r="WGD1" s="22"/>
      <c r="WGE1" s="22"/>
      <c r="WGF1" s="22"/>
      <c r="WGG1" s="22"/>
      <c r="WGH1" s="22"/>
      <c r="WGI1" s="22"/>
      <c r="WGJ1" s="22"/>
      <c r="WGK1" s="22"/>
      <c r="WGL1" s="22"/>
      <c r="WGM1" s="22"/>
      <c r="WGN1" s="22"/>
      <c r="WGO1" s="22"/>
      <c r="WGP1" s="22"/>
      <c r="WGQ1" s="22"/>
      <c r="WGR1" s="22"/>
      <c r="WGS1" s="22"/>
      <c r="WGT1" s="22"/>
      <c r="WGU1" s="22"/>
      <c r="WGV1" s="22"/>
      <c r="WGW1" s="22"/>
      <c r="WGX1" s="22"/>
      <c r="WGY1" s="22"/>
      <c r="WGZ1" s="22"/>
      <c r="WHA1" s="22"/>
      <c r="WHB1" s="22"/>
      <c r="WHC1" s="22"/>
      <c r="WHD1" s="22"/>
      <c r="WHE1" s="22"/>
      <c r="WHF1" s="22"/>
      <c r="WHG1" s="22"/>
      <c r="WHH1" s="22"/>
      <c r="WHI1" s="22"/>
      <c r="WHJ1" s="22"/>
      <c r="WHK1" s="22"/>
      <c r="WHL1" s="22"/>
      <c r="WHM1" s="22"/>
      <c r="WHN1" s="22"/>
      <c r="WHO1" s="22"/>
      <c r="WHP1" s="22"/>
      <c r="WHQ1" s="22"/>
      <c r="WHR1" s="22"/>
      <c r="WHS1" s="22"/>
      <c r="WHT1" s="22"/>
      <c r="WHU1" s="22"/>
      <c r="WHV1" s="22"/>
      <c r="WHW1" s="22"/>
      <c r="WHX1" s="22"/>
      <c r="WHY1" s="22"/>
      <c r="WHZ1" s="22"/>
      <c r="WIA1" s="22"/>
      <c r="WIB1" s="22"/>
      <c r="WIC1" s="22"/>
      <c r="WID1" s="22"/>
      <c r="WIE1" s="22"/>
      <c r="WIF1" s="22"/>
      <c r="WIG1" s="22"/>
      <c r="WIH1" s="22"/>
      <c r="WII1" s="22"/>
      <c r="WIJ1" s="22"/>
      <c r="WIK1" s="22"/>
      <c r="WIL1" s="22"/>
      <c r="WIM1" s="22"/>
      <c r="WIN1" s="22"/>
      <c r="WIO1" s="22"/>
      <c r="WIP1" s="22"/>
      <c r="WIQ1" s="22"/>
      <c r="WIR1" s="22"/>
      <c r="WIS1" s="22"/>
      <c r="WIT1" s="22"/>
      <c r="WIU1" s="22"/>
      <c r="WIV1" s="22"/>
      <c r="WIW1" s="22"/>
      <c r="WIX1" s="22"/>
      <c r="WIY1" s="22"/>
      <c r="WIZ1" s="22"/>
      <c r="WJA1" s="22"/>
      <c r="WJB1" s="22"/>
      <c r="WJC1" s="22"/>
      <c r="WJD1" s="22"/>
      <c r="WJE1" s="22"/>
      <c r="WJF1" s="22"/>
      <c r="WJG1" s="22"/>
      <c r="WJH1" s="22"/>
      <c r="WJI1" s="22"/>
      <c r="WJJ1" s="22"/>
      <c r="WJK1" s="22"/>
      <c r="WJL1" s="22"/>
      <c r="WJM1" s="22"/>
      <c r="WJN1" s="22"/>
      <c r="WJO1" s="22"/>
      <c r="WJP1" s="22"/>
      <c r="WJQ1" s="22"/>
      <c r="WJR1" s="22"/>
      <c r="WJS1" s="22"/>
      <c r="WJT1" s="22"/>
      <c r="WJU1" s="22"/>
      <c r="WJV1" s="22"/>
      <c r="WJW1" s="22"/>
      <c r="WJX1" s="22"/>
      <c r="WJY1" s="22"/>
      <c r="WJZ1" s="22"/>
      <c r="WKA1" s="22"/>
      <c r="WKB1" s="22"/>
      <c r="WKC1" s="22"/>
      <c r="WKD1" s="22"/>
      <c r="WKE1" s="22"/>
      <c r="WKF1" s="22"/>
      <c r="WKG1" s="22"/>
      <c r="WKH1" s="22"/>
      <c r="WKI1" s="22"/>
      <c r="WKJ1" s="22"/>
      <c r="WKK1" s="22"/>
      <c r="WKL1" s="22"/>
      <c r="WKM1" s="22"/>
      <c r="WKN1" s="22"/>
      <c r="WKO1" s="22"/>
      <c r="WKP1" s="22"/>
      <c r="WKQ1" s="22"/>
      <c r="WKR1" s="22"/>
      <c r="WKS1" s="22"/>
      <c r="WKT1" s="22"/>
      <c r="WKU1" s="22"/>
      <c r="WKV1" s="22"/>
      <c r="WKW1" s="22"/>
      <c r="WKX1" s="22"/>
      <c r="WKY1" s="22"/>
      <c r="WKZ1" s="22"/>
      <c r="WLA1" s="22"/>
      <c r="WLB1" s="22"/>
      <c r="WLC1" s="22"/>
      <c r="WLD1" s="22"/>
      <c r="WLE1" s="22"/>
      <c r="WLF1" s="22"/>
      <c r="WLG1" s="22"/>
      <c r="WLH1" s="22"/>
      <c r="WLI1" s="22"/>
      <c r="WLJ1" s="22"/>
      <c r="WLK1" s="22"/>
      <c r="WLL1" s="22"/>
      <c r="WLM1" s="22"/>
      <c r="WLN1" s="22"/>
      <c r="WLO1" s="22"/>
      <c r="WLP1" s="22"/>
      <c r="WLQ1" s="22"/>
      <c r="WLR1" s="22"/>
      <c r="WLS1" s="22"/>
      <c r="WLT1" s="22"/>
      <c r="WLU1" s="22"/>
      <c r="WLV1" s="22"/>
      <c r="WLW1" s="22"/>
      <c r="WLX1" s="22"/>
      <c r="WLY1" s="22"/>
      <c r="WLZ1" s="22"/>
      <c r="WMA1" s="22"/>
      <c r="WMB1" s="22"/>
      <c r="WMC1" s="22"/>
      <c r="WMD1" s="22"/>
      <c r="WME1" s="22"/>
      <c r="WMF1" s="22"/>
      <c r="WMG1" s="22"/>
      <c r="WMH1" s="22"/>
      <c r="WMI1" s="22"/>
      <c r="WMJ1" s="22"/>
      <c r="WMK1" s="22"/>
      <c r="WML1" s="22"/>
      <c r="WMM1" s="22"/>
      <c r="WMN1" s="22"/>
      <c r="WMO1" s="22"/>
      <c r="WMP1" s="22"/>
      <c r="WMQ1" s="22"/>
      <c r="WMR1" s="22"/>
      <c r="WMS1" s="22"/>
      <c r="WMT1" s="22"/>
      <c r="WMU1" s="22"/>
      <c r="WMV1" s="22"/>
      <c r="WMW1" s="22"/>
      <c r="WMX1" s="22"/>
      <c r="WMY1" s="22"/>
      <c r="WMZ1" s="22"/>
      <c r="WNA1" s="22"/>
      <c r="WNB1" s="22"/>
      <c r="WNC1" s="22"/>
      <c r="WND1" s="22"/>
      <c r="WNE1" s="22"/>
      <c r="WNF1" s="22"/>
      <c r="WNG1" s="22"/>
      <c r="WNH1" s="22"/>
      <c r="WNI1" s="22"/>
      <c r="WNJ1" s="22"/>
      <c r="WNK1" s="22"/>
      <c r="WNL1" s="22"/>
      <c r="WNM1" s="22"/>
      <c r="WNN1" s="22"/>
      <c r="WNO1" s="22"/>
      <c r="WNP1" s="22"/>
      <c r="WNQ1" s="22"/>
      <c r="WNR1" s="22"/>
      <c r="WNS1" s="22"/>
      <c r="WNT1" s="22"/>
      <c r="WNU1" s="22"/>
      <c r="WNV1" s="22"/>
      <c r="WNW1" s="22"/>
      <c r="WNX1" s="22"/>
      <c r="WNY1" s="22"/>
      <c r="WNZ1" s="22"/>
      <c r="WOA1" s="22"/>
      <c r="WOB1" s="22"/>
      <c r="WOC1" s="22"/>
      <c r="WOD1" s="22"/>
      <c r="WOE1" s="22"/>
      <c r="WOF1" s="22"/>
      <c r="WOG1" s="22"/>
      <c r="WOH1" s="22"/>
      <c r="WOI1" s="22"/>
      <c r="WOJ1" s="22"/>
      <c r="WOK1" s="22"/>
      <c r="WOL1" s="22"/>
      <c r="WOM1" s="22"/>
      <c r="WON1" s="22"/>
      <c r="WOO1" s="22"/>
      <c r="WOP1" s="22"/>
      <c r="WOQ1" s="22"/>
      <c r="WOR1" s="22"/>
      <c r="WOS1" s="22"/>
      <c r="WOT1" s="22"/>
      <c r="WOU1" s="22"/>
      <c r="WOV1" s="22"/>
      <c r="WOW1" s="22"/>
      <c r="WOX1" s="22"/>
      <c r="WOY1" s="22"/>
      <c r="WOZ1" s="22"/>
      <c r="WPA1" s="22"/>
      <c r="WPB1" s="22"/>
      <c r="WPC1" s="22"/>
      <c r="WPD1" s="22"/>
      <c r="WPE1" s="22"/>
      <c r="WPF1" s="22"/>
      <c r="WPG1" s="22"/>
      <c r="WPH1" s="22"/>
      <c r="WPI1" s="22"/>
      <c r="WPJ1" s="22"/>
      <c r="WPK1" s="22"/>
      <c r="WPL1" s="22"/>
      <c r="WPM1" s="22"/>
      <c r="WPN1" s="22"/>
      <c r="WPO1" s="22"/>
      <c r="WPP1" s="22"/>
      <c r="WPQ1" s="22"/>
      <c r="WPR1" s="22"/>
      <c r="WPS1" s="22"/>
      <c r="WPT1" s="22"/>
      <c r="WPU1" s="22"/>
      <c r="WPV1" s="22"/>
      <c r="WPW1" s="22"/>
      <c r="WPX1" s="22"/>
      <c r="WPY1" s="22"/>
      <c r="WPZ1" s="22"/>
      <c r="WQA1" s="22"/>
      <c r="WQB1" s="22"/>
      <c r="WQC1" s="22"/>
      <c r="WQD1" s="22"/>
      <c r="WQE1" s="22"/>
      <c r="WQF1" s="22"/>
      <c r="WQG1" s="22"/>
      <c r="WQH1" s="22"/>
      <c r="WQI1" s="22"/>
      <c r="WQJ1" s="22"/>
      <c r="WQK1" s="22"/>
      <c r="WQL1" s="22"/>
      <c r="WQM1" s="22"/>
      <c r="WQN1" s="22"/>
      <c r="WQO1" s="22"/>
      <c r="WQP1" s="22"/>
      <c r="WQQ1" s="22"/>
      <c r="WQR1" s="22"/>
      <c r="WQS1" s="22"/>
      <c r="WQT1" s="22"/>
      <c r="WQU1" s="22"/>
      <c r="WQV1" s="22"/>
      <c r="WQW1" s="22"/>
      <c r="WQX1" s="22"/>
      <c r="WQY1" s="22"/>
      <c r="WQZ1" s="22"/>
      <c r="WRA1" s="22"/>
      <c r="WRB1" s="22"/>
      <c r="WRC1" s="22"/>
      <c r="WRD1" s="22"/>
      <c r="WRE1" s="22"/>
      <c r="WRF1" s="22"/>
      <c r="WRG1" s="22"/>
      <c r="WRH1" s="22"/>
      <c r="WRI1" s="22"/>
      <c r="WRJ1" s="22"/>
      <c r="WRK1" s="22"/>
      <c r="WRL1" s="22"/>
      <c r="WRM1" s="22"/>
      <c r="WRN1" s="22"/>
      <c r="WRO1" s="22"/>
      <c r="WRP1" s="22"/>
      <c r="WRQ1" s="22"/>
      <c r="WRR1" s="22"/>
      <c r="WRS1" s="22"/>
      <c r="WRT1" s="22"/>
      <c r="WRU1" s="22"/>
      <c r="WRV1" s="22"/>
      <c r="WRW1" s="22"/>
      <c r="WRX1" s="22"/>
      <c r="WRY1" s="22"/>
      <c r="WRZ1" s="22"/>
      <c r="WSA1" s="22"/>
      <c r="WSB1" s="22"/>
      <c r="WSC1" s="22"/>
      <c r="WSD1" s="22"/>
      <c r="WSE1" s="22"/>
      <c r="WSF1" s="22"/>
      <c r="WSG1" s="22"/>
      <c r="WSH1" s="22"/>
      <c r="WSI1" s="22"/>
      <c r="WSJ1" s="22"/>
      <c r="WSK1" s="22"/>
      <c r="WSL1" s="22"/>
      <c r="WSM1" s="22"/>
      <c r="WSN1" s="22"/>
      <c r="WSO1" s="22"/>
      <c r="WSP1" s="22"/>
      <c r="WSQ1" s="22"/>
      <c r="WSR1" s="22"/>
      <c r="WSS1" s="22"/>
      <c r="WST1" s="22"/>
      <c r="WSU1" s="22"/>
      <c r="WSV1" s="22"/>
      <c r="WSW1" s="22"/>
      <c r="WSX1" s="22"/>
      <c r="WSY1" s="22"/>
      <c r="WSZ1" s="22"/>
      <c r="WTA1" s="22"/>
      <c r="WTB1" s="22"/>
      <c r="WTC1" s="22"/>
      <c r="WTD1" s="22"/>
      <c r="WTE1" s="22"/>
      <c r="WTF1" s="22"/>
      <c r="WTG1" s="22"/>
      <c r="WTH1" s="22"/>
      <c r="WTI1" s="22"/>
      <c r="WTJ1" s="22"/>
      <c r="WTK1" s="22"/>
      <c r="WTL1" s="22"/>
      <c r="WTM1" s="22"/>
      <c r="WTN1" s="22"/>
      <c r="WTO1" s="22"/>
      <c r="WTP1" s="22"/>
      <c r="WTQ1" s="22"/>
      <c r="WTR1" s="22"/>
      <c r="WTS1" s="22"/>
      <c r="WTT1" s="22"/>
      <c r="WTU1" s="22"/>
      <c r="WTV1" s="22"/>
      <c r="WTW1" s="22"/>
      <c r="WTX1" s="22"/>
      <c r="WTY1" s="22"/>
      <c r="WTZ1" s="22"/>
      <c r="WUA1" s="22"/>
      <c r="WUB1" s="22"/>
      <c r="WUC1" s="22"/>
      <c r="WUD1" s="22"/>
      <c r="WUE1" s="22"/>
      <c r="WUF1" s="22"/>
      <c r="WUG1" s="22"/>
      <c r="WUH1" s="22"/>
      <c r="WUI1" s="22"/>
      <c r="WUJ1" s="22"/>
      <c r="WUK1" s="22"/>
      <c r="WUL1" s="22"/>
      <c r="WUM1" s="22"/>
      <c r="WUN1" s="22"/>
      <c r="WUO1" s="22"/>
      <c r="WUP1" s="22"/>
      <c r="WUQ1" s="22"/>
      <c r="WUR1" s="22"/>
      <c r="WUS1" s="22"/>
      <c r="WUT1" s="22"/>
      <c r="WUU1" s="22"/>
      <c r="WUV1" s="22"/>
      <c r="WUW1" s="22"/>
      <c r="WUX1" s="22"/>
      <c r="WUY1" s="22"/>
      <c r="WUZ1" s="22"/>
      <c r="WVA1" s="22"/>
      <c r="WVB1" s="22"/>
      <c r="WVC1" s="22"/>
      <c r="WVD1" s="22"/>
      <c r="WVE1" s="22"/>
      <c r="WVF1" s="22"/>
      <c r="WVG1" s="22"/>
      <c r="WVH1" s="22"/>
      <c r="WVI1" s="22"/>
      <c r="WVJ1" s="22"/>
      <c r="WVK1" s="22"/>
      <c r="WVL1" s="22"/>
      <c r="WVM1" s="22"/>
      <c r="WVN1" s="22"/>
      <c r="WVO1" s="22"/>
      <c r="WVP1" s="22"/>
      <c r="WVQ1" s="22"/>
      <c r="WVR1" s="22"/>
      <c r="WVS1" s="22"/>
      <c r="WVT1" s="22"/>
      <c r="WVU1" s="22"/>
      <c r="WVV1" s="22"/>
      <c r="WVW1" s="22"/>
      <c r="WVX1" s="22"/>
      <c r="WVY1" s="22"/>
      <c r="WVZ1" s="22"/>
      <c r="WWA1" s="22"/>
      <c r="WWB1" s="22"/>
      <c r="WWC1" s="22"/>
      <c r="WWD1" s="22"/>
      <c r="WWE1" s="22"/>
      <c r="WWF1" s="22"/>
      <c r="WWG1" s="22"/>
      <c r="WWH1" s="22"/>
      <c r="WWI1" s="22"/>
      <c r="WWJ1" s="22"/>
      <c r="WWK1" s="22"/>
      <c r="WWL1" s="22"/>
      <c r="WWM1" s="22"/>
      <c r="WWN1" s="22"/>
      <c r="WWO1" s="22"/>
      <c r="WWP1" s="22"/>
      <c r="WWQ1" s="22"/>
      <c r="WWR1" s="22"/>
      <c r="WWS1" s="22"/>
      <c r="WWT1" s="22"/>
      <c r="WWU1" s="22"/>
      <c r="WWV1" s="22"/>
      <c r="WWW1" s="22"/>
      <c r="WWX1" s="22"/>
      <c r="WWY1" s="22"/>
      <c r="WWZ1" s="22"/>
      <c r="WXA1" s="22"/>
      <c r="WXB1" s="22"/>
      <c r="WXC1" s="22"/>
      <c r="WXD1" s="22"/>
      <c r="WXE1" s="22"/>
      <c r="WXF1" s="22"/>
      <c r="WXG1" s="22"/>
      <c r="WXH1" s="22"/>
      <c r="WXI1" s="22"/>
      <c r="WXJ1" s="22"/>
      <c r="WXK1" s="22"/>
      <c r="WXL1" s="22"/>
      <c r="WXM1" s="22"/>
      <c r="WXN1" s="22"/>
      <c r="WXO1" s="22"/>
      <c r="WXP1" s="22"/>
      <c r="WXQ1" s="22"/>
      <c r="WXR1" s="22"/>
      <c r="WXS1" s="22"/>
      <c r="WXT1" s="22"/>
      <c r="WXU1" s="22"/>
      <c r="WXV1" s="22"/>
      <c r="WXW1" s="22"/>
      <c r="WXX1" s="22"/>
      <c r="WXY1" s="22"/>
      <c r="WXZ1" s="22"/>
      <c r="WYA1" s="22"/>
      <c r="WYB1" s="22"/>
      <c r="WYC1" s="22"/>
      <c r="WYD1" s="22"/>
      <c r="WYE1" s="22"/>
      <c r="WYF1" s="22"/>
      <c r="WYG1" s="22"/>
      <c r="WYH1" s="22"/>
      <c r="WYI1" s="22"/>
      <c r="WYJ1" s="22"/>
      <c r="WYK1" s="22"/>
      <c r="WYL1" s="22"/>
      <c r="WYM1" s="22"/>
      <c r="WYN1" s="22"/>
      <c r="WYO1" s="22"/>
      <c r="WYP1" s="22"/>
      <c r="WYQ1" s="22"/>
      <c r="WYR1" s="22"/>
      <c r="WYS1" s="22"/>
      <c r="WYT1" s="22"/>
      <c r="WYU1" s="22"/>
      <c r="WYV1" s="22"/>
      <c r="WYW1" s="22"/>
      <c r="WYX1" s="22"/>
      <c r="WYY1" s="22"/>
      <c r="WYZ1" s="22"/>
      <c r="WZA1" s="22"/>
      <c r="WZB1" s="22"/>
      <c r="WZC1" s="22"/>
      <c r="WZD1" s="22"/>
      <c r="WZE1" s="22"/>
      <c r="WZF1" s="22"/>
      <c r="WZG1" s="22"/>
      <c r="WZH1" s="22"/>
      <c r="WZI1" s="22"/>
      <c r="WZJ1" s="22"/>
      <c r="WZK1" s="22"/>
      <c r="WZL1" s="22"/>
      <c r="WZM1" s="22"/>
      <c r="WZN1" s="22"/>
      <c r="WZO1" s="22"/>
      <c r="WZP1" s="22"/>
      <c r="WZQ1" s="22"/>
      <c r="WZR1" s="22"/>
      <c r="WZS1" s="22"/>
      <c r="WZT1" s="22"/>
      <c r="WZU1" s="22"/>
      <c r="WZV1" s="22"/>
      <c r="WZW1" s="22"/>
      <c r="WZX1" s="22"/>
      <c r="WZY1" s="22"/>
      <c r="WZZ1" s="22"/>
      <c r="XAA1" s="22"/>
      <c r="XAB1" s="22"/>
      <c r="XAC1" s="22"/>
      <c r="XAD1" s="22"/>
      <c r="XAE1" s="22"/>
      <c r="XAF1" s="22"/>
      <c r="XAG1" s="22"/>
      <c r="XAH1" s="22"/>
      <c r="XAI1" s="22"/>
      <c r="XAJ1" s="22"/>
      <c r="XAK1" s="22"/>
      <c r="XAL1" s="22"/>
      <c r="XAM1" s="22"/>
      <c r="XAN1" s="22"/>
      <c r="XAO1" s="22"/>
      <c r="XAP1" s="22"/>
      <c r="XAQ1" s="22"/>
      <c r="XAR1" s="22"/>
      <c r="XAS1" s="22"/>
      <c r="XAT1" s="22"/>
      <c r="XAU1" s="22"/>
      <c r="XAV1" s="22"/>
      <c r="XAW1" s="22"/>
      <c r="XAX1" s="22"/>
      <c r="XAY1" s="22"/>
      <c r="XAZ1" s="22"/>
      <c r="XBA1" s="22"/>
      <c r="XBB1" s="22"/>
      <c r="XBC1" s="22"/>
      <c r="XBD1" s="22"/>
      <c r="XBE1" s="22"/>
      <c r="XBF1" s="22"/>
      <c r="XBG1" s="22"/>
      <c r="XBH1" s="22"/>
      <c r="XBI1" s="22"/>
      <c r="XBJ1" s="22"/>
      <c r="XBK1" s="22"/>
      <c r="XBL1" s="22"/>
      <c r="XBM1" s="22"/>
      <c r="XBN1" s="22"/>
      <c r="XBO1" s="22"/>
      <c r="XBP1" s="22"/>
      <c r="XBQ1" s="22"/>
      <c r="XBR1" s="22"/>
      <c r="XBS1" s="22"/>
      <c r="XBT1" s="22"/>
      <c r="XBU1" s="22"/>
      <c r="XBV1" s="22"/>
      <c r="XBW1" s="22"/>
      <c r="XBX1" s="22"/>
      <c r="XBY1" s="22"/>
      <c r="XBZ1" s="22"/>
      <c r="XCA1" s="22"/>
      <c r="XCB1" s="22"/>
      <c r="XCC1" s="22"/>
      <c r="XCD1" s="22"/>
      <c r="XCE1" s="22"/>
      <c r="XCF1" s="22"/>
      <c r="XCG1" s="22"/>
      <c r="XCH1" s="22"/>
      <c r="XCI1" s="22"/>
      <c r="XCJ1" s="22"/>
      <c r="XCK1" s="22"/>
      <c r="XCL1" s="22"/>
      <c r="XCM1" s="22"/>
      <c r="XCN1" s="22"/>
      <c r="XCO1" s="22"/>
      <c r="XCP1" s="22"/>
      <c r="XCQ1" s="22"/>
      <c r="XCR1" s="22"/>
      <c r="XCS1" s="22"/>
      <c r="XCT1" s="22"/>
      <c r="XCU1" s="22"/>
      <c r="XCV1" s="22"/>
      <c r="XCW1" s="22"/>
      <c r="XCX1" s="22"/>
      <c r="XCY1" s="22"/>
      <c r="XCZ1" s="22"/>
      <c r="XDA1" s="22"/>
      <c r="XDB1" s="22"/>
      <c r="XDC1" s="22"/>
      <c r="XDD1" s="22"/>
      <c r="XDE1" s="22"/>
      <c r="XDF1" s="22"/>
      <c r="XDG1" s="22"/>
      <c r="XDH1" s="22"/>
      <c r="XDI1" s="22"/>
      <c r="XDJ1" s="22"/>
      <c r="XDK1" s="22"/>
      <c r="XDL1" s="22"/>
      <c r="XDM1" s="22"/>
      <c r="XDN1" s="22"/>
      <c r="XDO1" s="22"/>
      <c r="XDP1" s="22"/>
      <c r="XDQ1" s="22"/>
      <c r="XDR1" s="22"/>
      <c r="XDS1" s="22"/>
      <c r="XDT1" s="22"/>
      <c r="XDU1" s="22"/>
      <c r="XDV1" s="22"/>
      <c r="XDW1" s="22"/>
      <c r="XDX1" s="22"/>
      <c r="XDY1" s="22"/>
      <c r="XDZ1" s="22"/>
      <c r="XEA1" s="22"/>
      <c r="XEB1" s="22"/>
      <c r="XEC1" s="22"/>
      <c r="XED1" s="22"/>
      <c r="XEE1" s="22"/>
      <c r="XEF1" s="22"/>
      <c r="XEG1" s="22"/>
      <c r="XEH1" s="22"/>
      <c r="XEI1" s="22"/>
      <c r="XEJ1" s="22"/>
      <c r="XEK1" s="22"/>
      <c r="XEL1" s="22"/>
      <c r="XEM1" s="22"/>
      <c r="XEN1" s="22"/>
      <c r="XEO1" s="22"/>
      <c r="XEP1" s="22"/>
      <c r="XEQ1" s="22"/>
      <c r="XER1" s="22"/>
      <c r="XES1" s="22"/>
      <c r="XET1" s="22"/>
      <c r="XEU1" s="22"/>
      <c r="XEV1" s="22"/>
      <c r="XEW1" s="22"/>
      <c r="XEX1" s="22"/>
      <c r="XEY1" s="22"/>
      <c r="XEZ1" s="22"/>
      <c r="XFA1" s="22"/>
      <c r="XFB1" s="22"/>
    </row>
    <row r="2" spans="1:16382" s="26" customFormat="1" ht="5.25" customHeight="1" x14ac:dyDescent="0.25">
      <c r="A2" s="24"/>
      <c r="B2" s="25"/>
      <c r="C2" s="24"/>
      <c r="D2" s="24"/>
      <c r="E2" s="24"/>
      <c r="F2" s="24"/>
      <c r="G2" s="24"/>
      <c r="H2" s="24"/>
      <c r="I2" s="24"/>
      <c r="J2" s="24"/>
      <c r="K2" s="24"/>
      <c r="L2" s="24"/>
      <c r="M2" s="24"/>
      <c r="N2" s="24"/>
      <c r="O2" s="24"/>
      <c r="P2" s="24"/>
      <c r="Q2" s="24"/>
      <c r="R2" s="24"/>
      <c r="S2" s="24"/>
      <c r="T2" s="24"/>
      <c r="U2" s="24"/>
      <c r="V2" s="24"/>
      <c r="W2" s="24"/>
      <c r="X2" s="24"/>
      <c r="Y2" s="24"/>
      <c r="Z2" s="24"/>
      <c r="AA2" s="24"/>
      <c r="AB2" s="24"/>
      <c r="AC2" s="24"/>
      <c r="AD2" s="24"/>
    </row>
    <row r="3" spans="1:16382" x14ac:dyDescent="0.25">
      <c r="D3" s="73"/>
      <c r="E3" s="73"/>
      <c r="F3" s="73"/>
      <c r="G3" s="73"/>
      <c r="H3" s="73"/>
      <c r="I3" s="73"/>
      <c r="N3" s="27"/>
      <c r="R3" s="27"/>
    </row>
    <row r="4" spans="1:16382" ht="15.75" customHeight="1" x14ac:dyDescent="0.25">
      <c r="D4" s="73"/>
      <c r="E4" s="73"/>
      <c r="F4" s="73"/>
      <c r="G4" s="73"/>
      <c r="H4" s="73"/>
      <c r="I4" s="73"/>
    </row>
    <row r="5" spans="1:16382" ht="17.25" customHeight="1" x14ac:dyDescent="0.25">
      <c r="B5" s="28"/>
      <c r="C5" s="28"/>
      <c r="D5" s="29"/>
      <c r="E5" s="30" t="s">
        <v>11</v>
      </c>
      <c r="F5" s="31" t="s">
        <v>11</v>
      </c>
      <c r="G5" s="31" t="s">
        <v>11</v>
      </c>
      <c r="H5" s="31" t="s">
        <v>11</v>
      </c>
      <c r="I5" s="30" t="s">
        <v>12</v>
      </c>
      <c r="J5" s="31" t="s">
        <v>12</v>
      </c>
      <c r="K5" s="31" t="s">
        <v>12</v>
      </c>
      <c r="L5" s="31" t="s">
        <v>12</v>
      </c>
      <c r="M5" s="31" t="s">
        <v>13</v>
      </c>
      <c r="N5" s="31" t="s">
        <v>13</v>
      </c>
      <c r="O5" s="31" t="s">
        <v>13</v>
      </c>
      <c r="P5" s="31" t="s">
        <v>13</v>
      </c>
      <c r="Q5" s="31" t="s">
        <v>14</v>
      </c>
      <c r="R5" s="31" t="s">
        <v>14</v>
      </c>
      <c r="S5" s="31" t="s">
        <v>14</v>
      </c>
      <c r="T5" s="31" t="s">
        <v>14</v>
      </c>
      <c r="U5" s="31" t="s">
        <v>15</v>
      </c>
      <c r="V5" s="31" t="s">
        <v>15</v>
      </c>
      <c r="W5" s="31" t="s">
        <v>15</v>
      </c>
      <c r="X5" s="31" t="s">
        <v>15</v>
      </c>
      <c r="Y5" s="31" t="s">
        <v>16</v>
      </c>
      <c r="Z5" s="31" t="s">
        <v>16</v>
      </c>
      <c r="AA5" s="31" t="s">
        <v>16</v>
      </c>
      <c r="AB5" s="31" t="s">
        <v>16</v>
      </c>
      <c r="AC5" s="28"/>
    </row>
    <row r="6" spans="1:16382" ht="11.25" customHeight="1" x14ac:dyDescent="0.25">
      <c r="B6" s="28"/>
      <c r="C6" s="28"/>
      <c r="D6" s="29"/>
      <c r="E6" s="30"/>
      <c r="F6" s="31"/>
      <c r="G6" s="31"/>
      <c r="H6" s="31"/>
      <c r="I6" s="30"/>
      <c r="J6" s="74"/>
      <c r="K6" s="74"/>
      <c r="L6" s="31"/>
      <c r="M6" s="31"/>
      <c r="N6" s="31"/>
      <c r="O6" s="31"/>
      <c r="P6" s="31"/>
      <c r="Q6" s="31"/>
      <c r="R6" s="31"/>
      <c r="S6" s="31"/>
      <c r="T6" s="31"/>
      <c r="U6" s="31"/>
      <c r="V6" s="31"/>
      <c r="W6" s="31"/>
      <c r="X6" s="31"/>
      <c r="Y6" s="31"/>
      <c r="Z6" s="31"/>
      <c r="AA6" s="31"/>
      <c r="AB6" s="31"/>
      <c r="AC6" s="28"/>
    </row>
    <row r="7" spans="1:16382" ht="36.75" customHeight="1" x14ac:dyDescent="0.3">
      <c r="B7" s="32"/>
      <c r="C7" s="33"/>
      <c r="D7" s="34"/>
      <c r="E7" s="75" t="s">
        <v>11</v>
      </c>
      <c r="F7" s="75"/>
      <c r="G7" s="75"/>
      <c r="H7" s="75"/>
      <c r="I7" s="76" t="s">
        <v>12</v>
      </c>
      <c r="J7" s="76"/>
      <c r="K7" s="76"/>
      <c r="L7" s="76"/>
      <c r="M7" s="76" t="s">
        <v>13</v>
      </c>
      <c r="N7" s="76"/>
      <c r="O7" s="76"/>
      <c r="P7" s="76"/>
      <c r="Q7" s="76" t="s">
        <v>14</v>
      </c>
      <c r="R7" s="76"/>
      <c r="S7" s="76"/>
      <c r="T7" s="76"/>
      <c r="U7" s="76" t="s">
        <v>15</v>
      </c>
      <c r="V7" s="76"/>
      <c r="W7" s="76"/>
      <c r="X7" s="76"/>
      <c r="Y7" s="76" t="s">
        <v>16</v>
      </c>
      <c r="Z7" s="76"/>
      <c r="AA7" s="76"/>
      <c r="AB7" s="76"/>
      <c r="AC7" s="35"/>
    </row>
    <row r="8" spans="1:16382" ht="11.25" customHeight="1" x14ac:dyDescent="0.25">
      <c r="B8" s="36"/>
      <c r="C8" s="77"/>
      <c r="D8" s="77"/>
      <c r="E8" s="78" t="s">
        <v>26</v>
      </c>
      <c r="F8" s="78"/>
      <c r="G8" s="78"/>
      <c r="H8" s="78"/>
      <c r="I8" s="78" t="s">
        <v>26</v>
      </c>
      <c r="J8" s="78"/>
      <c r="K8" s="78"/>
      <c r="L8" s="78"/>
      <c r="M8" s="78" t="s">
        <v>26</v>
      </c>
      <c r="N8" s="78"/>
      <c r="O8" s="78"/>
      <c r="P8" s="78"/>
      <c r="Q8" s="78" t="s">
        <v>26</v>
      </c>
      <c r="R8" s="78"/>
      <c r="S8" s="78"/>
      <c r="T8" s="78"/>
      <c r="U8" s="78" t="s">
        <v>26</v>
      </c>
      <c r="V8" s="78"/>
      <c r="W8" s="78"/>
      <c r="X8" s="78"/>
      <c r="Y8" s="78" t="s">
        <v>26</v>
      </c>
      <c r="Z8" s="78"/>
      <c r="AA8" s="78"/>
      <c r="AB8" s="78"/>
      <c r="AC8" s="35"/>
    </row>
    <row r="9" spans="1:16382" ht="11.25" customHeight="1" x14ac:dyDescent="0.25">
      <c r="B9" s="36"/>
      <c r="C9" s="37"/>
      <c r="D9" s="37"/>
      <c r="E9" s="38"/>
      <c r="F9" s="38"/>
      <c r="G9" s="38"/>
      <c r="H9" s="38"/>
      <c r="I9" s="38"/>
      <c r="J9" s="38"/>
      <c r="K9" s="38"/>
      <c r="L9" s="38"/>
      <c r="M9" s="38"/>
      <c r="N9" s="38"/>
      <c r="O9" s="38"/>
      <c r="P9" s="38"/>
      <c r="Q9" s="38"/>
      <c r="R9" s="38"/>
      <c r="S9" s="38"/>
      <c r="T9" s="38"/>
      <c r="U9" s="38"/>
      <c r="V9" s="38"/>
      <c r="W9" s="38"/>
      <c r="X9" s="38"/>
      <c r="Y9" s="38"/>
      <c r="Z9" s="38"/>
      <c r="AA9" s="38"/>
      <c r="AB9" s="38"/>
      <c r="AC9" s="35"/>
    </row>
    <row r="10" spans="1:16382" ht="30.75" customHeight="1" x14ac:dyDescent="0.25">
      <c r="B10" s="39"/>
      <c r="C10" s="40" t="s">
        <v>17</v>
      </c>
      <c r="D10" s="41"/>
      <c r="E10" s="42"/>
      <c r="F10" s="80">
        <v>136.03</v>
      </c>
      <c r="G10" s="80"/>
      <c r="H10" s="43"/>
      <c r="I10" s="43"/>
      <c r="J10" s="80">
        <v>32</v>
      </c>
      <c r="K10" s="80"/>
      <c r="L10" s="43"/>
      <c r="M10" s="43"/>
      <c r="N10" s="80">
        <v>165.3</v>
      </c>
      <c r="O10" s="80"/>
      <c r="P10" s="43"/>
      <c r="Q10" s="43"/>
      <c r="R10" s="80">
        <v>0</v>
      </c>
      <c r="S10" s="80"/>
      <c r="T10" s="43"/>
      <c r="U10" s="43"/>
      <c r="V10" s="80">
        <v>0</v>
      </c>
      <c r="W10" s="80"/>
      <c r="X10" s="43"/>
      <c r="Y10" s="43"/>
      <c r="Z10" s="80">
        <v>0</v>
      </c>
      <c r="AA10" s="80"/>
      <c r="AB10" s="44"/>
      <c r="AC10" s="39"/>
    </row>
    <row r="11" spans="1:16382" ht="30.75" customHeight="1" x14ac:dyDescent="0.25">
      <c r="B11" s="39"/>
      <c r="C11" s="45" t="s">
        <v>18</v>
      </c>
      <c r="D11" s="41"/>
      <c r="E11" s="42"/>
      <c r="F11" s="79">
        <v>2706.8566999999998</v>
      </c>
      <c r="G11" s="79"/>
      <c r="H11" s="46"/>
      <c r="I11" s="46"/>
      <c r="J11" s="79">
        <v>206.6756</v>
      </c>
      <c r="K11" s="79"/>
      <c r="L11" s="46"/>
      <c r="M11" s="46"/>
      <c r="N11" s="79">
        <v>1391.5451</v>
      </c>
      <c r="O11" s="79"/>
      <c r="P11" s="46"/>
      <c r="Q11" s="46"/>
      <c r="R11" s="79">
        <v>50</v>
      </c>
      <c r="S11" s="79"/>
      <c r="T11" s="46"/>
      <c r="U11" s="46"/>
      <c r="V11" s="79">
        <v>1044</v>
      </c>
      <c r="W11" s="79"/>
      <c r="X11" s="46"/>
      <c r="Y11" s="46"/>
      <c r="Z11" s="79">
        <v>197</v>
      </c>
      <c r="AA11" s="79"/>
      <c r="AB11" s="44"/>
      <c r="AC11" s="39"/>
    </row>
    <row r="12" spans="1:16382" ht="30.75" customHeight="1" x14ac:dyDescent="0.25">
      <c r="B12" s="39"/>
      <c r="C12" s="45" t="s">
        <v>19</v>
      </c>
      <c r="D12" s="41"/>
      <c r="E12" s="42"/>
      <c r="F12" s="82">
        <v>0.94974613912882788</v>
      </c>
      <c r="G12" s="82"/>
      <c r="H12" s="47"/>
      <c r="I12" s="47"/>
      <c r="J12" s="82">
        <v>0.8451679830613773</v>
      </c>
      <c r="K12" s="82"/>
      <c r="L12" s="47"/>
      <c r="M12" s="47"/>
      <c r="N12" s="82">
        <v>0.88121118029160539</v>
      </c>
      <c r="O12" s="82"/>
      <c r="P12" s="47"/>
      <c r="Q12" s="47"/>
      <c r="R12" s="82">
        <v>1</v>
      </c>
      <c r="S12" s="82"/>
      <c r="T12" s="47"/>
      <c r="U12" s="47"/>
      <c r="V12" s="82">
        <v>1</v>
      </c>
      <c r="W12" s="82"/>
      <c r="X12" s="47"/>
      <c r="Y12" s="47"/>
      <c r="Z12" s="82">
        <v>1</v>
      </c>
      <c r="AA12" s="82"/>
      <c r="AB12" s="44"/>
      <c r="AC12" s="39"/>
    </row>
    <row r="13" spans="1:16382" ht="30.75" customHeight="1" x14ac:dyDescent="0.25">
      <c r="B13" s="39"/>
      <c r="C13" s="45" t="s">
        <v>20</v>
      </c>
      <c r="D13" s="48"/>
      <c r="E13" s="42"/>
      <c r="F13" s="81">
        <v>2570.8266999999996</v>
      </c>
      <c r="G13" s="81"/>
      <c r="H13" s="49"/>
      <c r="I13" s="49"/>
      <c r="J13" s="81">
        <v>174.6756</v>
      </c>
      <c r="K13" s="81"/>
      <c r="L13" s="49"/>
      <c r="M13" s="49"/>
      <c r="N13" s="81">
        <v>1226.2451000000001</v>
      </c>
      <c r="O13" s="81"/>
      <c r="P13" s="49"/>
      <c r="Q13" s="49"/>
      <c r="R13" s="81">
        <v>50</v>
      </c>
      <c r="S13" s="81"/>
      <c r="T13" s="49"/>
      <c r="U13" s="49"/>
      <c r="V13" s="81">
        <v>1044</v>
      </c>
      <c r="W13" s="81"/>
      <c r="X13" s="49"/>
      <c r="Y13" s="49"/>
      <c r="Z13" s="81">
        <v>197</v>
      </c>
      <c r="AA13" s="81"/>
      <c r="AB13" s="44"/>
      <c r="AC13" s="39"/>
    </row>
    <row r="14" spans="1:16382" ht="58.5" customHeight="1" x14ac:dyDescent="0.25">
      <c r="B14" s="39"/>
      <c r="C14" s="83"/>
      <c r="D14" s="83"/>
      <c r="E14" s="84">
        <v>5.0253860871172118E-2</v>
      </c>
      <c r="F14" s="84"/>
      <c r="G14" s="84"/>
      <c r="H14" s="84"/>
      <c r="I14" s="50"/>
      <c r="J14" s="51">
        <v>0.1548320169386227</v>
      </c>
      <c r="K14" s="52"/>
      <c r="L14" s="50"/>
      <c r="M14" s="50"/>
      <c r="N14" s="50">
        <v>0.11878881970839461</v>
      </c>
      <c r="O14" s="50"/>
      <c r="P14" s="50"/>
      <c r="Q14" s="50"/>
      <c r="R14" s="50">
        <v>0</v>
      </c>
      <c r="S14" s="50"/>
      <c r="T14" s="50"/>
      <c r="U14" s="50"/>
      <c r="V14" s="50"/>
      <c r="W14" s="50"/>
      <c r="X14" s="50"/>
      <c r="Y14" s="50"/>
      <c r="Z14" s="50">
        <v>0</v>
      </c>
      <c r="AA14" s="50"/>
      <c r="AB14" s="44"/>
      <c r="AC14" s="53"/>
    </row>
    <row r="15" spans="1:16382" ht="18" customHeight="1" x14ac:dyDescent="0.25">
      <c r="B15" s="36"/>
      <c r="C15" s="85"/>
      <c r="D15" s="85"/>
      <c r="E15" s="86" t="s">
        <v>27</v>
      </c>
      <c r="F15" s="86"/>
      <c r="G15" s="86"/>
      <c r="H15" s="86"/>
      <c r="I15" s="86" t="s">
        <v>28</v>
      </c>
      <c r="J15" s="86"/>
      <c r="K15" s="86"/>
      <c r="L15" s="86"/>
      <c r="M15" s="86" t="s">
        <v>27</v>
      </c>
      <c r="N15" s="86"/>
      <c r="O15" s="86"/>
      <c r="P15" s="86"/>
      <c r="Q15" s="86" t="s">
        <v>27</v>
      </c>
      <c r="R15" s="86"/>
      <c r="S15" s="86"/>
      <c r="T15" s="86"/>
      <c r="U15" s="86" t="s">
        <v>27</v>
      </c>
      <c r="V15" s="86"/>
      <c r="W15" s="86"/>
      <c r="X15" s="86"/>
      <c r="Y15" s="86" t="s">
        <v>27</v>
      </c>
      <c r="Z15" s="86"/>
      <c r="AA15" s="86"/>
      <c r="AB15" s="86"/>
      <c r="AC15" s="35"/>
    </row>
    <row r="16" spans="1:16382" ht="12.75" customHeight="1" x14ac:dyDescent="0.25">
      <c r="B16" s="36"/>
      <c r="C16" s="77"/>
      <c r="D16" s="77"/>
      <c r="E16" s="87"/>
      <c r="F16" s="87"/>
      <c r="G16" s="87"/>
      <c r="H16" s="87"/>
      <c r="I16" s="87"/>
      <c r="J16" s="87"/>
      <c r="K16" s="87"/>
      <c r="L16" s="87"/>
      <c r="M16" s="87"/>
      <c r="N16" s="87"/>
      <c r="O16" s="87"/>
      <c r="P16" s="87"/>
      <c r="Q16" s="87"/>
      <c r="R16" s="87"/>
      <c r="S16" s="87"/>
      <c r="T16" s="87"/>
      <c r="U16" s="87"/>
      <c r="V16" s="87"/>
      <c r="W16" s="87"/>
      <c r="X16" s="87"/>
      <c r="Y16" s="87"/>
      <c r="Z16" s="87"/>
      <c r="AA16" s="87"/>
      <c r="AB16" s="87"/>
      <c r="AC16" s="35"/>
    </row>
    <row r="17" spans="2:29" ht="18" customHeight="1" x14ac:dyDescent="0.25">
      <c r="B17" s="36"/>
      <c r="C17" s="37"/>
      <c r="D17" s="37"/>
      <c r="E17" s="54"/>
      <c r="F17" s="54"/>
      <c r="G17" s="54"/>
      <c r="H17" s="54"/>
      <c r="I17" s="54"/>
      <c r="J17" s="54"/>
      <c r="K17" s="54"/>
      <c r="L17" s="54"/>
      <c r="M17" s="54"/>
      <c r="N17" s="54"/>
      <c r="O17" s="54"/>
      <c r="P17" s="54"/>
      <c r="Q17" s="54"/>
      <c r="R17" s="54"/>
      <c r="S17" s="54"/>
      <c r="T17" s="54"/>
      <c r="U17" s="54"/>
      <c r="V17" s="54"/>
      <c r="W17" s="54"/>
      <c r="X17" s="54"/>
      <c r="Y17" s="54"/>
      <c r="Z17" s="54"/>
      <c r="AA17" s="54"/>
      <c r="AB17" s="54"/>
      <c r="AC17" s="35"/>
    </row>
    <row r="18" spans="2:29" s="59" customFormat="1" ht="18" customHeight="1" x14ac:dyDescent="0.25">
      <c r="B18" s="55"/>
      <c r="C18" s="56"/>
      <c r="D18" s="56"/>
      <c r="E18" s="57"/>
      <c r="F18" s="57"/>
      <c r="G18" s="57"/>
      <c r="H18" s="57"/>
      <c r="I18" s="57"/>
      <c r="J18" s="57"/>
      <c r="K18" s="57"/>
      <c r="L18" s="57"/>
      <c r="M18" s="57"/>
      <c r="N18" s="57"/>
      <c r="O18" s="57"/>
      <c r="P18" s="57"/>
      <c r="Q18" s="57"/>
      <c r="R18" s="57"/>
      <c r="S18" s="57"/>
      <c r="T18" s="57"/>
      <c r="U18" s="57"/>
      <c r="V18" s="57"/>
      <c r="W18" s="57"/>
      <c r="X18" s="57"/>
      <c r="Y18" s="57"/>
      <c r="Z18" s="57"/>
      <c r="AA18" s="57"/>
      <c r="AB18" s="57"/>
      <c r="AC18" s="58"/>
    </row>
    <row r="19" spans="2:29" ht="18" customHeight="1" x14ac:dyDescent="0.25">
      <c r="B19" s="36"/>
      <c r="C19" s="37"/>
      <c r="D19" s="37"/>
      <c r="E19" s="54"/>
      <c r="F19" s="54"/>
      <c r="G19" s="54"/>
      <c r="H19" s="54"/>
      <c r="I19" s="54"/>
      <c r="J19" s="54"/>
      <c r="K19" s="54"/>
      <c r="L19" s="54"/>
      <c r="M19" s="54"/>
      <c r="N19" s="54"/>
      <c r="O19" s="54"/>
      <c r="P19" s="54"/>
      <c r="Q19" s="54"/>
      <c r="R19" s="54"/>
      <c r="S19" s="54"/>
      <c r="T19" s="54"/>
      <c r="U19" s="54"/>
      <c r="V19" s="54"/>
      <c r="W19" s="54"/>
      <c r="X19" s="54"/>
      <c r="Y19" s="54"/>
      <c r="Z19" s="54"/>
      <c r="AA19" s="54"/>
      <c r="AB19" s="54"/>
      <c r="AC19" s="35"/>
    </row>
    <row r="20" spans="2:29" ht="18" customHeight="1" x14ac:dyDescent="0.25">
      <c r="B20" s="36"/>
      <c r="C20" s="37"/>
      <c r="D20" s="37"/>
      <c r="E20" s="54"/>
      <c r="F20" s="54"/>
      <c r="G20" s="54"/>
      <c r="H20" s="54"/>
      <c r="I20" s="54"/>
      <c r="J20" s="54"/>
      <c r="K20" s="54"/>
      <c r="L20" s="54"/>
      <c r="M20" s="54"/>
      <c r="N20" s="54"/>
      <c r="O20" s="54"/>
      <c r="P20" s="54"/>
      <c r="Q20" s="54"/>
      <c r="R20" s="54"/>
      <c r="S20" s="54"/>
      <c r="T20" s="54"/>
      <c r="U20" s="54"/>
      <c r="V20" s="54"/>
      <c r="W20" s="54"/>
      <c r="X20" s="54"/>
      <c r="Y20" s="54"/>
      <c r="Z20" s="54"/>
      <c r="AA20" s="54"/>
      <c r="AB20" s="54"/>
      <c r="AC20" s="35"/>
    </row>
    <row r="21" spans="2:29" ht="18" customHeight="1" x14ac:dyDescent="0.25">
      <c r="B21" s="36"/>
      <c r="C21" s="37"/>
      <c r="D21" s="37"/>
      <c r="E21" s="54"/>
      <c r="F21" s="54"/>
      <c r="G21" s="54"/>
      <c r="H21" s="54"/>
      <c r="I21" s="54"/>
      <c r="J21" s="54"/>
      <c r="K21" s="54"/>
      <c r="L21" s="54"/>
      <c r="M21" s="54"/>
      <c r="N21" s="54"/>
      <c r="O21" s="54"/>
      <c r="P21" s="54"/>
      <c r="Q21" s="54"/>
      <c r="R21" s="54"/>
      <c r="S21" s="54"/>
      <c r="T21" s="54"/>
      <c r="U21" s="54"/>
      <c r="V21" s="54"/>
      <c r="W21" s="54"/>
      <c r="X21" s="54"/>
      <c r="Y21" s="54"/>
      <c r="Z21" s="54"/>
      <c r="AA21" s="54"/>
      <c r="AB21" s="54"/>
      <c r="AC21" s="35"/>
    </row>
    <row r="22" spans="2:29" ht="18" customHeight="1" x14ac:dyDescent="0.25">
      <c r="B22" s="36"/>
      <c r="C22" s="37"/>
      <c r="D22" s="37"/>
      <c r="E22" s="54"/>
      <c r="F22" s="54"/>
      <c r="G22" s="54"/>
      <c r="H22" s="54"/>
      <c r="I22" s="54"/>
      <c r="J22" s="54"/>
      <c r="K22" s="54"/>
      <c r="L22" s="54"/>
      <c r="M22" s="54"/>
      <c r="N22" s="54"/>
      <c r="O22" s="54"/>
      <c r="P22" s="54"/>
      <c r="Q22" s="54"/>
      <c r="R22" s="54"/>
      <c r="S22" s="54"/>
      <c r="T22" s="54"/>
      <c r="U22" s="54"/>
      <c r="V22" s="54"/>
      <c r="W22" s="54"/>
      <c r="X22" s="54"/>
      <c r="Y22" s="54"/>
      <c r="Z22" s="54"/>
      <c r="AA22" s="54"/>
      <c r="AB22" s="54"/>
      <c r="AC22" s="35"/>
    </row>
    <row r="23" spans="2:29" ht="18" customHeight="1" x14ac:dyDescent="0.25">
      <c r="B23" s="60"/>
      <c r="C23" s="61"/>
      <c r="D23" s="61"/>
      <c r="E23" s="62"/>
      <c r="F23" s="98"/>
      <c r="G23" s="98"/>
      <c r="H23" s="98"/>
      <c r="I23" s="98"/>
      <c r="J23" s="98"/>
      <c r="K23" s="98"/>
      <c r="L23" s="98"/>
      <c r="M23" s="98"/>
      <c r="N23" s="98"/>
      <c r="O23" s="98"/>
      <c r="P23" s="98"/>
      <c r="Q23" s="98"/>
      <c r="R23" s="98"/>
      <c r="S23" s="98"/>
      <c r="T23" s="98"/>
      <c r="U23" s="98"/>
      <c r="V23" s="94"/>
      <c r="W23" s="94"/>
      <c r="X23" s="94"/>
      <c r="Y23" s="94"/>
      <c r="Z23" s="94"/>
      <c r="AA23" s="94"/>
      <c r="AB23" s="62"/>
      <c r="AC23" s="28"/>
    </row>
    <row r="24" spans="2:29" ht="30.75" customHeight="1" x14ac:dyDescent="0.25">
      <c r="B24" s="63"/>
      <c r="C24" s="95" t="s">
        <v>27</v>
      </c>
      <c r="D24" s="95"/>
      <c r="E24" s="96">
        <v>6</v>
      </c>
      <c r="F24" s="96"/>
      <c r="G24" s="96"/>
      <c r="H24" s="96"/>
      <c r="I24" s="96"/>
      <c r="J24" s="96" t="s">
        <v>27</v>
      </c>
      <c r="K24" s="96"/>
      <c r="L24" s="96"/>
      <c r="M24" s="96"/>
      <c r="N24" s="96"/>
      <c r="O24" s="96"/>
      <c r="P24" s="95" t="s">
        <v>27</v>
      </c>
      <c r="Q24" s="95"/>
      <c r="R24" s="95"/>
      <c r="S24" s="95"/>
      <c r="T24" s="95"/>
      <c r="U24" s="95"/>
      <c r="V24" s="95"/>
      <c r="W24" s="95"/>
      <c r="X24" s="97" t="s">
        <v>27</v>
      </c>
      <c r="Y24" s="97"/>
      <c r="Z24" s="97" t="s">
        <v>27</v>
      </c>
      <c r="AA24" s="97"/>
      <c r="AB24" s="64"/>
      <c r="AC24" s="65"/>
    </row>
    <row r="25" spans="2:29" ht="27" customHeight="1" x14ac:dyDescent="0.25">
      <c r="B25" s="66" t="s">
        <v>27</v>
      </c>
      <c r="C25" s="88">
        <v>43110</v>
      </c>
      <c r="D25" s="89"/>
      <c r="E25" s="90" t="s">
        <v>21</v>
      </c>
      <c r="F25" s="90"/>
      <c r="G25" s="90"/>
      <c r="H25" s="90"/>
      <c r="I25" s="90"/>
      <c r="J25" s="91" t="s">
        <v>22</v>
      </c>
      <c r="K25" s="91"/>
      <c r="L25" s="91"/>
      <c r="M25" s="91"/>
      <c r="N25" s="91"/>
      <c r="O25" s="91"/>
      <c r="P25" s="90" t="s">
        <v>23</v>
      </c>
      <c r="Q25" s="90"/>
      <c r="R25" s="90"/>
      <c r="S25" s="90"/>
      <c r="T25" s="90"/>
      <c r="U25" s="90"/>
      <c r="V25" s="90"/>
      <c r="W25" s="90"/>
      <c r="X25" s="92">
        <v>155.66999999999999</v>
      </c>
      <c r="Y25" s="92"/>
      <c r="Z25" s="92">
        <v>0</v>
      </c>
      <c r="AA25" s="93"/>
      <c r="AB25" s="67"/>
      <c r="AC25" s="65"/>
    </row>
    <row r="26" spans="2:29" ht="27" customHeight="1" x14ac:dyDescent="0.25">
      <c r="B26" s="68" t="s">
        <v>27</v>
      </c>
      <c r="C26" s="88">
        <v>43125</v>
      </c>
      <c r="D26" s="89"/>
      <c r="E26" s="90" t="s">
        <v>21</v>
      </c>
      <c r="F26" s="90"/>
      <c r="G26" s="90"/>
      <c r="H26" s="90"/>
      <c r="I26" s="90"/>
      <c r="J26" s="91" t="s">
        <v>22</v>
      </c>
      <c r="K26" s="91"/>
      <c r="L26" s="91"/>
      <c r="M26" s="91"/>
      <c r="N26" s="91"/>
      <c r="O26" s="91"/>
      <c r="P26" s="90" t="s">
        <v>23</v>
      </c>
      <c r="Q26" s="90"/>
      <c r="R26" s="90"/>
      <c r="S26" s="90"/>
      <c r="T26" s="90"/>
      <c r="U26" s="90"/>
      <c r="V26" s="90">
        <v>87.61</v>
      </c>
      <c r="W26" s="90"/>
      <c r="X26" s="92">
        <v>87.61</v>
      </c>
      <c r="Y26" s="92"/>
      <c r="Z26" s="92">
        <v>0</v>
      </c>
      <c r="AA26" s="93"/>
      <c r="AB26" s="67"/>
      <c r="AC26" s="65"/>
    </row>
    <row r="27" spans="2:29" ht="27" customHeight="1" x14ac:dyDescent="0.25">
      <c r="B27" s="68" t="s">
        <v>27</v>
      </c>
      <c r="C27" s="88">
        <v>43169</v>
      </c>
      <c r="D27" s="89"/>
      <c r="E27" s="90" t="s">
        <v>24</v>
      </c>
      <c r="F27" s="90"/>
      <c r="G27" s="90"/>
      <c r="H27" s="90"/>
      <c r="I27" s="90"/>
      <c r="J27" s="91" t="s">
        <v>22</v>
      </c>
      <c r="K27" s="91"/>
      <c r="L27" s="91"/>
      <c r="M27" s="91"/>
      <c r="N27" s="91"/>
      <c r="O27" s="91"/>
      <c r="P27" s="90" t="s">
        <v>23</v>
      </c>
      <c r="Q27" s="90"/>
      <c r="R27" s="90"/>
      <c r="S27" s="90"/>
      <c r="T27" s="90"/>
      <c r="U27" s="90"/>
      <c r="V27" s="90">
        <v>27.32</v>
      </c>
      <c r="W27" s="90"/>
      <c r="X27" s="92">
        <v>27.32</v>
      </c>
      <c r="Y27" s="92"/>
      <c r="Z27" s="92">
        <v>0</v>
      </c>
      <c r="AA27" s="93"/>
      <c r="AB27" s="67"/>
      <c r="AC27" s="65"/>
    </row>
    <row r="28" spans="2:29" ht="27" customHeight="1" x14ac:dyDescent="0.25">
      <c r="B28" s="68" t="s">
        <v>27</v>
      </c>
      <c r="C28" s="88">
        <v>43152</v>
      </c>
      <c r="D28" s="89"/>
      <c r="E28" s="90" t="s">
        <v>25</v>
      </c>
      <c r="F28" s="90"/>
      <c r="G28" s="90"/>
      <c r="H28" s="90"/>
      <c r="I28" s="90"/>
      <c r="J28" s="91" t="s">
        <v>22</v>
      </c>
      <c r="K28" s="91"/>
      <c r="L28" s="91"/>
      <c r="M28" s="91"/>
      <c r="N28" s="91"/>
      <c r="O28" s="91"/>
      <c r="P28" s="90" t="s">
        <v>23</v>
      </c>
      <c r="Q28" s="90"/>
      <c r="R28" s="90"/>
      <c r="S28" s="90"/>
      <c r="T28" s="90"/>
      <c r="U28" s="90"/>
      <c r="V28" s="90">
        <v>2.4</v>
      </c>
      <c r="W28" s="90"/>
      <c r="X28" s="92">
        <v>2.4</v>
      </c>
      <c r="Y28" s="92"/>
      <c r="Z28" s="92">
        <v>0</v>
      </c>
      <c r="AA28" s="93"/>
      <c r="AB28" s="67"/>
      <c r="AC28" s="65"/>
    </row>
    <row r="29" spans="2:29" ht="27" customHeight="1" x14ac:dyDescent="0.25">
      <c r="B29" s="68" t="s">
        <v>27</v>
      </c>
      <c r="C29" s="88">
        <v>43161</v>
      </c>
      <c r="D29" s="89"/>
      <c r="E29" s="90" t="s">
        <v>25</v>
      </c>
      <c r="F29" s="90"/>
      <c r="G29" s="90"/>
      <c r="H29" s="90"/>
      <c r="I29" s="90"/>
      <c r="J29" s="91" t="s">
        <v>22</v>
      </c>
      <c r="K29" s="91"/>
      <c r="L29" s="91"/>
      <c r="M29" s="91"/>
      <c r="N29" s="91"/>
      <c r="O29" s="91"/>
      <c r="P29" s="90" t="s">
        <v>23</v>
      </c>
      <c r="Q29" s="90"/>
      <c r="R29" s="90"/>
      <c r="S29" s="90"/>
      <c r="T29" s="90"/>
      <c r="U29" s="90"/>
      <c r="V29" s="90">
        <v>2.4</v>
      </c>
      <c r="W29" s="90"/>
      <c r="X29" s="92">
        <v>2.4</v>
      </c>
      <c r="Y29" s="92"/>
      <c r="Z29" s="92">
        <v>0</v>
      </c>
      <c r="AA29" s="93"/>
      <c r="AB29" s="67"/>
      <c r="AC29" s="65"/>
    </row>
    <row r="30" spans="2:29" ht="27" customHeight="1" x14ac:dyDescent="0.25">
      <c r="B30" s="66" t="s">
        <v>27</v>
      </c>
      <c r="C30" s="88">
        <v>43201</v>
      </c>
      <c r="D30" s="89"/>
      <c r="E30" s="90" t="s">
        <v>25</v>
      </c>
      <c r="F30" s="90"/>
      <c r="G30" s="90"/>
      <c r="H30" s="90"/>
      <c r="I30" s="90"/>
      <c r="J30" s="91" t="s">
        <v>22</v>
      </c>
      <c r="K30" s="91"/>
      <c r="L30" s="91"/>
      <c r="M30" s="91"/>
      <c r="N30" s="91"/>
      <c r="O30" s="91"/>
      <c r="P30" s="90" t="s">
        <v>31</v>
      </c>
      <c r="Q30" s="90"/>
      <c r="R30" s="90"/>
      <c r="S30" s="90"/>
      <c r="T30" s="90"/>
      <c r="U30" s="90"/>
      <c r="V30" s="90">
        <v>20.5</v>
      </c>
      <c r="W30" s="90"/>
      <c r="X30" s="92">
        <v>20.5</v>
      </c>
      <c r="Y30" s="92"/>
      <c r="Z30" s="92">
        <v>0</v>
      </c>
      <c r="AA30" s="93"/>
      <c r="AB30" s="67"/>
      <c r="AC30" s="28"/>
    </row>
    <row r="31" spans="2:29" ht="27" customHeight="1" x14ac:dyDescent="0.25">
      <c r="B31" s="66" t="s">
        <v>27</v>
      </c>
      <c r="C31" s="88">
        <v>43329</v>
      </c>
      <c r="D31" s="89"/>
      <c r="E31" s="90" t="s">
        <v>25</v>
      </c>
      <c r="F31" s="90"/>
      <c r="G31" s="90"/>
      <c r="H31" s="90"/>
      <c r="I31" s="90"/>
      <c r="J31" s="91" t="s">
        <v>22</v>
      </c>
      <c r="K31" s="91"/>
      <c r="L31" s="91"/>
      <c r="M31" s="91"/>
      <c r="N31" s="91"/>
      <c r="O31" s="91"/>
      <c r="P31" s="90" t="s">
        <v>23</v>
      </c>
      <c r="Q31" s="90"/>
      <c r="R31" s="90"/>
      <c r="S31" s="90"/>
      <c r="T31" s="90"/>
      <c r="U31" s="90"/>
      <c r="V31" s="90">
        <v>2.4</v>
      </c>
      <c r="W31" s="90"/>
      <c r="X31" s="92">
        <v>2.4</v>
      </c>
      <c r="Y31" s="92"/>
      <c r="Z31" s="92">
        <v>0</v>
      </c>
      <c r="AA31" s="93"/>
      <c r="AB31" s="67"/>
      <c r="AC31" s="28"/>
    </row>
    <row r="32" spans="2:29" ht="27" customHeight="1" x14ac:dyDescent="0.25">
      <c r="B32" s="66" t="s">
        <v>27</v>
      </c>
      <c r="C32" s="88">
        <v>43341</v>
      </c>
      <c r="D32" s="89"/>
      <c r="E32" s="90" t="s">
        <v>25</v>
      </c>
      <c r="F32" s="90"/>
      <c r="G32" s="90"/>
      <c r="H32" s="90"/>
      <c r="I32" s="90"/>
      <c r="J32" s="91" t="s">
        <v>22</v>
      </c>
      <c r="K32" s="91"/>
      <c r="L32" s="91"/>
      <c r="M32" s="91"/>
      <c r="N32" s="91"/>
      <c r="O32" s="91"/>
      <c r="P32" s="90" t="s">
        <v>23</v>
      </c>
      <c r="Q32" s="90"/>
      <c r="R32" s="90"/>
      <c r="S32" s="90"/>
      <c r="T32" s="90"/>
      <c r="U32" s="90"/>
      <c r="V32" s="90">
        <v>1.8</v>
      </c>
      <c r="W32" s="90"/>
      <c r="X32" s="92">
        <v>1.8</v>
      </c>
      <c r="Y32" s="92"/>
      <c r="Z32" s="92">
        <v>0</v>
      </c>
      <c r="AA32" s="93"/>
      <c r="AB32" s="67"/>
      <c r="AC32" s="28"/>
    </row>
    <row r="33" spans="2:29" ht="27" customHeight="1" x14ac:dyDescent="0.25">
      <c r="B33" s="66" t="s">
        <v>27</v>
      </c>
      <c r="C33" s="88">
        <v>43223</v>
      </c>
      <c r="D33" s="89"/>
      <c r="E33" s="90" t="s">
        <v>25</v>
      </c>
      <c r="F33" s="90"/>
      <c r="G33" s="90"/>
      <c r="H33" s="90"/>
      <c r="I33" s="90"/>
      <c r="J33" s="91" t="s">
        <v>22</v>
      </c>
      <c r="K33" s="91"/>
      <c r="L33" s="91"/>
      <c r="M33" s="91"/>
      <c r="N33" s="91"/>
      <c r="O33" s="91"/>
      <c r="P33" s="90" t="s">
        <v>23</v>
      </c>
      <c r="Q33" s="90"/>
      <c r="R33" s="90"/>
      <c r="S33" s="90"/>
      <c r="T33" s="90"/>
      <c r="U33" s="90"/>
      <c r="V33" s="90">
        <v>12.69</v>
      </c>
      <c r="W33" s="90"/>
      <c r="X33" s="92">
        <v>12.69</v>
      </c>
      <c r="Y33" s="92"/>
      <c r="Z33" s="92">
        <v>0</v>
      </c>
      <c r="AA33" s="93"/>
      <c r="AB33" s="67"/>
      <c r="AC33" s="28"/>
    </row>
    <row r="34" spans="2:29" x14ac:dyDescent="0.25">
      <c r="B34" s="28"/>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c r="AB34" s="28"/>
      <c r="AC34" s="28"/>
    </row>
    <row r="36" spans="2:29" x14ac:dyDescent="0.25">
      <c r="C36" s="99">
        <v>6</v>
      </c>
      <c r="D36" s="99"/>
      <c r="E36" s="100">
        <v>5</v>
      </c>
      <c r="F36" s="100"/>
      <c r="G36" s="100"/>
      <c r="H36" s="100"/>
      <c r="I36" s="100"/>
      <c r="J36" s="99">
        <v>1</v>
      </c>
      <c r="K36" s="99"/>
      <c r="L36" s="99"/>
      <c r="M36" s="99"/>
      <c r="N36" s="99"/>
      <c r="O36" s="99"/>
      <c r="P36" s="99">
        <v>2</v>
      </c>
      <c r="Q36" s="99"/>
      <c r="R36" s="99"/>
      <c r="S36" s="99"/>
      <c r="T36" s="99"/>
      <c r="U36" s="99"/>
      <c r="V36" s="99"/>
      <c r="W36" s="99"/>
      <c r="X36" s="99">
        <v>3</v>
      </c>
      <c r="Y36" s="99"/>
      <c r="Z36" s="99">
        <v>4</v>
      </c>
      <c r="AA36" s="99"/>
    </row>
  </sheetData>
  <sheetProtection selectLockedCells="1" selectUnlockedCells="1"/>
  <dataConsolidate/>
  <mergeCells count="134">
    <mergeCell ref="C36:D36"/>
    <mergeCell ref="E36:I36"/>
    <mergeCell ref="J36:O36"/>
    <mergeCell ref="P36:W36"/>
    <mergeCell ref="X36:Y36"/>
    <mergeCell ref="Z36:AA36"/>
    <mergeCell ref="C34:D34"/>
    <mergeCell ref="E34:I34"/>
    <mergeCell ref="J34:O34"/>
    <mergeCell ref="P34:W34"/>
    <mergeCell ref="X34:Y34"/>
    <mergeCell ref="Z34:AA34"/>
    <mergeCell ref="C33:D33"/>
    <mergeCell ref="E33:I33"/>
    <mergeCell ref="J33:O33"/>
    <mergeCell ref="P33:W33"/>
    <mergeCell ref="X33:Y33"/>
    <mergeCell ref="Z33:AA33"/>
    <mergeCell ref="C32:D32"/>
    <mergeCell ref="E32:I32"/>
    <mergeCell ref="J32:O32"/>
    <mergeCell ref="P32:W32"/>
    <mergeCell ref="X32:Y32"/>
    <mergeCell ref="Z32:AA32"/>
    <mergeCell ref="C31:D31"/>
    <mergeCell ref="E31:I31"/>
    <mergeCell ref="J31:O31"/>
    <mergeCell ref="P31:W31"/>
    <mergeCell ref="X31:Y31"/>
    <mergeCell ref="Z31:AA31"/>
    <mergeCell ref="C30:D30"/>
    <mergeCell ref="E30:I30"/>
    <mergeCell ref="J30:O30"/>
    <mergeCell ref="P30:W30"/>
    <mergeCell ref="X30:Y30"/>
    <mergeCell ref="Z30:AA30"/>
    <mergeCell ref="C29:D29"/>
    <mergeCell ref="E29:I29"/>
    <mergeCell ref="J29:O29"/>
    <mergeCell ref="P29:W29"/>
    <mergeCell ref="X29:Y29"/>
    <mergeCell ref="Z29:AA29"/>
    <mergeCell ref="C28:D28"/>
    <mergeCell ref="E28:I28"/>
    <mergeCell ref="J28:O28"/>
    <mergeCell ref="P28:W28"/>
    <mergeCell ref="X28:Y28"/>
    <mergeCell ref="Z28:AA28"/>
    <mergeCell ref="C27:D27"/>
    <mergeCell ref="E27:I27"/>
    <mergeCell ref="J27:O27"/>
    <mergeCell ref="P27:W27"/>
    <mergeCell ref="X27:Y27"/>
    <mergeCell ref="Z27:AA27"/>
    <mergeCell ref="C26:D26"/>
    <mergeCell ref="E26:I26"/>
    <mergeCell ref="J26:O26"/>
    <mergeCell ref="P26:W26"/>
    <mergeCell ref="X26:Y26"/>
    <mergeCell ref="Z26:AA26"/>
    <mergeCell ref="C25:D25"/>
    <mergeCell ref="E25:I25"/>
    <mergeCell ref="J25:O25"/>
    <mergeCell ref="P25:W25"/>
    <mergeCell ref="X25:Y25"/>
    <mergeCell ref="Z25:AA25"/>
    <mergeCell ref="Z23:AA23"/>
    <mergeCell ref="C24:D24"/>
    <mergeCell ref="E24:I24"/>
    <mergeCell ref="J24:O24"/>
    <mergeCell ref="P24:W24"/>
    <mergeCell ref="X24:Y24"/>
    <mergeCell ref="Z24:AA24"/>
    <mergeCell ref="F23:G23"/>
    <mergeCell ref="H23:K23"/>
    <mergeCell ref="L23:P23"/>
    <mergeCell ref="Q23:U23"/>
    <mergeCell ref="V23:W23"/>
    <mergeCell ref="X23:Y23"/>
    <mergeCell ref="Q15:T15"/>
    <mergeCell ref="U15:X15"/>
    <mergeCell ref="Y15:AB15"/>
    <mergeCell ref="C16:D16"/>
    <mergeCell ref="E16:H16"/>
    <mergeCell ref="I16:L16"/>
    <mergeCell ref="M16:P16"/>
    <mergeCell ref="Q16:T16"/>
    <mergeCell ref="U16:X16"/>
    <mergeCell ref="Y16:AB16"/>
    <mergeCell ref="C14:D14"/>
    <mergeCell ref="E14:H14"/>
    <mergeCell ref="C15:D15"/>
    <mergeCell ref="E15:H15"/>
    <mergeCell ref="I15:L15"/>
    <mergeCell ref="M15:P15"/>
    <mergeCell ref="F13:G13"/>
    <mergeCell ref="J13:K13"/>
    <mergeCell ref="N13:O13"/>
    <mergeCell ref="R13:S13"/>
    <mergeCell ref="V13:W13"/>
    <mergeCell ref="Z13:AA13"/>
    <mergeCell ref="F12:G12"/>
    <mergeCell ref="J12:K12"/>
    <mergeCell ref="N12:O12"/>
    <mergeCell ref="R12:S12"/>
    <mergeCell ref="V12:W12"/>
    <mergeCell ref="Z12:AA12"/>
    <mergeCell ref="F11:G11"/>
    <mergeCell ref="J11:K11"/>
    <mergeCell ref="N11:O11"/>
    <mergeCell ref="R11:S11"/>
    <mergeCell ref="V11:W11"/>
    <mergeCell ref="Z11:AA11"/>
    <mergeCell ref="F10:G10"/>
    <mergeCell ref="J10:K10"/>
    <mergeCell ref="N10:O10"/>
    <mergeCell ref="R10:S10"/>
    <mergeCell ref="V10:W10"/>
    <mergeCell ref="Z10:AA10"/>
    <mergeCell ref="D3:I4"/>
    <mergeCell ref="J6:K6"/>
    <mergeCell ref="E7:H7"/>
    <mergeCell ref="I7:L7"/>
    <mergeCell ref="M7:P7"/>
    <mergeCell ref="Q7:T7"/>
    <mergeCell ref="U7:X7"/>
    <mergeCell ref="Y7:AB7"/>
    <mergeCell ref="C8:D8"/>
    <mergeCell ref="E8:H8"/>
    <mergeCell ref="I8:L8"/>
    <mergeCell ref="M8:P8"/>
    <mergeCell ref="Q8:T8"/>
    <mergeCell ref="U8:X8"/>
    <mergeCell ref="Y8:AB8"/>
  </mergeCells>
  <conditionalFormatting sqref="E7:AB9 E6:J6 L6:AB6">
    <cfRule type="expression" dxfId="7" priority="6">
      <formula>E$5=valSelOption</formula>
    </cfRule>
  </conditionalFormatting>
  <conditionalFormatting sqref="E10:AB14">
    <cfRule type="expression" dxfId="6" priority="5">
      <formula>E$5=valSelOption</formula>
    </cfRule>
  </conditionalFormatting>
  <conditionalFormatting sqref="E15:AB15">
    <cfRule type="expression" dxfId="5" priority="4">
      <formula>E$5=valSelOption</formula>
    </cfRule>
  </conditionalFormatting>
  <conditionalFormatting sqref="E16:AB16">
    <cfRule type="expression" dxfId="4" priority="3">
      <formula>E$5=valSelOption</formula>
    </cfRule>
  </conditionalFormatting>
  <conditionalFormatting sqref="C25:AB33">
    <cfRule type="expression" dxfId="3" priority="1">
      <formula>ROW(C25)=valRowGrid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croll Bar 1">
              <controlPr defaultSize="0" autoPict="0">
                <anchor moveWithCells="1">
                  <from>
                    <xdr:col>27</xdr:col>
                    <xdr:colOff>9525</xdr:colOff>
                    <xdr:row>23</xdr:row>
                    <xdr:rowOff>0</xdr:rowOff>
                  </from>
                  <to>
                    <xdr:col>27</xdr:col>
                    <xdr:colOff>447675</xdr:colOff>
                    <xdr:row>32</xdr:row>
                    <xdr:rowOff>152400</xdr:rowOff>
                  </to>
                </anchor>
              </controlPr>
            </control>
          </mc:Choice>
        </mc:AlternateContent>
        <mc:AlternateContent xmlns:mc="http://schemas.openxmlformats.org/markup-compatibility/2006">
          <mc:Choice Requires="x14">
            <control shapeId="2050" r:id="rId5" name="Drop Down 2">
              <controlPr defaultSize="0" autoLine="0" autoPict="0">
                <anchor moveWithCells="1">
                  <from>
                    <xdr:col>25</xdr:col>
                    <xdr:colOff>104775</xdr:colOff>
                    <xdr:row>0</xdr:row>
                    <xdr:rowOff>152400</xdr:rowOff>
                  </from>
                  <to>
                    <xdr:col>28</xdr:col>
                    <xdr:colOff>190500</xdr:colOff>
                    <xdr:row>0</xdr:row>
                    <xdr:rowOff>447675</xdr:rowOff>
                  </to>
                </anchor>
              </controlPr>
            </control>
          </mc:Choice>
        </mc:AlternateContent>
        <mc:AlternateContent xmlns:mc="http://schemas.openxmlformats.org/markup-compatibility/2006">
          <mc:Choice Requires="x14">
            <control shapeId="2051" r:id="rId6" name="Option Button 3">
              <controlPr defaultSize="0" autoFill="0" autoLine="0" autoPict="0" macro="[1]!PivotTableSort2">
                <anchor moveWithCells="1">
                  <from>
                    <xdr:col>9</xdr:col>
                    <xdr:colOff>133350</xdr:colOff>
                    <xdr:row>23</xdr:row>
                    <xdr:rowOff>85725</xdr:rowOff>
                  </from>
                  <to>
                    <xdr:col>9</xdr:col>
                    <xdr:colOff>438150</xdr:colOff>
                    <xdr:row>23</xdr:row>
                    <xdr:rowOff>323850</xdr:rowOff>
                  </to>
                </anchor>
              </controlPr>
            </control>
          </mc:Choice>
        </mc:AlternateContent>
        <mc:AlternateContent xmlns:mc="http://schemas.openxmlformats.org/markup-compatibility/2006">
          <mc:Choice Requires="x14">
            <control shapeId="2052" r:id="rId7" name="Option Button 4">
              <controlPr defaultSize="0" autoFill="0" autoLine="0" autoPict="0">
                <anchor moveWithCells="1">
                  <from>
                    <xdr:col>15</xdr:col>
                    <xdr:colOff>76200</xdr:colOff>
                    <xdr:row>23</xdr:row>
                    <xdr:rowOff>85725</xdr:rowOff>
                  </from>
                  <to>
                    <xdr:col>15</xdr:col>
                    <xdr:colOff>381000</xdr:colOff>
                    <xdr:row>23</xdr:row>
                    <xdr:rowOff>323850</xdr:rowOff>
                  </to>
                </anchor>
              </controlPr>
            </control>
          </mc:Choice>
        </mc:AlternateContent>
        <mc:AlternateContent xmlns:mc="http://schemas.openxmlformats.org/markup-compatibility/2006">
          <mc:Choice Requires="x14">
            <control shapeId="2053" r:id="rId8" name="Option Button 5">
              <controlPr defaultSize="0" autoFill="0" autoLine="0" autoPict="0">
                <anchor moveWithCells="1">
                  <from>
                    <xdr:col>22</xdr:col>
                    <xdr:colOff>504825</xdr:colOff>
                    <xdr:row>23</xdr:row>
                    <xdr:rowOff>85725</xdr:rowOff>
                  </from>
                  <to>
                    <xdr:col>23</xdr:col>
                    <xdr:colOff>276225</xdr:colOff>
                    <xdr:row>23</xdr:row>
                    <xdr:rowOff>323850</xdr:rowOff>
                  </to>
                </anchor>
              </controlPr>
            </control>
          </mc:Choice>
        </mc:AlternateContent>
        <mc:AlternateContent xmlns:mc="http://schemas.openxmlformats.org/markup-compatibility/2006">
          <mc:Choice Requires="x14">
            <control shapeId="2054" r:id="rId9" name="Option Button 6">
              <controlPr defaultSize="0" autoFill="0" autoLine="0" autoPict="0">
                <anchor moveWithCells="1">
                  <from>
                    <xdr:col>24</xdr:col>
                    <xdr:colOff>409575</xdr:colOff>
                    <xdr:row>23</xdr:row>
                    <xdr:rowOff>85725</xdr:rowOff>
                  </from>
                  <to>
                    <xdr:col>25</xdr:col>
                    <xdr:colOff>257175</xdr:colOff>
                    <xdr:row>23</xdr:row>
                    <xdr:rowOff>323850</xdr:rowOff>
                  </to>
                </anchor>
              </controlPr>
            </control>
          </mc:Choice>
        </mc:AlternateContent>
        <mc:AlternateContent xmlns:mc="http://schemas.openxmlformats.org/markup-compatibility/2006">
          <mc:Choice Requires="x14">
            <control shapeId="2055" r:id="rId10" name="Option Button 7">
              <controlPr defaultSize="0" autoFill="0" autoLine="0" autoPict="0">
                <anchor moveWithCells="1">
                  <from>
                    <xdr:col>4</xdr:col>
                    <xdr:colOff>28575</xdr:colOff>
                    <xdr:row>23</xdr:row>
                    <xdr:rowOff>85725</xdr:rowOff>
                  </from>
                  <to>
                    <xdr:col>4</xdr:col>
                    <xdr:colOff>333375</xdr:colOff>
                    <xdr:row>23</xdr:row>
                    <xdr:rowOff>323850</xdr:rowOff>
                  </to>
                </anchor>
              </controlPr>
            </control>
          </mc:Choice>
        </mc:AlternateContent>
        <mc:AlternateContent xmlns:mc="http://schemas.openxmlformats.org/markup-compatibility/2006">
          <mc:Choice Requires="x14">
            <control shapeId="2056" r:id="rId11" name="Option Button 8">
              <controlPr defaultSize="0" autoFill="0" autoLine="0" autoPict="0">
                <anchor moveWithCells="1">
                  <from>
                    <xdr:col>2</xdr:col>
                    <xdr:colOff>66675</xdr:colOff>
                    <xdr:row>23</xdr:row>
                    <xdr:rowOff>85725</xdr:rowOff>
                  </from>
                  <to>
                    <xdr:col>2</xdr:col>
                    <xdr:colOff>381000</xdr:colOff>
                    <xdr:row>23</xdr:row>
                    <xdr:rowOff>323850</xdr:rowOff>
                  </to>
                </anchor>
              </controlPr>
            </control>
          </mc:Choice>
        </mc:AlternateContent>
        <mc:AlternateContent xmlns:mc="http://schemas.openxmlformats.org/markup-compatibility/2006">
          <mc:Choice Requires="x14">
            <control shapeId="2057" r:id="rId12" name="List Box 9">
              <controlPr defaultSize="0" autoLine="0" autoPict="0">
                <anchor moveWithCells="1">
                  <from>
                    <xdr:col>4</xdr:col>
                    <xdr:colOff>38100</xdr:colOff>
                    <xdr:row>20</xdr:row>
                    <xdr:rowOff>114300</xdr:rowOff>
                  </from>
                  <to>
                    <xdr:col>7</xdr:col>
                    <xdr:colOff>38100</xdr:colOff>
                    <xdr:row>21</xdr:row>
                    <xdr:rowOff>190500</xdr:rowOff>
                  </to>
                </anchor>
              </controlPr>
            </control>
          </mc:Choice>
        </mc:AlternateContent>
        <mc:AlternateContent xmlns:mc="http://schemas.openxmlformats.org/markup-compatibility/2006">
          <mc:Choice Requires="x14">
            <control shapeId="2058" r:id="rId13" name="Drop Down 10">
              <controlPr defaultSize="0" autoLine="0" autoPict="0">
                <anchor moveWithCells="1">
                  <from>
                    <xdr:col>9</xdr:col>
                    <xdr:colOff>514350</xdr:colOff>
                    <xdr:row>20</xdr:row>
                    <xdr:rowOff>85725</xdr:rowOff>
                  </from>
                  <to>
                    <xdr:col>13</xdr:col>
                    <xdr:colOff>142875</xdr:colOff>
                    <xdr:row>21</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781C8F-936A-42A4-B36A-2672A81027F5}">
            <xm:f>AND(C$36=[Mockup.xlsm]Data!#REF!)</xm:f>
            <x14:dxf>
              <fill>
                <patternFill>
                  <bgColor theme="0" tint="-4.9989318521683403E-2"/>
                </patternFill>
              </fill>
            </x14:dxf>
          </x14:cfRule>
          <xm:sqref>C25:AB33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2:N39"/>
  <sheetViews>
    <sheetView showGridLines="0" topLeftCell="A13" zoomScale="115" zoomScaleNormal="115" workbookViewId="0">
      <selection activeCell="N2" sqref="N2"/>
    </sheetView>
  </sheetViews>
  <sheetFormatPr baseColWidth="10" defaultRowHeight="12.75" x14ac:dyDescent="0.2"/>
  <cols>
    <col min="1" max="1" width="1.42578125" style="2" customWidth="1"/>
    <col min="2" max="13" width="11.42578125" style="2"/>
    <col min="14" max="14" width="19.85546875" style="2" customWidth="1"/>
    <col min="15" max="256" width="11.42578125" style="2"/>
    <col min="257" max="257" width="1.42578125" style="2" customWidth="1"/>
    <col min="258" max="269" width="11.42578125" style="2"/>
    <col min="270" max="270" width="19.85546875" style="2" customWidth="1"/>
    <col min="271" max="512" width="11.42578125" style="2"/>
    <col min="513" max="513" width="1.42578125" style="2" customWidth="1"/>
    <col min="514" max="525" width="11.42578125" style="2"/>
    <col min="526" max="526" width="19.85546875" style="2" customWidth="1"/>
    <col min="527" max="768" width="11.42578125" style="2"/>
    <col min="769" max="769" width="1.42578125" style="2" customWidth="1"/>
    <col min="770" max="781" width="11.42578125" style="2"/>
    <col min="782" max="782" width="19.85546875" style="2" customWidth="1"/>
    <col min="783" max="1024" width="11.42578125" style="2"/>
    <col min="1025" max="1025" width="1.42578125" style="2" customWidth="1"/>
    <col min="1026" max="1037" width="11.42578125" style="2"/>
    <col min="1038" max="1038" width="19.85546875" style="2" customWidth="1"/>
    <col min="1039" max="1280" width="11.42578125" style="2"/>
    <col min="1281" max="1281" width="1.42578125" style="2" customWidth="1"/>
    <col min="1282" max="1293" width="11.42578125" style="2"/>
    <col min="1294" max="1294" width="19.85546875" style="2" customWidth="1"/>
    <col min="1295" max="1536" width="11.42578125" style="2"/>
    <col min="1537" max="1537" width="1.42578125" style="2" customWidth="1"/>
    <col min="1538" max="1549" width="11.42578125" style="2"/>
    <col min="1550" max="1550" width="19.85546875" style="2" customWidth="1"/>
    <col min="1551" max="1792" width="11.42578125" style="2"/>
    <col min="1793" max="1793" width="1.42578125" style="2" customWidth="1"/>
    <col min="1794" max="1805" width="11.42578125" style="2"/>
    <col min="1806" max="1806" width="19.85546875" style="2" customWidth="1"/>
    <col min="1807" max="2048" width="11.42578125" style="2"/>
    <col min="2049" max="2049" width="1.42578125" style="2" customWidth="1"/>
    <col min="2050" max="2061" width="11.42578125" style="2"/>
    <col min="2062" max="2062" width="19.85546875" style="2" customWidth="1"/>
    <col min="2063" max="2304" width="11.42578125" style="2"/>
    <col min="2305" max="2305" width="1.42578125" style="2" customWidth="1"/>
    <col min="2306" max="2317" width="11.42578125" style="2"/>
    <col min="2318" max="2318" width="19.85546875" style="2" customWidth="1"/>
    <col min="2319" max="2560" width="11.42578125" style="2"/>
    <col min="2561" max="2561" width="1.42578125" style="2" customWidth="1"/>
    <col min="2562" max="2573" width="11.42578125" style="2"/>
    <col min="2574" max="2574" width="19.85546875" style="2" customWidth="1"/>
    <col min="2575" max="2816" width="11.42578125" style="2"/>
    <col min="2817" max="2817" width="1.42578125" style="2" customWidth="1"/>
    <col min="2818" max="2829" width="11.42578125" style="2"/>
    <col min="2830" max="2830" width="19.85546875" style="2" customWidth="1"/>
    <col min="2831" max="3072" width="11.42578125" style="2"/>
    <col min="3073" max="3073" width="1.42578125" style="2" customWidth="1"/>
    <col min="3074" max="3085" width="11.42578125" style="2"/>
    <col min="3086" max="3086" width="19.85546875" style="2" customWidth="1"/>
    <col min="3087" max="3328" width="11.42578125" style="2"/>
    <col min="3329" max="3329" width="1.42578125" style="2" customWidth="1"/>
    <col min="3330" max="3341" width="11.42578125" style="2"/>
    <col min="3342" max="3342" width="19.85546875" style="2" customWidth="1"/>
    <col min="3343" max="3584" width="11.42578125" style="2"/>
    <col min="3585" max="3585" width="1.42578125" style="2" customWidth="1"/>
    <col min="3586" max="3597" width="11.42578125" style="2"/>
    <col min="3598" max="3598" width="19.85546875" style="2" customWidth="1"/>
    <col min="3599" max="3840" width="11.42578125" style="2"/>
    <col min="3841" max="3841" width="1.42578125" style="2" customWidth="1"/>
    <col min="3842" max="3853" width="11.42578125" style="2"/>
    <col min="3854" max="3854" width="19.85546875" style="2" customWidth="1"/>
    <col min="3855" max="4096" width="11.42578125" style="2"/>
    <col min="4097" max="4097" width="1.42578125" style="2" customWidth="1"/>
    <col min="4098" max="4109" width="11.42578125" style="2"/>
    <col min="4110" max="4110" width="19.85546875" style="2" customWidth="1"/>
    <col min="4111" max="4352" width="11.42578125" style="2"/>
    <col min="4353" max="4353" width="1.42578125" style="2" customWidth="1"/>
    <col min="4354" max="4365" width="11.42578125" style="2"/>
    <col min="4366" max="4366" width="19.85546875" style="2" customWidth="1"/>
    <col min="4367" max="4608" width="11.42578125" style="2"/>
    <col min="4609" max="4609" width="1.42578125" style="2" customWidth="1"/>
    <col min="4610" max="4621" width="11.42578125" style="2"/>
    <col min="4622" max="4622" width="19.85546875" style="2" customWidth="1"/>
    <col min="4623" max="4864" width="11.42578125" style="2"/>
    <col min="4865" max="4865" width="1.42578125" style="2" customWidth="1"/>
    <col min="4866" max="4877" width="11.42578125" style="2"/>
    <col min="4878" max="4878" width="19.85546875" style="2" customWidth="1"/>
    <col min="4879" max="5120" width="11.42578125" style="2"/>
    <col min="5121" max="5121" width="1.42578125" style="2" customWidth="1"/>
    <col min="5122" max="5133" width="11.42578125" style="2"/>
    <col min="5134" max="5134" width="19.85546875" style="2" customWidth="1"/>
    <col min="5135" max="5376" width="11.42578125" style="2"/>
    <col min="5377" max="5377" width="1.42578125" style="2" customWidth="1"/>
    <col min="5378" max="5389" width="11.42578125" style="2"/>
    <col min="5390" max="5390" width="19.85546875" style="2" customWidth="1"/>
    <col min="5391" max="5632" width="11.42578125" style="2"/>
    <col min="5633" max="5633" width="1.42578125" style="2" customWidth="1"/>
    <col min="5634" max="5645" width="11.42578125" style="2"/>
    <col min="5646" max="5646" width="19.85546875" style="2" customWidth="1"/>
    <col min="5647" max="5888" width="11.42578125" style="2"/>
    <col min="5889" max="5889" width="1.42578125" style="2" customWidth="1"/>
    <col min="5890" max="5901" width="11.42578125" style="2"/>
    <col min="5902" max="5902" width="19.85546875" style="2" customWidth="1"/>
    <col min="5903" max="6144" width="11.42578125" style="2"/>
    <col min="6145" max="6145" width="1.42578125" style="2" customWidth="1"/>
    <col min="6146" max="6157" width="11.42578125" style="2"/>
    <col min="6158" max="6158" width="19.85546875" style="2" customWidth="1"/>
    <col min="6159" max="6400" width="11.42578125" style="2"/>
    <col min="6401" max="6401" width="1.42578125" style="2" customWidth="1"/>
    <col min="6402" max="6413" width="11.42578125" style="2"/>
    <col min="6414" max="6414" width="19.85546875" style="2" customWidth="1"/>
    <col min="6415" max="6656" width="11.42578125" style="2"/>
    <col min="6657" max="6657" width="1.42578125" style="2" customWidth="1"/>
    <col min="6658" max="6669" width="11.42578125" style="2"/>
    <col min="6670" max="6670" width="19.85546875" style="2" customWidth="1"/>
    <col min="6671" max="6912" width="11.42578125" style="2"/>
    <col min="6913" max="6913" width="1.42578125" style="2" customWidth="1"/>
    <col min="6914" max="6925" width="11.42578125" style="2"/>
    <col min="6926" max="6926" width="19.85546875" style="2" customWidth="1"/>
    <col min="6927" max="7168" width="11.42578125" style="2"/>
    <col min="7169" max="7169" width="1.42578125" style="2" customWidth="1"/>
    <col min="7170" max="7181" width="11.42578125" style="2"/>
    <col min="7182" max="7182" width="19.85546875" style="2" customWidth="1"/>
    <col min="7183" max="7424" width="11.42578125" style="2"/>
    <col min="7425" max="7425" width="1.42578125" style="2" customWidth="1"/>
    <col min="7426" max="7437" width="11.42578125" style="2"/>
    <col min="7438" max="7438" width="19.85546875" style="2" customWidth="1"/>
    <col min="7439" max="7680" width="11.42578125" style="2"/>
    <col min="7681" max="7681" width="1.42578125" style="2" customWidth="1"/>
    <col min="7682" max="7693" width="11.42578125" style="2"/>
    <col min="7694" max="7694" width="19.85546875" style="2" customWidth="1"/>
    <col min="7695" max="7936" width="11.42578125" style="2"/>
    <col min="7937" max="7937" width="1.42578125" style="2" customWidth="1"/>
    <col min="7938" max="7949" width="11.42578125" style="2"/>
    <col min="7950" max="7950" width="19.85546875" style="2" customWidth="1"/>
    <col min="7951" max="8192" width="11.42578125" style="2"/>
    <col min="8193" max="8193" width="1.42578125" style="2" customWidth="1"/>
    <col min="8194" max="8205" width="11.42578125" style="2"/>
    <col min="8206" max="8206" width="19.85546875" style="2" customWidth="1"/>
    <col min="8207" max="8448" width="11.42578125" style="2"/>
    <col min="8449" max="8449" width="1.42578125" style="2" customWidth="1"/>
    <col min="8450" max="8461" width="11.42578125" style="2"/>
    <col min="8462" max="8462" width="19.85546875" style="2" customWidth="1"/>
    <col min="8463" max="8704" width="11.42578125" style="2"/>
    <col min="8705" max="8705" width="1.42578125" style="2" customWidth="1"/>
    <col min="8706" max="8717" width="11.42578125" style="2"/>
    <col min="8718" max="8718" width="19.85546875" style="2" customWidth="1"/>
    <col min="8719" max="8960" width="11.42578125" style="2"/>
    <col min="8961" max="8961" width="1.42578125" style="2" customWidth="1"/>
    <col min="8962" max="8973" width="11.42578125" style="2"/>
    <col min="8974" max="8974" width="19.85546875" style="2" customWidth="1"/>
    <col min="8975" max="9216" width="11.42578125" style="2"/>
    <col min="9217" max="9217" width="1.42578125" style="2" customWidth="1"/>
    <col min="9218" max="9229" width="11.42578125" style="2"/>
    <col min="9230" max="9230" width="19.85546875" style="2" customWidth="1"/>
    <col min="9231" max="9472" width="11.42578125" style="2"/>
    <col min="9473" max="9473" width="1.42578125" style="2" customWidth="1"/>
    <col min="9474" max="9485" width="11.42578125" style="2"/>
    <col min="9486" max="9486" width="19.85546875" style="2" customWidth="1"/>
    <col min="9487" max="9728" width="11.42578125" style="2"/>
    <col min="9729" max="9729" width="1.42578125" style="2" customWidth="1"/>
    <col min="9730" max="9741" width="11.42578125" style="2"/>
    <col min="9742" max="9742" width="19.85546875" style="2" customWidth="1"/>
    <col min="9743" max="9984" width="11.42578125" style="2"/>
    <col min="9985" max="9985" width="1.42578125" style="2" customWidth="1"/>
    <col min="9986" max="9997" width="11.42578125" style="2"/>
    <col min="9998" max="9998" width="19.85546875" style="2" customWidth="1"/>
    <col min="9999" max="10240" width="11.42578125" style="2"/>
    <col min="10241" max="10241" width="1.42578125" style="2" customWidth="1"/>
    <col min="10242" max="10253" width="11.42578125" style="2"/>
    <col min="10254" max="10254" width="19.85546875" style="2" customWidth="1"/>
    <col min="10255" max="10496" width="11.42578125" style="2"/>
    <col min="10497" max="10497" width="1.42578125" style="2" customWidth="1"/>
    <col min="10498" max="10509" width="11.42578125" style="2"/>
    <col min="10510" max="10510" width="19.85546875" style="2" customWidth="1"/>
    <col min="10511" max="10752" width="11.42578125" style="2"/>
    <col min="10753" max="10753" width="1.42578125" style="2" customWidth="1"/>
    <col min="10754" max="10765" width="11.42578125" style="2"/>
    <col min="10766" max="10766" width="19.85546875" style="2" customWidth="1"/>
    <col min="10767" max="11008" width="11.42578125" style="2"/>
    <col min="11009" max="11009" width="1.42578125" style="2" customWidth="1"/>
    <col min="11010" max="11021" width="11.42578125" style="2"/>
    <col min="11022" max="11022" width="19.85546875" style="2" customWidth="1"/>
    <col min="11023" max="11264" width="11.42578125" style="2"/>
    <col min="11265" max="11265" width="1.42578125" style="2" customWidth="1"/>
    <col min="11266" max="11277" width="11.42578125" style="2"/>
    <col min="11278" max="11278" width="19.85546875" style="2" customWidth="1"/>
    <col min="11279" max="11520" width="11.42578125" style="2"/>
    <col min="11521" max="11521" width="1.42578125" style="2" customWidth="1"/>
    <col min="11522" max="11533" width="11.42578125" style="2"/>
    <col min="11534" max="11534" width="19.85546875" style="2" customWidth="1"/>
    <col min="11535" max="11776" width="11.42578125" style="2"/>
    <col min="11777" max="11777" width="1.42578125" style="2" customWidth="1"/>
    <col min="11778" max="11789" width="11.42578125" style="2"/>
    <col min="11790" max="11790" width="19.85546875" style="2" customWidth="1"/>
    <col min="11791" max="12032" width="11.42578125" style="2"/>
    <col min="12033" max="12033" width="1.42578125" style="2" customWidth="1"/>
    <col min="12034" max="12045" width="11.42578125" style="2"/>
    <col min="12046" max="12046" width="19.85546875" style="2" customWidth="1"/>
    <col min="12047" max="12288" width="11.42578125" style="2"/>
    <col min="12289" max="12289" width="1.42578125" style="2" customWidth="1"/>
    <col min="12290" max="12301" width="11.42578125" style="2"/>
    <col min="12302" max="12302" width="19.85546875" style="2" customWidth="1"/>
    <col min="12303" max="12544" width="11.42578125" style="2"/>
    <col min="12545" max="12545" width="1.42578125" style="2" customWidth="1"/>
    <col min="12546" max="12557" width="11.42578125" style="2"/>
    <col min="12558" max="12558" width="19.85546875" style="2" customWidth="1"/>
    <col min="12559" max="12800" width="11.42578125" style="2"/>
    <col min="12801" max="12801" width="1.42578125" style="2" customWidth="1"/>
    <col min="12802" max="12813" width="11.42578125" style="2"/>
    <col min="12814" max="12814" width="19.85546875" style="2" customWidth="1"/>
    <col min="12815" max="13056" width="11.42578125" style="2"/>
    <col min="13057" max="13057" width="1.42578125" style="2" customWidth="1"/>
    <col min="13058" max="13069" width="11.42578125" style="2"/>
    <col min="13070" max="13070" width="19.85546875" style="2" customWidth="1"/>
    <col min="13071" max="13312" width="11.42578125" style="2"/>
    <col min="13313" max="13313" width="1.42578125" style="2" customWidth="1"/>
    <col min="13314" max="13325" width="11.42578125" style="2"/>
    <col min="13326" max="13326" width="19.85546875" style="2" customWidth="1"/>
    <col min="13327" max="13568" width="11.42578125" style="2"/>
    <col min="13569" max="13569" width="1.42578125" style="2" customWidth="1"/>
    <col min="13570" max="13581" width="11.42578125" style="2"/>
    <col min="13582" max="13582" width="19.85546875" style="2" customWidth="1"/>
    <col min="13583" max="13824" width="11.42578125" style="2"/>
    <col min="13825" max="13825" width="1.42578125" style="2" customWidth="1"/>
    <col min="13826" max="13837" width="11.42578125" style="2"/>
    <col min="13838" max="13838" width="19.85546875" style="2" customWidth="1"/>
    <col min="13839" max="14080" width="11.42578125" style="2"/>
    <col min="14081" max="14081" width="1.42578125" style="2" customWidth="1"/>
    <col min="14082" max="14093" width="11.42578125" style="2"/>
    <col min="14094" max="14094" width="19.85546875" style="2" customWidth="1"/>
    <col min="14095" max="14336" width="11.42578125" style="2"/>
    <col min="14337" max="14337" width="1.42578125" style="2" customWidth="1"/>
    <col min="14338" max="14349" width="11.42578125" style="2"/>
    <col min="14350" max="14350" width="19.85546875" style="2" customWidth="1"/>
    <col min="14351" max="14592" width="11.42578125" style="2"/>
    <col min="14593" max="14593" width="1.42578125" style="2" customWidth="1"/>
    <col min="14594" max="14605" width="11.42578125" style="2"/>
    <col min="14606" max="14606" width="19.85546875" style="2" customWidth="1"/>
    <col min="14607" max="14848" width="11.42578125" style="2"/>
    <col min="14849" max="14849" width="1.42578125" style="2" customWidth="1"/>
    <col min="14850" max="14861" width="11.42578125" style="2"/>
    <col min="14862" max="14862" width="19.85546875" style="2" customWidth="1"/>
    <col min="14863" max="15104" width="11.42578125" style="2"/>
    <col min="15105" max="15105" width="1.42578125" style="2" customWidth="1"/>
    <col min="15106" max="15117" width="11.42578125" style="2"/>
    <col min="15118" max="15118" width="19.85546875" style="2" customWidth="1"/>
    <col min="15119" max="15360" width="11.42578125" style="2"/>
    <col min="15361" max="15361" width="1.42578125" style="2" customWidth="1"/>
    <col min="15362" max="15373" width="11.42578125" style="2"/>
    <col min="15374" max="15374" width="19.85546875" style="2" customWidth="1"/>
    <col min="15375" max="15616" width="11.42578125" style="2"/>
    <col min="15617" max="15617" width="1.42578125" style="2" customWidth="1"/>
    <col min="15618" max="15629" width="11.42578125" style="2"/>
    <col min="15630" max="15630" width="19.85546875" style="2" customWidth="1"/>
    <col min="15631" max="15872" width="11.42578125" style="2"/>
    <col min="15873" max="15873" width="1.42578125" style="2" customWidth="1"/>
    <col min="15874" max="15885" width="11.42578125" style="2"/>
    <col min="15886" max="15886" width="19.85546875" style="2" customWidth="1"/>
    <col min="15887" max="16128" width="11.42578125" style="2"/>
    <col min="16129" max="16129" width="1.42578125" style="2" customWidth="1"/>
    <col min="16130" max="16141" width="11.42578125" style="2"/>
    <col min="16142" max="16142" width="19.85546875" style="2" customWidth="1"/>
    <col min="16143" max="16384" width="11.42578125" style="2"/>
  </cols>
  <sheetData>
    <row r="2" spans="2:14" ht="32.25" customHeight="1" x14ac:dyDescent="0.25">
      <c r="B2" s="1" t="s">
        <v>0</v>
      </c>
      <c r="M2" s="3" t="s">
        <v>1</v>
      </c>
      <c r="N2" s="4">
        <f ca="1">VALUE(INFO("RELEASE"))</f>
        <v>15</v>
      </c>
    </row>
    <row r="3" spans="2:14" ht="26.25" customHeight="1" x14ac:dyDescent="0.2">
      <c r="B3" s="5" t="s">
        <v>2</v>
      </c>
      <c r="C3" s="6"/>
    </row>
    <row r="4" spans="2:14" ht="14.25" x14ac:dyDescent="0.2">
      <c r="B4" s="7" t="s">
        <v>3</v>
      </c>
    </row>
    <row r="5" spans="2:14" ht="14.25" x14ac:dyDescent="0.2">
      <c r="B5" s="7" t="s">
        <v>4</v>
      </c>
    </row>
    <row r="6" spans="2:14" ht="14.25" x14ac:dyDescent="0.2">
      <c r="B6" s="8"/>
    </row>
    <row r="7" spans="2:14" ht="14.25" x14ac:dyDescent="0.2">
      <c r="B7" s="9" t="str">
        <f ca="1">"Su versión actual de Microsoft Office Excel es "&amp;IF(VALUE(INFO("RELEASE"))&gt;=12,"2007","97-2003")</f>
        <v>Su versión actual de Microsoft Office Excel es 2007</v>
      </c>
    </row>
    <row r="8" spans="2:14" ht="14.25" x14ac:dyDescent="0.2">
      <c r="B8" s="9"/>
    </row>
    <row r="9" spans="2:14" ht="14.25" x14ac:dyDescent="0.2">
      <c r="B9" s="102" t="s">
        <v>5</v>
      </c>
      <c r="C9" s="103"/>
      <c r="D9" s="103"/>
      <c r="E9" s="103"/>
      <c r="F9" s="103"/>
      <c r="G9" s="103"/>
      <c r="H9" s="104"/>
      <c r="I9" s="102" t="s">
        <v>6</v>
      </c>
      <c r="J9" s="103"/>
      <c r="K9" s="103"/>
      <c r="L9" s="103"/>
      <c r="M9" s="103"/>
      <c r="N9" s="103"/>
    </row>
    <row r="10" spans="2:14" ht="10.5" customHeight="1" x14ac:dyDescent="0.2">
      <c r="B10" s="10"/>
      <c r="C10" s="11"/>
      <c r="D10" s="11"/>
      <c r="E10" s="11"/>
      <c r="F10" s="11"/>
      <c r="G10" s="11"/>
      <c r="H10" s="11"/>
      <c r="I10" s="12"/>
      <c r="J10" s="13"/>
      <c r="K10" s="11"/>
      <c r="L10" s="11"/>
      <c r="M10" s="11"/>
      <c r="N10" s="14"/>
    </row>
    <row r="11" spans="2:14" ht="14.25" x14ac:dyDescent="0.2">
      <c r="B11" s="15" t="s">
        <v>7</v>
      </c>
      <c r="C11" s="11"/>
      <c r="D11" s="11"/>
      <c r="E11" s="11"/>
      <c r="F11" s="11"/>
      <c r="G11" s="11"/>
      <c r="H11" s="11"/>
      <c r="I11" s="15" t="s">
        <v>8</v>
      </c>
      <c r="J11" s="11"/>
      <c r="K11" s="11"/>
      <c r="L11" s="11"/>
      <c r="M11" s="11"/>
      <c r="N11" s="14"/>
    </row>
    <row r="12" spans="2:14" ht="14.25" x14ac:dyDescent="0.2">
      <c r="B12" s="15" t="s">
        <v>9</v>
      </c>
      <c r="C12" s="11"/>
      <c r="D12" s="11"/>
      <c r="E12" s="11"/>
      <c r="F12" s="11"/>
      <c r="G12" s="11"/>
      <c r="H12" s="11"/>
      <c r="I12" s="15" t="s">
        <v>10</v>
      </c>
      <c r="J12" s="11"/>
      <c r="K12" s="16"/>
      <c r="L12" s="11"/>
      <c r="M12" s="11"/>
      <c r="N12" s="14"/>
    </row>
    <row r="13" spans="2:14" x14ac:dyDescent="0.2">
      <c r="B13" s="17"/>
      <c r="C13" s="11"/>
      <c r="D13" s="11"/>
      <c r="E13" s="11"/>
      <c r="F13" s="11"/>
      <c r="G13" s="11"/>
      <c r="H13" s="11"/>
      <c r="I13" s="17"/>
      <c r="J13" s="11"/>
      <c r="K13" s="11"/>
      <c r="L13" s="11"/>
      <c r="M13" s="11"/>
      <c r="N13" s="14"/>
    </row>
    <row r="14" spans="2:14" x14ac:dyDescent="0.2">
      <c r="B14" s="17"/>
      <c r="C14" s="11"/>
      <c r="D14" s="11"/>
      <c r="E14" s="11"/>
      <c r="F14" s="11"/>
      <c r="G14" s="11"/>
      <c r="H14" s="11"/>
      <c r="I14" s="17"/>
      <c r="J14" s="11"/>
      <c r="K14" s="11"/>
      <c r="L14" s="11"/>
      <c r="M14" s="11"/>
      <c r="N14" s="14"/>
    </row>
    <row r="15" spans="2:14" x14ac:dyDescent="0.2">
      <c r="B15" s="17"/>
      <c r="C15" s="11"/>
      <c r="D15" s="11"/>
      <c r="E15" s="11"/>
      <c r="F15" s="11"/>
      <c r="G15" s="11"/>
      <c r="H15" s="11"/>
      <c r="I15" s="17"/>
      <c r="J15" s="11"/>
      <c r="K15" s="11"/>
      <c r="L15" s="11"/>
      <c r="M15" s="11"/>
      <c r="N15" s="14"/>
    </row>
    <row r="16" spans="2:14" x14ac:dyDescent="0.2">
      <c r="B16" s="17"/>
      <c r="C16" s="11"/>
      <c r="D16" s="11"/>
      <c r="E16" s="11"/>
      <c r="F16" s="11"/>
      <c r="G16" s="11"/>
      <c r="H16" s="11"/>
      <c r="I16" s="17"/>
      <c r="J16" s="11"/>
      <c r="K16" s="11"/>
      <c r="L16" s="11"/>
      <c r="M16" s="11"/>
      <c r="N16" s="14"/>
    </row>
    <row r="17" spans="2:14" x14ac:dyDescent="0.2">
      <c r="B17" s="17"/>
      <c r="C17" s="11"/>
      <c r="D17" s="11"/>
      <c r="E17" s="11"/>
      <c r="F17" s="11"/>
      <c r="G17" s="11"/>
      <c r="H17" s="11"/>
      <c r="I17" s="17"/>
      <c r="J17" s="11"/>
      <c r="K17" s="11"/>
      <c r="L17" s="11"/>
      <c r="M17" s="11"/>
      <c r="N17" s="14"/>
    </row>
    <row r="18" spans="2:14" x14ac:dyDescent="0.2">
      <c r="B18" s="17"/>
      <c r="C18" s="11"/>
      <c r="D18" s="11"/>
      <c r="E18" s="11"/>
      <c r="F18" s="11"/>
      <c r="G18" s="11"/>
      <c r="H18" s="11"/>
      <c r="I18" s="17"/>
      <c r="J18" s="11"/>
      <c r="K18" s="11"/>
      <c r="L18" s="11"/>
      <c r="M18" s="11"/>
      <c r="N18" s="14"/>
    </row>
    <row r="19" spans="2:14" x14ac:dyDescent="0.2">
      <c r="B19" s="17"/>
      <c r="C19" s="11"/>
      <c r="D19" s="11"/>
      <c r="E19" s="11"/>
      <c r="F19" s="11"/>
      <c r="G19" s="11"/>
      <c r="H19" s="11"/>
      <c r="I19" s="17"/>
      <c r="J19" s="11"/>
      <c r="K19" s="11"/>
      <c r="L19" s="11"/>
      <c r="M19" s="11"/>
      <c r="N19" s="14"/>
    </row>
    <row r="20" spans="2:14" x14ac:dyDescent="0.2">
      <c r="B20" s="17"/>
      <c r="C20" s="11"/>
      <c r="D20" s="11"/>
      <c r="E20" s="11"/>
      <c r="F20" s="11"/>
      <c r="G20" s="11"/>
      <c r="H20" s="11"/>
      <c r="I20" s="17"/>
      <c r="J20" s="11"/>
      <c r="K20" s="11"/>
      <c r="L20" s="11"/>
      <c r="M20" s="11"/>
      <c r="N20" s="14"/>
    </row>
    <row r="21" spans="2:14" x14ac:dyDescent="0.2">
      <c r="B21" s="17"/>
      <c r="C21" s="11"/>
      <c r="D21" s="11"/>
      <c r="E21" s="11"/>
      <c r="F21" s="11"/>
      <c r="G21" s="11"/>
      <c r="H21" s="11"/>
      <c r="I21" s="17"/>
      <c r="J21" s="11"/>
      <c r="K21" s="11"/>
      <c r="L21" s="11"/>
      <c r="M21" s="11"/>
      <c r="N21" s="14"/>
    </row>
    <row r="22" spans="2:14" x14ac:dyDescent="0.2">
      <c r="B22" s="17"/>
      <c r="C22" s="11"/>
      <c r="D22" s="11"/>
      <c r="E22" s="11"/>
      <c r="F22" s="11"/>
      <c r="G22" s="11"/>
      <c r="H22" s="11"/>
      <c r="I22" s="17"/>
      <c r="J22" s="11"/>
      <c r="K22" s="11"/>
      <c r="L22" s="11"/>
      <c r="M22" s="11"/>
      <c r="N22" s="14"/>
    </row>
    <row r="23" spans="2:14" x14ac:dyDescent="0.2">
      <c r="B23" s="17"/>
      <c r="C23" s="11"/>
      <c r="D23" s="11"/>
      <c r="E23" s="11"/>
      <c r="F23" s="11"/>
      <c r="G23" s="11"/>
      <c r="H23" s="11"/>
      <c r="I23" s="17"/>
      <c r="J23" s="11"/>
      <c r="K23" s="11"/>
      <c r="L23" s="11"/>
      <c r="M23" s="11"/>
      <c r="N23" s="14"/>
    </row>
    <row r="24" spans="2:14" x14ac:dyDescent="0.2">
      <c r="B24" s="17"/>
      <c r="C24" s="11"/>
      <c r="D24" s="11"/>
      <c r="E24" s="11"/>
      <c r="F24" s="11"/>
      <c r="G24" s="11"/>
      <c r="H24" s="11"/>
      <c r="I24" s="17"/>
      <c r="J24" s="11"/>
      <c r="K24" s="11"/>
      <c r="L24" s="11"/>
      <c r="M24" s="11"/>
      <c r="N24" s="14"/>
    </row>
    <row r="25" spans="2:14" x14ac:dyDescent="0.2">
      <c r="B25" s="17"/>
      <c r="C25" s="11"/>
      <c r="D25" s="11"/>
      <c r="E25" s="11"/>
      <c r="F25" s="11"/>
      <c r="G25" s="11"/>
      <c r="H25" s="11"/>
      <c r="I25" s="17"/>
      <c r="J25" s="11"/>
      <c r="K25" s="11"/>
      <c r="L25" s="11"/>
      <c r="M25" s="11"/>
      <c r="N25" s="14"/>
    </row>
    <row r="26" spans="2:14" x14ac:dyDescent="0.2">
      <c r="B26" s="17"/>
      <c r="C26" s="11"/>
      <c r="D26" s="11"/>
      <c r="E26" s="11"/>
      <c r="F26" s="11"/>
      <c r="G26" s="11"/>
      <c r="H26" s="11"/>
      <c r="I26" s="17"/>
      <c r="J26" s="11"/>
      <c r="K26" s="11"/>
      <c r="L26" s="11"/>
      <c r="M26" s="11"/>
      <c r="N26" s="14"/>
    </row>
    <row r="27" spans="2:14" x14ac:dyDescent="0.2">
      <c r="B27" s="17"/>
      <c r="C27" s="11"/>
      <c r="D27" s="11"/>
      <c r="E27" s="11"/>
      <c r="F27" s="11"/>
      <c r="G27" s="11"/>
      <c r="H27" s="11"/>
      <c r="I27" s="17"/>
      <c r="J27" s="11"/>
      <c r="K27" s="11"/>
      <c r="L27" s="11"/>
      <c r="M27" s="11"/>
      <c r="N27" s="14"/>
    </row>
    <row r="28" spans="2:14" x14ac:dyDescent="0.2">
      <c r="B28" s="17"/>
      <c r="C28" s="11"/>
      <c r="D28" s="11"/>
      <c r="E28" s="11"/>
      <c r="F28" s="11"/>
      <c r="G28" s="11"/>
      <c r="H28" s="11"/>
      <c r="I28" s="17"/>
      <c r="J28" s="11"/>
      <c r="K28" s="11"/>
      <c r="L28" s="11"/>
      <c r="M28" s="11"/>
      <c r="N28" s="14"/>
    </row>
    <row r="29" spans="2:14" x14ac:dyDescent="0.2">
      <c r="B29" s="17"/>
      <c r="C29" s="11"/>
      <c r="D29" s="11"/>
      <c r="E29" s="11"/>
      <c r="F29" s="11"/>
      <c r="G29" s="11"/>
      <c r="H29" s="11"/>
      <c r="I29" s="17"/>
      <c r="J29" s="11"/>
      <c r="K29" s="11"/>
      <c r="L29" s="11"/>
      <c r="M29" s="11"/>
      <c r="N29" s="14"/>
    </row>
    <row r="30" spans="2:14" x14ac:dyDescent="0.2">
      <c r="B30" s="17"/>
      <c r="C30" s="11"/>
      <c r="D30" s="11"/>
      <c r="E30" s="11"/>
      <c r="F30" s="11"/>
      <c r="G30" s="11"/>
      <c r="H30" s="11"/>
      <c r="I30" s="17"/>
      <c r="J30" s="11"/>
      <c r="K30" s="11"/>
      <c r="L30" s="11"/>
      <c r="M30" s="11"/>
      <c r="N30" s="14"/>
    </row>
    <row r="31" spans="2:14" x14ac:dyDescent="0.2">
      <c r="B31" s="17"/>
      <c r="C31" s="11"/>
      <c r="D31" s="11"/>
      <c r="E31" s="11"/>
      <c r="F31" s="11"/>
      <c r="G31" s="11"/>
      <c r="H31" s="11"/>
      <c r="I31" s="17"/>
      <c r="J31" s="11"/>
      <c r="K31" s="11"/>
      <c r="L31" s="11"/>
      <c r="M31" s="11"/>
      <c r="N31" s="14"/>
    </row>
    <row r="32" spans="2:14" x14ac:dyDescent="0.2">
      <c r="B32" s="17"/>
      <c r="C32" s="11"/>
      <c r="D32" s="11"/>
      <c r="E32" s="11"/>
      <c r="F32" s="11"/>
      <c r="G32" s="11"/>
      <c r="H32" s="11"/>
      <c r="I32" s="17"/>
      <c r="J32" s="11"/>
      <c r="K32" s="11"/>
      <c r="L32" s="11"/>
      <c r="M32" s="11"/>
      <c r="N32" s="14"/>
    </row>
    <row r="33" spans="2:14" x14ac:dyDescent="0.2">
      <c r="B33" s="17"/>
      <c r="C33" s="11"/>
      <c r="D33" s="11"/>
      <c r="E33" s="11"/>
      <c r="F33" s="11"/>
      <c r="G33" s="11"/>
      <c r="H33" s="11"/>
      <c r="I33" s="17"/>
      <c r="J33" s="11"/>
      <c r="K33" s="11"/>
      <c r="L33" s="11"/>
      <c r="M33" s="11"/>
      <c r="N33" s="14"/>
    </row>
    <row r="34" spans="2:14" x14ac:dyDescent="0.2">
      <c r="B34" s="17"/>
      <c r="C34" s="11"/>
      <c r="D34" s="11"/>
      <c r="E34" s="11"/>
      <c r="F34" s="11"/>
      <c r="G34" s="11"/>
      <c r="H34" s="11"/>
      <c r="I34" s="17"/>
      <c r="J34" s="11"/>
      <c r="K34" s="11"/>
      <c r="L34" s="11"/>
      <c r="M34" s="11"/>
      <c r="N34" s="14"/>
    </row>
    <row r="35" spans="2:14" x14ac:dyDescent="0.2">
      <c r="B35" s="17"/>
      <c r="C35" s="11"/>
      <c r="D35" s="11"/>
      <c r="E35" s="11"/>
      <c r="F35" s="11"/>
      <c r="G35" s="11"/>
      <c r="H35" s="11"/>
      <c r="I35" s="17"/>
      <c r="J35" s="11"/>
      <c r="K35" s="11"/>
      <c r="L35" s="11"/>
      <c r="M35" s="11"/>
      <c r="N35" s="14"/>
    </row>
    <row r="36" spans="2:14" x14ac:dyDescent="0.2">
      <c r="B36" s="17"/>
      <c r="C36" s="11"/>
      <c r="D36" s="11"/>
      <c r="E36" s="11"/>
      <c r="F36" s="11"/>
      <c r="G36" s="11"/>
      <c r="H36" s="11"/>
      <c r="I36" s="17"/>
      <c r="J36" s="11"/>
      <c r="K36" s="11"/>
      <c r="L36" s="11"/>
      <c r="M36" s="11"/>
      <c r="N36" s="14"/>
    </row>
    <row r="37" spans="2:14" x14ac:dyDescent="0.2">
      <c r="B37" s="17"/>
      <c r="C37" s="11"/>
      <c r="D37" s="11"/>
      <c r="E37" s="11"/>
      <c r="F37" s="11"/>
      <c r="G37" s="11"/>
      <c r="H37" s="11"/>
      <c r="I37" s="17"/>
      <c r="J37" s="11"/>
      <c r="K37" s="11"/>
      <c r="L37" s="11"/>
      <c r="M37" s="11"/>
      <c r="N37" s="14"/>
    </row>
    <row r="38" spans="2:14" x14ac:dyDescent="0.2">
      <c r="B38" s="17"/>
      <c r="C38" s="11"/>
      <c r="D38" s="11"/>
      <c r="E38" s="11"/>
      <c r="F38" s="11"/>
      <c r="G38" s="11"/>
      <c r="H38" s="11"/>
      <c r="I38" s="17"/>
      <c r="J38" s="11"/>
      <c r="K38" s="11"/>
      <c r="L38" s="11"/>
      <c r="M38" s="11"/>
      <c r="N38" s="14"/>
    </row>
    <row r="39" spans="2:14" x14ac:dyDescent="0.2">
      <c r="B39" s="18"/>
      <c r="C39" s="19"/>
      <c r="D39" s="19"/>
      <c r="E39" s="19"/>
      <c r="F39" s="19"/>
      <c r="G39" s="19"/>
      <c r="H39" s="19"/>
      <c r="I39" s="18"/>
      <c r="J39" s="19"/>
      <c r="K39" s="19"/>
      <c r="L39" s="19"/>
      <c r="M39" s="19"/>
      <c r="N39" s="20"/>
    </row>
  </sheetData>
  <sheetProtection password="CF7A" sheet="1" objects="1" scenarios="1" selectLockedCells="1" selectUnlockedCells="1"/>
  <mergeCells count="2">
    <mergeCell ref="B9:H9"/>
    <mergeCell ref="I9:N9"/>
  </mergeCells>
  <conditionalFormatting sqref="B9:H9">
    <cfRule type="expression" dxfId="1" priority="2" stopIfTrue="1">
      <formula>AND($N$2=12)</formula>
    </cfRule>
  </conditionalFormatting>
  <conditionalFormatting sqref="I9:N9">
    <cfRule type="expression" dxfId="0" priority="1" stopIfTrue="1">
      <formula>AND($N$2&lt;12)</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N29"/>
  <sheetViews>
    <sheetView zoomScale="70" zoomScaleNormal="70" workbookViewId="0">
      <selection activeCell="AB11" sqref="AB11"/>
    </sheetView>
  </sheetViews>
  <sheetFormatPr baseColWidth="10" defaultColWidth="3.7109375" defaultRowHeight="15" x14ac:dyDescent="0.25"/>
  <cols>
    <col min="1" max="1" width="2" customWidth="1"/>
    <col min="2" max="3" width="3.5703125" customWidth="1"/>
    <col min="4" max="4" width="5.140625" customWidth="1"/>
    <col min="5" max="5" width="3.5703125" customWidth="1"/>
    <col min="6" max="6" width="3.7109375" customWidth="1"/>
    <col min="11" max="11" width="5" customWidth="1"/>
    <col min="12" max="12" width="3.85546875" customWidth="1"/>
    <col min="16" max="16" width="3.7109375" customWidth="1"/>
    <col min="20" max="20" width="5.140625" customWidth="1"/>
    <col min="38" max="38" width="0.140625" customWidth="1"/>
    <col min="39" max="39" width="3.7109375" customWidth="1"/>
    <col min="40" max="40" width="2" customWidth="1"/>
    <col min="42" max="42" width="4" bestFit="1" customWidth="1"/>
    <col min="44" max="44" width="4" bestFit="1" customWidth="1"/>
  </cols>
  <sheetData>
    <row r="1" spans="1:40" x14ac:dyDescent="0.2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c r="AA1" s="108"/>
      <c r="AB1" s="108"/>
      <c r="AC1" s="108"/>
      <c r="AD1" s="108"/>
      <c r="AE1" s="108"/>
      <c r="AF1" s="108"/>
      <c r="AG1" s="108"/>
      <c r="AH1" s="108"/>
      <c r="AI1" s="108"/>
      <c r="AJ1" s="108"/>
      <c r="AK1" s="108"/>
      <c r="AL1" s="108"/>
      <c r="AM1" s="108"/>
      <c r="AN1" s="108"/>
    </row>
    <row r="2" spans="1:40" x14ac:dyDescent="0.25">
      <c r="A2" s="108"/>
      <c r="B2" s="108"/>
      <c r="C2" s="108"/>
      <c r="D2" s="108"/>
      <c r="E2" s="108"/>
      <c r="F2" s="108"/>
      <c r="G2" s="108"/>
      <c r="H2" s="108"/>
      <c r="I2" s="108"/>
      <c r="J2" s="108"/>
      <c r="K2" s="108"/>
      <c r="L2" s="108"/>
      <c r="M2" s="108"/>
      <c r="N2" s="108"/>
      <c r="O2" s="108"/>
      <c r="P2" s="108"/>
      <c r="Q2" s="108"/>
      <c r="R2" s="108"/>
      <c r="S2" s="108"/>
      <c r="T2" s="108"/>
      <c r="U2" s="108"/>
      <c r="V2" s="108"/>
      <c r="W2" s="108"/>
      <c r="X2" s="108"/>
      <c r="Y2" s="108"/>
      <c r="Z2" s="108"/>
      <c r="AA2" s="109" t="s">
        <v>29</v>
      </c>
      <c r="AB2" s="108"/>
      <c r="AC2" s="108"/>
      <c r="AD2" s="108"/>
      <c r="AE2" s="108"/>
      <c r="AF2" s="110" t="s">
        <v>30</v>
      </c>
      <c r="AG2" s="108"/>
      <c r="AH2" s="108"/>
      <c r="AI2" s="108"/>
      <c r="AJ2" s="108"/>
      <c r="AK2" s="108"/>
      <c r="AL2" s="108"/>
      <c r="AM2" s="108"/>
      <c r="AN2" s="108"/>
    </row>
    <row r="3" spans="1:40"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row>
    <row r="4" spans="1:40" ht="9.75" customHeight="1" x14ac:dyDescent="0.25"/>
    <row r="8" spans="1:40" x14ac:dyDescent="0.25">
      <c r="E8" s="69" t="s">
        <v>11</v>
      </c>
      <c r="I8" s="69" t="s">
        <v>12</v>
      </c>
      <c r="M8" s="69" t="s">
        <v>13</v>
      </c>
      <c r="P8" s="69" t="s">
        <v>14</v>
      </c>
      <c r="U8" s="69" t="s">
        <v>15</v>
      </c>
      <c r="Z8" s="69" t="s">
        <v>32</v>
      </c>
    </row>
    <row r="20" spans="2:39" x14ac:dyDescent="0.25">
      <c r="B20" s="111"/>
      <c r="C20" s="111"/>
      <c r="D20" s="111"/>
      <c r="E20" s="111"/>
      <c r="F20" s="111"/>
      <c r="G20" s="111"/>
      <c r="H20" s="111"/>
      <c r="I20" s="111"/>
      <c r="J20" s="111"/>
      <c r="K20" s="111"/>
      <c r="L20" s="111"/>
      <c r="M20" s="111"/>
      <c r="N20" s="111"/>
      <c r="O20" s="111"/>
      <c r="P20" s="111"/>
      <c r="Q20" s="111"/>
      <c r="R20" s="111"/>
      <c r="S20" s="111"/>
      <c r="T20" s="111"/>
      <c r="U20" s="111"/>
      <c r="V20" s="111"/>
      <c r="W20" s="111"/>
      <c r="X20" s="111"/>
      <c r="Y20" s="111"/>
      <c r="Z20" s="111"/>
      <c r="AA20" s="111"/>
      <c r="AB20" s="111"/>
      <c r="AC20" s="111"/>
      <c r="AD20" s="111"/>
      <c r="AE20" s="111"/>
      <c r="AF20" s="111"/>
      <c r="AG20" s="111"/>
      <c r="AH20" s="111"/>
      <c r="AI20" s="111"/>
      <c r="AJ20" s="111"/>
      <c r="AK20" s="111"/>
      <c r="AL20" s="111"/>
      <c r="AM20" s="111"/>
    </row>
    <row r="21" spans="2:39" ht="15.75" thickBot="1" x14ac:dyDescent="0.3">
      <c r="B21" s="112" t="s">
        <v>387</v>
      </c>
      <c r="C21" s="112"/>
      <c r="D21" s="112"/>
      <c r="E21" s="113"/>
      <c r="F21" s="111"/>
      <c r="G21" s="111"/>
      <c r="H21" s="114" t="s">
        <v>119</v>
      </c>
      <c r="I21" s="111"/>
      <c r="J21" s="111"/>
      <c r="K21" s="111"/>
      <c r="L21" s="113"/>
      <c r="M21" s="113"/>
      <c r="N21" s="113"/>
      <c r="O21" s="113"/>
      <c r="P21" s="115" t="s">
        <v>120</v>
      </c>
      <c r="Q21" s="113"/>
      <c r="R21" s="113"/>
      <c r="S21" s="113"/>
      <c r="T21" s="113"/>
      <c r="U21" s="111"/>
      <c r="V21" s="113"/>
      <c r="W21" s="113"/>
      <c r="X21" s="113"/>
      <c r="Y21" s="111"/>
      <c r="Z21" s="115" t="s">
        <v>121</v>
      </c>
      <c r="AA21" s="113"/>
      <c r="AB21" s="111"/>
      <c r="AC21" s="113"/>
      <c r="AD21" s="113"/>
      <c r="AE21" s="113"/>
      <c r="AF21" s="113"/>
      <c r="AG21" s="115" t="s">
        <v>385</v>
      </c>
      <c r="AH21" s="111"/>
      <c r="AI21" s="113"/>
      <c r="AJ21" s="115" t="s">
        <v>386</v>
      </c>
      <c r="AK21" s="111"/>
      <c r="AL21" s="111"/>
      <c r="AM21" s="111"/>
    </row>
    <row r="22" spans="2:39" x14ac:dyDescent="0.25">
      <c r="B22" s="117">
        <f>IF(INDEX(Tabla!B6:$B$1048576,Data!$C$3)=0,"-",INDEX(Tabla!B6:$B$1048576,Data!$C$3))</f>
        <v>43467</v>
      </c>
      <c r="C22" s="118"/>
      <c r="D22" s="119"/>
      <c r="E22" s="120" t="str">
        <f>PROPER(IF(INDEX(Tabla!C6:$C$1048576,Data!$C$3)=0,"-",INDEX(Tabla!C6:$C$1048576,Data!$C$3)))</f>
        <v>Administracion De Sucursales</v>
      </c>
      <c r="F22" s="121"/>
      <c r="G22" s="121"/>
      <c r="H22" s="121"/>
      <c r="I22" s="121"/>
      <c r="J22" s="122"/>
      <c r="K22" s="121"/>
      <c r="L22" s="120" t="str">
        <f>PROPER(IF(INDEX(Tabla!D6:$D$1048576,Data!$C$3)=0,"-",INDEX(Tabla!D6:$D$1048576,Data!$C$3)))</f>
        <v>Otros Egresos 18</v>
      </c>
      <c r="M22" s="122"/>
      <c r="N22" s="121"/>
      <c r="O22" s="122"/>
      <c r="P22" s="121"/>
      <c r="Q22" s="121"/>
      <c r="R22" s="121"/>
      <c r="S22" s="121"/>
      <c r="T22" s="122"/>
      <c r="U22" s="120" t="str">
        <f>PROPER(IF(INDEX(Tabla!E6:$E$1048576,Data!$C$3)=0,"-",INDEX(Tabla!E6:$E$1048576,Data!$C$3)))</f>
        <v>Otros Egresos 1.P.O (Or:196/Des:196 Trn:86 Perf:300086 Cau: 18</v>
      </c>
      <c r="V22" s="122"/>
      <c r="W22" s="121"/>
      <c r="X22" s="122"/>
      <c r="Y22" s="122"/>
      <c r="Z22" s="122"/>
      <c r="AA22" s="122"/>
      <c r="AB22" s="122"/>
      <c r="AC22" s="122"/>
      <c r="AD22" s="122"/>
      <c r="AE22" s="123"/>
      <c r="AF22" s="124">
        <f>IF(INDEX(Tabla!F6:$F$1048576,Data!$C$3)=0,"-",INDEX(Tabla!F6:$F$1048576,Data!$C$3))</f>
        <v>3.6</v>
      </c>
      <c r="AG22" s="124"/>
      <c r="AH22" s="125"/>
      <c r="AI22" s="124" t="str">
        <f>IF(INDEX(Tabla!G6:$G$1048576,Data!$C$3)=0,"0",INDEX(Tabla!G6:$G$1048576,Data!$C$3))</f>
        <v>0</v>
      </c>
      <c r="AJ22" s="124"/>
      <c r="AK22" s="125"/>
      <c r="AL22" s="116"/>
      <c r="AM22" s="113"/>
    </row>
    <row r="23" spans="2:39" x14ac:dyDescent="0.25">
      <c r="B23" s="126">
        <f>IF(INDEX(Tabla!B7:$B$1048576,Data!$C$3)=0,"-",INDEX(Tabla!B7:$B$1048576,Data!$C$3))</f>
        <v>43467</v>
      </c>
      <c r="C23" s="127"/>
      <c r="D23" s="128"/>
      <c r="E23" s="129" t="str">
        <f>PROPER(IF(INDEX(Tabla!C7:$C$1048576,Data!$C$3)=0,"-",INDEX(Tabla!C7:$C$1048576,Data!$C$3)))</f>
        <v>Administracion De Sucursales</v>
      </c>
      <c r="F23" s="130"/>
      <c r="G23" s="130"/>
      <c r="H23" s="130"/>
      <c r="I23" s="130"/>
      <c r="J23" s="131"/>
      <c r="K23" s="130"/>
      <c r="L23" s="129" t="str">
        <f>PROPER(IF(INDEX(Tabla!D7:$D$1048576,Data!$C$3)=0,"-",INDEX(Tabla!D7:$D$1048576,Data!$C$3)))</f>
        <v>Viaticos</v>
      </c>
      <c r="M23" s="131"/>
      <c r="N23" s="130"/>
      <c r="O23" s="131"/>
      <c r="P23" s="130"/>
      <c r="Q23" s="130"/>
      <c r="R23" s="130"/>
      <c r="S23" s="130"/>
      <c r="T23" s="131"/>
      <c r="U23" s="129" t="str">
        <f>PROPER(IF(INDEX(Tabla!E7:$E$1048576,Data!$C$3)=0,"-",INDEX(Tabla!E7:$E$1048576,Data!$C$3)))</f>
        <v>Transacciones Del Dia 01/02/2019Spyral - Gestion Administrativa</v>
      </c>
      <c r="V23" s="131"/>
      <c r="W23" s="130"/>
      <c r="X23" s="131"/>
      <c r="Y23" s="131"/>
      <c r="Z23" s="131"/>
      <c r="AA23" s="131"/>
      <c r="AB23" s="131"/>
      <c r="AC23" s="131"/>
      <c r="AD23" s="131"/>
      <c r="AE23" s="132"/>
      <c r="AF23" s="133">
        <f>IF(INDEX(Tabla!F7:$F$1048576,Data!$C$3)=0,"-",INDEX(Tabla!F7:$F$1048576,Data!$C$3))</f>
        <v>242</v>
      </c>
      <c r="AG23" s="133"/>
      <c r="AH23" s="134"/>
      <c r="AI23" s="133" t="str">
        <f>IF(INDEX(Tabla!G7:$G$1048576,Data!$C$3)=0,"0",INDEX(Tabla!G7:$G$1048576,Data!$C$3))</f>
        <v>0</v>
      </c>
      <c r="AJ23" s="133"/>
      <c r="AK23" s="134"/>
      <c r="AL23" s="116"/>
      <c r="AM23" s="111"/>
    </row>
    <row r="24" spans="2:39" x14ac:dyDescent="0.25">
      <c r="B24" s="126">
        <f>IF(INDEX(Tabla!B8:$B$1048576,Data!$C$3)=0,"-",INDEX(Tabla!B8:$B$1048576,Data!$C$3))</f>
        <v>43467</v>
      </c>
      <c r="C24" s="127"/>
      <c r="D24" s="128"/>
      <c r="E24" s="129" t="str">
        <f>PROPER(IF(INDEX(Tabla!C8:$C$1048576,Data!$C$3)=0,"-",INDEX(Tabla!C8:$C$1048576,Data!$C$3)))</f>
        <v>Banca De Consumo</v>
      </c>
      <c r="F24" s="130"/>
      <c r="G24" s="130"/>
      <c r="H24" s="130"/>
      <c r="I24" s="130"/>
      <c r="J24" s="131"/>
      <c r="K24" s="130"/>
      <c r="L24" s="129" t="str">
        <f>PROPER(IF(INDEX(Tabla!D8:$D$1048576,Data!$C$3)=0,"-",INDEX(Tabla!D8:$D$1048576,Data!$C$3)))</f>
        <v>Viaticos</v>
      </c>
      <c r="M24" s="131"/>
      <c r="N24" s="130"/>
      <c r="O24" s="131"/>
      <c r="P24" s="130"/>
      <c r="Q24" s="130"/>
      <c r="R24" s="130"/>
      <c r="S24" s="130"/>
      <c r="T24" s="131"/>
      <c r="U24" s="129" t="str">
        <f>PROPER(IF(INDEX(Tabla!E8:$E$1048576,Data!$C$3)=0,"-",INDEX(Tabla!E8:$E$1048576,Data!$C$3)))</f>
        <v>Transacciones Del Dia 01/02/2019Spyral - Gestion Administrativa</v>
      </c>
      <c r="V24" s="131"/>
      <c r="W24" s="130"/>
      <c r="X24" s="131"/>
      <c r="Y24" s="131"/>
      <c r="Z24" s="131"/>
      <c r="AA24" s="131"/>
      <c r="AB24" s="131"/>
      <c r="AC24" s="131"/>
      <c r="AD24" s="131"/>
      <c r="AE24" s="132"/>
      <c r="AF24" s="133">
        <f>IF(INDEX(Tabla!F8:$F$1048576,Data!$C$3)=0,"-",INDEX(Tabla!F8:$F$1048576,Data!$C$3))</f>
        <v>190</v>
      </c>
      <c r="AG24" s="133"/>
      <c r="AH24" s="134"/>
      <c r="AI24" s="133" t="str">
        <f>IF(INDEX(Tabla!G8:$G$1048576,Data!$C$3)=0,"0",INDEX(Tabla!G8:$G$1048576,Data!$C$3))</f>
        <v>0</v>
      </c>
      <c r="AJ24" s="133"/>
      <c r="AK24" s="134"/>
      <c r="AL24" s="116"/>
      <c r="AM24" s="111"/>
    </row>
    <row r="25" spans="2:39" x14ac:dyDescent="0.25">
      <c r="B25" s="126">
        <f>IF(INDEX(Tabla!B9:$B$1048576,Data!$C$3)=0,"-",INDEX(Tabla!B9:$B$1048576,Data!$C$3))</f>
        <v>43467</v>
      </c>
      <c r="C25" s="127"/>
      <c r="D25" s="128"/>
      <c r="E25" s="129" t="str">
        <f>PROPER(IF(INDEX(Tabla!C9:$C$1048576,Data!$C$3)=0,"-",INDEX(Tabla!C9:$C$1048576,Data!$C$3)))</f>
        <v>Banca Privada</v>
      </c>
      <c r="F25" s="130"/>
      <c r="G25" s="130"/>
      <c r="H25" s="130"/>
      <c r="I25" s="130"/>
      <c r="J25" s="131"/>
      <c r="K25" s="130"/>
      <c r="L25" s="129" t="str">
        <f>PROPER(IF(INDEX(Tabla!D9:$D$1048576,Data!$C$3)=0,"-",INDEX(Tabla!D9:$D$1048576,Data!$C$3)))</f>
        <v>Viaticos</v>
      </c>
      <c r="M25" s="131"/>
      <c r="N25" s="130"/>
      <c r="O25" s="131"/>
      <c r="P25" s="130"/>
      <c r="Q25" s="130"/>
      <c r="R25" s="130"/>
      <c r="S25" s="130"/>
      <c r="T25" s="131"/>
      <c r="U25" s="129" t="str">
        <f>PROPER(IF(INDEX(Tabla!E9:$E$1048576,Data!$C$3)=0,"-",INDEX(Tabla!E9:$E$1048576,Data!$C$3)))</f>
        <v>Transacciones Del Dia 01/02/2019Spyral - Gestion Administrativa</v>
      </c>
      <c r="V25" s="131"/>
      <c r="W25" s="130"/>
      <c r="X25" s="131"/>
      <c r="Y25" s="131"/>
      <c r="Z25" s="131"/>
      <c r="AA25" s="131"/>
      <c r="AB25" s="131"/>
      <c r="AC25" s="131"/>
      <c r="AD25" s="131"/>
      <c r="AE25" s="132"/>
      <c r="AF25" s="133">
        <f>IF(INDEX(Tabla!F9:$F$1048576,Data!$C$3)=0,"-",INDEX(Tabla!F9:$F$1048576,Data!$C$3))</f>
        <v>31.5</v>
      </c>
      <c r="AG25" s="133"/>
      <c r="AH25" s="134"/>
      <c r="AI25" s="133" t="str">
        <f>IF(INDEX(Tabla!G9:$G$1048576,Data!$C$3)=0,"0",INDEX(Tabla!G9:$G$1048576,Data!$C$3))</f>
        <v>0</v>
      </c>
      <c r="AJ25" s="133"/>
      <c r="AK25" s="134"/>
      <c r="AL25" s="116"/>
      <c r="AM25" s="111"/>
    </row>
    <row r="26" spans="2:39" ht="15.75" thickBot="1" x14ac:dyDescent="0.3">
      <c r="B26" s="135">
        <f>IF(INDEX(Tabla!B10:$B$1048576,Data!$C$3)=0,"-",INDEX(Tabla!B10:$B$1048576,Data!$C$3))</f>
        <v>43467</v>
      </c>
      <c r="C26" s="136"/>
      <c r="D26" s="137"/>
      <c r="E26" s="138" t="str">
        <f>PROPER(IF(INDEX(Tabla!C10:$C$1048576,Data!$C$3)=0,"-",INDEX(Tabla!C10:$C$1048576,Data!$C$3)))</f>
        <v>Caja</v>
      </c>
      <c r="F26" s="139"/>
      <c r="G26" s="139"/>
      <c r="H26" s="139"/>
      <c r="I26" s="139"/>
      <c r="J26" s="140"/>
      <c r="K26" s="139"/>
      <c r="L26" s="138" t="str">
        <f>PROPER(IF(INDEX(Tabla!D10:$D$1048576,Data!$C$3)=0,"-",INDEX(Tabla!D10:$D$1048576,Data!$C$3)))</f>
        <v>Alimentacion De Empleados Cta Nueva</v>
      </c>
      <c r="M26" s="140"/>
      <c r="N26" s="139"/>
      <c r="O26" s="140"/>
      <c r="P26" s="139"/>
      <c r="Q26" s="139"/>
      <c r="R26" s="139"/>
      <c r="S26" s="139"/>
      <c r="T26" s="140"/>
      <c r="U26" s="138" t="str">
        <f>PROPER(IF(INDEX(Tabla!E10:$E$1048576,Data!$C$3)=0,"-",INDEX(Tabla!E10:$E$1048576,Data!$C$3)))</f>
        <v>Transacciones Del Dia 01/02/2019Spyral - Gestion Administrativa</v>
      </c>
      <c r="V26" s="140"/>
      <c r="W26" s="139"/>
      <c r="X26" s="140"/>
      <c r="Y26" s="140"/>
      <c r="Z26" s="140"/>
      <c r="AA26" s="140"/>
      <c r="AB26" s="140"/>
      <c r="AC26" s="140"/>
      <c r="AD26" s="140"/>
      <c r="AE26" s="141"/>
      <c r="AF26" s="142">
        <f>IF(INDEX(Tabla!F10:$F$1048576,Data!$C$3)=0,"-",INDEX(Tabla!F10:$F$1048576,Data!$C$3))</f>
        <v>8</v>
      </c>
      <c r="AG26" s="142"/>
      <c r="AH26" s="143"/>
      <c r="AI26" s="142" t="str">
        <f>IF(INDEX(Tabla!G10:$G$1048576,Data!$C$3)=0,"0",INDEX(Tabla!G10:$G$1048576,Data!$C$3))</f>
        <v>0</v>
      </c>
      <c r="AJ26" s="142"/>
      <c r="AK26" s="143"/>
      <c r="AL26" s="116"/>
      <c r="AM26" s="111"/>
    </row>
    <row r="27" spans="2:39" x14ac:dyDescent="0.25">
      <c r="B27" s="111"/>
      <c r="C27" s="111"/>
      <c r="D27" s="111"/>
      <c r="E27" s="111"/>
      <c r="F27" s="111"/>
      <c r="G27" s="111"/>
      <c r="H27" s="111"/>
      <c r="I27" s="111"/>
      <c r="J27" s="111"/>
      <c r="K27" s="111"/>
      <c r="L27" s="111"/>
      <c r="M27" s="111"/>
      <c r="N27" s="111"/>
      <c r="O27" s="111"/>
      <c r="P27" s="111"/>
      <c r="Q27" s="111"/>
      <c r="R27" s="111"/>
      <c r="S27" s="111"/>
      <c r="T27" s="111"/>
      <c r="U27" s="111"/>
      <c r="V27" s="111"/>
      <c r="W27" s="111"/>
      <c r="X27" s="111"/>
      <c r="Y27" s="111"/>
      <c r="Z27" s="111"/>
      <c r="AA27" s="111"/>
      <c r="AB27" s="111"/>
      <c r="AC27" s="111"/>
      <c r="AD27" s="111"/>
      <c r="AE27" s="111"/>
      <c r="AF27" s="111"/>
      <c r="AG27" s="111"/>
      <c r="AH27" s="111"/>
      <c r="AI27" s="111"/>
      <c r="AJ27" s="111"/>
      <c r="AK27" s="111"/>
      <c r="AL27" s="111"/>
      <c r="AM27" s="111"/>
    </row>
    <row r="28" spans="2:39" x14ac:dyDescent="0.25">
      <c r="B28" s="111"/>
      <c r="C28" s="111"/>
      <c r="D28" s="111"/>
      <c r="E28" s="111"/>
      <c r="F28" s="111"/>
      <c r="G28" s="111"/>
      <c r="H28" s="111"/>
      <c r="I28" s="111"/>
      <c r="J28" s="111"/>
      <c r="K28" s="111"/>
      <c r="L28" s="111"/>
      <c r="M28" s="111"/>
      <c r="N28" s="111"/>
      <c r="O28" s="111"/>
      <c r="P28" s="111"/>
      <c r="Q28" s="111"/>
      <c r="R28" s="111"/>
      <c r="S28" s="111"/>
      <c r="T28" s="111"/>
      <c r="U28" s="111"/>
      <c r="V28" s="111"/>
      <c r="W28" s="111"/>
      <c r="X28" s="111"/>
      <c r="Y28" s="111"/>
      <c r="Z28" s="111"/>
      <c r="AA28" s="111"/>
      <c r="AB28" s="111"/>
      <c r="AC28" s="111"/>
      <c r="AD28" s="111"/>
      <c r="AE28" s="111"/>
      <c r="AF28" s="111"/>
      <c r="AG28" s="111"/>
      <c r="AH28" s="111"/>
      <c r="AI28" s="111"/>
      <c r="AJ28" s="111"/>
      <c r="AK28" s="111"/>
      <c r="AL28" s="111"/>
      <c r="AM28" s="111"/>
    </row>
    <row r="29" spans="2:39" x14ac:dyDescent="0.25">
      <c r="B29" s="111"/>
      <c r="C29" s="111"/>
      <c r="D29" s="111"/>
      <c r="E29" s="111"/>
      <c r="F29" s="111"/>
      <c r="G29" s="111"/>
      <c r="H29" s="111"/>
      <c r="I29" s="111"/>
      <c r="J29" s="111"/>
      <c r="K29" s="111"/>
      <c r="L29" s="111"/>
      <c r="M29" s="111"/>
      <c r="N29" s="111"/>
      <c r="O29" s="111"/>
      <c r="P29" s="111"/>
      <c r="Q29" s="111"/>
      <c r="R29" s="111"/>
      <c r="S29" s="111"/>
      <c r="T29" s="111"/>
      <c r="U29" s="111"/>
      <c r="V29" s="111"/>
      <c r="W29" s="111"/>
      <c r="X29" s="111"/>
      <c r="Y29" s="111"/>
      <c r="Z29" s="111"/>
      <c r="AA29" s="111"/>
      <c r="AB29" s="111"/>
      <c r="AC29" s="111"/>
      <c r="AD29" s="111"/>
      <c r="AE29" s="111"/>
      <c r="AF29" s="111"/>
      <c r="AG29" s="111"/>
      <c r="AH29" s="111"/>
      <c r="AI29" s="111"/>
      <c r="AJ29" s="111"/>
      <c r="AK29" s="111"/>
      <c r="AL29" s="111"/>
      <c r="AM29" s="111"/>
    </row>
  </sheetData>
  <mergeCells count="16">
    <mergeCell ref="AF22:AH22"/>
    <mergeCell ref="AF23:AH23"/>
    <mergeCell ref="AF24:AH24"/>
    <mergeCell ref="AF25:AH25"/>
    <mergeCell ref="AF26:AH26"/>
    <mergeCell ref="AI22:AK22"/>
    <mergeCell ref="AI23:AK23"/>
    <mergeCell ref="AI24:AK24"/>
    <mergeCell ref="AI25:AK25"/>
    <mergeCell ref="AI26:AK26"/>
    <mergeCell ref="B21:D21"/>
    <mergeCell ref="B23:D23"/>
    <mergeCell ref="B24:D24"/>
    <mergeCell ref="B25:D25"/>
    <mergeCell ref="B26:D26"/>
    <mergeCell ref="B22:D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Drop Down 2">
              <controlPr defaultSize="0" autoLine="0" autoPict="0">
                <anchor moveWithCells="1">
                  <from>
                    <xdr:col>27</xdr:col>
                    <xdr:colOff>76200</xdr:colOff>
                    <xdr:row>1</xdr:row>
                    <xdr:rowOff>0</xdr:rowOff>
                  </from>
                  <to>
                    <xdr:col>30</xdr:col>
                    <xdr:colOff>19050</xdr:colOff>
                    <xdr:row>2</xdr:row>
                    <xdr:rowOff>19050</xdr:rowOff>
                  </to>
                </anchor>
              </controlPr>
            </control>
          </mc:Choice>
        </mc:AlternateContent>
        <mc:AlternateContent xmlns:mc="http://schemas.openxmlformats.org/markup-compatibility/2006">
          <mc:Choice Requires="x14">
            <control shapeId="3075" r:id="rId5" name="Drop Down 3">
              <controlPr defaultSize="0" autoLine="0" autoPict="0">
                <anchor moveWithCells="1">
                  <from>
                    <xdr:col>32</xdr:col>
                    <xdr:colOff>28575</xdr:colOff>
                    <xdr:row>1</xdr:row>
                    <xdr:rowOff>0</xdr:rowOff>
                  </from>
                  <to>
                    <xdr:col>35</xdr:col>
                    <xdr:colOff>219075</xdr:colOff>
                    <xdr:row>2</xdr:row>
                    <xdr:rowOff>19050</xdr:rowOff>
                  </to>
                </anchor>
              </controlPr>
            </control>
          </mc:Choice>
        </mc:AlternateContent>
        <mc:AlternateContent xmlns:mc="http://schemas.openxmlformats.org/markup-compatibility/2006">
          <mc:Choice Requires="x14">
            <control shapeId="3076" r:id="rId6" name="BarraSeleccion">
              <controlPr defaultSize="0" autoPict="0">
                <anchor moveWithCells="1">
                  <from>
                    <xdr:col>38</xdr:col>
                    <xdr:colOff>0</xdr:colOff>
                    <xdr:row>20</xdr:row>
                    <xdr:rowOff>171450</xdr:rowOff>
                  </from>
                  <to>
                    <xdr:col>39</xdr:col>
                    <xdr:colOff>0</xdr:colOff>
                    <xdr:row>26</xdr:row>
                    <xdr:rowOff>9525</xdr:rowOff>
                  </to>
                </anchor>
              </controlPr>
            </control>
          </mc:Choice>
        </mc:AlternateContent>
        <mc:AlternateContent xmlns:mc="http://schemas.openxmlformats.org/markup-compatibility/2006">
          <mc:Choice Requires="x14">
            <control shapeId="3077" r:id="rId7" name="Button 5">
              <controlPr defaultSize="0" print="0" autoFill="0" autoPict="0">
                <anchor moveWithCells="1" sizeWithCells="1">
                  <from>
                    <xdr:col>1</xdr:col>
                    <xdr:colOff>66675</xdr:colOff>
                    <xdr:row>26</xdr:row>
                    <xdr:rowOff>85725</xdr:rowOff>
                  </from>
                  <to>
                    <xdr:col>4</xdr:col>
                    <xdr:colOff>95250</xdr:colOff>
                    <xdr:row>27</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H6"/>
  <sheetViews>
    <sheetView tabSelected="1" workbookViewId="0">
      <selection activeCell="C1" sqref="C1:H1"/>
    </sheetView>
  </sheetViews>
  <sheetFormatPr baseColWidth="10" defaultRowHeight="15" x14ac:dyDescent="0.25"/>
  <cols>
    <col min="2" max="2" width="20.140625" customWidth="1"/>
  </cols>
  <sheetData>
    <row r="1" spans="1:8" ht="97.5" customHeight="1" x14ac:dyDescent="0.25">
      <c r="A1" s="105" t="s">
        <v>12</v>
      </c>
      <c r="B1" s="105"/>
      <c r="C1" s="106" t="s">
        <v>40</v>
      </c>
      <c r="D1" s="106"/>
      <c r="E1" s="106"/>
      <c r="F1" s="106"/>
      <c r="G1" s="106"/>
      <c r="H1" s="106"/>
    </row>
    <row r="2" spans="1:8" ht="69.75" customHeight="1" x14ac:dyDescent="0.25">
      <c r="A2" s="105" t="s">
        <v>13</v>
      </c>
      <c r="B2" s="105" t="s">
        <v>39</v>
      </c>
      <c r="C2" s="107" t="s">
        <v>38</v>
      </c>
      <c r="D2" s="107"/>
      <c r="E2" s="107"/>
      <c r="F2" s="107"/>
      <c r="G2" s="107"/>
      <c r="H2" s="107"/>
    </row>
    <row r="3" spans="1:8" ht="40.5" customHeight="1" x14ac:dyDescent="0.25">
      <c r="A3" s="105" t="s">
        <v>14</v>
      </c>
      <c r="B3" s="105" t="s">
        <v>37</v>
      </c>
      <c r="C3" s="106" t="s">
        <v>36</v>
      </c>
      <c r="D3" s="106"/>
      <c r="E3" s="106"/>
      <c r="F3" s="106"/>
      <c r="G3" s="106"/>
      <c r="H3" s="106"/>
    </row>
    <row r="4" spans="1:8" ht="30.75" customHeight="1" x14ac:dyDescent="0.25">
      <c r="A4" s="105" t="s">
        <v>15</v>
      </c>
      <c r="B4" s="105"/>
      <c r="C4" s="106" t="s">
        <v>35</v>
      </c>
      <c r="D4" s="106"/>
      <c r="E4" s="106"/>
      <c r="F4" s="106"/>
      <c r="G4" s="106"/>
      <c r="H4" s="106"/>
    </row>
    <row r="5" spans="1:8" ht="15.75" customHeight="1" x14ac:dyDescent="0.25">
      <c r="A5" s="105" t="s">
        <v>16</v>
      </c>
      <c r="B5" s="105" t="s">
        <v>34</v>
      </c>
      <c r="C5" s="106" t="s">
        <v>33</v>
      </c>
      <c r="D5" s="106"/>
      <c r="E5" s="106"/>
      <c r="F5" s="106"/>
      <c r="G5" s="106"/>
      <c r="H5" s="106"/>
    </row>
    <row r="6" spans="1:8" ht="41.25" customHeight="1" x14ac:dyDescent="0.25">
      <c r="A6" s="105" t="s">
        <v>11</v>
      </c>
      <c r="B6" s="105"/>
      <c r="C6" s="106" t="str">
        <f>"Corresponde al tiempo de trabajo que exceda de los límites de la jornada regular y que debe ser remunerado de acuerdo a los lineamientos de Capital Humano. Referirse a la Norma de Horas Extras para mayor información."</f>
        <v>Corresponde al tiempo de trabajo que exceda de los límites de la jornada regular y que debe ser remunerado de acuerdo a los lineamientos de Capital Humano. Referirse a la Norma de Horas Extras para mayor información.</v>
      </c>
      <c r="D6" s="106"/>
      <c r="E6" s="106"/>
      <c r="F6" s="106"/>
      <c r="G6" s="106"/>
      <c r="H6" s="106"/>
    </row>
  </sheetData>
  <mergeCells count="12">
    <mergeCell ref="A5:B5"/>
    <mergeCell ref="C5:H5"/>
    <mergeCell ref="A4:B4"/>
    <mergeCell ref="C4:H4"/>
    <mergeCell ref="A6:B6"/>
    <mergeCell ref="C6:H6"/>
    <mergeCell ref="A1:B1"/>
    <mergeCell ref="C1:H1"/>
    <mergeCell ref="A2:B2"/>
    <mergeCell ref="C2:H2"/>
    <mergeCell ref="A3:B3"/>
    <mergeCell ref="C3:H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2:C3"/>
  <sheetViews>
    <sheetView zoomScale="85" zoomScaleNormal="85" workbookViewId="0">
      <selection activeCell="C3" sqref="C3"/>
    </sheetView>
  </sheetViews>
  <sheetFormatPr baseColWidth="10" defaultRowHeight="15" x14ac:dyDescent="0.25"/>
  <cols>
    <col min="1" max="1" width="3.5703125" customWidth="1"/>
    <col min="2" max="2" width="12.7109375" bestFit="1" customWidth="1"/>
  </cols>
  <sheetData>
    <row r="2" spans="2:3" x14ac:dyDescent="0.25">
      <c r="B2" t="s">
        <v>388</v>
      </c>
      <c r="C2">
        <f>EVEN(5+COUNT(Tabla!B:B))</f>
        <v>3432</v>
      </c>
    </row>
    <row r="3" spans="2:3" x14ac:dyDescent="0.25">
      <c r="B3" t="s">
        <v>389</v>
      </c>
      <c r="C3">
        <v>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B2:I3431"/>
  <sheetViews>
    <sheetView topLeftCell="A1048539" workbookViewId="0">
      <selection activeCell="B1048576" sqref="B1048576"/>
    </sheetView>
  </sheetViews>
  <sheetFormatPr baseColWidth="10" defaultRowHeight="15" x14ac:dyDescent="0.25"/>
  <cols>
    <col min="2" max="2" width="17.5703125" customWidth="1"/>
    <col min="3" max="3" width="38" customWidth="1"/>
    <col min="4" max="4" width="65.85546875" customWidth="1"/>
    <col min="5" max="5" width="66.5703125" bestFit="1" customWidth="1"/>
    <col min="6" max="7" width="11.5703125" bestFit="1" customWidth="1"/>
    <col min="9" max="9" width="11.85546875" bestFit="1" customWidth="1"/>
  </cols>
  <sheetData>
    <row r="2" spans="2:9" x14ac:dyDescent="0.25">
      <c r="I2">
        <f>5+COUNT(B:B)</f>
        <v>3431</v>
      </c>
    </row>
    <row r="3" spans="2:9" x14ac:dyDescent="0.25">
      <c r="B3" s="70" t="s">
        <v>41</v>
      </c>
      <c r="C3" t="s">
        <v>42</v>
      </c>
    </row>
    <row r="5" spans="2:9" x14ac:dyDescent="0.25">
      <c r="B5" s="70" t="s">
        <v>43</v>
      </c>
      <c r="C5" s="70" t="s">
        <v>119</v>
      </c>
      <c r="D5" s="70" t="s">
        <v>120</v>
      </c>
      <c r="E5" s="70" t="s">
        <v>121</v>
      </c>
      <c r="F5" s="70" t="s">
        <v>385</v>
      </c>
      <c r="G5" s="70" t="s">
        <v>386</v>
      </c>
    </row>
    <row r="6" spans="2:9" x14ac:dyDescent="0.25">
      <c r="B6" s="71">
        <v>43467</v>
      </c>
      <c r="C6" t="s">
        <v>25</v>
      </c>
      <c r="D6" t="s">
        <v>80</v>
      </c>
      <c r="E6" t="s">
        <v>122</v>
      </c>
      <c r="F6" s="72">
        <v>16</v>
      </c>
      <c r="G6" s="72">
        <v>0</v>
      </c>
    </row>
    <row r="7" spans="2:9" x14ac:dyDescent="0.25">
      <c r="B7" s="71">
        <v>43467</v>
      </c>
      <c r="C7" t="s">
        <v>25</v>
      </c>
      <c r="D7" t="s">
        <v>81</v>
      </c>
      <c r="E7" t="s">
        <v>122</v>
      </c>
      <c r="F7" s="72">
        <v>80</v>
      </c>
      <c r="G7" s="72">
        <v>0</v>
      </c>
    </row>
    <row r="8" spans="2:9" x14ac:dyDescent="0.25">
      <c r="B8" s="71">
        <v>43467</v>
      </c>
      <c r="C8" t="s">
        <v>25</v>
      </c>
      <c r="D8" t="s">
        <v>82</v>
      </c>
      <c r="E8" t="s">
        <v>123</v>
      </c>
      <c r="F8" s="72">
        <v>3.6</v>
      </c>
      <c r="G8" s="72">
        <v>0</v>
      </c>
    </row>
    <row r="9" spans="2:9" x14ac:dyDescent="0.25">
      <c r="B9" s="71">
        <v>43467</v>
      </c>
      <c r="C9" t="s">
        <v>25</v>
      </c>
      <c r="D9" t="s">
        <v>83</v>
      </c>
      <c r="E9" t="s">
        <v>122</v>
      </c>
      <c r="F9" s="72">
        <v>242</v>
      </c>
      <c r="G9" s="72">
        <v>0</v>
      </c>
    </row>
    <row r="10" spans="2:9" x14ac:dyDescent="0.25">
      <c r="B10" s="71">
        <v>43467</v>
      </c>
      <c r="C10" t="s">
        <v>44</v>
      </c>
      <c r="D10" t="s">
        <v>83</v>
      </c>
      <c r="E10" t="s">
        <v>122</v>
      </c>
      <c r="F10" s="72">
        <v>190</v>
      </c>
      <c r="G10" s="72">
        <v>0</v>
      </c>
    </row>
    <row r="11" spans="2:9" x14ac:dyDescent="0.25">
      <c r="B11" s="71">
        <v>43467</v>
      </c>
      <c r="C11" t="s">
        <v>45</v>
      </c>
      <c r="D11" t="s">
        <v>83</v>
      </c>
      <c r="E11" t="s">
        <v>122</v>
      </c>
      <c r="F11" s="72">
        <v>31.5</v>
      </c>
      <c r="G11" s="72">
        <v>0</v>
      </c>
    </row>
    <row r="12" spans="2:9" x14ac:dyDescent="0.25">
      <c r="B12" s="71">
        <v>43467</v>
      </c>
      <c r="C12" t="s">
        <v>21</v>
      </c>
      <c r="D12" t="s">
        <v>80</v>
      </c>
      <c r="E12" t="s">
        <v>122</v>
      </c>
      <c r="F12" s="72">
        <v>8</v>
      </c>
      <c r="G12" s="72">
        <v>0</v>
      </c>
    </row>
    <row r="13" spans="2:9" x14ac:dyDescent="0.25">
      <c r="B13" s="71">
        <v>43467</v>
      </c>
      <c r="C13" t="s">
        <v>21</v>
      </c>
      <c r="D13" t="s">
        <v>80</v>
      </c>
      <c r="E13" t="s">
        <v>122</v>
      </c>
      <c r="F13" s="72">
        <v>16</v>
      </c>
      <c r="G13" s="72">
        <v>0</v>
      </c>
    </row>
    <row r="14" spans="2:9" x14ac:dyDescent="0.25">
      <c r="B14" s="71">
        <v>43467</v>
      </c>
      <c r="C14" t="s">
        <v>21</v>
      </c>
      <c r="D14" t="s">
        <v>80</v>
      </c>
      <c r="E14" t="s">
        <v>122</v>
      </c>
      <c r="F14" s="72">
        <v>24</v>
      </c>
      <c r="G14" s="72">
        <v>0</v>
      </c>
    </row>
    <row r="15" spans="2:9" x14ac:dyDescent="0.25">
      <c r="B15" s="71">
        <v>43467</v>
      </c>
      <c r="C15" t="s">
        <v>21</v>
      </c>
      <c r="D15" t="s">
        <v>80</v>
      </c>
      <c r="E15" t="s">
        <v>122</v>
      </c>
      <c r="F15" s="72">
        <v>32</v>
      </c>
      <c r="G15" s="72">
        <v>0</v>
      </c>
    </row>
    <row r="16" spans="2:9" x14ac:dyDescent="0.25">
      <c r="B16" s="71">
        <v>43467</v>
      </c>
      <c r="C16" t="s">
        <v>21</v>
      </c>
      <c r="D16" t="s">
        <v>80</v>
      </c>
      <c r="E16" t="s">
        <v>122</v>
      </c>
      <c r="F16" s="72">
        <v>88</v>
      </c>
      <c r="G16" s="72">
        <v>0</v>
      </c>
    </row>
    <row r="17" spans="2:7" x14ac:dyDescent="0.25">
      <c r="B17" s="71">
        <v>43467</v>
      </c>
      <c r="C17" t="s">
        <v>21</v>
      </c>
      <c r="D17" t="s">
        <v>83</v>
      </c>
      <c r="E17" t="s">
        <v>122</v>
      </c>
      <c r="F17" s="72">
        <v>77</v>
      </c>
      <c r="G17" s="72">
        <v>0</v>
      </c>
    </row>
    <row r="18" spans="2:7" x14ac:dyDescent="0.25">
      <c r="B18" s="71">
        <v>43467</v>
      </c>
      <c r="C18" t="s">
        <v>21</v>
      </c>
      <c r="D18" t="s">
        <v>83</v>
      </c>
      <c r="E18" t="s">
        <v>122</v>
      </c>
      <c r="F18" s="72">
        <v>242</v>
      </c>
      <c r="G18" s="72">
        <v>0</v>
      </c>
    </row>
    <row r="19" spans="2:7" x14ac:dyDescent="0.25">
      <c r="B19" s="71">
        <v>43467</v>
      </c>
      <c r="C19" t="s">
        <v>46</v>
      </c>
      <c r="D19" t="s">
        <v>80</v>
      </c>
      <c r="E19" t="s">
        <v>122</v>
      </c>
      <c r="F19" s="72">
        <v>28.5</v>
      </c>
      <c r="G19" s="72">
        <v>0</v>
      </c>
    </row>
    <row r="20" spans="2:7" x14ac:dyDescent="0.25">
      <c r="B20" s="71">
        <v>43467</v>
      </c>
      <c r="C20" t="s">
        <v>24</v>
      </c>
      <c r="D20" t="s">
        <v>80</v>
      </c>
      <c r="E20" t="s">
        <v>122</v>
      </c>
      <c r="F20" s="72">
        <v>8</v>
      </c>
      <c r="G20" s="72">
        <v>0</v>
      </c>
    </row>
    <row r="21" spans="2:7" x14ac:dyDescent="0.25">
      <c r="B21" s="71">
        <v>43467</v>
      </c>
      <c r="C21" t="s">
        <v>24</v>
      </c>
      <c r="D21" t="s">
        <v>83</v>
      </c>
      <c r="E21" t="s">
        <v>122</v>
      </c>
      <c r="F21" s="72">
        <v>126.5</v>
      </c>
      <c r="G21" s="72">
        <v>0</v>
      </c>
    </row>
    <row r="22" spans="2:7" x14ac:dyDescent="0.25">
      <c r="B22" s="71">
        <v>43468</v>
      </c>
      <c r="C22" t="s">
        <v>25</v>
      </c>
      <c r="D22" t="s">
        <v>80</v>
      </c>
      <c r="E22" t="s">
        <v>124</v>
      </c>
      <c r="F22" s="72">
        <v>8</v>
      </c>
      <c r="G22" s="72">
        <v>0</v>
      </c>
    </row>
    <row r="23" spans="2:7" x14ac:dyDescent="0.25">
      <c r="B23" s="71">
        <v>43468</v>
      </c>
      <c r="C23" t="s">
        <v>25</v>
      </c>
      <c r="D23" t="s">
        <v>84</v>
      </c>
      <c r="E23" t="s">
        <v>124</v>
      </c>
      <c r="F23" s="72">
        <v>17.11</v>
      </c>
      <c r="G23" s="72">
        <v>0</v>
      </c>
    </row>
    <row r="24" spans="2:7" x14ac:dyDescent="0.25">
      <c r="B24" s="71">
        <v>43468</v>
      </c>
      <c r="C24" t="s">
        <v>25</v>
      </c>
      <c r="D24" t="s">
        <v>84</v>
      </c>
      <c r="E24" t="s">
        <v>124</v>
      </c>
      <c r="F24" s="72">
        <v>45</v>
      </c>
      <c r="G24" s="72">
        <v>0</v>
      </c>
    </row>
    <row r="25" spans="2:7" x14ac:dyDescent="0.25">
      <c r="B25" s="71">
        <v>43468</v>
      </c>
      <c r="C25" t="s">
        <v>25</v>
      </c>
      <c r="D25" t="s">
        <v>84</v>
      </c>
      <c r="E25" t="s">
        <v>124</v>
      </c>
      <c r="F25" s="72">
        <v>52.99</v>
      </c>
      <c r="G25" s="72">
        <v>0</v>
      </c>
    </row>
    <row r="26" spans="2:7" x14ac:dyDescent="0.25">
      <c r="B26" s="71">
        <v>43468</v>
      </c>
      <c r="C26" t="s">
        <v>25</v>
      </c>
      <c r="D26" t="s">
        <v>81</v>
      </c>
      <c r="E26" t="s">
        <v>124</v>
      </c>
      <c r="F26" s="72">
        <v>45.02</v>
      </c>
      <c r="G26" s="72">
        <v>0</v>
      </c>
    </row>
    <row r="27" spans="2:7" x14ac:dyDescent="0.25">
      <c r="B27" s="71">
        <v>43468</v>
      </c>
      <c r="C27" t="s">
        <v>25</v>
      </c>
      <c r="D27" t="s">
        <v>81</v>
      </c>
      <c r="E27" t="s">
        <v>124</v>
      </c>
      <c r="F27" s="72">
        <v>115.45</v>
      </c>
      <c r="G27" s="72">
        <v>0</v>
      </c>
    </row>
    <row r="28" spans="2:7" x14ac:dyDescent="0.25">
      <c r="B28" s="71">
        <v>43468</v>
      </c>
      <c r="C28" t="s">
        <v>25</v>
      </c>
      <c r="D28" t="s">
        <v>82</v>
      </c>
      <c r="E28" t="s">
        <v>125</v>
      </c>
      <c r="F28" s="72">
        <v>14</v>
      </c>
      <c r="G28" s="72">
        <v>0</v>
      </c>
    </row>
    <row r="29" spans="2:7" x14ac:dyDescent="0.25">
      <c r="B29" s="71">
        <v>43468</v>
      </c>
      <c r="C29" t="s">
        <v>25</v>
      </c>
      <c r="D29" t="s">
        <v>82</v>
      </c>
      <c r="E29" t="s">
        <v>126</v>
      </c>
      <c r="F29" s="72">
        <v>15</v>
      </c>
      <c r="G29" s="72">
        <v>0</v>
      </c>
    </row>
    <row r="30" spans="2:7" x14ac:dyDescent="0.25">
      <c r="B30" s="71">
        <v>43468</v>
      </c>
      <c r="C30" t="s">
        <v>47</v>
      </c>
      <c r="D30" t="s">
        <v>83</v>
      </c>
      <c r="E30" t="s">
        <v>124</v>
      </c>
      <c r="F30" s="72">
        <v>10</v>
      </c>
      <c r="G30" s="72">
        <v>0</v>
      </c>
    </row>
    <row r="31" spans="2:7" x14ac:dyDescent="0.25">
      <c r="B31" s="71">
        <v>43468</v>
      </c>
      <c r="C31" t="s">
        <v>48</v>
      </c>
      <c r="D31" t="s">
        <v>81</v>
      </c>
      <c r="E31" t="s">
        <v>124</v>
      </c>
      <c r="F31" s="72">
        <v>113.39</v>
      </c>
      <c r="G31" s="72">
        <v>0</v>
      </c>
    </row>
    <row r="32" spans="2:7" x14ac:dyDescent="0.25">
      <c r="B32" s="71">
        <v>43468</v>
      </c>
      <c r="C32" t="s">
        <v>21</v>
      </c>
      <c r="D32" t="s">
        <v>80</v>
      </c>
      <c r="E32" t="s">
        <v>124</v>
      </c>
      <c r="F32" s="72">
        <v>8</v>
      </c>
      <c r="G32" s="72">
        <v>0</v>
      </c>
    </row>
    <row r="33" spans="2:7" x14ac:dyDescent="0.25">
      <c r="B33" s="71">
        <v>43468</v>
      </c>
      <c r="C33" t="s">
        <v>21</v>
      </c>
      <c r="D33" t="s">
        <v>80</v>
      </c>
      <c r="E33" t="s">
        <v>124</v>
      </c>
      <c r="F33" s="72">
        <v>24</v>
      </c>
      <c r="G33" s="72">
        <v>0</v>
      </c>
    </row>
    <row r="34" spans="2:7" x14ac:dyDescent="0.25">
      <c r="B34" s="71">
        <v>43468</v>
      </c>
      <c r="C34" t="s">
        <v>21</v>
      </c>
      <c r="D34" t="s">
        <v>80</v>
      </c>
      <c r="E34" t="s">
        <v>124</v>
      </c>
      <c r="F34" s="72">
        <v>56</v>
      </c>
      <c r="G34" s="72">
        <v>0</v>
      </c>
    </row>
    <row r="35" spans="2:7" x14ac:dyDescent="0.25">
      <c r="B35" s="71">
        <v>43468</v>
      </c>
      <c r="C35" t="s">
        <v>21</v>
      </c>
      <c r="D35" t="s">
        <v>83</v>
      </c>
      <c r="E35" t="s">
        <v>124</v>
      </c>
      <c r="F35" s="72">
        <v>139.19999999999999</v>
      </c>
      <c r="G35" s="72">
        <v>0</v>
      </c>
    </row>
    <row r="36" spans="2:7" x14ac:dyDescent="0.25">
      <c r="B36" s="71">
        <v>43468</v>
      </c>
      <c r="C36" t="s">
        <v>49</v>
      </c>
      <c r="D36" t="s">
        <v>84</v>
      </c>
      <c r="E36" t="s">
        <v>124</v>
      </c>
      <c r="F36" s="72">
        <v>30</v>
      </c>
      <c r="G36" s="72">
        <v>0</v>
      </c>
    </row>
    <row r="37" spans="2:7" x14ac:dyDescent="0.25">
      <c r="B37" s="71">
        <v>43468</v>
      </c>
      <c r="C37" t="s">
        <v>49</v>
      </c>
      <c r="D37" t="s">
        <v>85</v>
      </c>
      <c r="E37" t="s">
        <v>124</v>
      </c>
      <c r="F37" s="72">
        <v>150</v>
      </c>
      <c r="G37" s="72">
        <v>0</v>
      </c>
    </row>
    <row r="38" spans="2:7" x14ac:dyDescent="0.25">
      <c r="B38" s="71">
        <v>43468</v>
      </c>
      <c r="C38" t="s">
        <v>50</v>
      </c>
      <c r="D38" t="s">
        <v>83</v>
      </c>
      <c r="E38" t="s">
        <v>124</v>
      </c>
      <c r="F38" s="72">
        <v>24</v>
      </c>
      <c r="G38" s="72">
        <v>0</v>
      </c>
    </row>
    <row r="39" spans="2:7" x14ac:dyDescent="0.25">
      <c r="B39" s="71">
        <v>43468</v>
      </c>
      <c r="C39" t="s">
        <v>50</v>
      </c>
      <c r="D39" t="s">
        <v>85</v>
      </c>
      <c r="E39" t="s">
        <v>124</v>
      </c>
      <c r="F39" s="72">
        <v>150</v>
      </c>
      <c r="G39" s="72">
        <v>0</v>
      </c>
    </row>
    <row r="40" spans="2:7" x14ac:dyDescent="0.25">
      <c r="B40" s="71">
        <v>43468</v>
      </c>
      <c r="C40" t="s">
        <v>51</v>
      </c>
      <c r="D40" t="s">
        <v>85</v>
      </c>
      <c r="E40" t="s">
        <v>124</v>
      </c>
      <c r="F40" s="72">
        <v>2100</v>
      </c>
      <c r="G40" s="72">
        <v>0</v>
      </c>
    </row>
    <row r="41" spans="2:7" x14ac:dyDescent="0.25">
      <c r="B41" s="71">
        <v>43468</v>
      </c>
      <c r="C41" t="s">
        <v>24</v>
      </c>
      <c r="D41" t="s">
        <v>80</v>
      </c>
      <c r="E41" t="s">
        <v>124</v>
      </c>
      <c r="F41" s="72">
        <v>8</v>
      </c>
      <c r="G41" s="72">
        <v>0</v>
      </c>
    </row>
    <row r="42" spans="2:7" x14ac:dyDescent="0.25">
      <c r="B42" s="71">
        <v>43469</v>
      </c>
      <c r="C42" t="s">
        <v>25</v>
      </c>
      <c r="D42" t="s">
        <v>86</v>
      </c>
      <c r="E42" t="s">
        <v>127</v>
      </c>
      <c r="F42" s="72">
        <v>15.95</v>
      </c>
      <c r="G42" s="72">
        <v>0</v>
      </c>
    </row>
    <row r="43" spans="2:7" x14ac:dyDescent="0.25">
      <c r="B43" s="71">
        <v>43469</v>
      </c>
      <c r="C43" t="s">
        <v>25</v>
      </c>
      <c r="D43" t="s">
        <v>84</v>
      </c>
      <c r="E43" t="s">
        <v>127</v>
      </c>
      <c r="F43" s="72">
        <v>18.600000000000001</v>
      </c>
      <c r="G43" s="72">
        <v>0</v>
      </c>
    </row>
    <row r="44" spans="2:7" x14ac:dyDescent="0.25">
      <c r="B44" s="71">
        <v>43469</v>
      </c>
      <c r="C44" t="s">
        <v>25</v>
      </c>
      <c r="D44" t="s">
        <v>82</v>
      </c>
      <c r="E44" t="s">
        <v>128</v>
      </c>
      <c r="F44" s="72">
        <v>1.1000000000000001</v>
      </c>
      <c r="G44" s="72">
        <v>0</v>
      </c>
    </row>
    <row r="45" spans="2:7" x14ac:dyDescent="0.25">
      <c r="B45" s="71">
        <v>43469</v>
      </c>
      <c r="C45" t="s">
        <v>25</v>
      </c>
      <c r="D45" t="s">
        <v>82</v>
      </c>
      <c r="E45" t="s">
        <v>129</v>
      </c>
      <c r="F45" s="72">
        <v>2.4</v>
      </c>
      <c r="G45" s="72">
        <v>0</v>
      </c>
    </row>
    <row r="46" spans="2:7" x14ac:dyDescent="0.25">
      <c r="B46" s="71">
        <v>43469</v>
      </c>
      <c r="C46" t="s">
        <v>47</v>
      </c>
      <c r="D46" t="s">
        <v>85</v>
      </c>
      <c r="E46" t="s">
        <v>127</v>
      </c>
      <c r="F46" s="72">
        <v>4.5999999999999996</v>
      </c>
      <c r="G46" s="72">
        <v>0</v>
      </c>
    </row>
    <row r="47" spans="2:7" x14ac:dyDescent="0.25">
      <c r="B47" s="71">
        <v>43469</v>
      </c>
      <c r="C47" t="s">
        <v>52</v>
      </c>
      <c r="D47" t="s">
        <v>83</v>
      </c>
      <c r="E47" t="s">
        <v>127</v>
      </c>
      <c r="F47" s="72">
        <v>82.6</v>
      </c>
      <c r="G47" s="72">
        <v>0</v>
      </c>
    </row>
    <row r="48" spans="2:7" x14ac:dyDescent="0.25">
      <c r="B48" s="71">
        <v>43469</v>
      </c>
      <c r="C48" t="s">
        <v>21</v>
      </c>
      <c r="D48" t="s">
        <v>80</v>
      </c>
      <c r="E48" t="s">
        <v>127</v>
      </c>
      <c r="F48" s="72">
        <v>8</v>
      </c>
      <c r="G48" s="72">
        <v>0</v>
      </c>
    </row>
    <row r="49" spans="2:7" x14ac:dyDescent="0.25">
      <c r="B49" s="71">
        <v>43469</v>
      </c>
      <c r="C49" t="s">
        <v>21</v>
      </c>
      <c r="D49" t="s">
        <v>80</v>
      </c>
      <c r="E49" t="s">
        <v>127</v>
      </c>
      <c r="F49" s="72">
        <v>16</v>
      </c>
      <c r="G49" s="72">
        <v>0</v>
      </c>
    </row>
    <row r="50" spans="2:7" x14ac:dyDescent="0.25">
      <c r="B50" s="71">
        <v>43469</v>
      </c>
      <c r="C50" t="s">
        <v>21</v>
      </c>
      <c r="D50" t="s">
        <v>80</v>
      </c>
      <c r="E50" t="s">
        <v>127</v>
      </c>
      <c r="F50" s="72">
        <v>24</v>
      </c>
      <c r="G50" s="72">
        <v>0</v>
      </c>
    </row>
    <row r="51" spans="2:7" x14ac:dyDescent="0.25">
      <c r="B51" s="71">
        <v>43469</v>
      </c>
      <c r="C51" t="s">
        <v>21</v>
      </c>
      <c r="D51" t="s">
        <v>80</v>
      </c>
      <c r="E51" t="s">
        <v>127</v>
      </c>
      <c r="F51" s="72">
        <v>32</v>
      </c>
      <c r="G51" s="72">
        <v>0</v>
      </c>
    </row>
    <row r="52" spans="2:7" x14ac:dyDescent="0.25">
      <c r="B52" s="71">
        <v>43469</v>
      </c>
      <c r="C52" t="s">
        <v>21</v>
      </c>
      <c r="D52" t="s">
        <v>80</v>
      </c>
      <c r="E52" t="s">
        <v>127</v>
      </c>
      <c r="F52" s="72">
        <v>64</v>
      </c>
      <c r="G52" s="72">
        <v>0</v>
      </c>
    </row>
    <row r="53" spans="2:7" x14ac:dyDescent="0.25">
      <c r="B53" s="71">
        <v>43469</v>
      </c>
      <c r="C53" t="s">
        <v>50</v>
      </c>
      <c r="D53" t="s">
        <v>83</v>
      </c>
      <c r="E53" t="s">
        <v>127</v>
      </c>
      <c r="F53" s="72">
        <v>24</v>
      </c>
      <c r="G53" s="72">
        <v>0</v>
      </c>
    </row>
    <row r="54" spans="2:7" x14ac:dyDescent="0.25">
      <c r="B54" s="71">
        <v>43469</v>
      </c>
      <c r="C54" t="s">
        <v>51</v>
      </c>
      <c r="D54" t="s">
        <v>86</v>
      </c>
      <c r="E54" t="s">
        <v>127</v>
      </c>
      <c r="F54" s="72">
        <v>8.8000000000000007</v>
      </c>
      <c r="G54" s="72">
        <v>0</v>
      </c>
    </row>
    <row r="55" spans="2:7" x14ac:dyDescent="0.25">
      <c r="B55" s="71">
        <v>43469</v>
      </c>
      <c r="C55" t="s">
        <v>53</v>
      </c>
      <c r="D55" t="s">
        <v>83</v>
      </c>
      <c r="E55" t="s">
        <v>127</v>
      </c>
      <c r="F55" s="72">
        <v>24</v>
      </c>
      <c r="G55" s="72">
        <v>0</v>
      </c>
    </row>
    <row r="56" spans="2:7" x14ac:dyDescent="0.25">
      <c r="B56" s="71">
        <v>43469</v>
      </c>
      <c r="C56" t="s">
        <v>54</v>
      </c>
      <c r="D56" t="s">
        <v>86</v>
      </c>
      <c r="E56" t="s">
        <v>127</v>
      </c>
      <c r="F56" s="72">
        <v>297.89</v>
      </c>
      <c r="G56" s="72">
        <v>0</v>
      </c>
    </row>
    <row r="57" spans="2:7" x14ac:dyDescent="0.25">
      <c r="B57" s="71">
        <v>43469</v>
      </c>
      <c r="C57" t="s">
        <v>24</v>
      </c>
      <c r="D57" t="s">
        <v>80</v>
      </c>
      <c r="E57" t="s">
        <v>127</v>
      </c>
      <c r="F57" s="72">
        <v>8</v>
      </c>
      <c r="G57" s="72">
        <v>0</v>
      </c>
    </row>
    <row r="58" spans="2:7" x14ac:dyDescent="0.25">
      <c r="B58" s="71">
        <v>43470</v>
      </c>
      <c r="C58" t="s">
        <v>25</v>
      </c>
      <c r="D58" t="s">
        <v>86</v>
      </c>
      <c r="E58" t="s">
        <v>130</v>
      </c>
      <c r="F58" s="72">
        <v>58.85</v>
      </c>
      <c r="G58" s="72">
        <v>0</v>
      </c>
    </row>
    <row r="59" spans="2:7" x14ac:dyDescent="0.25">
      <c r="B59" s="71">
        <v>43470</v>
      </c>
      <c r="C59" t="s">
        <v>25</v>
      </c>
      <c r="D59" t="s">
        <v>82</v>
      </c>
      <c r="E59" t="s">
        <v>125</v>
      </c>
      <c r="F59" s="72">
        <v>70</v>
      </c>
      <c r="G59" s="72">
        <v>0</v>
      </c>
    </row>
    <row r="60" spans="2:7" x14ac:dyDescent="0.25">
      <c r="B60" s="71">
        <v>43470</v>
      </c>
      <c r="C60" t="s">
        <v>21</v>
      </c>
      <c r="D60" t="s">
        <v>80</v>
      </c>
      <c r="E60" t="s">
        <v>130</v>
      </c>
      <c r="F60" s="72">
        <v>8</v>
      </c>
      <c r="G60" s="72">
        <v>0</v>
      </c>
    </row>
    <row r="61" spans="2:7" x14ac:dyDescent="0.25">
      <c r="B61" s="71">
        <v>43470</v>
      </c>
      <c r="C61" t="s">
        <v>21</v>
      </c>
      <c r="D61" t="s">
        <v>80</v>
      </c>
      <c r="E61" t="s">
        <v>130</v>
      </c>
      <c r="F61" s="72">
        <v>32</v>
      </c>
      <c r="G61" s="72">
        <v>0</v>
      </c>
    </row>
    <row r="62" spans="2:7" x14ac:dyDescent="0.25">
      <c r="B62" s="71">
        <v>43470</v>
      </c>
      <c r="C62" t="s">
        <v>21</v>
      </c>
      <c r="D62" t="s">
        <v>80</v>
      </c>
      <c r="E62" t="s">
        <v>130</v>
      </c>
      <c r="F62" s="72">
        <v>72</v>
      </c>
      <c r="G62" s="72">
        <v>0</v>
      </c>
    </row>
    <row r="63" spans="2:7" x14ac:dyDescent="0.25">
      <c r="B63" s="71">
        <v>43470</v>
      </c>
      <c r="C63" t="s">
        <v>24</v>
      </c>
      <c r="D63" t="s">
        <v>80</v>
      </c>
      <c r="E63" t="s">
        <v>130</v>
      </c>
      <c r="F63" s="72">
        <v>8</v>
      </c>
      <c r="G63" s="72">
        <v>0</v>
      </c>
    </row>
    <row r="64" spans="2:7" x14ac:dyDescent="0.25">
      <c r="B64" s="71">
        <v>43472</v>
      </c>
      <c r="C64" t="s">
        <v>25</v>
      </c>
      <c r="D64" t="s">
        <v>84</v>
      </c>
      <c r="E64" t="s">
        <v>131</v>
      </c>
      <c r="F64" s="72">
        <v>117.49</v>
      </c>
      <c r="G64" s="72">
        <v>0</v>
      </c>
    </row>
    <row r="65" spans="2:7" x14ac:dyDescent="0.25">
      <c r="B65" s="71">
        <v>43472</v>
      </c>
      <c r="C65" t="s">
        <v>25</v>
      </c>
      <c r="D65" t="s">
        <v>81</v>
      </c>
      <c r="E65" t="s">
        <v>131</v>
      </c>
      <c r="F65" s="72">
        <v>64.95</v>
      </c>
      <c r="G65" s="72">
        <v>0</v>
      </c>
    </row>
    <row r="66" spans="2:7" x14ac:dyDescent="0.25">
      <c r="B66" s="71">
        <v>43472</v>
      </c>
      <c r="C66" t="s">
        <v>25</v>
      </c>
      <c r="D66" t="s">
        <v>82</v>
      </c>
      <c r="E66" t="s">
        <v>132</v>
      </c>
      <c r="F66" s="72">
        <v>9.65</v>
      </c>
      <c r="G66" s="72">
        <v>0</v>
      </c>
    </row>
    <row r="67" spans="2:7" x14ac:dyDescent="0.25">
      <c r="B67" s="71">
        <v>43472</v>
      </c>
      <c r="C67" t="s">
        <v>25</v>
      </c>
      <c r="D67" t="s">
        <v>82</v>
      </c>
      <c r="E67" t="s">
        <v>133</v>
      </c>
      <c r="F67" s="72">
        <v>1.8</v>
      </c>
      <c r="G67" s="72">
        <v>0</v>
      </c>
    </row>
    <row r="68" spans="2:7" x14ac:dyDescent="0.25">
      <c r="B68" s="71">
        <v>43472</v>
      </c>
      <c r="C68" t="s">
        <v>25</v>
      </c>
      <c r="D68" t="s">
        <v>82</v>
      </c>
      <c r="E68" t="s">
        <v>128</v>
      </c>
      <c r="F68" s="72">
        <v>2.4</v>
      </c>
      <c r="G68" s="72">
        <v>0</v>
      </c>
    </row>
    <row r="69" spans="2:7" x14ac:dyDescent="0.25">
      <c r="B69" s="71">
        <v>43472</v>
      </c>
      <c r="C69" t="s">
        <v>25</v>
      </c>
      <c r="D69" t="s">
        <v>82</v>
      </c>
      <c r="E69" t="s">
        <v>134</v>
      </c>
      <c r="F69" s="72">
        <v>6.6</v>
      </c>
      <c r="G69" s="72">
        <v>0</v>
      </c>
    </row>
    <row r="70" spans="2:7" x14ac:dyDescent="0.25">
      <c r="B70" s="71">
        <v>43472</v>
      </c>
      <c r="C70" t="s">
        <v>52</v>
      </c>
      <c r="D70" t="s">
        <v>83</v>
      </c>
      <c r="E70" t="s">
        <v>131</v>
      </c>
      <c r="F70" s="72">
        <v>87</v>
      </c>
      <c r="G70" s="72">
        <v>0</v>
      </c>
    </row>
    <row r="71" spans="2:7" x14ac:dyDescent="0.25">
      <c r="B71" s="71">
        <v>43472</v>
      </c>
      <c r="C71" t="s">
        <v>21</v>
      </c>
      <c r="D71" t="s">
        <v>80</v>
      </c>
      <c r="E71" t="s">
        <v>131</v>
      </c>
      <c r="F71" s="72">
        <v>16</v>
      </c>
      <c r="G71" s="72">
        <v>0</v>
      </c>
    </row>
    <row r="72" spans="2:7" x14ac:dyDescent="0.25">
      <c r="B72" s="71">
        <v>43472</v>
      </c>
      <c r="C72" t="s">
        <v>21</v>
      </c>
      <c r="D72" t="s">
        <v>80</v>
      </c>
      <c r="E72" t="s">
        <v>131</v>
      </c>
      <c r="F72" s="72">
        <v>40</v>
      </c>
      <c r="G72" s="72">
        <v>0</v>
      </c>
    </row>
    <row r="73" spans="2:7" x14ac:dyDescent="0.25">
      <c r="B73" s="71">
        <v>43472</v>
      </c>
      <c r="C73" t="s">
        <v>54</v>
      </c>
      <c r="D73" t="s">
        <v>83</v>
      </c>
      <c r="E73" t="s">
        <v>131</v>
      </c>
      <c r="F73" s="72">
        <v>407</v>
      </c>
      <c r="G73" s="72">
        <v>0</v>
      </c>
    </row>
    <row r="74" spans="2:7" x14ac:dyDescent="0.25">
      <c r="B74" s="71">
        <v>43473</v>
      </c>
      <c r="C74" t="s">
        <v>25</v>
      </c>
      <c r="D74" t="s">
        <v>87</v>
      </c>
      <c r="E74" t="s">
        <v>135</v>
      </c>
      <c r="F74" s="72">
        <v>0</v>
      </c>
      <c r="G74" s="72">
        <v>220</v>
      </c>
    </row>
    <row r="75" spans="2:7" x14ac:dyDescent="0.25">
      <c r="B75" s="71">
        <v>43473</v>
      </c>
      <c r="C75" t="s">
        <v>25</v>
      </c>
      <c r="D75" t="s">
        <v>82</v>
      </c>
      <c r="E75" t="s">
        <v>136</v>
      </c>
      <c r="F75" s="72">
        <v>2.4</v>
      </c>
      <c r="G75" s="72">
        <v>0</v>
      </c>
    </row>
    <row r="76" spans="2:7" x14ac:dyDescent="0.25">
      <c r="B76" s="71">
        <v>43473</v>
      </c>
      <c r="C76" t="s">
        <v>25</v>
      </c>
      <c r="D76" t="s">
        <v>82</v>
      </c>
      <c r="E76" t="s">
        <v>133</v>
      </c>
      <c r="F76" s="72">
        <v>1.8</v>
      </c>
      <c r="G76" s="72">
        <v>0</v>
      </c>
    </row>
    <row r="77" spans="2:7" x14ac:dyDescent="0.25">
      <c r="B77" s="71">
        <v>43473</v>
      </c>
      <c r="C77" t="s">
        <v>47</v>
      </c>
      <c r="D77" t="s">
        <v>80</v>
      </c>
      <c r="E77" t="s">
        <v>135</v>
      </c>
      <c r="F77" s="72">
        <v>77.97</v>
      </c>
      <c r="G77" s="72">
        <v>0</v>
      </c>
    </row>
    <row r="78" spans="2:7" x14ac:dyDescent="0.25">
      <c r="B78" s="71">
        <v>43473</v>
      </c>
      <c r="C78" t="s">
        <v>47</v>
      </c>
      <c r="D78" t="s">
        <v>86</v>
      </c>
      <c r="E78" t="s">
        <v>135</v>
      </c>
      <c r="F78" s="72">
        <v>25.95</v>
      </c>
      <c r="G78" s="72">
        <v>0</v>
      </c>
    </row>
    <row r="79" spans="2:7" x14ac:dyDescent="0.25">
      <c r="B79" s="71">
        <v>43473</v>
      </c>
      <c r="C79" t="s">
        <v>44</v>
      </c>
      <c r="D79" t="s">
        <v>83</v>
      </c>
      <c r="E79" t="s">
        <v>135</v>
      </c>
      <c r="F79" s="72">
        <v>220</v>
      </c>
      <c r="G79" s="72">
        <v>0</v>
      </c>
    </row>
    <row r="80" spans="2:7" x14ac:dyDescent="0.25">
      <c r="B80" s="71">
        <v>43473</v>
      </c>
      <c r="C80" t="s">
        <v>21</v>
      </c>
      <c r="D80" t="s">
        <v>80</v>
      </c>
      <c r="E80" t="s">
        <v>135</v>
      </c>
      <c r="F80" s="72">
        <v>8</v>
      </c>
      <c r="G80" s="72">
        <v>0</v>
      </c>
    </row>
    <row r="81" spans="2:7" x14ac:dyDescent="0.25">
      <c r="B81" s="71">
        <v>43473</v>
      </c>
      <c r="C81" t="s">
        <v>21</v>
      </c>
      <c r="D81" t="s">
        <v>80</v>
      </c>
      <c r="E81" t="s">
        <v>135</v>
      </c>
      <c r="F81" s="72">
        <v>16</v>
      </c>
      <c r="G81" s="72">
        <v>0</v>
      </c>
    </row>
    <row r="82" spans="2:7" x14ac:dyDescent="0.25">
      <c r="B82" s="71">
        <v>43473</v>
      </c>
      <c r="C82" t="s">
        <v>21</v>
      </c>
      <c r="D82" t="s">
        <v>80</v>
      </c>
      <c r="E82" t="s">
        <v>135</v>
      </c>
      <c r="F82" s="72">
        <v>56</v>
      </c>
      <c r="G82" s="72">
        <v>0</v>
      </c>
    </row>
    <row r="83" spans="2:7" x14ac:dyDescent="0.25">
      <c r="B83" s="71">
        <v>43473</v>
      </c>
      <c r="C83" t="s">
        <v>46</v>
      </c>
      <c r="D83" t="s">
        <v>83</v>
      </c>
      <c r="E83" t="s">
        <v>135</v>
      </c>
      <c r="F83" s="72">
        <v>246.2</v>
      </c>
      <c r="G83" s="72">
        <v>0</v>
      </c>
    </row>
    <row r="84" spans="2:7" x14ac:dyDescent="0.25">
      <c r="B84" s="71">
        <v>43475</v>
      </c>
      <c r="C84" t="s">
        <v>25</v>
      </c>
      <c r="D84" t="s">
        <v>81</v>
      </c>
      <c r="E84" t="s">
        <v>137</v>
      </c>
      <c r="F84" s="72">
        <v>10.199999999999999</v>
      </c>
      <c r="G84" s="72">
        <v>0</v>
      </c>
    </row>
    <row r="85" spans="2:7" x14ac:dyDescent="0.25">
      <c r="B85" s="71">
        <v>43475</v>
      </c>
      <c r="C85" t="s">
        <v>25</v>
      </c>
      <c r="D85" t="s">
        <v>81</v>
      </c>
      <c r="E85" t="s">
        <v>137</v>
      </c>
      <c r="F85" s="72">
        <v>64.95</v>
      </c>
      <c r="G85" s="72">
        <v>0</v>
      </c>
    </row>
    <row r="86" spans="2:7" x14ac:dyDescent="0.25">
      <c r="B86" s="71">
        <v>43475</v>
      </c>
      <c r="C86" t="s">
        <v>25</v>
      </c>
      <c r="D86" t="s">
        <v>88</v>
      </c>
      <c r="E86" t="s">
        <v>137</v>
      </c>
      <c r="F86" s="72">
        <v>25.95</v>
      </c>
      <c r="G86" s="72">
        <v>0</v>
      </c>
    </row>
    <row r="87" spans="2:7" x14ac:dyDescent="0.25">
      <c r="B87" s="71">
        <v>43475</v>
      </c>
      <c r="C87" t="s">
        <v>25</v>
      </c>
      <c r="D87" t="s">
        <v>88</v>
      </c>
      <c r="E87" t="s">
        <v>137</v>
      </c>
      <c r="F87" s="72">
        <v>33</v>
      </c>
      <c r="G87" s="72">
        <v>0</v>
      </c>
    </row>
    <row r="88" spans="2:7" x14ac:dyDescent="0.25">
      <c r="B88" s="71">
        <v>43475</v>
      </c>
      <c r="C88" t="s">
        <v>25</v>
      </c>
      <c r="D88" t="s">
        <v>88</v>
      </c>
      <c r="E88" t="s">
        <v>137</v>
      </c>
      <c r="F88" s="72">
        <v>42.92</v>
      </c>
      <c r="G88" s="72">
        <v>0</v>
      </c>
    </row>
    <row r="89" spans="2:7" x14ac:dyDescent="0.25">
      <c r="B89" s="71">
        <v>43475</v>
      </c>
      <c r="C89" t="s">
        <v>25</v>
      </c>
      <c r="D89" t="s">
        <v>88</v>
      </c>
      <c r="E89" t="s">
        <v>137</v>
      </c>
      <c r="F89" s="72">
        <v>51.8</v>
      </c>
      <c r="G89" s="72">
        <v>0</v>
      </c>
    </row>
    <row r="90" spans="2:7" x14ac:dyDescent="0.25">
      <c r="B90" s="71">
        <v>43475</v>
      </c>
      <c r="C90" t="s">
        <v>25</v>
      </c>
      <c r="D90" t="s">
        <v>82</v>
      </c>
      <c r="E90" t="s">
        <v>138</v>
      </c>
      <c r="F90" s="72">
        <v>18.75</v>
      </c>
      <c r="G90" s="72">
        <v>0</v>
      </c>
    </row>
    <row r="91" spans="2:7" x14ac:dyDescent="0.25">
      <c r="B91" s="71">
        <v>43475</v>
      </c>
      <c r="C91" t="s">
        <v>25</v>
      </c>
      <c r="D91" t="s">
        <v>82</v>
      </c>
      <c r="E91" t="s">
        <v>139</v>
      </c>
      <c r="F91" s="72">
        <v>6.85</v>
      </c>
      <c r="G91" s="72">
        <v>0</v>
      </c>
    </row>
    <row r="92" spans="2:7" x14ac:dyDescent="0.25">
      <c r="B92" s="71">
        <v>43475</v>
      </c>
      <c r="C92" t="s">
        <v>25</v>
      </c>
      <c r="D92" t="s">
        <v>82</v>
      </c>
      <c r="E92" t="s">
        <v>140</v>
      </c>
      <c r="F92" s="72">
        <v>1.8</v>
      </c>
      <c r="G92" s="72">
        <v>0</v>
      </c>
    </row>
    <row r="93" spans="2:7" x14ac:dyDescent="0.25">
      <c r="B93" s="71">
        <v>43475</v>
      </c>
      <c r="C93" t="s">
        <v>25</v>
      </c>
      <c r="D93" t="s">
        <v>82</v>
      </c>
      <c r="E93" t="s">
        <v>141</v>
      </c>
      <c r="F93" s="72">
        <v>3</v>
      </c>
      <c r="G93" s="72">
        <v>0</v>
      </c>
    </row>
    <row r="94" spans="2:7" x14ac:dyDescent="0.25">
      <c r="B94" s="71">
        <v>43475</v>
      </c>
      <c r="C94" t="s">
        <v>25</v>
      </c>
      <c r="D94" t="s">
        <v>89</v>
      </c>
      <c r="E94" t="s">
        <v>142</v>
      </c>
      <c r="F94" s="72">
        <v>35.520000000000003</v>
      </c>
      <c r="G94" s="72">
        <v>0</v>
      </c>
    </row>
    <row r="95" spans="2:7" x14ac:dyDescent="0.25">
      <c r="B95" s="71">
        <v>43475</v>
      </c>
      <c r="C95" t="s">
        <v>25</v>
      </c>
      <c r="D95" t="s">
        <v>89</v>
      </c>
      <c r="E95" t="s">
        <v>142</v>
      </c>
      <c r="F95" s="72">
        <v>45.08</v>
      </c>
      <c r="G95" s="72">
        <v>0</v>
      </c>
    </row>
    <row r="96" spans="2:7" x14ac:dyDescent="0.25">
      <c r="B96" s="71">
        <v>43475</v>
      </c>
      <c r="C96" t="s">
        <v>25</v>
      </c>
      <c r="D96" t="s">
        <v>89</v>
      </c>
      <c r="E96" t="s">
        <v>142</v>
      </c>
      <c r="F96" s="72">
        <v>61.08</v>
      </c>
      <c r="G96" s="72">
        <v>0</v>
      </c>
    </row>
    <row r="97" spans="2:7" x14ac:dyDescent="0.25">
      <c r="B97" s="71">
        <v>43475</v>
      </c>
      <c r="C97" t="s">
        <v>25</v>
      </c>
      <c r="D97" t="s">
        <v>89</v>
      </c>
      <c r="E97" t="s">
        <v>142</v>
      </c>
      <c r="F97" s="72">
        <v>61.93</v>
      </c>
      <c r="G97" s="72">
        <v>0</v>
      </c>
    </row>
    <row r="98" spans="2:7" x14ac:dyDescent="0.25">
      <c r="B98" s="71">
        <v>43475</v>
      </c>
      <c r="C98" t="s">
        <v>55</v>
      </c>
      <c r="D98" t="s">
        <v>89</v>
      </c>
      <c r="E98" t="s">
        <v>142</v>
      </c>
      <c r="F98" s="72">
        <v>2823.18</v>
      </c>
      <c r="G98" s="72">
        <v>0</v>
      </c>
    </row>
    <row r="99" spans="2:7" x14ac:dyDescent="0.25">
      <c r="B99" s="71">
        <v>43475</v>
      </c>
      <c r="C99" t="s">
        <v>47</v>
      </c>
      <c r="D99" t="s">
        <v>89</v>
      </c>
      <c r="E99" t="s">
        <v>142</v>
      </c>
      <c r="F99" s="72">
        <v>164.7</v>
      </c>
      <c r="G99" s="72">
        <v>0</v>
      </c>
    </row>
    <row r="100" spans="2:7" x14ac:dyDescent="0.25">
      <c r="B100" s="71">
        <v>43475</v>
      </c>
      <c r="C100" t="s">
        <v>47</v>
      </c>
      <c r="D100" t="s">
        <v>83</v>
      </c>
      <c r="E100" t="s">
        <v>137</v>
      </c>
      <c r="F100" s="72">
        <v>27</v>
      </c>
      <c r="G100" s="72">
        <v>0</v>
      </c>
    </row>
    <row r="101" spans="2:7" x14ac:dyDescent="0.25">
      <c r="B101" s="71">
        <v>43475</v>
      </c>
      <c r="C101" t="s">
        <v>21</v>
      </c>
      <c r="D101" t="s">
        <v>80</v>
      </c>
      <c r="E101" t="s">
        <v>137</v>
      </c>
      <c r="F101" s="72">
        <v>8</v>
      </c>
      <c r="G101" s="72">
        <v>0</v>
      </c>
    </row>
    <row r="102" spans="2:7" x14ac:dyDescent="0.25">
      <c r="B102" s="71">
        <v>43475</v>
      </c>
      <c r="C102" t="s">
        <v>21</v>
      </c>
      <c r="D102" t="s">
        <v>80</v>
      </c>
      <c r="E102" t="s">
        <v>137</v>
      </c>
      <c r="F102" s="72">
        <v>24</v>
      </c>
      <c r="G102" s="72">
        <v>0</v>
      </c>
    </row>
    <row r="103" spans="2:7" x14ac:dyDescent="0.25">
      <c r="B103" s="71">
        <v>43475</v>
      </c>
      <c r="C103" t="s">
        <v>21</v>
      </c>
      <c r="D103" t="s">
        <v>80</v>
      </c>
      <c r="E103" t="s">
        <v>137</v>
      </c>
      <c r="F103" s="72">
        <v>56</v>
      </c>
      <c r="G103" s="72">
        <v>0</v>
      </c>
    </row>
    <row r="104" spans="2:7" x14ac:dyDescent="0.25">
      <c r="B104" s="71">
        <v>43475</v>
      </c>
      <c r="C104" t="s">
        <v>21</v>
      </c>
      <c r="D104" t="s">
        <v>89</v>
      </c>
      <c r="E104" t="s">
        <v>142</v>
      </c>
      <c r="F104" s="72">
        <v>13.14</v>
      </c>
      <c r="G104" s="72">
        <v>0</v>
      </c>
    </row>
    <row r="105" spans="2:7" x14ac:dyDescent="0.25">
      <c r="B105" s="71">
        <v>43475</v>
      </c>
      <c r="C105" t="s">
        <v>21</v>
      </c>
      <c r="D105" t="s">
        <v>89</v>
      </c>
      <c r="E105" t="s">
        <v>142</v>
      </c>
      <c r="F105" s="72">
        <v>17.62</v>
      </c>
      <c r="G105" s="72">
        <v>0</v>
      </c>
    </row>
    <row r="106" spans="2:7" x14ac:dyDescent="0.25">
      <c r="B106" s="71">
        <v>43475</v>
      </c>
      <c r="C106" t="s">
        <v>21</v>
      </c>
      <c r="D106" t="s">
        <v>89</v>
      </c>
      <c r="E106" t="s">
        <v>142</v>
      </c>
      <c r="F106" s="72">
        <v>18.510000000000002</v>
      </c>
      <c r="G106" s="72">
        <v>0</v>
      </c>
    </row>
    <row r="107" spans="2:7" x14ac:dyDescent="0.25">
      <c r="B107" s="71">
        <v>43475</v>
      </c>
      <c r="C107" t="s">
        <v>21</v>
      </c>
      <c r="D107" t="s">
        <v>89</v>
      </c>
      <c r="E107" t="s">
        <v>142</v>
      </c>
      <c r="F107" s="72">
        <v>27.34</v>
      </c>
      <c r="G107" s="72">
        <v>0</v>
      </c>
    </row>
    <row r="108" spans="2:7" x14ac:dyDescent="0.25">
      <c r="B108" s="71">
        <v>43475</v>
      </c>
      <c r="C108" t="s">
        <v>21</v>
      </c>
      <c r="D108" t="s">
        <v>89</v>
      </c>
      <c r="E108" t="s">
        <v>142</v>
      </c>
      <c r="F108" s="72">
        <v>35.85</v>
      </c>
      <c r="G108" s="72">
        <v>0</v>
      </c>
    </row>
    <row r="109" spans="2:7" x14ac:dyDescent="0.25">
      <c r="B109" s="71">
        <v>43475</v>
      </c>
      <c r="C109" t="s">
        <v>21</v>
      </c>
      <c r="D109" t="s">
        <v>89</v>
      </c>
      <c r="E109" t="s">
        <v>142</v>
      </c>
      <c r="F109" s="72">
        <v>37.47</v>
      </c>
      <c r="G109" s="72">
        <v>0</v>
      </c>
    </row>
    <row r="110" spans="2:7" x14ac:dyDescent="0.25">
      <c r="B110" s="71">
        <v>43475</v>
      </c>
      <c r="C110" t="s">
        <v>21</v>
      </c>
      <c r="D110" t="s">
        <v>89</v>
      </c>
      <c r="E110" t="s">
        <v>142</v>
      </c>
      <c r="F110" s="72">
        <v>77.209999999999994</v>
      </c>
      <c r="G110" s="72">
        <v>0</v>
      </c>
    </row>
    <row r="111" spans="2:7" x14ac:dyDescent="0.25">
      <c r="B111" s="71">
        <v>43475</v>
      </c>
      <c r="C111" t="s">
        <v>21</v>
      </c>
      <c r="D111" t="s">
        <v>89</v>
      </c>
      <c r="E111" t="s">
        <v>142</v>
      </c>
      <c r="F111" s="72">
        <v>159.55000000000001</v>
      </c>
      <c r="G111" s="72">
        <v>0</v>
      </c>
    </row>
    <row r="112" spans="2:7" x14ac:dyDescent="0.25">
      <c r="B112" s="71">
        <v>43475</v>
      </c>
      <c r="C112" t="s">
        <v>21</v>
      </c>
      <c r="D112" t="s">
        <v>89</v>
      </c>
      <c r="E112" t="s">
        <v>142</v>
      </c>
      <c r="F112" s="72">
        <v>254.22</v>
      </c>
      <c r="G112" s="72">
        <v>0</v>
      </c>
    </row>
    <row r="113" spans="2:7" x14ac:dyDescent="0.25">
      <c r="B113" s="71">
        <v>43475</v>
      </c>
      <c r="C113" t="s">
        <v>21</v>
      </c>
      <c r="D113" t="s">
        <v>89</v>
      </c>
      <c r="E113" t="s">
        <v>142</v>
      </c>
      <c r="F113" s="72">
        <v>303.73</v>
      </c>
      <c r="G113" s="72">
        <v>0</v>
      </c>
    </row>
    <row r="114" spans="2:7" x14ac:dyDescent="0.25">
      <c r="B114" s="71">
        <v>43475</v>
      </c>
      <c r="C114" t="s">
        <v>21</v>
      </c>
      <c r="D114" t="s">
        <v>89</v>
      </c>
      <c r="E114" t="s">
        <v>142</v>
      </c>
      <c r="F114" s="72">
        <v>384.96</v>
      </c>
      <c r="G114" s="72">
        <v>0</v>
      </c>
    </row>
    <row r="115" spans="2:7" x14ac:dyDescent="0.25">
      <c r="B115" s="71">
        <v>43475</v>
      </c>
      <c r="C115" t="s">
        <v>21</v>
      </c>
      <c r="D115" t="s">
        <v>89</v>
      </c>
      <c r="E115" t="s">
        <v>142</v>
      </c>
      <c r="F115" s="72">
        <v>386.75</v>
      </c>
      <c r="G115" s="72">
        <v>0</v>
      </c>
    </row>
    <row r="116" spans="2:7" x14ac:dyDescent="0.25">
      <c r="B116" s="71">
        <v>43475</v>
      </c>
      <c r="C116" t="s">
        <v>21</v>
      </c>
      <c r="D116" t="s">
        <v>89</v>
      </c>
      <c r="E116" t="s">
        <v>142</v>
      </c>
      <c r="F116" s="72">
        <v>449.4</v>
      </c>
      <c r="G116" s="72">
        <v>0</v>
      </c>
    </row>
    <row r="117" spans="2:7" x14ac:dyDescent="0.25">
      <c r="B117" s="71">
        <v>43475</v>
      </c>
      <c r="C117" t="s">
        <v>21</v>
      </c>
      <c r="D117" t="s">
        <v>89</v>
      </c>
      <c r="E117" t="s">
        <v>142</v>
      </c>
      <c r="F117" s="72">
        <v>458.67</v>
      </c>
      <c r="G117" s="72">
        <v>0</v>
      </c>
    </row>
    <row r="118" spans="2:7" x14ac:dyDescent="0.25">
      <c r="B118" s="71">
        <v>43475</v>
      </c>
      <c r="C118" t="s">
        <v>21</v>
      </c>
      <c r="D118" t="s">
        <v>89</v>
      </c>
      <c r="E118" t="s">
        <v>142</v>
      </c>
      <c r="F118" s="72">
        <v>481.58</v>
      </c>
      <c r="G118" s="72">
        <v>0</v>
      </c>
    </row>
    <row r="119" spans="2:7" x14ac:dyDescent="0.25">
      <c r="B119" s="71">
        <v>43475</v>
      </c>
      <c r="C119" t="s">
        <v>21</v>
      </c>
      <c r="D119" t="s">
        <v>89</v>
      </c>
      <c r="E119" t="s">
        <v>142</v>
      </c>
      <c r="F119" s="72">
        <v>514.46</v>
      </c>
      <c r="G119" s="72">
        <v>0</v>
      </c>
    </row>
    <row r="120" spans="2:7" x14ac:dyDescent="0.25">
      <c r="B120" s="71">
        <v>43475</v>
      </c>
      <c r="C120" t="s">
        <v>21</v>
      </c>
      <c r="D120" t="s">
        <v>89</v>
      </c>
      <c r="E120" t="s">
        <v>142</v>
      </c>
      <c r="F120" s="72">
        <v>527.12</v>
      </c>
      <c r="G120" s="72">
        <v>0</v>
      </c>
    </row>
    <row r="121" spans="2:7" x14ac:dyDescent="0.25">
      <c r="B121" s="71">
        <v>43475</v>
      </c>
      <c r="C121" t="s">
        <v>21</v>
      </c>
      <c r="D121" t="s">
        <v>89</v>
      </c>
      <c r="E121" t="s">
        <v>142</v>
      </c>
      <c r="F121" s="72">
        <v>543.25</v>
      </c>
      <c r="G121" s="72">
        <v>0</v>
      </c>
    </row>
    <row r="122" spans="2:7" x14ac:dyDescent="0.25">
      <c r="B122" s="71">
        <v>43475</v>
      </c>
      <c r="C122" t="s">
        <v>21</v>
      </c>
      <c r="D122" t="s">
        <v>89</v>
      </c>
      <c r="E122" t="s">
        <v>142</v>
      </c>
      <c r="F122" s="72">
        <v>558.33000000000004</v>
      </c>
      <c r="G122" s="72">
        <v>0</v>
      </c>
    </row>
    <row r="123" spans="2:7" x14ac:dyDescent="0.25">
      <c r="B123" s="71">
        <v>43475</v>
      </c>
      <c r="C123" t="s">
        <v>21</v>
      </c>
      <c r="D123" t="s">
        <v>89</v>
      </c>
      <c r="E123" t="s">
        <v>142</v>
      </c>
      <c r="F123" s="72">
        <v>567.08000000000004</v>
      </c>
      <c r="G123" s="72">
        <v>0</v>
      </c>
    </row>
    <row r="124" spans="2:7" x14ac:dyDescent="0.25">
      <c r="B124" s="71">
        <v>43475</v>
      </c>
      <c r="C124" t="s">
        <v>21</v>
      </c>
      <c r="D124" t="s">
        <v>89</v>
      </c>
      <c r="E124" t="s">
        <v>142</v>
      </c>
      <c r="F124" s="72">
        <v>627.95000000000005</v>
      </c>
      <c r="G124" s="72">
        <v>0</v>
      </c>
    </row>
    <row r="125" spans="2:7" x14ac:dyDescent="0.25">
      <c r="B125" s="71">
        <v>43475</v>
      </c>
      <c r="C125" t="s">
        <v>21</v>
      </c>
      <c r="D125" t="s">
        <v>89</v>
      </c>
      <c r="E125" t="s">
        <v>142</v>
      </c>
      <c r="F125" s="72">
        <v>723.12</v>
      </c>
      <c r="G125" s="72">
        <v>0</v>
      </c>
    </row>
    <row r="126" spans="2:7" x14ac:dyDescent="0.25">
      <c r="B126" s="71">
        <v>43475</v>
      </c>
      <c r="C126" t="s">
        <v>21</v>
      </c>
      <c r="D126" t="s">
        <v>89</v>
      </c>
      <c r="E126" t="s">
        <v>142</v>
      </c>
      <c r="F126" s="72">
        <v>733.55</v>
      </c>
      <c r="G126" s="72">
        <v>0</v>
      </c>
    </row>
    <row r="127" spans="2:7" x14ac:dyDescent="0.25">
      <c r="B127" s="71">
        <v>43475</v>
      </c>
      <c r="C127" t="s">
        <v>21</v>
      </c>
      <c r="D127" t="s">
        <v>89</v>
      </c>
      <c r="E127" t="s">
        <v>142</v>
      </c>
      <c r="F127" s="72">
        <v>792.61</v>
      </c>
      <c r="G127" s="72">
        <v>0</v>
      </c>
    </row>
    <row r="128" spans="2:7" x14ac:dyDescent="0.25">
      <c r="B128" s="71">
        <v>43475</v>
      </c>
      <c r="C128" t="s">
        <v>21</v>
      </c>
      <c r="D128" t="s">
        <v>89</v>
      </c>
      <c r="E128" t="s">
        <v>142</v>
      </c>
      <c r="F128" s="72">
        <v>1011.2</v>
      </c>
      <c r="G128" s="72">
        <v>0</v>
      </c>
    </row>
    <row r="129" spans="2:7" x14ac:dyDescent="0.25">
      <c r="B129" s="71">
        <v>43475</v>
      </c>
      <c r="C129" t="s">
        <v>21</v>
      </c>
      <c r="D129" t="s">
        <v>89</v>
      </c>
      <c r="E129" t="s">
        <v>142</v>
      </c>
      <c r="F129" s="72">
        <v>1342.37</v>
      </c>
      <c r="G129" s="72">
        <v>0</v>
      </c>
    </row>
    <row r="130" spans="2:7" x14ac:dyDescent="0.25">
      <c r="B130" s="71">
        <v>43475</v>
      </c>
      <c r="C130" t="s">
        <v>21</v>
      </c>
      <c r="D130" t="s">
        <v>89</v>
      </c>
      <c r="E130" t="s">
        <v>142</v>
      </c>
      <c r="F130" s="72">
        <v>1470.44</v>
      </c>
      <c r="G130" s="72">
        <v>0</v>
      </c>
    </row>
    <row r="131" spans="2:7" x14ac:dyDescent="0.25">
      <c r="B131" s="71">
        <v>43475</v>
      </c>
      <c r="C131" t="s">
        <v>49</v>
      </c>
      <c r="D131" t="s">
        <v>84</v>
      </c>
      <c r="E131" t="s">
        <v>137</v>
      </c>
      <c r="F131" s="72">
        <v>67.95</v>
      </c>
      <c r="G131" s="72">
        <v>0</v>
      </c>
    </row>
    <row r="132" spans="2:7" x14ac:dyDescent="0.25">
      <c r="B132" s="71">
        <v>43475</v>
      </c>
      <c r="C132" t="s">
        <v>56</v>
      </c>
      <c r="D132" t="s">
        <v>89</v>
      </c>
      <c r="E132" t="s">
        <v>142</v>
      </c>
      <c r="F132" s="72">
        <v>273.02999999999997</v>
      </c>
      <c r="G132" s="72">
        <v>0</v>
      </c>
    </row>
    <row r="133" spans="2:7" x14ac:dyDescent="0.25">
      <c r="B133" s="71">
        <v>43475</v>
      </c>
      <c r="C133" t="s">
        <v>50</v>
      </c>
      <c r="D133" t="s">
        <v>89</v>
      </c>
      <c r="E133" t="s">
        <v>142</v>
      </c>
      <c r="F133" s="72">
        <v>123.45</v>
      </c>
      <c r="G133" s="72">
        <v>0</v>
      </c>
    </row>
    <row r="134" spans="2:7" x14ac:dyDescent="0.25">
      <c r="B134" s="71">
        <v>43475</v>
      </c>
      <c r="C134" t="s">
        <v>50</v>
      </c>
      <c r="D134" t="s">
        <v>83</v>
      </c>
      <c r="E134" t="s">
        <v>137</v>
      </c>
      <c r="F134" s="72">
        <v>95.9</v>
      </c>
      <c r="G134" s="72">
        <v>0</v>
      </c>
    </row>
    <row r="135" spans="2:7" x14ac:dyDescent="0.25">
      <c r="B135" s="71">
        <v>43475</v>
      </c>
      <c r="C135" t="s">
        <v>51</v>
      </c>
      <c r="D135" t="s">
        <v>89</v>
      </c>
      <c r="E135" t="s">
        <v>142</v>
      </c>
      <c r="F135" s="72">
        <v>673.32</v>
      </c>
      <c r="G135" s="72">
        <v>0</v>
      </c>
    </row>
    <row r="136" spans="2:7" x14ac:dyDescent="0.25">
      <c r="B136" s="71">
        <v>43475</v>
      </c>
      <c r="C136" t="s">
        <v>53</v>
      </c>
      <c r="D136" t="s">
        <v>89</v>
      </c>
      <c r="E136" t="s">
        <v>142</v>
      </c>
      <c r="F136" s="72">
        <v>68.19</v>
      </c>
      <c r="G136" s="72">
        <v>0</v>
      </c>
    </row>
    <row r="137" spans="2:7" x14ac:dyDescent="0.25">
      <c r="B137" s="71">
        <v>43475</v>
      </c>
      <c r="C137" t="s">
        <v>54</v>
      </c>
      <c r="D137" t="s">
        <v>89</v>
      </c>
      <c r="E137" t="s">
        <v>142</v>
      </c>
      <c r="F137" s="72">
        <v>39.43</v>
      </c>
      <c r="G137" s="72">
        <v>0</v>
      </c>
    </row>
    <row r="138" spans="2:7" x14ac:dyDescent="0.25">
      <c r="B138" s="71">
        <v>43475</v>
      </c>
      <c r="C138" t="s">
        <v>24</v>
      </c>
      <c r="D138" t="s">
        <v>80</v>
      </c>
      <c r="E138" t="s">
        <v>137</v>
      </c>
      <c r="F138" s="72">
        <v>8</v>
      </c>
      <c r="G138" s="72">
        <v>0</v>
      </c>
    </row>
    <row r="139" spans="2:7" x14ac:dyDescent="0.25">
      <c r="B139" s="71">
        <v>43475</v>
      </c>
      <c r="C139" t="s">
        <v>24</v>
      </c>
      <c r="D139" t="s">
        <v>80</v>
      </c>
      <c r="E139" t="s">
        <v>137</v>
      </c>
      <c r="F139" s="72">
        <v>16</v>
      </c>
      <c r="G139" s="72">
        <v>0</v>
      </c>
    </row>
    <row r="140" spans="2:7" x14ac:dyDescent="0.25">
      <c r="B140" s="71">
        <v>43475</v>
      </c>
      <c r="C140" t="s">
        <v>24</v>
      </c>
      <c r="D140" t="s">
        <v>89</v>
      </c>
      <c r="E140" t="s">
        <v>142</v>
      </c>
      <c r="F140" s="72">
        <v>12.8</v>
      </c>
      <c r="G140" s="72">
        <v>0</v>
      </c>
    </row>
    <row r="141" spans="2:7" x14ac:dyDescent="0.25">
      <c r="B141" s="71">
        <v>43475</v>
      </c>
      <c r="C141" t="s">
        <v>24</v>
      </c>
      <c r="D141" t="s">
        <v>89</v>
      </c>
      <c r="E141" t="s">
        <v>142</v>
      </c>
      <c r="F141" s="72">
        <v>18.760000000000002</v>
      </c>
      <c r="G141" s="72">
        <v>0</v>
      </c>
    </row>
    <row r="142" spans="2:7" x14ac:dyDescent="0.25">
      <c r="B142" s="71">
        <v>43475</v>
      </c>
      <c r="C142" t="s">
        <v>24</v>
      </c>
      <c r="D142" t="s">
        <v>89</v>
      </c>
      <c r="E142" t="s">
        <v>142</v>
      </c>
      <c r="F142" s="72">
        <v>19.25</v>
      </c>
      <c r="G142" s="72">
        <v>0</v>
      </c>
    </row>
    <row r="143" spans="2:7" x14ac:dyDescent="0.25">
      <c r="B143" s="71">
        <v>43475</v>
      </c>
      <c r="C143" t="s">
        <v>24</v>
      </c>
      <c r="D143" t="s">
        <v>89</v>
      </c>
      <c r="E143" t="s">
        <v>142</v>
      </c>
      <c r="F143" s="72">
        <v>30.67</v>
      </c>
      <c r="G143" s="72">
        <v>0</v>
      </c>
    </row>
    <row r="144" spans="2:7" x14ac:dyDescent="0.25">
      <c r="B144" s="71">
        <v>43475</v>
      </c>
      <c r="C144" t="s">
        <v>24</v>
      </c>
      <c r="D144" t="s">
        <v>89</v>
      </c>
      <c r="E144" t="s">
        <v>142</v>
      </c>
      <c r="F144" s="72">
        <v>34.21</v>
      </c>
      <c r="G144" s="72">
        <v>0</v>
      </c>
    </row>
    <row r="145" spans="2:7" x14ac:dyDescent="0.25">
      <c r="B145" s="71">
        <v>43475</v>
      </c>
      <c r="C145" t="s">
        <v>24</v>
      </c>
      <c r="D145" t="s">
        <v>89</v>
      </c>
      <c r="E145" t="s">
        <v>142</v>
      </c>
      <c r="F145" s="72">
        <v>34.229999999999997</v>
      </c>
      <c r="G145" s="72">
        <v>0</v>
      </c>
    </row>
    <row r="146" spans="2:7" x14ac:dyDescent="0.25">
      <c r="B146" s="71">
        <v>43475</v>
      </c>
      <c r="C146" t="s">
        <v>24</v>
      </c>
      <c r="D146" t="s">
        <v>89</v>
      </c>
      <c r="E146" t="s">
        <v>142</v>
      </c>
      <c r="F146" s="72">
        <v>40.99</v>
      </c>
      <c r="G146" s="72">
        <v>0</v>
      </c>
    </row>
    <row r="147" spans="2:7" x14ac:dyDescent="0.25">
      <c r="B147" s="71">
        <v>43475</v>
      </c>
      <c r="C147" t="s">
        <v>24</v>
      </c>
      <c r="D147" t="s">
        <v>89</v>
      </c>
      <c r="E147" t="s">
        <v>142</v>
      </c>
      <c r="F147" s="72">
        <v>50.62</v>
      </c>
      <c r="G147" s="72">
        <v>0</v>
      </c>
    </row>
    <row r="148" spans="2:7" x14ac:dyDescent="0.25">
      <c r="B148" s="71">
        <v>43475</v>
      </c>
      <c r="C148" t="s">
        <v>24</v>
      </c>
      <c r="D148" t="s">
        <v>89</v>
      </c>
      <c r="E148" t="s">
        <v>142</v>
      </c>
      <c r="F148" s="72">
        <v>52.04</v>
      </c>
      <c r="G148" s="72">
        <v>0</v>
      </c>
    </row>
    <row r="149" spans="2:7" x14ac:dyDescent="0.25">
      <c r="B149" s="71">
        <v>43475</v>
      </c>
      <c r="C149" t="s">
        <v>24</v>
      </c>
      <c r="D149" t="s">
        <v>89</v>
      </c>
      <c r="E149" t="s">
        <v>142</v>
      </c>
      <c r="F149" s="72">
        <v>108.28</v>
      </c>
      <c r="G149" s="72">
        <v>0</v>
      </c>
    </row>
    <row r="150" spans="2:7" x14ac:dyDescent="0.25">
      <c r="B150" s="71">
        <v>43476</v>
      </c>
      <c r="C150" t="s">
        <v>25</v>
      </c>
      <c r="D150" t="s">
        <v>80</v>
      </c>
      <c r="E150" t="s">
        <v>143</v>
      </c>
      <c r="F150" s="72">
        <v>8</v>
      </c>
      <c r="G150" s="72">
        <v>0</v>
      </c>
    </row>
    <row r="151" spans="2:7" x14ac:dyDescent="0.25">
      <c r="B151" s="71">
        <v>43476</v>
      </c>
      <c r="C151" t="s">
        <v>25</v>
      </c>
      <c r="D151" t="s">
        <v>82</v>
      </c>
      <c r="E151" t="s">
        <v>138</v>
      </c>
      <c r="F151" s="72">
        <v>18.75</v>
      </c>
      <c r="G151" s="72">
        <v>0</v>
      </c>
    </row>
    <row r="152" spans="2:7" x14ac:dyDescent="0.25">
      <c r="B152" s="71">
        <v>43476</v>
      </c>
      <c r="C152" t="s">
        <v>25</v>
      </c>
      <c r="D152" t="s">
        <v>82</v>
      </c>
      <c r="E152" t="s">
        <v>136</v>
      </c>
      <c r="F152" s="72">
        <v>3</v>
      </c>
      <c r="G152" s="72">
        <v>0</v>
      </c>
    </row>
    <row r="153" spans="2:7" x14ac:dyDescent="0.25">
      <c r="B153" s="71">
        <v>43476</v>
      </c>
      <c r="C153" t="s">
        <v>57</v>
      </c>
      <c r="D153" t="s">
        <v>83</v>
      </c>
      <c r="E153" t="s">
        <v>143</v>
      </c>
      <c r="F153" s="72">
        <v>138</v>
      </c>
      <c r="G153" s="72">
        <v>0</v>
      </c>
    </row>
    <row r="154" spans="2:7" x14ac:dyDescent="0.25">
      <c r="B154" s="71">
        <v>43476</v>
      </c>
      <c r="C154" t="s">
        <v>58</v>
      </c>
      <c r="D154" t="s">
        <v>80</v>
      </c>
      <c r="E154" t="s">
        <v>143</v>
      </c>
      <c r="F154" s="72">
        <v>86.16</v>
      </c>
      <c r="G154" s="72">
        <v>0</v>
      </c>
    </row>
    <row r="155" spans="2:7" x14ac:dyDescent="0.25">
      <c r="B155" s="71">
        <v>43476</v>
      </c>
      <c r="C155" t="s">
        <v>21</v>
      </c>
      <c r="D155" t="s">
        <v>80</v>
      </c>
      <c r="E155" t="s">
        <v>143</v>
      </c>
      <c r="F155" s="72">
        <v>8</v>
      </c>
      <c r="G155" s="72">
        <v>0</v>
      </c>
    </row>
    <row r="156" spans="2:7" x14ac:dyDescent="0.25">
      <c r="B156" s="71">
        <v>43476</v>
      </c>
      <c r="C156" t="s">
        <v>21</v>
      </c>
      <c r="D156" t="s">
        <v>80</v>
      </c>
      <c r="E156" t="s">
        <v>143</v>
      </c>
      <c r="F156" s="72">
        <v>16</v>
      </c>
      <c r="G156" s="72">
        <v>0</v>
      </c>
    </row>
    <row r="157" spans="2:7" x14ac:dyDescent="0.25">
      <c r="B157" s="71">
        <v>43476</v>
      </c>
      <c r="C157" t="s">
        <v>21</v>
      </c>
      <c r="D157" t="s">
        <v>83</v>
      </c>
      <c r="E157" t="s">
        <v>143</v>
      </c>
      <c r="F157" s="72">
        <v>59.3</v>
      </c>
      <c r="G157" s="72">
        <v>0</v>
      </c>
    </row>
    <row r="158" spans="2:7" x14ac:dyDescent="0.25">
      <c r="B158" s="71">
        <v>43476</v>
      </c>
      <c r="C158" t="s">
        <v>49</v>
      </c>
      <c r="D158" t="s">
        <v>83</v>
      </c>
      <c r="E158" t="s">
        <v>143</v>
      </c>
      <c r="F158" s="72">
        <v>29.4</v>
      </c>
      <c r="G158" s="72">
        <v>0</v>
      </c>
    </row>
    <row r="159" spans="2:7" x14ac:dyDescent="0.25">
      <c r="B159" s="71">
        <v>43476</v>
      </c>
      <c r="C159" t="s">
        <v>46</v>
      </c>
      <c r="D159" t="s">
        <v>83</v>
      </c>
      <c r="E159" t="s">
        <v>143</v>
      </c>
      <c r="F159" s="72">
        <v>11.5</v>
      </c>
      <c r="G159" s="72">
        <v>0</v>
      </c>
    </row>
    <row r="160" spans="2:7" x14ac:dyDescent="0.25">
      <c r="B160" s="71">
        <v>43476</v>
      </c>
      <c r="C160" t="s">
        <v>50</v>
      </c>
      <c r="D160" t="s">
        <v>83</v>
      </c>
      <c r="E160" t="s">
        <v>143</v>
      </c>
      <c r="F160" s="72">
        <v>24</v>
      </c>
      <c r="G160" s="72">
        <v>0</v>
      </c>
    </row>
    <row r="161" spans="2:7" x14ac:dyDescent="0.25">
      <c r="B161" s="71">
        <v>43476</v>
      </c>
      <c r="C161" t="s">
        <v>59</v>
      </c>
      <c r="D161" t="s">
        <v>85</v>
      </c>
      <c r="E161" t="s">
        <v>143</v>
      </c>
      <c r="F161" s="72">
        <v>25</v>
      </c>
      <c r="G161" s="72">
        <v>0</v>
      </c>
    </row>
    <row r="162" spans="2:7" x14ac:dyDescent="0.25">
      <c r="B162" s="71">
        <v>43476</v>
      </c>
      <c r="C162" t="s">
        <v>24</v>
      </c>
      <c r="D162" t="s">
        <v>80</v>
      </c>
      <c r="E162" t="s">
        <v>143</v>
      </c>
      <c r="F162" s="72">
        <v>8</v>
      </c>
      <c r="G162" s="72">
        <v>0</v>
      </c>
    </row>
    <row r="163" spans="2:7" x14ac:dyDescent="0.25">
      <c r="B163" s="71">
        <v>43476</v>
      </c>
      <c r="C163" t="s">
        <v>24</v>
      </c>
      <c r="D163" t="s">
        <v>80</v>
      </c>
      <c r="E163" t="s">
        <v>143</v>
      </c>
      <c r="F163" s="72">
        <v>16</v>
      </c>
      <c r="G163" s="72">
        <v>0</v>
      </c>
    </row>
    <row r="164" spans="2:7" x14ac:dyDescent="0.25">
      <c r="B164" s="71">
        <v>43476</v>
      </c>
      <c r="C164" t="s">
        <v>24</v>
      </c>
      <c r="D164" t="s">
        <v>80</v>
      </c>
      <c r="E164" t="s">
        <v>143</v>
      </c>
      <c r="F164" s="72">
        <v>24</v>
      </c>
      <c r="G164" s="72">
        <v>0</v>
      </c>
    </row>
    <row r="165" spans="2:7" x14ac:dyDescent="0.25">
      <c r="B165" s="71">
        <v>43479</v>
      </c>
      <c r="C165" t="s">
        <v>25</v>
      </c>
      <c r="D165" t="s">
        <v>81</v>
      </c>
      <c r="E165" t="s">
        <v>144</v>
      </c>
      <c r="F165" s="72">
        <v>38.340000000000003</v>
      </c>
      <c r="G165" s="72">
        <v>0</v>
      </c>
    </row>
    <row r="166" spans="2:7" x14ac:dyDescent="0.25">
      <c r="B166" s="71">
        <v>43479</v>
      </c>
      <c r="C166" t="s">
        <v>25</v>
      </c>
      <c r="D166" t="s">
        <v>88</v>
      </c>
      <c r="E166" t="s">
        <v>144</v>
      </c>
      <c r="F166" s="72">
        <v>36.950000000000003</v>
      </c>
      <c r="G166" s="72">
        <v>0</v>
      </c>
    </row>
    <row r="167" spans="2:7" x14ac:dyDescent="0.25">
      <c r="B167" s="71">
        <v>43479</v>
      </c>
      <c r="C167" t="s">
        <v>25</v>
      </c>
      <c r="D167" t="s">
        <v>82</v>
      </c>
      <c r="E167" t="s">
        <v>145</v>
      </c>
      <c r="F167" s="72">
        <v>14.9</v>
      </c>
      <c r="G167" s="72">
        <v>0</v>
      </c>
    </row>
    <row r="168" spans="2:7" x14ac:dyDescent="0.25">
      <c r="B168" s="71">
        <v>43479</v>
      </c>
      <c r="C168" t="s">
        <v>25</v>
      </c>
      <c r="D168" t="s">
        <v>82</v>
      </c>
      <c r="E168" t="s">
        <v>140</v>
      </c>
      <c r="F168" s="72">
        <v>1.8</v>
      </c>
      <c r="G168" s="72">
        <v>0</v>
      </c>
    </row>
    <row r="169" spans="2:7" x14ac:dyDescent="0.25">
      <c r="B169" s="71">
        <v>43479</v>
      </c>
      <c r="C169" t="s">
        <v>47</v>
      </c>
      <c r="D169" t="s">
        <v>85</v>
      </c>
      <c r="E169" t="s">
        <v>144</v>
      </c>
      <c r="F169" s="72">
        <v>20</v>
      </c>
      <c r="G169" s="72">
        <v>0</v>
      </c>
    </row>
    <row r="170" spans="2:7" x14ac:dyDescent="0.25">
      <c r="B170" s="71">
        <v>43479</v>
      </c>
      <c r="C170" t="s">
        <v>60</v>
      </c>
      <c r="D170" t="s">
        <v>83</v>
      </c>
      <c r="E170" t="s">
        <v>144</v>
      </c>
      <c r="F170" s="72">
        <v>62.73</v>
      </c>
      <c r="G170" s="72">
        <v>0</v>
      </c>
    </row>
    <row r="171" spans="2:7" x14ac:dyDescent="0.25">
      <c r="B171" s="71">
        <v>43479</v>
      </c>
      <c r="C171" t="s">
        <v>60</v>
      </c>
      <c r="D171" t="s">
        <v>85</v>
      </c>
      <c r="E171" t="s">
        <v>144</v>
      </c>
      <c r="F171" s="72">
        <v>649.29999999999995</v>
      </c>
      <c r="G171" s="72">
        <v>0</v>
      </c>
    </row>
    <row r="172" spans="2:7" x14ac:dyDescent="0.25">
      <c r="B172" s="71">
        <v>43479</v>
      </c>
      <c r="C172" t="s">
        <v>58</v>
      </c>
      <c r="D172" t="s">
        <v>81</v>
      </c>
      <c r="E172" t="s">
        <v>144</v>
      </c>
      <c r="F172" s="72">
        <v>89.6</v>
      </c>
      <c r="G172" s="72">
        <v>0</v>
      </c>
    </row>
    <row r="173" spans="2:7" x14ac:dyDescent="0.25">
      <c r="B173" s="71">
        <v>43479</v>
      </c>
      <c r="C173" t="s">
        <v>21</v>
      </c>
      <c r="D173" t="s">
        <v>80</v>
      </c>
      <c r="E173" t="s">
        <v>144</v>
      </c>
      <c r="F173" s="72">
        <v>8</v>
      </c>
      <c r="G173" s="72">
        <v>0</v>
      </c>
    </row>
    <row r="174" spans="2:7" x14ac:dyDescent="0.25">
      <c r="B174" s="71">
        <v>43479</v>
      </c>
      <c r="C174" t="s">
        <v>21</v>
      </c>
      <c r="D174" t="s">
        <v>80</v>
      </c>
      <c r="E174" t="s">
        <v>144</v>
      </c>
      <c r="F174" s="72">
        <v>24</v>
      </c>
      <c r="G174" s="72">
        <v>0</v>
      </c>
    </row>
    <row r="175" spans="2:7" x14ac:dyDescent="0.25">
      <c r="B175" s="71">
        <v>43479</v>
      </c>
      <c r="C175" t="s">
        <v>21</v>
      </c>
      <c r="D175" t="s">
        <v>80</v>
      </c>
      <c r="E175" t="s">
        <v>144</v>
      </c>
      <c r="F175" s="72">
        <v>32</v>
      </c>
      <c r="G175" s="72">
        <v>0</v>
      </c>
    </row>
    <row r="176" spans="2:7" x14ac:dyDescent="0.25">
      <c r="B176" s="71">
        <v>43479</v>
      </c>
      <c r="C176" t="s">
        <v>51</v>
      </c>
      <c r="D176" t="s">
        <v>83</v>
      </c>
      <c r="E176" t="s">
        <v>144</v>
      </c>
      <c r="F176" s="72">
        <v>43.86</v>
      </c>
      <c r="G176" s="72">
        <v>0</v>
      </c>
    </row>
    <row r="177" spans="2:7" x14ac:dyDescent="0.25">
      <c r="B177" s="71">
        <v>43480</v>
      </c>
      <c r="C177" t="s">
        <v>25</v>
      </c>
      <c r="D177" t="s">
        <v>83</v>
      </c>
      <c r="E177" t="s">
        <v>146</v>
      </c>
      <c r="F177" s="72">
        <v>52</v>
      </c>
      <c r="G177" s="72">
        <v>0</v>
      </c>
    </row>
    <row r="178" spans="2:7" x14ac:dyDescent="0.25">
      <c r="B178" s="71">
        <v>43480</v>
      </c>
      <c r="C178" t="s">
        <v>52</v>
      </c>
      <c r="D178" t="s">
        <v>83</v>
      </c>
      <c r="E178" t="s">
        <v>146</v>
      </c>
      <c r="F178" s="72">
        <v>181.33</v>
      </c>
      <c r="G178" s="72">
        <v>0</v>
      </c>
    </row>
    <row r="179" spans="2:7" x14ac:dyDescent="0.25">
      <c r="B179" s="71">
        <v>43480</v>
      </c>
      <c r="C179" t="s">
        <v>21</v>
      </c>
      <c r="D179" t="s">
        <v>80</v>
      </c>
      <c r="E179" t="s">
        <v>146</v>
      </c>
      <c r="F179" s="72">
        <v>8</v>
      </c>
      <c r="G179" s="72">
        <v>0</v>
      </c>
    </row>
    <row r="180" spans="2:7" x14ac:dyDescent="0.25">
      <c r="B180" s="71">
        <v>43480</v>
      </c>
      <c r="C180" t="s">
        <v>21</v>
      </c>
      <c r="D180" t="s">
        <v>80</v>
      </c>
      <c r="E180" t="s">
        <v>146</v>
      </c>
      <c r="F180" s="72">
        <v>16</v>
      </c>
      <c r="G180" s="72">
        <v>0</v>
      </c>
    </row>
    <row r="181" spans="2:7" x14ac:dyDescent="0.25">
      <c r="B181" s="71">
        <v>43480</v>
      </c>
      <c r="C181" t="s">
        <v>21</v>
      </c>
      <c r="D181" t="s">
        <v>80</v>
      </c>
      <c r="E181" t="s">
        <v>146</v>
      </c>
      <c r="F181" s="72">
        <v>24</v>
      </c>
      <c r="G181" s="72">
        <v>0</v>
      </c>
    </row>
    <row r="182" spans="2:7" x14ac:dyDescent="0.25">
      <c r="B182" s="71">
        <v>43480</v>
      </c>
      <c r="C182" t="s">
        <v>21</v>
      </c>
      <c r="D182" t="s">
        <v>80</v>
      </c>
      <c r="E182" t="s">
        <v>146</v>
      </c>
      <c r="F182" s="72">
        <v>32</v>
      </c>
      <c r="G182" s="72">
        <v>0</v>
      </c>
    </row>
    <row r="183" spans="2:7" x14ac:dyDescent="0.25">
      <c r="B183" s="71">
        <v>43480</v>
      </c>
      <c r="C183" t="s">
        <v>21</v>
      </c>
      <c r="D183" t="s">
        <v>83</v>
      </c>
      <c r="E183" t="s">
        <v>146</v>
      </c>
      <c r="F183" s="72">
        <v>88</v>
      </c>
      <c r="G183" s="72">
        <v>0</v>
      </c>
    </row>
    <row r="184" spans="2:7" x14ac:dyDescent="0.25">
      <c r="B184" s="71">
        <v>43480</v>
      </c>
      <c r="C184" t="s">
        <v>21</v>
      </c>
      <c r="D184" t="s">
        <v>83</v>
      </c>
      <c r="E184" t="s">
        <v>146</v>
      </c>
      <c r="F184" s="72">
        <v>98</v>
      </c>
      <c r="G184" s="72">
        <v>0</v>
      </c>
    </row>
    <row r="185" spans="2:7" x14ac:dyDescent="0.25">
      <c r="B185" s="71">
        <v>43480</v>
      </c>
      <c r="C185" t="s">
        <v>51</v>
      </c>
      <c r="D185" t="s">
        <v>80</v>
      </c>
      <c r="E185" t="s">
        <v>146</v>
      </c>
      <c r="F185" s="72">
        <v>20</v>
      </c>
      <c r="G185" s="72">
        <v>0</v>
      </c>
    </row>
    <row r="186" spans="2:7" x14ac:dyDescent="0.25">
      <c r="B186" s="71">
        <v>43480</v>
      </c>
      <c r="C186" t="s">
        <v>51</v>
      </c>
      <c r="D186" t="s">
        <v>83</v>
      </c>
      <c r="E186" t="s">
        <v>146</v>
      </c>
      <c r="F186" s="72">
        <v>20.9</v>
      </c>
      <c r="G186" s="72">
        <v>0</v>
      </c>
    </row>
    <row r="187" spans="2:7" x14ac:dyDescent="0.25">
      <c r="B187" s="71">
        <v>43480</v>
      </c>
      <c r="C187" t="s">
        <v>59</v>
      </c>
      <c r="D187" t="s">
        <v>83</v>
      </c>
      <c r="E187" t="s">
        <v>146</v>
      </c>
      <c r="F187" s="72">
        <v>24</v>
      </c>
      <c r="G187" s="72">
        <v>0</v>
      </c>
    </row>
    <row r="188" spans="2:7" x14ac:dyDescent="0.25">
      <c r="B188" s="71">
        <v>43480</v>
      </c>
      <c r="C188" t="s">
        <v>24</v>
      </c>
      <c r="D188" t="s">
        <v>80</v>
      </c>
      <c r="E188" t="s">
        <v>146</v>
      </c>
      <c r="F188" s="72">
        <v>8</v>
      </c>
      <c r="G188" s="72">
        <v>0</v>
      </c>
    </row>
    <row r="189" spans="2:7" x14ac:dyDescent="0.25">
      <c r="B189" s="71">
        <v>43481</v>
      </c>
      <c r="C189" t="s">
        <v>25</v>
      </c>
      <c r="D189" t="s">
        <v>81</v>
      </c>
      <c r="E189" t="s">
        <v>147</v>
      </c>
      <c r="F189" s="72">
        <v>104</v>
      </c>
      <c r="G189" s="72">
        <v>0</v>
      </c>
    </row>
    <row r="190" spans="2:7" x14ac:dyDescent="0.25">
      <c r="B190" s="71">
        <v>43481</v>
      </c>
      <c r="C190" t="s">
        <v>25</v>
      </c>
      <c r="D190" t="s">
        <v>88</v>
      </c>
      <c r="E190" t="s">
        <v>147</v>
      </c>
      <c r="F190" s="72">
        <v>15.95</v>
      </c>
      <c r="G190" s="72">
        <v>0</v>
      </c>
    </row>
    <row r="191" spans="2:7" x14ac:dyDescent="0.25">
      <c r="B191" s="71">
        <v>43481</v>
      </c>
      <c r="C191" t="s">
        <v>25</v>
      </c>
      <c r="D191" t="s">
        <v>88</v>
      </c>
      <c r="E191" t="s">
        <v>147</v>
      </c>
      <c r="F191" s="72">
        <v>16.59</v>
      </c>
      <c r="G191" s="72">
        <v>0</v>
      </c>
    </row>
    <row r="192" spans="2:7" x14ac:dyDescent="0.25">
      <c r="B192" s="71">
        <v>43481</v>
      </c>
      <c r="C192" t="s">
        <v>25</v>
      </c>
      <c r="D192" t="s">
        <v>88</v>
      </c>
      <c r="E192" t="s">
        <v>147</v>
      </c>
      <c r="F192" s="72">
        <v>17.55</v>
      </c>
      <c r="G192" s="72">
        <v>0</v>
      </c>
    </row>
    <row r="193" spans="2:7" x14ac:dyDescent="0.25">
      <c r="B193" s="71">
        <v>43481</v>
      </c>
      <c r="C193" t="s">
        <v>25</v>
      </c>
      <c r="D193" t="s">
        <v>82</v>
      </c>
      <c r="E193" t="s">
        <v>148</v>
      </c>
      <c r="F193" s="72">
        <v>3</v>
      </c>
      <c r="G193" s="72">
        <v>0</v>
      </c>
    </row>
    <row r="194" spans="2:7" x14ac:dyDescent="0.25">
      <c r="B194" s="71">
        <v>43481</v>
      </c>
      <c r="C194" t="s">
        <v>25</v>
      </c>
      <c r="D194" t="s">
        <v>83</v>
      </c>
      <c r="E194" t="s">
        <v>147</v>
      </c>
      <c r="F194" s="72">
        <v>19.489999999999998</v>
      </c>
      <c r="G194" s="72">
        <v>0</v>
      </c>
    </row>
    <row r="195" spans="2:7" x14ac:dyDescent="0.25">
      <c r="B195" s="71">
        <v>43481</v>
      </c>
      <c r="C195" t="s">
        <v>21</v>
      </c>
      <c r="D195" t="s">
        <v>80</v>
      </c>
      <c r="E195" t="s">
        <v>147</v>
      </c>
      <c r="F195" s="72">
        <v>8</v>
      </c>
      <c r="G195" s="72">
        <v>0</v>
      </c>
    </row>
    <row r="196" spans="2:7" x14ac:dyDescent="0.25">
      <c r="B196" s="71">
        <v>43481</v>
      </c>
      <c r="C196" t="s">
        <v>21</v>
      </c>
      <c r="D196" t="s">
        <v>80</v>
      </c>
      <c r="E196" t="s">
        <v>147</v>
      </c>
      <c r="F196" s="72">
        <v>16</v>
      </c>
      <c r="G196" s="72">
        <v>0</v>
      </c>
    </row>
    <row r="197" spans="2:7" x14ac:dyDescent="0.25">
      <c r="B197" s="71">
        <v>43481</v>
      </c>
      <c r="C197" t="s">
        <v>21</v>
      </c>
      <c r="D197" t="s">
        <v>80</v>
      </c>
      <c r="E197" t="s">
        <v>147</v>
      </c>
      <c r="F197" s="72">
        <v>56</v>
      </c>
      <c r="G197" s="72">
        <v>0</v>
      </c>
    </row>
    <row r="198" spans="2:7" x14ac:dyDescent="0.25">
      <c r="B198" s="71">
        <v>43481</v>
      </c>
      <c r="C198" t="s">
        <v>21</v>
      </c>
      <c r="D198" t="s">
        <v>80</v>
      </c>
      <c r="E198" t="s">
        <v>147</v>
      </c>
      <c r="F198" s="72">
        <v>64</v>
      </c>
      <c r="G198" s="72">
        <v>0</v>
      </c>
    </row>
    <row r="199" spans="2:7" x14ac:dyDescent="0.25">
      <c r="B199" s="71">
        <v>43481</v>
      </c>
      <c r="C199" t="s">
        <v>53</v>
      </c>
      <c r="D199" t="s">
        <v>80</v>
      </c>
      <c r="E199" t="s">
        <v>147</v>
      </c>
      <c r="F199" s="72">
        <v>16</v>
      </c>
      <c r="G199" s="72">
        <v>0</v>
      </c>
    </row>
    <row r="200" spans="2:7" x14ac:dyDescent="0.25">
      <c r="B200" s="71">
        <v>43481</v>
      </c>
      <c r="C200" t="s">
        <v>24</v>
      </c>
      <c r="D200" t="s">
        <v>80</v>
      </c>
      <c r="E200" t="s">
        <v>147</v>
      </c>
      <c r="F200" s="72">
        <v>8</v>
      </c>
      <c r="G200" s="72">
        <v>0</v>
      </c>
    </row>
    <row r="201" spans="2:7" x14ac:dyDescent="0.25">
      <c r="B201" s="71">
        <v>43482</v>
      </c>
      <c r="C201" t="s">
        <v>25</v>
      </c>
      <c r="D201" t="s">
        <v>82</v>
      </c>
      <c r="E201" t="s">
        <v>149</v>
      </c>
      <c r="F201" s="72">
        <v>18</v>
      </c>
      <c r="G201" s="72">
        <v>0</v>
      </c>
    </row>
    <row r="202" spans="2:7" x14ac:dyDescent="0.25">
      <c r="B202" s="71">
        <v>43482</v>
      </c>
      <c r="C202" t="s">
        <v>25</v>
      </c>
      <c r="D202" t="s">
        <v>82</v>
      </c>
      <c r="E202" t="s">
        <v>150</v>
      </c>
      <c r="F202" s="72">
        <v>3</v>
      </c>
      <c r="G202" s="72">
        <v>0</v>
      </c>
    </row>
    <row r="203" spans="2:7" x14ac:dyDescent="0.25">
      <c r="B203" s="71">
        <v>43482</v>
      </c>
      <c r="C203" t="s">
        <v>25</v>
      </c>
      <c r="D203" t="s">
        <v>82</v>
      </c>
      <c r="E203" t="s">
        <v>151</v>
      </c>
      <c r="F203" s="72">
        <v>14</v>
      </c>
      <c r="G203" s="72">
        <v>0</v>
      </c>
    </row>
    <row r="204" spans="2:7" x14ac:dyDescent="0.25">
      <c r="B204" s="71">
        <v>43482</v>
      </c>
      <c r="C204" t="s">
        <v>25</v>
      </c>
      <c r="D204" t="s">
        <v>82</v>
      </c>
      <c r="E204" t="s">
        <v>133</v>
      </c>
      <c r="F204" s="72">
        <v>1.8</v>
      </c>
      <c r="G204" s="72">
        <v>0</v>
      </c>
    </row>
    <row r="205" spans="2:7" x14ac:dyDescent="0.25">
      <c r="B205" s="71">
        <v>43482</v>
      </c>
      <c r="C205" t="s">
        <v>25</v>
      </c>
      <c r="D205" t="s">
        <v>82</v>
      </c>
      <c r="E205" t="s">
        <v>129</v>
      </c>
      <c r="F205" s="72">
        <v>2.7</v>
      </c>
      <c r="G205" s="72">
        <v>0</v>
      </c>
    </row>
    <row r="206" spans="2:7" x14ac:dyDescent="0.25">
      <c r="B206" s="71">
        <v>43482</v>
      </c>
      <c r="C206" t="s">
        <v>60</v>
      </c>
      <c r="D206" t="s">
        <v>83</v>
      </c>
      <c r="E206" t="s">
        <v>152</v>
      </c>
      <c r="F206" s="72">
        <v>225.46</v>
      </c>
      <c r="G206" s="72">
        <v>0</v>
      </c>
    </row>
    <row r="207" spans="2:7" x14ac:dyDescent="0.25">
      <c r="B207" s="71">
        <v>43482</v>
      </c>
      <c r="C207" t="s">
        <v>21</v>
      </c>
      <c r="D207" t="s">
        <v>80</v>
      </c>
      <c r="E207" t="s">
        <v>152</v>
      </c>
      <c r="F207" s="72">
        <v>24</v>
      </c>
      <c r="G207" s="72">
        <v>0</v>
      </c>
    </row>
    <row r="208" spans="2:7" x14ac:dyDescent="0.25">
      <c r="B208" s="71">
        <v>43482</v>
      </c>
      <c r="C208" t="s">
        <v>49</v>
      </c>
      <c r="D208" t="s">
        <v>80</v>
      </c>
      <c r="E208" t="s">
        <v>152</v>
      </c>
      <c r="F208" s="72">
        <v>40</v>
      </c>
      <c r="G208" s="72">
        <v>0</v>
      </c>
    </row>
    <row r="209" spans="2:7" x14ac:dyDescent="0.25">
      <c r="B209" s="71">
        <v>43482</v>
      </c>
      <c r="C209" t="s">
        <v>49</v>
      </c>
      <c r="D209" t="s">
        <v>83</v>
      </c>
      <c r="E209" t="s">
        <v>152</v>
      </c>
      <c r="F209" s="72">
        <v>16</v>
      </c>
      <c r="G209" s="72">
        <v>0</v>
      </c>
    </row>
    <row r="210" spans="2:7" x14ac:dyDescent="0.25">
      <c r="B210" s="71">
        <v>43482</v>
      </c>
      <c r="C210" t="s">
        <v>51</v>
      </c>
      <c r="D210" t="s">
        <v>83</v>
      </c>
      <c r="E210" t="s">
        <v>152</v>
      </c>
      <c r="F210" s="72">
        <v>10.07</v>
      </c>
      <c r="G210" s="72">
        <v>0</v>
      </c>
    </row>
    <row r="211" spans="2:7" x14ac:dyDescent="0.25">
      <c r="B211" s="71">
        <v>43483</v>
      </c>
      <c r="C211" t="s">
        <v>25</v>
      </c>
      <c r="D211" t="s">
        <v>88</v>
      </c>
      <c r="E211" t="s">
        <v>153</v>
      </c>
      <c r="F211" s="72">
        <v>21.2</v>
      </c>
      <c r="G211" s="72">
        <v>0</v>
      </c>
    </row>
    <row r="212" spans="2:7" x14ac:dyDescent="0.25">
      <c r="B212" s="71">
        <v>43483</v>
      </c>
      <c r="C212" t="s">
        <v>25</v>
      </c>
      <c r="D212" t="s">
        <v>88</v>
      </c>
      <c r="E212" t="s">
        <v>153</v>
      </c>
      <c r="F212" s="72">
        <v>41.2</v>
      </c>
      <c r="G212" s="72">
        <v>0</v>
      </c>
    </row>
    <row r="213" spans="2:7" x14ac:dyDescent="0.25">
      <c r="B213" s="71">
        <v>43483</v>
      </c>
      <c r="C213" t="s">
        <v>25</v>
      </c>
      <c r="D213" t="s">
        <v>88</v>
      </c>
      <c r="E213" t="s">
        <v>153</v>
      </c>
      <c r="F213" s="72">
        <v>85.13</v>
      </c>
      <c r="G213" s="72">
        <v>0</v>
      </c>
    </row>
    <row r="214" spans="2:7" x14ac:dyDescent="0.25">
      <c r="B214" s="71">
        <v>43483</v>
      </c>
      <c r="C214" t="s">
        <v>25</v>
      </c>
      <c r="D214" t="s">
        <v>82</v>
      </c>
      <c r="E214" t="s">
        <v>148</v>
      </c>
      <c r="F214" s="72">
        <v>3</v>
      </c>
      <c r="G214" s="72">
        <v>0</v>
      </c>
    </row>
    <row r="215" spans="2:7" x14ac:dyDescent="0.25">
      <c r="B215" s="71">
        <v>43483</v>
      </c>
      <c r="C215" t="s">
        <v>25</v>
      </c>
      <c r="D215" t="s">
        <v>82</v>
      </c>
      <c r="E215" t="s">
        <v>154</v>
      </c>
      <c r="F215" s="72">
        <v>10.6</v>
      </c>
      <c r="G215" s="72">
        <v>0</v>
      </c>
    </row>
    <row r="216" spans="2:7" x14ac:dyDescent="0.25">
      <c r="B216" s="71">
        <v>43483</v>
      </c>
      <c r="C216" t="s">
        <v>25</v>
      </c>
      <c r="D216" t="s">
        <v>82</v>
      </c>
      <c r="E216" t="s">
        <v>140</v>
      </c>
      <c r="F216" s="72">
        <v>4.75</v>
      </c>
      <c r="G216" s="72">
        <v>0</v>
      </c>
    </row>
    <row r="217" spans="2:7" x14ac:dyDescent="0.25">
      <c r="B217" s="71">
        <v>43483</v>
      </c>
      <c r="C217" t="s">
        <v>25</v>
      </c>
      <c r="D217" t="s">
        <v>82</v>
      </c>
      <c r="E217" t="s">
        <v>155</v>
      </c>
      <c r="F217" s="72">
        <v>12</v>
      </c>
      <c r="G217" s="72">
        <v>0</v>
      </c>
    </row>
    <row r="218" spans="2:7" x14ac:dyDescent="0.25">
      <c r="B218" s="71">
        <v>43483</v>
      </c>
      <c r="C218" t="s">
        <v>25</v>
      </c>
      <c r="D218" t="s">
        <v>82</v>
      </c>
      <c r="E218" t="s">
        <v>156</v>
      </c>
      <c r="F218" s="72">
        <v>0.3</v>
      </c>
      <c r="G218" s="72">
        <v>0</v>
      </c>
    </row>
    <row r="219" spans="2:7" x14ac:dyDescent="0.25">
      <c r="B219" s="71">
        <v>43483</v>
      </c>
      <c r="C219" t="s">
        <v>25</v>
      </c>
      <c r="D219" t="s">
        <v>82</v>
      </c>
      <c r="E219" t="s">
        <v>129</v>
      </c>
      <c r="F219" s="72">
        <v>3.5</v>
      </c>
      <c r="G219" s="72">
        <v>0</v>
      </c>
    </row>
    <row r="220" spans="2:7" x14ac:dyDescent="0.25">
      <c r="B220" s="71">
        <v>43483</v>
      </c>
      <c r="C220" t="s">
        <v>25</v>
      </c>
      <c r="D220" t="s">
        <v>83</v>
      </c>
      <c r="E220" t="s">
        <v>153</v>
      </c>
      <c r="F220" s="72">
        <v>130</v>
      </c>
      <c r="G220" s="72">
        <v>0</v>
      </c>
    </row>
    <row r="221" spans="2:7" x14ac:dyDescent="0.25">
      <c r="B221" s="71">
        <v>43483</v>
      </c>
      <c r="C221" t="s">
        <v>47</v>
      </c>
      <c r="D221" t="s">
        <v>83</v>
      </c>
      <c r="E221" t="s">
        <v>153</v>
      </c>
      <c r="F221" s="72">
        <v>102.06</v>
      </c>
      <c r="G221" s="72">
        <v>0</v>
      </c>
    </row>
    <row r="222" spans="2:7" x14ac:dyDescent="0.25">
      <c r="B222" s="71">
        <v>43483</v>
      </c>
      <c r="C222" t="s">
        <v>60</v>
      </c>
      <c r="D222" t="s">
        <v>83</v>
      </c>
      <c r="E222" t="s">
        <v>153</v>
      </c>
      <c r="F222" s="72">
        <v>419.77</v>
      </c>
      <c r="G222" s="72">
        <v>0</v>
      </c>
    </row>
    <row r="223" spans="2:7" x14ac:dyDescent="0.25">
      <c r="B223" s="71">
        <v>43483</v>
      </c>
      <c r="C223" t="s">
        <v>52</v>
      </c>
      <c r="D223" t="s">
        <v>83</v>
      </c>
      <c r="E223" t="s">
        <v>153</v>
      </c>
      <c r="F223" s="72">
        <v>98.86</v>
      </c>
      <c r="G223" s="72">
        <v>0</v>
      </c>
    </row>
    <row r="224" spans="2:7" x14ac:dyDescent="0.25">
      <c r="B224" s="71">
        <v>43483</v>
      </c>
      <c r="C224" t="s">
        <v>21</v>
      </c>
      <c r="D224" t="s">
        <v>80</v>
      </c>
      <c r="E224" t="s">
        <v>153</v>
      </c>
      <c r="F224" s="72">
        <v>8</v>
      </c>
      <c r="G224" s="72">
        <v>0</v>
      </c>
    </row>
    <row r="225" spans="2:7" x14ac:dyDescent="0.25">
      <c r="B225" s="71">
        <v>43483</v>
      </c>
      <c r="C225" t="s">
        <v>21</v>
      </c>
      <c r="D225" t="s">
        <v>80</v>
      </c>
      <c r="E225" t="s">
        <v>153</v>
      </c>
      <c r="F225" s="72">
        <v>16</v>
      </c>
      <c r="G225" s="72">
        <v>0</v>
      </c>
    </row>
    <row r="226" spans="2:7" x14ac:dyDescent="0.25">
      <c r="B226" s="71">
        <v>43483</v>
      </c>
      <c r="C226" t="s">
        <v>21</v>
      </c>
      <c r="D226" t="s">
        <v>80</v>
      </c>
      <c r="E226" t="s">
        <v>153</v>
      </c>
      <c r="F226" s="72">
        <v>32</v>
      </c>
      <c r="G226" s="72">
        <v>0</v>
      </c>
    </row>
    <row r="227" spans="2:7" x14ac:dyDescent="0.25">
      <c r="B227" s="71">
        <v>43483</v>
      </c>
      <c r="C227" t="s">
        <v>21</v>
      </c>
      <c r="D227" t="s">
        <v>80</v>
      </c>
      <c r="E227" t="s">
        <v>153</v>
      </c>
      <c r="F227" s="72">
        <v>48</v>
      </c>
      <c r="G227" s="72">
        <v>0</v>
      </c>
    </row>
    <row r="228" spans="2:7" x14ac:dyDescent="0.25">
      <c r="B228" s="71">
        <v>43483</v>
      </c>
      <c r="C228" t="s">
        <v>56</v>
      </c>
      <c r="D228" t="s">
        <v>84</v>
      </c>
      <c r="E228" t="s">
        <v>153</v>
      </c>
      <c r="F228" s="72">
        <v>53.73</v>
      </c>
      <c r="G228" s="72">
        <v>0</v>
      </c>
    </row>
    <row r="229" spans="2:7" x14ac:dyDescent="0.25">
      <c r="B229" s="71">
        <v>43483</v>
      </c>
      <c r="C229" t="s">
        <v>53</v>
      </c>
      <c r="D229" t="s">
        <v>80</v>
      </c>
      <c r="E229" t="s">
        <v>153</v>
      </c>
      <c r="F229" s="72">
        <v>10</v>
      </c>
      <c r="G229" s="72">
        <v>0</v>
      </c>
    </row>
    <row r="230" spans="2:7" x14ac:dyDescent="0.25">
      <c r="B230" s="71">
        <v>43483</v>
      </c>
      <c r="C230" t="s">
        <v>53</v>
      </c>
      <c r="D230" t="s">
        <v>83</v>
      </c>
      <c r="E230" t="s">
        <v>153</v>
      </c>
      <c r="F230" s="72">
        <v>12</v>
      </c>
      <c r="G230" s="72">
        <v>0</v>
      </c>
    </row>
    <row r="231" spans="2:7" x14ac:dyDescent="0.25">
      <c r="B231" s="71">
        <v>43483</v>
      </c>
      <c r="C231" t="s">
        <v>59</v>
      </c>
      <c r="D231" t="s">
        <v>83</v>
      </c>
      <c r="E231" t="s">
        <v>153</v>
      </c>
      <c r="F231" s="72">
        <v>20</v>
      </c>
      <c r="G231" s="72">
        <v>0</v>
      </c>
    </row>
    <row r="232" spans="2:7" x14ac:dyDescent="0.25">
      <c r="B232" s="71">
        <v>43483</v>
      </c>
      <c r="C232" t="s">
        <v>54</v>
      </c>
      <c r="D232" t="s">
        <v>83</v>
      </c>
      <c r="E232" t="s">
        <v>153</v>
      </c>
      <c r="F232" s="72">
        <v>256.42</v>
      </c>
      <c r="G232" s="72">
        <v>0</v>
      </c>
    </row>
    <row r="233" spans="2:7" x14ac:dyDescent="0.25">
      <c r="B233" s="71">
        <v>43483</v>
      </c>
      <c r="C233" t="s">
        <v>61</v>
      </c>
      <c r="D233" t="s">
        <v>81</v>
      </c>
      <c r="E233" t="s">
        <v>153</v>
      </c>
      <c r="F233" s="72">
        <v>325.32</v>
      </c>
      <c r="G233" s="72">
        <v>0</v>
      </c>
    </row>
    <row r="234" spans="2:7" x14ac:dyDescent="0.25">
      <c r="B234" s="71">
        <v>43484</v>
      </c>
      <c r="C234" t="s">
        <v>55</v>
      </c>
      <c r="D234" t="s">
        <v>87</v>
      </c>
      <c r="E234" t="s">
        <v>157</v>
      </c>
      <c r="F234" s="72">
        <v>603.04999999999995</v>
      </c>
      <c r="G234" s="72">
        <v>0</v>
      </c>
    </row>
    <row r="235" spans="2:7" x14ac:dyDescent="0.25">
      <c r="B235" s="71">
        <v>43484</v>
      </c>
      <c r="C235" t="s">
        <v>47</v>
      </c>
      <c r="D235" t="s">
        <v>87</v>
      </c>
      <c r="E235" t="s">
        <v>157</v>
      </c>
      <c r="F235" s="72">
        <v>269.14999999999998</v>
      </c>
      <c r="G235" s="72">
        <v>0</v>
      </c>
    </row>
    <row r="236" spans="2:7" x14ac:dyDescent="0.25">
      <c r="B236" s="71">
        <v>43484</v>
      </c>
      <c r="C236" t="s">
        <v>58</v>
      </c>
      <c r="D236" t="s">
        <v>87</v>
      </c>
      <c r="E236" t="s">
        <v>157</v>
      </c>
      <c r="F236" s="72">
        <v>23.85</v>
      </c>
      <c r="G236" s="72">
        <v>0</v>
      </c>
    </row>
    <row r="237" spans="2:7" x14ac:dyDescent="0.25">
      <c r="B237" s="71">
        <v>43484</v>
      </c>
      <c r="C237" t="s">
        <v>45</v>
      </c>
      <c r="D237" t="s">
        <v>87</v>
      </c>
      <c r="E237" t="s">
        <v>157</v>
      </c>
      <c r="F237" s="72">
        <v>63.75</v>
      </c>
      <c r="G237" s="72">
        <v>0</v>
      </c>
    </row>
    <row r="238" spans="2:7" x14ac:dyDescent="0.25">
      <c r="B238" s="71">
        <v>43484</v>
      </c>
      <c r="C238" t="s">
        <v>61</v>
      </c>
      <c r="D238" t="s">
        <v>87</v>
      </c>
      <c r="E238" t="s">
        <v>157</v>
      </c>
      <c r="F238" s="72">
        <v>442</v>
      </c>
      <c r="G238" s="72">
        <v>0</v>
      </c>
    </row>
    <row r="239" spans="2:7" x14ac:dyDescent="0.25">
      <c r="B239" s="71">
        <v>43484</v>
      </c>
      <c r="C239" t="s">
        <v>62</v>
      </c>
      <c r="D239" t="s">
        <v>87</v>
      </c>
      <c r="E239" t="s">
        <v>157</v>
      </c>
      <c r="F239" s="72">
        <v>532.04999999999995</v>
      </c>
      <c r="G239" s="72">
        <v>0</v>
      </c>
    </row>
    <row r="240" spans="2:7" x14ac:dyDescent="0.25">
      <c r="B240" s="71">
        <v>43484</v>
      </c>
      <c r="C240" t="s">
        <v>63</v>
      </c>
      <c r="D240" t="s">
        <v>87</v>
      </c>
      <c r="E240" t="s">
        <v>157</v>
      </c>
      <c r="F240" s="72">
        <v>77.650000000000006</v>
      </c>
      <c r="G240" s="72">
        <v>0</v>
      </c>
    </row>
    <row r="241" spans="2:7" x14ac:dyDescent="0.25">
      <c r="B241" s="71">
        <v>43486</v>
      </c>
      <c r="C241" t="s">
        <v>25</v>
      </c>
      <c r="D241" t="s">
        <v>80</v>
      </c>
      <c r="E241" t="s">
        <v>158</v>
      </c>
      <c r="F241" s="72">
        <v>8</v>
      </c>
      <c r="G241" s="72">
        <v>0</v>
      </c>
    </row>
    <row r="242" spans="2:7" x14ac:dyDescent="0.25">
      <c r="B242" s="71">
        <v>43486</v>
      </c>
      <c r="C242" t="s">
        <v>25</v>
      </c>
      <c r="D242" t="s">
        <v>80</v>
      </c>
      <c r="E242" t="s">
        <v>158</v>
      </c>
      <c r="F242" s="72">
        <v>16</v>
      </c>
      <c r="G242" s="72">
        <v>0</v>
      </c>
    </row>
    <row r="243" spans="2:7" x14ac:dyDescent="0.25">
      <c r="B243" s="71">
        <v>43486</v>
      </c>
      <c r="C243" t="s">
        <v>25</v>
      </c>
      <c r="D243" t="s">
        <v>82</v>
      </c>
      <c r="E243" t="s">
        <v>139</v>
      </c>
      <c r="F243" s="72">
        <v>4.5</v>
      </c>
      <c r="G243" s="72">
        <v>0</v>
      </c>
    </row>
    <row r="244" spans="2:7" x14ac:dyDescent="0.25">
      <c r="B244" s="71">
        <v>43486</v>
      </c>
      <c r="C244" t="s">
        <v>25</v>
      </c>
      <c r="D244" t="s">
        <v>82</v>
      </c>
      <c r="E244" t="s">
        <v>159</v>
      </c>
      <c r="F244" s="72">
        <v>2.25</v>
      </c>
      <c r="G244" s="72">
        <v>0</v>
      </c>
    </row>
    <row r="245" spans="2:7" x14ac:dyDescent="0.25">
      <c r="B245" s="71">
        <v>43486</v>
      </c>
      <c r="C245" t="s">
        <v>21</v>
      </c>
      <c r="D245" t="s">
        <v>80</v>
      </c>
      <c r="E245" t="s">
        <v>158</v>
      </c>
      <c r="F245" s="72">
        <v>8</v>
      </c>
      <c r="G245" s="72">
        <v>0</v>
      </c>
    </row>
    <row r="246" spans="2:7" x14ac:dyDescent="0.25">
      <c r="B246" s="71">
        <v>43486</v>
      </c>
      <c r="C246" t="s">
        <v>21</v>
      </c>
      <c r="D246" t="s">
        <v>80</v>
      </c>
      <c r="E246" t="s">
        <v>158</v>
      </c>
      <c r="F246" s="72">
        <v>16</v>
      </c>
      <c r="G246" s="72">
        <v>0</v>
      </c>
    </row>
    <row r="247" spans="2:7" x14ac:dyDescent="0.25">
      <c r="B247" s="71">
        <v>43486</v>
      </c>
      <c r="C247" t="s">
        <v>21</v>
      </c>
      <c r="D247" t="s">
        <v>80</v>
      </c>
      <c r="E247" t="s">
        <v>158</v>
      </c>
      <c r="F247" s="72">
        <v>24</v>
      </c>
      <c r="G247" s="72">
        <v>0</v>
      </c>
    </row>
    <row r="248" spans="2:7" x14ac:dyDescent="0.25">
      <c r="B248" s="71">
        <v>43486</v>
      </c>
      <c r="C248" t="s">
        <v>21</v>
      </c>
      <c r="D248" t="s">
        <v>80</v>
      </c>
      <c r="E248" t="s">
        <v>158</v>
      </c>
      <c r="F248" s="72">
        <v>32</v>
      </c>
      <c r="G248" s="72">
        <v>0</v>
      </c>
    </row>
    <row r="249" spans="2:7" x14ac:dyDescent="0.25">
      <c r="B249" s="71">
        <v>43486</v>
      </c>
      <c r="C249" t="s">
        <v>21</v>
      </c>
      <c r="D249" t="s">
        <v>80</v>
      </c>
      <c r="E249" t="s">
        <v>158</v>
      </c>
      <c r="F249" s="72">
        <v>80</v>
      </c>
      <c r="G249" s="72">
        <v>0</v>
      </c>
    </row>
    <row r="250" spans="2:7" x14ac:dyDescent="0.25">
      <c r="B250" s="71">
        <v>43486</v>
      </c>
      <c r="C250" t="s">
        <v>21</v>
      </c>
      <c r="D250" t="s">
        <v>80</v>
      </c>
      <c r="E250" t="s">
        <v>158</v>
      </c>
      <c r="F250" s="72">
        <v>88</v>
      </c>
      <c r="G250" s="72">
        <v>0</v>
      </c>
    </row>
    <row r="251" spans="2:7" x14ac:dyDescent="0.25">
      <c r="B251" s="71">
        <v>43486</v>
      </c>
      <c r="C251" t="s">
        <v>51</v>
      </c>
      <c r="D251" t="s">
        <v>83</v>
      </c>
      <c r="E251" t="s">
        <v>158</v>
      </c>
      <c r="F251" s="72">
        <v>88.61</v>
      </c>
      <c r="G251" s="72">
        <v>0</v>
      </c>
    </row>
    <row r="252" spans="2:7" x14ac:dyDescent="0.25">
      <c r="B252" s="71">
        <v>43486</v>
      </c>
      <c r="C252" t="s">
        <v>64</v>
      </c>
      <c r="D252" t="s">
        <v>80</v>
      </c>
      <c r="E252" t="s">
        <v>158</v>
      </c>
      <c r="F252" s="72">
        <v>98.88</v>
      </c>
      <c r="G252" s="72">
        <v>0</v>
      </c>
    </row>
    <row r="253" spans="2:7" x14ac:dyDescent="0.25">
      <c r="B253" s="71">
        <v>43486</v>
      </c>
      <c r="C253" t="s">
        <v>24</v>
      </c>
      <c r="D253" t="s">
        <v>80</v>
      </c>
      <c r="E253" t="s">
        <v>158</v>
      </c>
      <c r="F253" s="72">
        <v>8</v>
      </c>
      <c r="G253" s="72">
        <v>0</v>
      </c>
    </row>
    <row r="254" spans="2:7" x14ac:dyDescent="0.25">
      <c r="B254" s="71">
        <v>43486</v>
      </c>
      <c r="C254" t="s">
        <v>24</v>
      </c>
      <c r="D254" t="s">
        <v>80</v>
      </c>
      <c r="E254" t="s">
        <v>158</v>
      </c>
      <c r="F254" s="72">
        <v>16</v>
      </c>
      <c r="G254" s="72">
        <v>0</v>
      </c>
    </row>
    <row r="255" spans="2:7" x14ac:dyDescent="0.25">
      <c r="B255" s="71">
        <v>43487</v>
      </c>
      <c r="C255" t="s">
        <v>25</v>
      </c>
      <c r="D255" t="s">
        <v>88</v>
      </c>
      <c r="E255" t="s">
        <v>160</v>
      </c>
      <c r="F255" s="72">
        <v>20.8</v>
      </c>
      <c r="G255" s="72">
        <v>0</v>
      </c>
    </row>
    <row r="256" spans="2:7" x14ac:dyDescent="0.25">
      <c r="B256" s="71">
        <v>43487</v>
      </c>
      <c r="C256" t="s">
        <v>25</v>
      </c>
      <c r="D256" t="s">
        <v>88</v>
      </c>
      <c r="E256" t="s">
        <v>160</v>
      </c>
      <c r="F256" s="72">
        <v>38.520000000000003</v>
      </c>
      <c r="G256" s="72">
        <v>0</v>
      </c>
    </row>
    <row r="257" spans="2:7" x14ac:dyDescent="0.25">
      <c r="B257" s="71">
        <v>43487</v>
      </c>
      <c r="C257" t="s">
        <v>47</v>
      </c>
      <c r="D257" t="s">
        <v>83</v>
      </c>
      <c r="E257" t="s">
        <v>160</v>
      </c>
      <c r="F257" s="72">
        <v>10</v>
      </c>
      <c r="G257" s="72">
        <v>0</v>
      </c>
    </row>
    <row r="258" spans="2:7" x14ac:dyDescent="0.25">
      <c r="B258" s="71">
        <v>43487</v>
      </c>
      <c r="C258" t="s">
        <v>60</v>
      </c>
      <c r="D258" t="s">
        <v>81</v>
      </c>
      <c r="E258" t="s">
        <v>160</v>
      </c>
      <c r="F258" s="72">
        <v>45.75</v>
      </c>
      <c r="G258" s="72">
        <v>0</v>
      </c>
    </row>
    <row r="259" spans="2:7" x14ac:dyDescent="0.25">
      <c r="B259" s="71">
        <v>43487</v>
      </c>
      <c r="C259" t="s">
        <v>60</v>
      </c>
      <c r="D259" t="s">
        <v>83</v>
      </c>
      <c r="E259" t="s">
        <v>160</v>
      </c>
      <c r="F259" s="72">
        <v>170</v>
      </c>
      <c r="G259" s="72">
        <v>0</v>
      </c>
    </row>
    <row r="260" spans="2:7" x14ac:dyDescent="0.25">
      <c r="B260" s="71">
        <v>43487</v>
      </c>
      <c r="C260" t="s">
        <v>48</v>
      </c>
      <c r="D260" t="s">
        <v>81</v>
      </c>
      <c r="E260" t="s">
        <v>160</v>
      </c>
      <c r="F260" s="72">
        <v>50.36</v>
      </c>
      <c r="G260" s="72">
        <v>0</v>
      </c>
    </row>
    <row r="261" spans="2:7" x14ac:dyDescent="0.25">
      <c r="B261" s="71">
        <v>43487</v>
      </c>
      <c r="C261" t="s">
        <v>48</v>
      </c>
      <c r="D261" t="s">
        <v>87</v>
      </c>
      <c r="E261" t="s">
        <v>160</v>
      </c>
      <c r="F261" s="72">
        <v>367.45</v>
      </c>
      <c r="G261" s="72">
        <v>0</v>
      </c>
    </row>
    <row r="262" spans="2:7" x14ac:dyDescent="0.25">
      <c r="B262" s="71">
        <v>43487</v>
      </c>
      <c r="C262" t="s">
        <v>21</v>
      </c>
      <c r="D262" t="s">
        <v>80</v>
      </c>
      <c r="E262" t="s">
        <v>160</v>
      </c>
      <c r="F262" s="72">
        <v>8</v>
      </c>
      <c r="G262" s="72">
        <v>0</v>
      </c>
    </row>
    <row r="263" spans="2:7" x14ac:dyDescent="0.25">
      <c r="B263" s="71">
        <v>43487</v>
      </c>
      <c r="C263" t="s">
        <v>21</v>
      </c>
      <c r="D263" t="s">
        <v>80</v>
      </c>
      <c r="E263" t="s">
        <v>160</v>
      </c>
      <c r="F263" s="72">
        <v>16</v>
      </c>
      <c r="G263" s="72">
        <v>0</v>
      </c>
    </row>
    <row r="264" spans="2:7" x14ac:dyDescent="0.25">
      <c r="B264" s="71">
        <v>43487</v>
      </c>
      <c r="C264" t="s">
        <v>21</v>
      </c>
      <c r="D264" t="s">
        <v>80</v>
      </c>
      <c r="E264" t="s">
        <v>160</v>
      </c>
      <c r="F264" s="72">
        <v>24</v>
      </c>
      <c r="G264" s="72">
        <v>0</v>
      </c>
    </row>
    <row r="265" spans="2:7" x14ac:dyDescent="0.25">
      <c r="B265" s="71">
        <v>43487</v>
      </c>
      <c r="C265" t="s">
        <v>21</v>
      </c>
      <c r="D265" t="s">
        <v>80</v>
      </c>
      <c r="E265" t="s">
        <v>160</v>
      </c>
      <c r="F265" s="72">
        <v>56</v>
      </c>
      <c r="G265" s="72">
        <v>0</v>
      </c>
    </row>
    <row r="266" spans="2:7" x14ac:dyDescent="0.25">
      <c r="B266" s="71">
        <v>43487</v>
      </c>
      <c r="C266" t="s">
        <v>21</v>
      </c>
      <c r="D266" t="s">
        <v>80</v>
      </c>
      <c r="E266" t="s">
        <v>160</v>
      </c>
      <c r="F266" s="72">
        <v>80</v>
      </c>
      <c r="G266" s="72">
        <v>0</v>
      </c>
    </row>
    <row r="267" spans="2:7" x14ac:dyDescent="0.25">
      <c r="B267" s="71">
        <v>43487</v>
      </c>
      <c r="C267" t="s">
        <v>49</v>
      </c>
      <c r="D267" t="s">
        <v>83</v>
      </c>
      <c r="E267" t="s">
        <v>160</v>
      </c>
      <c r="F267" s="72">
        <v>85</v>
      </c>
      <c r="G267" s="72">
        <v>0</v>
      </c>
    </row>
    <row r="268" spans="2:7" x14ac:dyDescent="0.25">
      <c r="B268" s="71">
        <v>43487</v>
      </c>
      <c r="C268" t="s">
        <v>51</v>
      </c>
      <c r="D268" t="s">
        <v>84</v>
      </c>
      <c r="E268" t="s">
        <v>160</v>
      </c>
      <c r="F268" s="72">
        <v>125</v>
      </c>
      <c r="G268" s="72">
        <v>0</v>
      </c>
    </row>
    <row r="269" spans="2:7" x14ac:dyDescent="0.25">
      <c r="B269" s="71">
        <v>43487</v>
      </c>
      <c r="C269" t="s">
        <v>24</v>
      </c>
      <c r="D269" t="s">
        <v>80</v>
      </c>
      <c r="E269" t="s">
        <v>160</v>
      </c>
      <c r="F269" s="72">
        <v>8</v>
      </c>
      <c r="G269" s="72">
        <v>0</v>
      </c>
    </row>
    <row r="270" spans="2:7" x14ac:dyDescent="0.25">
      <c r="B270" s="71">
        <v>43487</v>
      </c>
      <c r="C270" t="s">
        <v>61</v>
      </c>
      <c r="D270" t="s">
        <v>81</v>
      </c>
      <c r="E270" t="s">
        <v>160</v>
      </c>
      <c r="F270" s="72">
        <v>103.6</v>
      </c>
      <c r="G270" s="72">
        <v>0</v>
      </c>
    </row>
    <row r="271" spans="2:7" x14ac:dyDescent="0.25">
      <c r="B271" s="71">
        <v>43488</v>
      </c>
      <c r="C271" t="s">
        <v>25</v>
      </c>
      <c r="D271" t="s">
        <v>88</v>
      </c>
      <c r="E271" t="s">
        <v>161</v>
      </c>
      <c r="F271" s="72">
        <v>0</v>
      </c>
      <c r="G271" s="72">
        <v>16.59</v>
      </c>
    </row>
    <row r="272" spans="2:7" x14ac:dyDescent="0.25">
      <c r="B272" s="71">
        <v>43488</v>
      </c>
      <c r="C272" t="s">
        <v>25</v>
      </c>
      <c r="D272" t="s">
        <v>88</v>
      </c>
      <c r="E272" t="s">
        <v>161</v>
      </c>
      <c r="F272" s="72">
        <v>16.59</v>
      </c>
      <c r="G272" s="72">
        <v>0</v>
      </c>
    </row>
    <row r="273" spans="2:7" x14ac:dyDescent="0.25">
      <c r="B273" s="71">
        <v>43488</v>
      </c>
      <c r="C273" t="s">
        <v>25</v>
      </c>
      <c r="D273" t="s">
        <v>82</v>
      </c>
      <c r="E273" t="s">
        <v>155</v>
      </c>
      <c r="F273" s="72">
        <v>4.5</v>
      </c>
      <c r="G273" s="72">
        <v>0</v>
      </c>
    </row>
    <row r="274" spans="2:7" x14ac:dyDescent="0.25">
      <c r="B274" s="71">
        <v>43488</v>
      </c>
      <c r="C274" t="s">
        <v>21</v>
      </c>
      <c r="D274" t="s">
        <v>80</v>
      </c>
      <c r="E274" t="s">
        <v>161</v>
      </c>
      <c r="F274" s="72">
        <v>48</v>
      </c>
      <c r="G274" s="72">
        <v>0</v>
      </c>
    </row>
    <row r="275" spans="2:7" x14ac:dyDescent="0.25">
      <c r="B275" s="71">
        <v>43489</v>
      </c>
      <c r="C275" t="s">
        <v>25</v>
      </c>
      <c r="D275" t="s">
        <v>82</v>
      </c>
      <c r="E275" t="s">
        <v>162</v>
      </c>
      <c r="F275" s="72">
        <v>17.399999999999999</v>
      </c>
      <c r="G275" s="72">
        <v>0</v>
      </c>
    </row>
    <row r="276" spans="2:7" x14ac:dyDescent="0.25">
      <c r="B276" s="71">
        <v>43489</v>
      </c>
      <c r="C276" t="s">
        <v>25</v>
      </c>
      <c r="D276" t="s">
        <v>83</v>
      </c>
      <c r="E276" t="s">
        <v>163</v>
      </c>
      <c r="F276" s="72">
        <v>6.3</v>
      </c>
      <c r="G276" s="72">
        <v>0</v>
      </c>
    </row>
    <row r="277" spans="2:7" x14ac:dyDescent="0.25">
      <c r="B277" s="71">
        <v>43489</v>
      </c>
      <c r="C277" t="s">
        <v>25</v>
      </c>
      <c r="D277" t="s">
        <v>83</v>
      </c>
      <c r="E277" t="s">
        <v>163</v>
      </c>
      <c r="F277" s="72">
        <v>19</v>
      </c>
      <c r="G277" s="72">
        <v>0</v>
      </c>
    </row>
    <row r="278" spans="2:7" x14ac:dyDescent="0.25">
      <c r="B278" s="71">
        <v>43489</v>
      </c>
      <c r="C278" t="s">
        <v>47</v>
      </c>
      <c r="D278" t="s">
        <v>83</v>
      </c>
      <c r="E278" t="s">
        <v>163</v>
      </c>
      <c r="F278" s="72">
        <v>64</v>
      </c>
      <c r="G278" s="72">
        <v>0</v>
      </c>
    </row>
    <row r="279" spans="2:7" x14ac:dyDescent="0.25">
      <c r="B279" s="71">
        <v>43489</v>
      </c>
      <c r="C279" t="s">
        <v>21</v>
      </c>
      <c r="D279" t="s">
        <v>80</v>
      </c>
      <c r="E279" t="s">
        <v>163</v>
      </c>
      <c r="F279" s="72">
        <v>16</v>
      </c>
      <c r="G279" s="72">
        <v>0</v>
      </c>
    </row>
    <row r="280" spans="2:7" x14ac:dyDescent="0.25">
      <c r="B280" s="71">
        <v>43489</v>
      </c>
      <c r="C280" t="s">
        <v>51</v>
      </c>
      <c r="D280" t="s">
        <v>83</v>
      </c>
      <c r="E280" t="s">
        <v>163</v>
      </c>
      <c r="F280" s="72">
        <v>21.1</v>
      </c>
      <c r="G280" s="72">
        <v>0</v>
      </c>
    </row>
    <row r="281" spans="2:7" x14ac:dyDescent="0.25">
      <c r="B281" s="71">
        <v>43490</v>
      </c>
      <c r="C281" t="s">
        <v>25</v>
      </c>
      <c r="D281" t="s">
        <v>84</v>
      </c>
      <c r="E281" t="s">
        <v>164</v>
      </c>
      <c r="F281" s="72">
        <v>9.7799999999999994</v>
      </c>
      <c r="G281" s="72">
        <v>0</v>
      </c>
    </row>
    <row r="282" spans="2:7" x14ac:dyDescent="0.25">
      <c r="B282" s="71">
        <v>43490</v>
      </c>
      <c r="C282" t="s">
        <v>25</v>
      </c>
      <c r="D282" t="s">
        <v>88</v>
      </c>
      <c r="E282" t="s">
        <v>164</v>
      </c>
      <c r="F282" s="72">
        <v>0</v>
      </c>
      <c r="G282" s="72">
        <v>0.17</v>
      </c>
    </row>
    <row r="283" spans="2:7" x14ac:dyDescent="0.25">
      <c r="B283" s="71">
        <v>43490</v>
      </c>
      <c r="C283" t="s">
        <v>25</v>
      </c>
      <c r="D283" t="s">
        <v>88</v>
      </c>
      <c r="E283" t="s">
        <v>164</v>
      </c>
      <c r="F283" s="72">
        <v>15.95</v>
      </c>
      <c r="G283" s="72">
        <v>0</v>
      </c>
    </row>
    <row r="284" spans="2:7" x14ac:dyDescent="0.25">
      <c r="B284" s="71">
        <v>43490</v>
      </c>
      <c r="C284" t="s">
        <v>25</v>
      </c>
      <c r="D284" t="s">
        <v>88</v>
      </c>
      <c r="E284" t="s">
        <v>164</v>
      </c>
      <c r="F284" s="72">
        <v>40.92</v>
      </c>
      <c r="G284" s="72">
        <v>0</v>
      </c>
    </row>
    <row r="285" spans="2:7" x14ac:dyDescent="0.25">
      <c r="B285" s="71">
        <v>43490</v>
      </c>
      <c r="C285" t="s">
        <v>25</v>
      </c>
      <c r="D285" t="s">
        <v>88</v>
      </c>
      <c r="E285" t="s">
        <v>164</v>
      </c>
      <c r="F285" s="72">
        <v>48</v>
      </c>
      <c r="G285" s="72">
        <v>0</v>
      </c>
    </row>
    <row r="286" spans="2:7" x14ac:dyDescent="0.25">
      <c r="B286" s="71">
        <v>43490</v>
      </c>
      <c r="C286" t="s">
        <v>25</v>
      </c>
      <c r="D286" t="s">
        <v>82</v>
      </c>
      <c r="E286" t="s">
        <v>165</v>
      </c>
      <c r="F286" s="72">
        <v>36</v>
      </c>
      <c r="G286" s="72">
        <v>0</v>
      </c>
    </row>
    <row r="287" spans="2:7" x14ac:dyDescent="0.25">
      <c r="B287" s="71">
        <v>43490</v>
      </c>
      <c r="C287" t="s">
        <v>25</v>
      </c>
      <c r="D287" t="s">
        <v>90</v>
      </c>
      <c r="E287" t="s">
        <v>166</v>
      </c>
      <c r="F287" s="72">
        <v>36.82</v>
      </c>
      <c r="G287" s="72">
        <v>0</v>
      </c>
    </row>
    <row r="288" spans="2:7" x14ac:dyDescent="0.25">
      <c r="B288" s="71">
        <v>43490</v>
      </c>
      <c r="C288" t="s">
        <v>25</v>
      </c>
      <c r="D288" t="s">
        <v>90</v>
      </c>
      <c r="E288" t="s">
        <v>166</v>
      </c>
      <c r="F288" s="72">
        <v>43.5</v>
      </c>
      <c r="G288" s="72">
        <v>0</v>
      </c>
    </row>
    <row r="289" spans="2:7" x14ac:dyDescent="0.25">
      <c r="B289" s="71">
        <v>43490</v>
      </c>
      <c r="C289" t="s">
        <v>25</v>
      </c>
      <c r="D289" t="s">
        <v>90</v>
      </c>
      <c r="E289" t="s">
        <v>166</v>
      </c>
      <c r="F289" s="72">
        <v>47.61</v>
      </c>
      <c r="G289" s="72">
        <v>0</v>
      </c>
    </row>
    <row r="290" spans="2:7" x14ac:dyDescent="0.25">
      <c r="B290" s="71">
        <v>43490</v>
      </c>
      <c r="C290" t="s">
        <v>25</v>
      </c>
      <c r="D290" t="s">
        <v>90</v>
      </c>
      <c r="E290" t="s">
        <v>166</v>
      </c>
      <c r="F290" s="72">
        <v>147.4</v>
      </c>
      <c r="G290" s="72">
        <v>0</v>
      </c>
    </row>
    <row r="291" spans="2:7" x14ac:dyDescent="0.25">
      <c r="B291" s="71">
        <v>43490</v>
      </c>
      <c r="C291" t="s">
        <v>25</v>
      </c>
      <c r="D291" t="s">
        <v>83</v>
      </c>
      <c r="E291" t="s">
        <v>164</v>
      </c>
      <c r="F291" s="72">
        <v>19</v>
      </c>
      <c r="G291" s="72">
        <v>0</v>
      </c>
    </row>
    <row r="292" spans="2:7" x14ac:dyDescent="0.25">
      <c r="B292" s="71">
        <v>43490</v>
      </c>
      <c r="C292" t="s">
        <v>55</v>
      </c>
      <c r="D292" t="s">
        <v>90</v>
      </c>
      <c r="E292" t="s">
        <v>166</v>
      </c>
      <c r="F292" s="72">
        <v>838</v>
      </c>
      <c r="G292" s="72">
        <v>0</v>
      </c>
    </row>
    <row r="293" spans="2:7" x14ac:dyDescent="0.25">
      <c r="B293" s="71">
        <v>43490</v>
      </c>
      <c r="C293" t="s">
        <v>52</v>
      </c>
      <c r="D293" t="s">
        <v>83</v>
      </c>
      <c r="E293" t="s">
        <v>164</v>
      </c>
      <c r="F293" s="72">
        <v>112.22</v>
      </c>
      <c r="G293" s="72">
        <v>0</v>
      </c>
    </row>
    <row r="294" spans="2:7" x14ac:dyDescent="0.25">
      <c r="B294" s="71">
        <v>43490</v>
      </c>
      <c r="C294" t="s">
        <v>21</v>
      </c>
      <c r="D294" t="s">
        <v>80</v>
      </c>
      <c r="E294" t="s">
        <v>164</v>
      </c>
      <c r="F294" s="72">
        <v>8</v>
      </c>
      <c r="G294" s="72">
        <v>0</v>
      </c>
    </row>
    <row r="295" spans="2:7" x14ac:dyDescent="0.25">
      <c r="B295" s="71">
        <v>43490</v>
      </c>
      <c r="C295" t="s">
        <v>21</v>
      </c>
      <c r="D295" t="s">
        <v>90</v>
      </c>
      <c r="E295" t="s">
        <v>166</v>
      </c>
      <c r="F295" s="72">
        <v>13.04</v>
      </c>
      <c r="G295" s="72">
        <v>0</v>
      </c>
    </row>
    <row r="296" spans="2:7" x14ac:dyDescent="0.25">
      <c r="B296" s="71">
        <v>43490</v>
      </c>
      <c r="C296" t="s">
        <v>21</v>
      </c>
      <c r="D296" t="s">
        <v>90</v>
      </c>
      <c r="E296" t="s">
        <v>166</v>
      </c>
      <c r="F296" s="72">
        <v>13.8</v>
      </c>
      <c r="G296" s="72">
        <v>0</v>
      </c>
    </row>
    <row r="297" spans="2:7" x14ac:dyDescent="0.25">
      <c r="B297" s="71">
        <v>43490</v>
      </c>
      <c r="C297" t="s">
        <v>21</v>
      </c>
      <c r="D297" t="s">
        <v>90</v>
      </c>
      <c r="E297" t="s">
        <v>166</v>
      </c>
      <c r="F297" s="72">
        <v>14.86</v>
      </c>
      <c r="G297" s="72">
        <v>0</v>
      </c>
    </row>
    <row r="298" spans="2:7" x14ac:dyDescent="0.25">
      <c r="B298" s="71">
        <v>43490</v>
      </c>
      <c r="C298" t="s">
        <v>21</v>
      </c>
      <c r="D298" t="s">
        <v>90</v>
      </c>
      <c r="E298" t="s">
        <v>166</v>
      </c>
      <c r="F298" s="72">
        <v>17.45</v>
      </c>
      <c r="G298" s="72">
        <v>0</v>
      </c>
    </row>
    <row r="299" spans="2:7" x14ac:dyDescent="0.25">
      <c r="B299" s="71">
        <v>43490</v>
      </c>
      <c r="C299" t="s">
        <v>21</v>
      </c>
      <c r="D299" t="s">
        <v>90</v>
      </c>
      <c r="E299" t="s">
        <v>166</v>
      </c>
      <c r="F299" s="72">
        <v>23.89</v>
      </c>
      <c r="G299" s="72">
        <v>0</v>
      </c>
    </row>
    <row r="300" spans="2:7" x14ac:dyDescent="0.25">
      <c r="B300" s="71">
        <v>43490</v>
      </c>
      <c r="C300" t="s">
        <v>21</v>
      </c>
      <c r="D300" t="s">
        <v>90</v>
      </c>
      <c r="E300" t="s">
        <v>166</v>
      </c>
      <c r="F300" s="72">
        <v>24.81</v>
      </c>
      <c r="G300" s="72">
        <v>0</v>
      </c>
    </row>
    <row r="301" spans="2:7" x14ac:dyDescent="0.25">
      <c r="B301" s="71">
        <v>43490</v>
      </c>
      <c r="C301" t="s">
        <v>21</v>
      </c>
      <c r="D301" t="s">
        <v>90</v>
      </c>
      <c r="E301" t="s">
        <v>166</v>
      </c>
      <c r="F301" s="72">
        <v>26.33</v>
      </c>
      <c r="G301" s="72">
        <v>0</v>
      </c>
    </row>
    <row r="302" spans="2:7" x14ac:dyDescent="0.25">
      <c r="B302" s="71">
        <v>43490</v>
      </c>
      <c r="C302" t="s">
        <v>21</v>
      </c>
      <c r="D302" t="s">
        <v>90</v>
      </c>
      <c r="E302" t="s">
        <v>166</v>
      </c>
      <c r="F302" s="72">
        <v>27.34</v>
      </c>
      <c r="G302" s="72">
        <v>0</v>
      </c>
    </row>
    <row r="303" spans="2:7" x14ac:dyDescent="0.25">
      <c r="B303" s="71">
        <v>43490</v>
      </c>
      <c r="C303" t="s">
        <v>21</v>
      </c>
      <c r="D303" t="s">
        <v>90</v>
      </c>
      <c r="E303" t="s">
        <v>166</v>
      </c>
      <c r="F303" s="72">
        <v>27.71</v>
      </c>
      <c r="G303" s="72">
        <v>0</v>
      </c>
    </row>
    <row r="304" spans="2:7" x14ac:dyDescent="0.25">
      <c r="B304" s="71">
        <v>43490</v>
      </c>
      <c r="C304" t="s">
        <v>21</v>
      </c>
      <c r="D304" t="s">
        <v>90</v>
      </c>
      <c r="E304" t="s">
        <v>166</v>
      </c>
      <c r="F304" s="72">
        <v>34.630000000000003</v>
      </c>
      <c r="G304" s="72">
        <v>0</v>
      </c>
    </row>
    <row r="305" spans="2:7" x14ac:dyDescent="0.25">
      <c r="B305" s="71">
        <v>43490</v>
      </c>
      <c r="C305" t="s">
        <v>21</v>
      </c>
      <c r="D305" t="s">
        <v>90</v>
      </c>
      <c r="E305" t="s">
        <v>166</v>
      </c>
      <c r="F305" s="72">
        <v>37.36</v>
      </c>
      <c r="G305" s="72">
        <v>0</v>
      </c>
    </row>
    <row r="306" spans="2:7" x14ac:dyDescent="0.25">
      <c r="B306" s="71">
        <v>43490</v>
      </c>
      <c r="C306" t="s">
        <v>21</v>
      </c>
      <c r="D306" t="s">
        <v>90</v>
      </c>
      <c r="E306" t="s">
        <v>166</v>
      </c>
      <c r="F306" s="72">
        <v>38.42</v>
      </c>
      <c r="G306" s="72">
        <v>0</v>
      </c>
    </row>
    <row r="307" spans="2:7" x14ac:dyDescent="0.25">
      <c r="B307" s="71">
        <v>43490</v>
      </c>
      <c r="C307" t="s">
        <v>21</v>
      </c>
      <c r="D307" t="s">
        <v>90</v>
      </c>
      <c r="E307" t="s">
        <v>166</v>
      </c>
      <c r="F307" s="72">
        <v>39.33</v>
      </c>
      <c r="G307" s="72">
        <v>0</v>
      </c>
    </row>
    <row r="308" spans="2:7" x14ac:dyDescent="0.25">
      <c r="B308" s="71">
        <v>43490</v>
      </c>
      <c r="C308" t="s">
        <v>21</v>
      </c>
      <c r="D308" t="s">
        <v>90</v>
      </c>
      <c r="E308" t="s">
        <v>166</v>
      </c>
      <c r="F308" s="72">
        <v>41.31</v>
      </c>
      <c r="G308" s="72">
        <v>0</v>
      </c>
    </row>
    <row r="309" spans="2:7" x14ac:dyDescent="0.25">
      <c r="B309" s="71">
        <v>43490</v>
      </c>
      <c r="C309" t="s">
        <v>21</v>
      </c>
      <c r="D309" t="s">
        <v>90</v>
      </c>
      <c r="E309" t="s">
        <v>166</v>
      </c>
      <c r="F309" s="72">
        <v>44.6</v>
      </c>
      <c r="G309" s="72">
        <v>0</v>
      </c>
    </row>
    <row r="310" spans="2:7" x14ac:dyDescent="0.25">
      <c r="B310" s="71">
        <v>43490</v>
      </c>
      <c r="C310" t="s">
        <v>21</v>
      </c>
      <c r="D310" t="s">
        <v>90</v>
      </c>
      <c r="E310" t="s">
        <v>166</v>
      </c>
      <c r="F310" s="72">
        <v>50.37</v>
      </c>
      <c r="G310" s="72">
        <v>0</v>
      </c>
    </row>
    <row r="311" spans="2:7" x14ac:dyDescent="0.25">
      <c r="B311" s="71">
        <v>43490</v>
      </c>
      <c r="C311" t="s">
        <v>21</v>
      </c>
      <c r="D311" t="s">
        <v>90</v>
      </c>
      <c r="E311" t="s">
        <v>166</v>
      </c>
      <c r="F311" s="72">
        <v>65.680000000000007</v>
      </c>
      <c r="G311" s="72">
        <v>0</v>
      </c>
    </row>
    <row r="312" spans="2:7" x14ac:dyDescent="0.25">
      <c r="B312" s="71">
        <v>43490</v>
      </c>
      <c r="C312" t="s">
        <v>21</v>
      </c>
      <c r="D312" t="s">
        <v>90</v>
      </c>
      <c r="E312" t="s">
        <v>166</v>
      </c>
      <c r="F312" s="72">
        <v>80.37</v>
      </c>
      <c r="G312" s="72">
        <v>0</v>
      </c>
    </row>
    <row r="313" spans="2:7" x14ac:dyDescent="0.25">
      <c r="B313" s="71">
        <v>43490</v>
      </c>
      <c r="C313" t="s">
        <v>21</v>
      </c>
      <c r="D313" t="s">
        <v>90</v>
      </c>
      <c r="E313" t="s">
        <v>166</v>
      </c>
      <c r="F313" s="72">
        <v>83.6</v>
      </c>
      <c r="G313" s="72">
        <v>0</v>
      </c>
    </row>
    <row r="314" spans="2:7" x14ac:dyDescent="0.25">
      <c r="B314" s="71">
        <v>43490</v>
      </c>
      <c r="C314" t="s">
        <v>21</v>
      </c>
      <c r="D314" t="s">
        <v>90</v>
      </c>
      <c r="E314" t="s">
        <v>166</v>
      </c>
      <c r="F314" s="72">
        <v>87.46</v>
      </c>
      <c r="G314" s="72">
        <v>0</v>
      </c>
    </row>
    <row r="315" spans="2:7" x14ac:dyDescent="0.25">
      <c r="B315" s="71">
        <v>43490</v>
      </c>
      <c r="C315" t="s">
        <v>21</v>
      </c>
      <c r="D315" t="s">
        <v>90</v>
      </c>
      <c r="E315" t="s">
        <v>166</v>
      </c>
      <c r="F315" s="72">
        <v>95.48</v>
      </c>
      <c r="G315" s="72">
        <v>0</v>
      </c>
    </row>
    <row r="316" spans="2:7" x14ac:dyDescent="0.25">
      <c r="B316" s="71">
        <v>43490</v>
      </c>
      <c r="C316" t="s">
        <v>21</v>
      </c>
      <c r="D316" t="s">
        <v>90</v>
      </c>
      <c r="E316" t="s">
        <v>166</v>
      </c>
      <c r="F316" s="72">
        <v>96.22</v>
      </c>
      <c r="G316" s="72">
        <v>0</v>
      </c>
    </row>
    <row r="317" spans="2:7" x14ac:dyDescent="0.25">
      <c r="B317" s="71">
        <v>43490</v>
      </c>
      <c r="C317" t="s">
        <v>21</v>
      </c>
      <c r="D317" t="s">
        <v>90</v>
      </c>
      <c r="E317" t="s">
        <v>166</v>
      </c>
      <c r="F317" s="72">
        <v>100.79</v>
      </c>
      <c r="G317" s="72">
        <v>0</v>
      </c>
    </row>
    <row r="318" spans="2:7" x14ac:dyDescent="0.25">
      <c r="B318" s="71">
        <v>43490</v>
      </c>
      <c r="C318" t="s">
        <v>21</v>
      </c>
      <c r="D318" t="s">
        <v>90</v>
      </c>
      <c r="E318" t="s">
        <v>166</v>
      </c>
      <c r="F318" s="72">
        <v>103.76</v>
      </c>
      <c r="G318" s="72">
        <v>0</v>
      </c>
    </row>
    <row r="319" spans="2:7" x14ac:dyDescent="0.25">
      <c r="B319" s="71">
        <v>43490</v>
      </c>
      <c r="C319" t="s">
        <v>21</v>
      </c>
      <c r="D319" t="s">
        <v>90</v>
      </c>
      <c r="E319" t="s">
        <v>166</v>
      </c>
      <c r="F319" s="72">
        <v>103.86</v>
      </c>
      <c r="G319" s="72">
        <v>0</v>
      </c>
    </row>
    <row r="320" spans="2:7" x14ac:dyDescent="0.25">
      <c r="B320" s="71">
        <v>43490</v>
      </c>
      <c r="C320" t="s">
        <v>21</v>
      </c>
      <c r="D320" t="s">
        <v>90</v>
      </c>
      <c r="E320" t="s">
        <v>166</v>
      </c>
      <c r="F320" s="72">
        <v>112.16</v>
      </c>
      <c r="G320" s="72">
        <v>0</v>
      </c>
    </row>
    <row r="321" spans="2:7" x14ac:dyDescent="0.25">
      <c r="B321" s="71">
        <v>43490</v>
      </c>
      <c r="C321" t="s">
        <v>21</v>
      </c>
      <c r="D321" t="s">
        <v>90</v>
      </c>
      <c r="E321" t="s">
        <v>166</v>
      </c>
      <c r="F321" s="72">
        <v>134.93</v>
      </c>
      <c r="G321" s="72">
        <v>0</v>
      </c>
    </row>
    <row r="322" spans="2:7" x14ac:dyDescent="0.25">
      <c r="B322" s="71">
        <v>43490</v>
      </c>
      <c r="C322" t="s">
        <v>21</v>
      </c>
      <c r="D322" t="s">
        <v>90</v>
      </c>
      <c r="E322" t="s">
        <v>166</v>
      </c>
      <c r="F322" s="72">
        <v>173.16</v>
      </c>
      <c r="G322" s="72">
        <v>0</v>
      </c>
    </row>
    <row r="323" spans="2:7" x14ac:dyDescent="0.25">
      <c r="B323" s="71">
        <v>43490</v>
      </c>
      <c r="C323" t="s">
        <v>21</v>
      </c>
      <c r="D323" t="s">
        <v>90</v>
      </c>
      <c r="E323" t="s">
        <v>166</v>
      </c>
      <c r="F323" s="72">
        <v>246.08</v>
      </c>
      <c r="G323" s="72">
        <v>0</v>
      </c>
    </row>
    <row r="324" spans="2:7" x14ac:dyDescent="0.25">
      <c r="B324" s="71">
        <v>43490</v>
      </c>
      <c r="C324" t="s">
        <v>21</v>
      </c>
      <c r="D324" t="s">
        <v>90</v>
      </c>
      <c r="E324" t="s">
        <v>166</v>
      </c>
      <c r="F324" s="72">
        <v>256.69</v>
      </c>
      <c r="G324" s="72">
        <v>0</v>
      </c>
    </row>
    <row r="325" spans="2:7" x14ac:dyDescent="0.25">
      <c r="B325" s="71">
        <v>43490</v>
      </c>
      <c r="C325" t="s">
        <v>21</v>
      </c>
      <c r="D325" t="s">
        <v>90</v>
      </c>
      <c r="E325" t="s">
        <v>166</v>
      </c>
      <c r="F325" s="72">
        <v>263.83999999999997</v>
      </c>
      <c r="G325" s="72">
        <v>0</v>
      </c>
    </row>
    <row r="326" spans="2:7" x14ac:dyDescent="0.25">
      <c r="B326" s="71">
        <v>43490</v>
      </c>
      <c r="C326" t="s">
        <v>21</v>
      </c>
      <c r="D326" t="s">
        <v>90</v>
      </c>
      <c r="E326" t="s">
        <v>166</v>
      </c>
      <c r="F326" s="72">
        <v>296.87</v>
      </c>
      <c r="G326" s="72">
        <v>0</v>
      </c>
    </row>
    <row r="327" spans="2:7" x14ac:dyDescent="0.25">
      <c r="B327" s="71">
        <v>43490</v>
      </c>
      <c r="C327" t="s">
        <v>21</v>
      </c>
      <c r="D327" t="s">
        <v>90</v>
      </c>
      <c r="E327" t="s">
        <v>166</v>
      </c>
      <c r="F327" s="72">
        <v>351.07</v>
      </c>
      <c r="G327" s="72">
        <v>0</v>
      </c>
    </row>
    <row r="328" spans="2:7" x14ac:dyDescent="0.25">
      <c r="B328" s="71">
        <v>43490</v>
      </c>
      <c r="C328" t="s">
        <v>21</v>
      </c>
      <c r="D328" t="s">
        <v>90</v>
      </c>
      <c r="E328" t="s">
        <v>166</v>
      </c>
      <c r="F328" s="72">
        <v>358.78</v>
      </c>
      <c r="G328" s="72">
        <v>0</v>
      </c>
    </row>
    <row r="329" spans="2:7" x14ac:dyDescent="0.25">
      <c r="B329" s="71">
        <v>43490</v>
      </c>
      <c r="C329" t="s">
        <v>21</v>
      </c>
      <c r="D329" t="s">
        <v>90</v>
      </c>
      <c r="E329" t="s">
        <v>166</v>
      </c>
      <c r="F329" s="72">
        <v>397.34</v>
      </c>
      <c r="G329" s="72">
        <v>0</v>
      </c>
    </row>
    <row r="330" spans="2:7" x14ac:dyDescent="0.25">
      <c r="B330" s="71">
        <v>43490</v>
      </c>
      <c r="C330" t="s">
        <v>21</v>
      </c>
      <c r="D330" t="s">
        <v>90</v>
      </c>
      <c r="E330" t="s">
        <v>166</v>
      </c>
      <c r="F330" s="72">
        <v>412.97</v>
      </c>
      <c r="G330" s="72">
        <v>0</v>
      </c>
    </row>
    <row r="331" spans="2:7" x14ac:dyDescent="0.25">
      <c r="B331" s="71">
        <v>43490</v>
      </c>
      <c r="C331" t="s">
        <v>21</v>
      </c>
      <c r="D331" t="s">
        <v>90</v>
      </c>
      <c r="E331" t="s">
        <v>166</v>
      </c>
      <c r="F331" s="72">
        <v>414.52</v>
      </c>
      <c r="G331" s="72">
        <v>0</v>
      </c>
    </row>
    <row r="332" spans="2:7" x14ac:dyDescent="0.25">
      <c r="B332" s="71">
        <v>43490</v>
      </c>
      <c r="C332" t="s">
        <v>21</v>
      </c>
      <c r="D332" t="s">
        <v>90</v>
      </c>
      <c r="E332" t="s">
        <v>166</v>
      </c>
      <c r="F332" s="72">
        <v>455.83</v>
      </c>
      <c r="G332" s="72">
        <v>0</v>
      </c>
    </row>
    <row r="333" spans="2:7" x14ac:dyDescent="0.25">
      <c r="B333" s="71">
        <v>43490</v>
      </c>
      <c r="C333" t="s">
        <v>21</v>
      </c>
      <c r="D333" t="s">
        <v>90</v>
      </c>
      <c r="E333" t="s">
        <v>166</v>
      </c>
      <c r="F333" s="72">
        <v>456.75</v>
      </c>
      <c r="G333" s="72">
        <v>0</v>
      </c>
    </row>
    <row r="334" spans="2:7" x14ac:dyDescent="0.25">
      <c r="B334" s="71">
        <v>43490</v>
      </c>
      <c r="C334" t="s">
        <v>21</v>
      </c>
      <c r="D334" t="s">
        <v>90</v>
      </c>
      <c r="E334" t="s">
        <v>166</v>
      </c>
      <c r="F334" s="72">
        <v>544.92999999999995</v>
      </c>
      <c r="G334" s="72">
        <v>0</v>
      </c>
    </row>
    <row r="335" spans="2:7" x14ac:dyDescent="0.25">
      <c r="B335" s="71">
        <v>43490</v>
      </c>
      <c r="C335" t="s">
        <v>21</v>
      </c>
      <c r="D335" t="s">
        <v>90</v>
      </c>
      <c r="E335" t="s">
        <v>166</v>
      </c>
      <c r="F335" s="72">
        <v>665.62</v>
      </c>
      <c r="G335" s="72">
        <v>0</v>
      </c>
    </row>
    <row r="336" spans="2:7" x14ac:dyDescent="0.25">
      <c r="B336" s="71">
        <v>43490</v>
      </c>
      <c r="C336" t="s">
        <v>21</v>
      </c>
      <c r="D336" t="s">
        <v>90</v>
      </c>
      <c r="E336" t="s">
        <v>166</v>
      </c>
      <c r="F336" s="72">
        <v>947.29</v>
      </c>
      <c r="G336" s="72">
        <v>0</v>
      </c>
    </row>
    <row r="337" spans="2:7" x14ac:dyDescent="0.25">
      <c r="B337" s="71">
        <v>43490</v>
      </c>
      <c r="C337" t="s">
        <v>21</v>
      </c>
      <c r="D337" t="s">
        <v>90</v>
      </c>
      <c r="E337" t="s">
        <v>166</v>
      </c>
      <c r="F337" s="72">
        <v>1046.49</v>
      </c>
      <c r="G337" s="72">
        <v>0</v>
      </c>
    </row>
    <row r="338" spans="2:7" x14ac:dyDescent="0.25">
      <c r="B338" s="71">
        <v>43490</v>
      </c>
      <c r="C338" t="s">
        <v>21</v>
      </c>
      <c r="D338" t="s">
        <v>90</v>
      </c>
      <c r="E338" t="s">
        <v>166</v>
      </c>
      <c r="F338" s="72">
        <v>1065.3599999999999</v>
      </c>
      <c r="G338" s="72">
        <v>0</v>
      </c>
    </row>
    <row r="339" spans="2:7" x14ac:dyDescent="0.25">
      <c r="B339" s="71">
        <v>43490</v>
      </c>
      <c r="C339" t="s">
        <v>21</v>
      </c>
      <c r="D339" t="s">
        <v>90</v>
      </c>
      <c r="E339" t="s">
        <v>166</v>
      </c>
      <c r="F339" s="72">
        <v>1172.44</v>
      </c>
      <c r="G339" s="72">
        <v>0</v>
      </c>
    </row>
    <row r="340" spans="2:7" x14ac:dyDescent="0.25">
      <c r="B340" s="71">
        <v>43490</v>
      </c>
      <c r="C340" t="s">
        <v>49</v>
      </c>
      <c r="D340" t="s">
        <v>90</v>
      </c>
      <c r="E340" t="s">
        <v>166</v>
      </c>
      <c r="F340" s="72">
        <v>616.58000000000004</v>
      </c>
      <c r="G340" s="72">
        <v>0</v>
      </c>
    </row>
    <row r="341" spans="2:7" x14ac:dyDescent="0.25">
      <c r="B341" s="71">
        <v>43490</v>
      </c>
      <c r="C341" t="s">
        <v>56</v>
      </c>
      <c r="D341" t="s">
        <v>90</v>
      </c>
      <c r="E341" t="s">
        <v>166</v>
      </c>
      <c r="F341" s="72">
        <v>26.43</v>
      </c>
      <c r="G341" s="72">
        <v>0</v>
      </c>
    </row>
    <row r="342" spans="2:7" x14ac:dyDescent="0.25">
      <c r="B342" s="71">
        <v>43490</v>
      </c>
      <c r="C342" t="s">
        <v>51</v>
      </c>
      <c r="D342" t="s">
        <v>90</v>
      </c>
      <c r="E342" t="s">
        <v>166</v>
      </c>
      <c r="F342" s="72">
        <v>151.41</v>
      </c>
      <c r="G342" s="72">
        <v>0</v>
      </c>
    </row>
    <row r="343" spans="2:7" x14ac:dyDescent="0.25">
      <c r="B343" s="71">
        <v>43490</v>
      </c>
      <c r="C343" t="s">
        <v>51</v>
      </c>
      <c r="D343" t="s">
        <v>83</v>
      </c>
      <c r="E343" t="s">
        <v>164</v>
      </c>
      <c r="F343" s="72">
        <v>6.25</v>
      </c>
      <c r="G343" s="72">
        <v>0</v>
      </c>
    </row>
    <row r="344" spans="2:7" x14ac:dyDescent="0.25">
      <c r="B344" s="71">
        <v>43490</v>
      </c>
      <c r="C344" t="s">
        <v>53</v>
      </c>
      <c r="D344" t="s">
        <v>90</v>
      </c>
      <c r="E344" t="s">
        <v>166</v>
      </c>
      <c r="F344" s="72">
        <v>105.16</v>
      </c>
      <c r="G344" s="72">
        <v>0</v>
      </c>
    </row>
    <row r="345" spans="2:7" x14ac:dyDescent="0.25">
      <c r="B345" s="71">
        <v>43490</v>
      </c>
      <c r="C345" t="s">
        <v>24</v>
      </c>
      <c r="D345" t="s">
        <v>90</v>
      </c>
      <c r="E345" t="s">
        <v>166</v>
      </c>
      <c r="F345" s="72">
        <v>6.74</v>
      </c>
      <c r="G345" s="72">
        <v>0</v>
      </c>
    </row>
    <row r="346" spans="2:7" x14ac:dyDescent="0.25">
      <c r="B346" s="71">
        <v>43490</v>
      </c>
      <c r="C346" t="s">
        <v>24</v>
      </c>
      <c r="D346" t="s">
        <v>90</v>
      </c>
      <c r="E346" t="s">
        <v>166</v>
      </c>
      <c r="F346" s="72">
        <v>26.94</v>
      </c>
      <c r="G346" s="72">
        <v>0</v>
      </c>
    </row>
    <row r="347" spans="2:7" x14ac:dyDescent="0.25">
      <c r="B347" s="71">
        <v>43490</v>
      </c>
      <c r="C347" t="s">
        <v>24</v>
      </c>
      <c r="D347" t="s">
        <v>90</v>
      </c>
      <c r="E347" t="s">
        <v>166</v>
      </c>
      <c r="F347" s="72">
        <v>29.42</v>
      </c>
      <c r="G347" s="72">
        <v>0</v>
      </c>
    </row>
    <row r="348" spans="2:7" x14ac:dyDescent="0.25">
      <c r="B348" s="71">
        <v>43490</v>
      </c>
      <c r="C348" t="s">
        <v>24</v>
      </c>
      <c r="D348" t="s">
        <v>90</v>
      </c>
      <c r="E348" t="s">
        <v>166</v>
      </c>
      <c r="F348" s="72">
        <v>57.39</v>
      </c>
      <c r="G348" s="72">
        <v>0</v>
      </c>
    </row>
    <row r="349" spans="2:7" x14ac:dyDescent="0.25">
      <c r="B349" s="71">
        <v>43490</v>
      </c>
      <c r="C349" t="s">
        <v>24</v>
      </c>
      <c r="D349" t="s">
        <v>90</v>
      </c>
      <c r="E349" t="s">
        <v>166</v>
      </c>
      <c r="F349" s="72">
        <v>77.290000000000006</v>
      </c>
      <c r="G349" s="72">
        <v>0</v>
      </c>
    </row>
    <row r="350" spans="2:7" x14ac:dyDescent="0.25">
      <c r="B350" s="71">
        <v>43493</v>
      </c>
      <c r="C350" t="s">
        <v>25</v>
      </c>
      <c r="D350" t="s">
        <v>81</v>
      </c>
      <c r="E350" t="s">
        <v>167</v>
      </c>
      <c r="F350" s="72">
        <v>23.99</v>
      </c>
      <c r="G350" s="72">
        <v>0</v>
      </c>
    </row>
    <row r="351" spans="2:7" x14ac:dyDescent="0.25">
      <c r="B351" s="71">
        <v>43493</v>
      </c>
      <c r="C351" t="s">
        <v>25</v>
      </c>
      <c r="D351" t="s">
        <v>88</v>
      </c>
      <c r="E351" t="s">
        <v>167</v>
      </c>
      <c r="F351" s="72">
        <v>48</v>
      </c>
      <c r="G351" s="72">
        <v>0</v>
      </c>
    </row>
    <row r="352" spans="2:7" x14ac:dyDescent="0.25">
      <c r="B352" s="71">
        <v>43493</v>
      </c>
      <c r="C352" t="s">
        <v>25</v>
      </c>
      <c r="D352" t="s">
        <v>88</v>
      </c>
      <c r="E352" t="s">
        <v>167</v>
      </c>
      <c r="F352" s="72">
        <v>78</v>
      </c>
      <c r="G352" s="72">
        <v>0</v>
      </c>
    </row>
    <row r="353" spans="2:7" x14ac:dyDescent="0.25">
      <c r="B353" s="71">
        <v>43493</v>
      </c>
      <c r="C353" t="s">
        <v>25</v>
      </c>
      <c r="D353" t="s">
        <v>88</v>
      </c>
      <c r="E353" t="s">
        <v>167</v>
      </c>
      <c r="F353" s="72">
        <v>236.39</v>
      </c>
      <c r="G353" s="72">
        <v>0</v>
      </c>
    </row>
    <row r="354" spans="2:7" x14ac:dyDescent="0.25">
      <c r="B354" s="71">
        <v>43493</v>
      </c>
      <c r="C354" t="s">
        <v>25</v>
      </c>
      <c r="D354" t="s">
        <v>82</v>
      </c>
      <c r="E354" t="s">
        <v>136</v>
      </c>
      <c r="F354" s="72">
        <v>5.25</v>
      </c>
      <c r="G354" s="72">
        <v>0</v>
      </c>
    </row>
    <row r="355" spans="2:7" x14ac:dyDescent="0.25">
      <c r="B355" s="71">
        <v>43493</v>
      </c>
      <c r="C355" t="s">
        <v>25</v>
      </c>
      <c r="D355" t="s">
        <v>82</v>
      </c>
      <c r="E355" t="s">
        <v>128</v>
      </c>
      <c r="F355" s="72">
        <v>3</v>
      </c>
      <c r="G355" s="72">
        <v>0</v>
      </c>
    </row>
    <row r="356" spans="2:7" x14ac:dyDescent="0.25">
      <c r="B356" s="71">
        <v>43493</v>
      </c>
      <c r="C356" t="s">
        <v>57</v>
      </c>
      <c r="D356" t="s">
        <v>83</v>
      </c>
      <c r="E356" t="s">
        <v>167</v>
      </c>
      <c r="F356" s="72">
        <v>87.75</v>
      </c>
      <c r="G356" s="72">
        <v>0</v>
      </c>
    </row>
    <row r="357" spans="2:7" x14ac:dyDescent="0.25">
      <c r="B357" s="71">
        <v>43493</v>
      </c>
      <c r="C357" t="s">
        <v>49</v>
      </c>
      <c r="D357" t="s">
        <v>84</v>
      </c>
      <c r="E357" t="s">
        <v>167</v>
      </c>
      <c r="F357" s="72">
        <v>49.1</v>
      </c>
      <c r="G357" s="72">
        <v>0</v>
      </c>
    </row>
    <row r="358" spans="2:7" x14ac:dyDescent="0.25">
      <c r="B358" s="71">
        <v>43493</v>
      </c>
      <c r="C358" t="s">
        <v>49</v>
      </c>
      <c r="D358" t="s">
        <v>81</v>
      </c>
      <c r="E358" t="s">
        <v>167</v>
      </c>
      <c r="F358" s="72">
        <v>58.5</v>
      </c>
      <c r="G358" s="72">
        <v>0</v>
      </c>
    </row>
    <row r="359" spans="2:7" x14ac:dyDescent="0.25">
      <c r="B359" s="71">
        <v>43493</v>
      </c>
      <c r="C359" t="s">
        <v>49</v>
      </c>
      <c r="D359" t="s">
        <v>88</v>
      </c>
      <c r="E359" t="s">
        <v>167</v>
      </c>
      <c r="F359" s="72">
        <v>131.35</v>
      </c>
      <c r="G359" s="72">
        <v>0</v>
      </c>
    </row>
    <row r="360" spans="2:7" x14ac:dyDescent="0.25">
      <c r="B360" s="71">
        <v>43494</v>
      </c>
      <c r="C360" t="s">
        <v>25</v>
      </c>
      <c r="D360" t="s">
        <v>88</v>
      </c>
      <c r="E360" t="s">
        <v>168</v>
      </c>
      <c r="F360" s="72">
        <v>27.08</v>
      </c>
      <c r="G360" s="72">
        <v>0</v>
      </c>
    </row>
    <row r="361" spans="2:7" x14ac:dyDescent="0.25">
      <c r="B361" s="71">
        <v>43494</v>
      </c>
      <c r="C361" t="s">
        <v>25</v>
      </c>
      <c r="D361" t="s">
        <v>82</v>
      </c>
      <c r="E361" t="s">
        <v>169</v>
      </c>
      <c r="F361" s="72">
        <v>22.5</v>
      </c>
      <c r="G361" s="72">
        <v>0</v>
      </c>
    </row>
    <row r="362" spans="2:7" x14ac:dyDescent="0.25">
      <c r="B362" s="71">
        <v>43494</v>
      </c>
      <c r="C362" t="s">
        <v>25</v>
      </c>
      <c r="D362" t="s">
        <v>82</v>
      </c>
      <c r="E362" t="s">
        <v>165</v>
      </c>
      <c r="F362" s="72">
        <v>11.5</v>
      </c>
      <c r="G362" s="72">
        <v>0</v>
      </c>
    </row>
    <row r="363" spans="2:7" x14ac:dyDescent="0.25">
      <c r="B363" s="71">
        <v>43494</v>
      </c>
      <c r="C363" t="s">
        <v>25</v>
      </c>
      <c r="D363" t="s">
        <v>82</v>
      </c>
      <c r="E363" t="s">
        <v>170</v>
      </c>
      <c r="F363" s="72">
        <v>14.7</v>
      </c>
      <c r="G363" s="72">
        <v>0</v>
      </c>
    </row>
    <row r="364" spans="2:7" x14ac:dyDescent="0.25">
      <c r="B364" s="71">
        <v>43494</v>
      </c>
      <c r="C364" t="s">
        <v>25</v>
      </c>
      <c r="D364" t="s">
        <v>82</v>
      </c>
      <c r="E364" t="s">
        <v>156</v>
      </c>
      <c r="F364" s="72">
        <v>3</v>
      </c>
      <c r="G364" s="72">
        <v>0</v>
      </c>
    </row>
    <row r="365" spans="2:7" x14ac:dyDescent="0.25">
      <c r="B365" s="71">
        <v>43494</v>
      </c>
      <c r="C365" t="s">
        <v>47</v>
      </c>
      <c r="D365" t="s">
        <v>83</v>
      </c>
      <c r="E365" t="s">
        <v>168</v>
      </c>
      <c r="F365" s="72">
        <v>12.3</v>
      </c>
      <c r="G365" s="72">
        <v>0</v>
      </c>
    </row>
    <row r="366" spans="2:7" x14ac:dyDescent="0.25">
      <c r="B366" s="71">
        <v>43494</v>
      </c>
      <c r="C366" t="s">
        <v>45</v>
      </c>
      <c r="D366" t="s">
        <v>80</v>
      </c>
      <c r="E366" t="s">
        <v>168</v>
      </c>
      <c r="F366" s="72">
        <v>34.24</v>
      </c>
      <c r="G366" s="72">
        <v>0</v>
      </c>
    </row>
    <row r="367" spans="2:7" x14ac:dyDescent="0.25">
      <c r="B367" s="71">
        <v>43494</v>
      </c>
      <c r="C367" t="s">
        <v>49</v>
      </c>
      <c r="D367" t="s">
        <v>91</v>
      </c>
      <c r="E367" t="s">
        <v>171</v>
      </c>
      <c r="F367" s="72">
        <v>48000</v>
      </c>
      <c r="G367" s="72">
        <v>0</v>
      </c>
    </row>
    <row r="368" spans="2:7" x14ac:dyDescent="0.25">
      <c r="B368" s="71">
        <v>43494</v>
      </c>
      <c r="C368" t="s">
        <v>56</v>
      </c>
      <c r="D368" t="s">
        <v>86</v>
      </c>
      <c r="E368" t="s">
        <v>168</v>
      </c>
      <c r="F368" s="72">
        <v>141.36000000000001</v>
      </c>
      <c r="G368" s="72">
        <v>0</v>
      </c>
    </row>
    <row r="369" spans="2:7" x14ac:dyDescent="0.25">
      <c r="B369" s="71">
        <v>43494</v>
      </c>
      <c r="C369" t="s">
        <v>51</v>
      </c>
      <c r="D369" t="s">
        <v>88</v>
      </c>
      <c r="E369" t="s">
        <v>168</v>
      </c>
      <c r="F369" s="72">
        <v>182.15</v>
      </c>
      <c r="G369" s="72">
        <v>0</v>
      </c>
    </row>
    <row r="370" spans="2:7" x14ac:dyDescent="0.25">
      <c r="B370" s="71">
        <v>43495</v>
      </c>
      <c r="C370" t="s">
        <v>25</v>
      </c>
      <c r="D370" t="s">
        <v>88</v>
      </c>
      <c r="E370" t="s">
        <v>172</v>
      </c>
      <c r="F370" s="72">
        <v>354.12</v>
      </c>
      <c r="G370" s="72">
        <v>0</v>
      </c>
    </row>
    <row r="371" spans="2:7" x14ac:dyDescent="0.25">
      <c r="B371" s="71">
        <v>43495</v>
      </c>
      <c r="C371" t="s">
        <v>25</v>
      </c>
      <c r="D371" t="s">
        <v>82</v>
      </c>
      <c r="E371" t="s">
        <v>149</v>
      </c>
      <c r="F371" s="72">
        <v>9</v>
      </c>
      <c r="G371" s="72">
        <v>0</v>
      </c>
    </row>
    <row r="372" spans="2:7" x14ac:dyDescent="0.25">
      <c r="B372" s="71">
        <v>43495</v>
      </c>
      <c r="C372" t="s">
        <v>25</v>
      </c>
      <c r="D372" t="s">
        <v>82</v>
      </c>
      <c r="E372" t="s">
        <v>173</v>
      </c>
      <c r="F372" s="72">
        <v>5</v>
      </c>
      <c r="G372" s="72">
        <v>0</v>
      </c>
    </row>
    <row r="373" spans="2:7" x14ac:dyDescent="0.25">
      <c r="B373" s="71">
        <v>43495</v>
      </c>
      <c r="C373" t="s">
        <v>25</v>
      </c>
      <c r="D373" t="s">
        <v>82</v>
      </c>
      <c r="E373" t="s">
        <v>139</v>
      </c>
      <c r="F373" s="72">
        <v>9.1999999999999993</v>
      </c>
      <c r="G373" s="72">
        <v>0</v>
      </c>
    </row>
    <row r="374" spans="2:7" x14ac:dyDescent="0.25">
      <c r="B374" s="71">
        <v>43495</v>
      </c>
      <c r="C374" t="s">
        <v>47</v>
      </c>
      <c r="D374" t="s">
        <v>80</v>
      </c>
      <c r="E374" t="s">
        <v>172</v>
      </c>
      <c r="F374" s="72">
        <v>75.48</v>
      </c>
      <c r="G374" s="72">
        <v>0</v>
      </c>
    </row>
    <row r="375" spans="2:7" x14ac:dyDescent="0.25">
      <c r="B375" s="71">
        <v>43495</v>
      </c>
      <c r="C375" t="s">
        <v>47</v>
      </c>
      <c r="D375" t="s">
        <v>86</v>
      </c>
      <c r="E375" t="s">
        <v>172</v>
      </c>
      <c r="F375" s="72">
        <v>25.95</v>
      </c>
      <c r="G375" s="72">
        <v>0</v>
      </c>
    </row>
    <row r="376" spans="2:7" x14ac:dyDescent="0.25">
      <c r="B376" s="71">
        <v>43495</v>
      </c>
      <c r="C376" t="s">
        <v>47</v>
      </c>
      <c r="D376" t="s">
        <v>83</v>
      </c>
      <c r="E376" t="s">
        <v>172</v>
      </c>
      <c r="F376" s="72">
        <v>51.5</v>
      </c>
      <c r="G376" s="72">
        <v>0</v>
      </c>
    </row>
    <row r="377" spans="2:7" x14ac:dyDescent="0.25">
      <c r="B377" s="71">
        <v>43495</v>
      </c>
      <c r="C377" t="s">
        <v>58</v>
      </c>
      <c r="D377" t="s">
        <v>81</v>
      </c>
      <c r="E377" t="s">
        <v>172</v>
      </c>
      <c r="F377" s="72">
        <v>31.5</v>
      </c>
      <c r="G377" s="72">
        <v>0</v>
      </c>
    </row>
    <row r="378" spans="2:7" x14ac:dyDescent="0.25">
      <c r="B378" s="71">
        <v>43495</v>
      </c>
      <c r="C378" t="s">
        <v>21</v>
      </c>
      <c r="D378" t="s">
        <v>80</v>
      </c>
      <c r="E378" t="s">
        <v>172</v>
      </c>
      <c r="F378" s="72">
        <v>8</v>
      </c>
      <c r="G378" s="72">
        <v>0</v>
      </c>
    </row>
    <row r="379" spans="2:7" x14ac:dyDescent="0.25">
      <c r="B379" s="71">
        <v>43495</v>
      </c>
      <c r="C379" t="s">
        <v>21</v>
      </c>
      <c r="D379" t="s">
        <v>80</v>
      </c>
      <c r="E379" t="s">
        <v>172</v>
      </c>
      <c r="F379" s="72">
        <v>48</v>
      </c>
      <c r="G379" s="72">
        <v>0</v>
      </c>
    </row>
    <row r="380" spans="2:7" x14ac:dyDescent="0.25">
      <c r="B380" s="71">
        <v>43496</v>
      </c>
      <c r="C380" t="s">
        <v>25</v>
      </c>
      <c r="D380" t="s">
        <v>82</v>
      </c>
      <c r="E380" t="s">
        <v>174</v>
      </c>
      <c r="F380" s="72">
        <v>9.1999999999999993</v>
      </c>
      <c r="G380" s="72">
        <v>0</v>
      </c>
    </row>
    <row r="381" spans="2:7" x14ac:dyDescent="0.25">
      <c r="B381" s="71">
        <v>43496</v>
      </c>
      <c r="C381" t="s">
        <v>25</v>
      </c>
      <c r="D381" t="s">
        <v>82</v>
      </c>
      <c r="E381" t="s">
        <v>125</v>
      </c>
      <c r="F381" s="72">
        <v>14</v>
      </c>
      <c r="G381" s="72">
        <v>0</v>
      </c>
    </row>
    <row r="382" spans="2:7" x14ac:dyDescent="0.25">
      <c r="B382" s="71">
        <v>43496</v>
      </c>
      <c r="C382" t="s">
        <v>25</v>
      </c>
      <c r="D382" t="s">
        <v>82</v>
      </c>
      <c r="E382" t="s">
        <v>154</v>
      </c>
      <c r="F382" s="72">
        <v>6.5</v>
      </c>
      <c r="G382" s="72">
        <v>0</v>
      </c>
    </row>
    <row r="383" spans="2:7" x14ac:dyDescent="0.25">
      <c r="B383" s="71">
        <v>43496</v>
      </c>
      <c r="C383" t="s">
        <v>25</v>
      </c>
      <c r="D383" t="s">
        <v>82</v>
      </c>
      <c r="E383" t="s">
        <v>129</v>
      </c>
      <c r="F383" s="72">
        <v>3</v>
      </c>
      <c r="G383" s="72">
        <v>0</v>
      </c>
    </row>
    <row r="384" spans="2:7" x14ac:dyDescent="0.25">
      <c r="B384" s="71">
        <v>43496</v>
      </c>
      <c r="C384" t="s">
        <v>21</v>
      </c>
      <c r="D384" t="s">
        <v>80</v>
      </c>
      <c r="E384" t="s">
        <v>175</v>
      </c>
      <c r="F384" s="72">
        <v>16</v>
      </c>
      <c r="G384" s="72">
        <v>0</v>
      </c>
    </row>
    <row r="385" spans="2:7" x14ac:dyDescent="0.25">
      <c r="B385" s="71">
        <v>43496</v>
      </c>
      <c r="C385" t="s">
        <v>51</v>
      </c>
      <c r="D385" t="s">
        <v>86</v>
      </c>
      <c r="E385" t="s">
        <v>175</v>
      </c>
      <c r="F385" s="72">
        <v>47.99</v>
      </c>
      <c r="G385" s="72">
        <v>0</v>
      </c>
    </row>
    <row r="386" spans="2:7" x14ac:dyDescent="0.25">
      <c r="B386" s="71">
        <v>43496</v>
      </c>
      <c r="C386" t="s">
        <v>24</v>
      </c>
      <c r="D386" t="s">
        <v>80</v>
      </c>
      <c r="E386" t="s">
        <v>175</v>
      </c>
      <c r="F386" s="72">
        <v>8</v>
      </c>
      <c r="G386" s="72">
        <v>0</v>
      </c>
    </row>
    <row r="387" spans="2:7" x14ac:dyDescent="0.25">
      <c r="B387" s="71">
        <v>43497</v>
      </c>
      <c r="C387" t="s">
        <v>25</v>
      </c>
      <c r="D387" t="s">
        <v>81</v>
      </c>
      <c r="E387" t="s">
        <v>176</v>
      </c>
      <c r="F387" s="72">
        <v>104</v>
      </c>
      <c r="G387" s="72">
        <v>0</v>
      </c>
    </row>
    <row r="388" spans="2:7" x14ac:dyDescent="0.25">
      <c r="B388" s="71">
        <v>43497</v>
      </c>
      <c r="C388" t="s">
        <v>25</v>
      </c>
      <c r="D388" t="s">
        <v>88</v>
      </c>
      <c r="E388" t="s">
        <v>176</v>
      </c>
      <c r="F388" s="72">
        <v>13.5</v>
      </c>
      <c r="G388" s="72">
        <v>0</v>
      </c>
    </row>
    <row r="389" spans="2:7" x14ac:dyDescent="0.25">
      <c r="B389" s="71">
        <v>43497</v>
      </c>
      <c r="C389" t="s">
        <v>25</v>
      </c>
      <c r="D389" t="s">
        <v>88</v>
      </c>
      <c r="E389" t="s">
        <v>176</v>
      </c>
      <c r="F389" s="72">
        <v>18.600000000000001</v>
      </c>
      <c r="G389" s="72">
        <v>0</v>
      </c>
    </row>
    <row r="390" spans="2:7" x14ac:dyDescent="0.25">
      <c r="B390" s="71">
        <v>43497</v>
      </c>
      <c r="C390" t="s">
        <v>25</v>
      </c>
      <c r="D390" t="s">
        <v>88</v>
      </c>
      <c r="E390" t="s">
        <v>176</v>
      </c>
      <c r="F390" s="72">
        <v>102.77</v>
      </c>
      <c r="G390" s="72">
        <v>0</v>
      </c>
    </row>
    <row r="391" spans="2:7" x14ac:dyDescent="0.25">
      <c r="B391" s="71">
        <v>43497</v>
      </c>
      <c r="C391" t="s">
        <v>25</v>
      </c>
      <c r="D391" t="s">
        <v>82</v>
      </c>
      <c r="E391" t="s">
        <v>177</v>
      </c>
      <c r="F391" s="72">
        <v>31.3</v>
      </c>
      <c r="G391" s="72">
        <v>0</v>
      </c>
    </row>
    <row r="392" spans="2:7" x14ac:dyDescent="0.25">
      <c r="B392" s="71">
        <v>43497</v>
      </c>
      <c r="C392" t="s">
        <v>25</v>
      </c>
      <c r="D392" t="s">
        <v>82</v>
      </c>
      <c r="E392" t="s">
        <v>151</v>
      </c>
      <c r="F392" s="72">
        <v>7</v>
      </c>
      <c r="G392" s="72">
        <v>0</v>
      </c>
    </row>
    <row r="393" spans="2:7" x14ac:dyDescent="0.25">
      <c r="B393" s="71">
        <v>43497</v>
      </c>
      <c r="C393" t="s">
        <v>25</v>
      </c>
      <c r="D393" t="s">
        <v>82</v>
      </c>
      <c r="E393" t="s">
        <v>129</v>
      </c>
      <c r="F393" s="72">
        <v>3</v>
      </c>
      <c r="G393" s="72">
        <v>0</v>
      </c>
    </row>
    <row r="394" spans="2:7" x14ac:dyDescent="0.25">
      <c r="B394" s="71">
        <v>43497</v>
      </c>
      <c r="C394" t="s">
        <v>25</v>
      </c>
      <c r="D394" t="s">
        <v>83</v>
      </c>
      <c r="E394" t="s">
        <v>176</v>
      </c>
      <c r="F394" s="72">
        <v>110.5</v>
      </c>
      <c r="G394" s="72">
        <v>0</v>
      </c>
    </row>
    <row r="395" spans="2:7" x14ac:dyDescent="0.25">
      <c r="B395" s="71">
        <v>43497</v>
      </c>
      <c r="C395" t="s">
        <v>57</v>
      </c>
      <c r="D395" t="s">
        <v>83</v>
      </c>
      <c r="E395" t="s">
        <v>176</v>
      </c>
      <c r="F395" s="72">
        <v>30</v>
      </c>
      <c r="G395" s="72">
        <v>0</v>
      </c>
    </row>
    <row r="396" spans="2:7" x14ac:dyDescent="0.25">
      <c r="B396" s="71">
        <v>43497</v>
      </c>
      <c r="C396" t="s">
        <v>58</v>
      </c>
      <c r="D396" t="s">
        <v>81</v>
      </c>
      <c r="E396" t="s">
        <v>176</v>
      </c>
      <c r="F396" s="72">
        <v>39</v>
      </c>
      <c r="G396" s="72">
        <v>0</v>
      </c>
    </row>
    <row r="397" spans="2:7" x14ac:dyDescent="0.25">
      <c r="B397" s="71">
        <v>43497</v>
      </c>
      <c r="C397" t="s">
        <v>21</v>
      </c>
      <c r="D397" t="s">
        <v>80</v>
      </c>
      <c r="E397" t="s">
        <v>176</v>
      </c>
      <c r="F397" s="72">
        <v>8</v>
      </c>
      <c r="G397" s="72">
        <v>0</v>
      </c>
    </row>
    <row r="398" spans="2:7" x14ac:dyDescent="0.25">
      <c r="B398" s="71">
        <v>43497</v>
      </c>
      <c r="C398" t="s">
        <v>21</v>
      </c>
      <c r="D398" t="s">
        <v>80</v>
      </c>
      <c r="E398" t="s">
        <v>176</v>
      </c>
      <c r="F398" s="72">
        <v>16</v>
      </c>
      <c r="G398" s="72">
        <v>0</v>
      </c>
    </row>
    <row r="399" spans="2:7" x14ac:dyDescent="0.25">
      <c r="B399" s="71">
        <v>43497</v>
      </c>
      <c r="C399" t="s">
        <v>21</v>
      </c>
      <c r="D399" t="s">
        <v>80</v>
      </c>
      <c r="E399" t="s">
        <v>176</v>
      </c>
      <c r="F399" s="72">
        <v>24</v>
      </c>
      <c r="G399" s="72">
        <v>0</v>
      </c>
    </row>
    <row r="400" spans="2:7" x14ac:dyDescent="0.25">
      <c r="B400" s="71">
        <v>43497</v>
      </c>
      <c r="C400" t="s">
        <v>21</v>
      </c>
      <c r="D400" t="s">
        <v>80</v>
      </c>
      <c r="E400" t="s">
        <v>176</v>
      </c>
      <c r="F400" s="72">
        <v>40</v>
      </c>
      <c r="G400" s="72">
        <v>0</v>
      </c>
    </row>
    <row r="401" spans="2:7" x14ac:dyDescent="0.25">
      <c r="B401" s="71">
        <v>43497</v>
      </c>
      <c r="C401" t="s">
        <v>21</v>
      </c>
      <c r="D401" t="s">
        <v>80</v>
      </c>
      <c r="E401" t="s">
        <v>176</v>
      </c>
      <c r="F401" s="72">
        <v>72</v>
      </c>
      <c r="G401" s="72">
        <v>0</v>
      </c>
    </row>
    <row r="402" spans="2:7" x14ac:dyDescent="0.25">
      <c r="B402" s="71">
        <v>43497</v>
      </c>
      <c r="C402" t="s">
        <v>21</v>
      </c>
      <c r="D402" t="s">
        <v>83</v>
      </c>
      <c r="E402" t="s">
        <v>176</v>
      </c>
      <c r="F402" s="72">
        <v>18</v>
      </c>
      <c r="G402" s="72">
        <v>0</v>
      </c>
    </row>
    <row r="403" spans="2:7" x14ac:dyDescent="0.25">
      <c r="B403" s="71">
        <v>43497</v>
      </c>
      <c r="C403" t="s">
        <v>21</v>
      </c>
      <c r="D403" t="s">
        <v>83</v>
      </c>
      <c r="E403" t="s">
        <v>176</v>
      </c>
      <c r="F403" s="72">
        <v>126</v>
      </c>
      <c r="G403" s="72">
        <v>0</v>
      </c>
    </row>
    <row r="404" spans="2:7" x14ac:dyDescent="0.25">
      <c r="B404" s="71">
        <v>43497</v>
      </c>
      <c r="C404" t="s">
        <v>65</v>
      </c>
      <c r="D404" t="s">
        <v>83</v>
      </c>
      <c r="E404" t="s">
        <v>176</v>
      </c>
      <c r="F404" s="72">
        <v>5</v>
      </c>
      <c r="G404" s="72">
        <v>0</v>
      </c>
    </row>
    <row r="405" spans="2:7" x14ac:dyDescent="0.25">
      <c r="B405" s="71">
        <v>43497</v>
      </c>
      <c r="C405" t="s">
        <v>46</v>
      </c>
      <c r="D405" t="s">
        <v>86</v>
      </c>
      <c r="E405" t="s">
        <v>176</v>
      </c>
      <c r="F405" s="72">
        <v>66.900000000000006</v>
      </c>
      <c r="G405" s="72">
        <v>0</v>
      </c>
    </row>
    <row r="406" spans="2:7" x14ac:dyDescent="0.25">
      <c r="B406" s="71">
        <v>43497</v>
      </c>
      <c r="C406" t="s">
        <v>51</v>
      </c>
      <c r="D406" t="s">
        <v>86</v>
      </c>
      <c r="E406" t="s">
        <v>176</v>
      </c>
      <c r="F406" s="72">
        <v>113.89</v>
      </c>
      <c r="G406" s="72">
        <v>0</v>
      </c>
    </row>
    <row r="407" spans="2:7" x14ac:dyDescent="0.25">
      <c r="B407" s="71">
        <v>43497</v>
      </c>
      <c r="C407" t="s">
        <v>51</v>
      </c>
      <c r="D407" t="s">
        <v>84</v>
      </c>
      <c r="E407" t="s">
        <v>176</v>
      </c>
      <c r="F407" s="72">
        <v>25</v>
      </c>
      <c r="G407" s="72">
        <v>0</v>
      </c>
    </row>
    <row r="408" spans="2:7" x14ac:dyDescent="0.25">
      <c r="B408" s="71">
        <v>43497</v>
      </c>
      <c r="C408" t="s">
        <v>24</v>
      </c>
      <c r="D408" t="s">
        <v>80</v>
      </c>
      <c r="E408" t="s">
        <v>176</v>
      </c>
      <c r="F408" s="72">
        <v>8</v>
      </c>
      <c r="G408" s="72">
        <v>0</v>
      </c>
    </row>
    <row r="409" spans="2:7" x14ac:dyDescent="0.25">
      <c r="B409" s="71">
        <v>43498</v>
      </c>
      <c r="C409" t="s">
        <v>25</v>
      </c>
      <c r="D409" t="s">
        <v>86</v>
      </c>
      <c r="E409" t="s">
        <v>178</v>
      </c>
      <c r="F409" s="72">
        <v>30</v>
      </c>
      <c r="G409" s="72">
        <v>0</v>
      </c>
    </row>
    <row r="410" spans="2:7" x14ac:dyDescent="0.25">
      <c r="B410" s="71">
        <v>43498</v>
      </c>
      <c r="C410" t="s">
        <v>25</v>
      </c>
      <c r="D410" t="s">
        <v>82</v>
      </c>
      <c r="E410" t="s">
        <v>179</v>
      </c>
      <c r="F410" s="72">
        <v>9.75</v>
      </c>
      <c r="G410" s="72">
        <v>0</v>
      </c>
    </row>
    <row r="411" spans="2:7" x14ac:dyDescent="0.25">
      <c r="B411" s="71">
        <v>43498</v>
      </c>
      <c r="C411" t="s">
        <v>25</v>
      </c>
      <c r="D411" t="s">
        <v>82</v>
      </c>
      <c r="E411" t="s">
        <v>180</v>
      </c>
      <c r="F411" s="72">
        <v>2.25</v>
      </c>
      <c r="G411" s="72">
        <v>0</v>
      </c>
    </row>
    <row r="412" spans="2:7" x14ac:dyDescent="0.25">
      <c r="B412" s="71">
        <v>43498</v>
      </c>
      <c r="C412" t="s">
        <v>57</v>
      </c>
      <c r="D412" t="s">
        <v>83</v>
      </c>
      <c r="E412" t="s">
        <v>178</v>
      </c>
      <c r="F412" s="72">
        <v>40</v>
      </c>
      <c r="G412" s="72">
        <v>0</v>
      </c>
    </row>
    <row r="413" spans="2:7" x14ac:dyDescent="0.25">
      <c r="B413" s="71">
        <v>43498</v>
      </c>
      <c r="C413" t="s">
        <v>49</v>
      </c>
      <c r="D413" t="s">
        <v>92</v>
      </c>
      <c r="E413" t="s">
        <v>178</v>
      </c>
      <c r="F413" s="72">
        <v>13570</v>
      </c>
      <c r="G413" s="72">
        <v>0</v>
      </c>
    </row>
    <row r="414" spans="2:7" x14ac:dyDescent="0.25">
      <c r="B414" s="71">
        <v>43498</v>
      </c>
      <c r="C414" t="s">
        <v>46</v>
      </c>
      <c r="D414" t="s">
        <v>86</v>
      </c>
      <c r="E414" t="s">
        <v>178</v>
      </c>
      <c r="F414" s="72">
        <v>25</v>
      </c>
      <c r="G414" s="72">
        <v>0</v>
      </c>
    </row>
    <row r="415" spans="2:7" x14ac:dyDescent="0.25">
      <c r="B415" s="71">
        <v>43498</v>
      </c>
      <c r="C415" t="s">
        <v>51</v>
      </c>
      <c r="D415" t="s">
        <v>83</v>
      </c>
      <c r="E415" t="s">
        <v>178</v>
      </c>
      <c r="F415" s="72">
        <v>37.14</v>
      </c>
      <c r="G415" s="72">
        <v>0</v>
      </c>
    </row>
    <row r="416" spans="2:7" x14ac:dyDescent="0.25">
      <c r="B416" s="71">
        <v>43500</v>
      </c>
      <c r="C416" t="s">
        <v>25</v>
      </c>
      <c r="D416" t="s">
        <v>87</v>
      </c>
      <c r="E416" t="s">
        <v>181</v>
      </c>
      <c r="F416" s="72">
        <v>0</v>
      </c>
      <c r="G416" s="72">
        <v>183.93</v>
      </c>
    </row>
    <row r="417" spans="2:7" x14ac:dyDescent="0.25">
      <c r="B417" s="71">
        <v>43500</v>
      </c>
      <c r="C417" t="s">
        <v>25</v>
      </c>
      <c r="D417" t="s">
        <v>82</v>
      </c>
      <c r="E417" t="s">
        <v>154</v>
      </c>
      <c r="F417" s="72">
        <v>6.4</v>
      </c>
      <c r="G417" s="72">
        <v>0</v>
      </c>
    </row>
    <row r="418" spans="2:7" x14ac:dyDescent="0.25">
      <c r="B418" s="71">
        <v>43500</v>
      </c>
      <c r="C418" t="s">
        <v>25</v>
      </c>
      <c r="D418" t="s">
        <v>82</v>
      </c>
      <c r="E418" t="s">
        <v>132</v>
      </c>
      <c r="F418" s="72">
        <v>2.4</v>
      </c>
      <c r="G418" s="72">
        <v>0</v>
      </c>
    </row>
    <row r="419" spans="2:7" x14ac:dyDescent="0.25">
      <c r="B419" s="71">
        <v>43500</v>
      </c>
      <c r="C419" t="s">
        <v>25</v>
      </c>
      <c r="D419" t="s">
        <v>82</v>
      </c>
      <c r="E419" t="s">
        <v>182</v>
      </c>
      <c r="F419" s="72">
        <v>6.4</v>
      </c>
      <c r="G419" s="72">
        <v>0</v>
      </c>
    </row>
    <row r="420" spans="2:7" x14ac:dyDescent="0.25">
      <c r="B420" s="71">
        <v>43500</v>
      </c>
      <c r="C420" t="s">
        <v>25</v>
      </c>
      <c r="D420" t="s">
        <v>83</v>
      </c>
      <c r="E420" t="s">
        <v>181</v>
      </c>
      <c r="F420" s="72">
        <v>183.93</v>
      </c>
      <c r="G420" s="72">
        <v>0</v>
      </c>
    </row>
    <row r="421" spans="2:7" x14ac:dyDescent="0.25">
      <c r="B421" s="71">
        <v>43500</v>
      </c>
      <c r="C421" t="s">
        <v>25</v>
      </c>
      <c r="D421" t="s">
        <v>83</v>
      </c>
      <c r="E421" t="s">
        <v>181</v>
      </c>
      <c r="F421" s="72">
        <v>536.4</v>
      </c>
      <c r="G421" s="72">
        <v>0</v>
      </c>
    </row>
    <row r="422" spans="2:7" x14ac:dyDescent="0.25">
      <c r="B422" s="71">
        <v>43500</v>
      </c>
      <c r="C422" t="s">
        <v>55</v>
      </c>
      <c r="D422" t="s">
        <v>93</v>
      </c>
      <c r="E422" t="s">
        <v>183</v>
      </c>
      <c r="F422" s="72">
        <v>4.68</v>
      </c>
      <c r="G422" s="72">
        <v>0</v>
      </c>
    </row>
    <row r="423" spans="2:7" x14ac:dyDescent="0.25">
      <c r="B423" s="71">
        <v>43500</v>
      </c>
      <c r="C423" t="s">
        <v>52</v>
      </c>
      <c r="D423" t="s">
        <v>83</v>
      </c>
      <c r="E423" t="s">
        <v>181</v>
      </c>
      <c r="F423" s="72">
        <v>117.85</v>
      </c>
      <c r="G423" s="72">
        <v>0</v>
      </c>
    </row>
    <row r="424" spans="2:7" x14ac:dyDescent="0.25">
      <c r="B424" s="71">
        <v>43500</v>
      </c>
      <c r="C424" t="s">
        <v>44</v>
      </c>
      <c r="D424" t="s">
        <v>85</v>
      </c>
      <c r="E424" t="s">
        <v>181</v>
      </c>
      <c r="F424" s="72">
        <v>303.89999999999998</v>
      </c>
      <c r="G424" s="72">
        <v>0</v>
      </c>
    </row>
    <row r="425" spans="2:7" x14ac:dyDescent="0.25">
      <c r="B425" s="71">
        <v>43500</v>
      </c>
      <c r="C425" t="s">
        <v>21</v>
      </c>
      <c r="D425" t="s">
        <v>80</v>
      </c>
      <c r="E425" t="s">
        <v>181</v>
      </c>
      <c r="F425" s="72">
        <v>8</v>
      </c>
      <c r="G425" s="72">
        <v>0</v>
      </c>
    </row>
    <row r="426" spans="2:7" x14ac:dyDescent="0.25">
      <c r="B426" s="71">
        <v>43500</v>
      </c>
      <c r="C426" t="s">
        <v>21</v>
      </c>
      <c r="D426" t="s">
        <v>80</v>
      </c>
      <c r="E426" t="s">
        <v>181</v>
      </c>
      <c r="F426" s="72">
        <v>16</v>
      </c>
      <c r="G426" s="72">
        <v>0</v>
      </c>
    </row>
    <row r="427" spans="2:7" x14ac:dyDescent="0.25">
      <c r="B427" s="71">
        <v>43500</v>
      </c>
      <c r="C427" t="s">
        <v>21</v>
      </c>
      <c r="D427" t="s">
        <v>80</v>
      </c>
      <c r="E427" t="s">
        <v>181</v>
      </c>
      <c r="F427" s="72">
        <v>24</v>
      </c>
      <c r="G427" s="72">
        <v>0</v>
      </c>
    </row>
    <row r="428" spans="2:7" x14ac:dyDescent="0.25">
      <c r="B428" s="71">
        <v>43500</v>
      </c>
      <c r="C428" t="s">
        <v>21</v>
      </c>
      <c r="D428" t="s">
        <v>80</v>
      </c>
      <c r="E428" t="s">
        <v>181</v>
      </c>
      <c r="F428" s="72">
        <v>32</v>
      </c>
      <c r="G428" s="72">
        <v>0</v>
      </c>
    </row>
    <row r="429" spans="2:7" x14ac:dyDescent="0.25">
      <c r="B429" s="71">
        <v>43500</v>
      </c>
      <c r="C429" t="s">
        <v>21</v>
      </c>
      <c r="D429" t="s">
        <v>80</v>
      </c>
      <c r="E429" t="s">
        <v>181</v>
      </c>
      <c r="F429" s="72">
        <v>80</v>
      </c>
      <c r="G429" s="72">
        <v>0</v>
      </c>
    </row>
    <row r="430" spans="2:7" x14ac:dyDescent="0.25">
      <c r="B430" s="71">
        <v>43500</v>
      </c>
      <c r="C430" t="s">
        <v>21</v>
      </c>
      <c r="D430" t="s">
        <v>80</v>
      </c>
      <c r="E430" t="s">
        <v>181</v>
      </c>
      <c r="F430" s="72">
        <v>96</v>
      </c>
      <c r="G430" s="72">
        <v>0</v>
      </c>
    </row>
    <row r="431" spans="2:7" x14ac:dyDescent="0.25">
      <c r="B431" s="71">
        <v>43500</v>
      </c>
      <c r="C431" t="s">
        <v>49</v>
      </c>
      <c r="D431" t="s">
        <v>85</v>
      </c>
      <c r="E431" t="s">
        <v>181</v>
      </c>
      <c r="F431" s="72">
        <v>150</v>
      </c>
      <c r="G431" s="72">
        <v>0</v>
      </c>
    </row>
    <row r="432" spans="2:7" x14ac:dyDescent="0.25">
      <c r="B432" s="71">
        <v>43500</v>
      </c>
      <c r="C432" t="s">
        <v>50</v>
      </c>
      <c r="D432" t="s">
        <v>85</v>
      </c>
      <c r="E432" t="s">
        <v>181</v>
      </c>
      <c r="F432">
        <v>150</v>
      </c>
      <c r="G432" s="72">
        <v>0</v>
      </c>
    </row>
    <row r="433" spans="2:7" x14ac:dyDescent="0.25">
      <c r="B433" s="71">
        <v>43500</v>
      </c>
      <c r="C433" t="s">
        <v>51</v>
      </c>
      <c r="D433" t="s">
        <v>85</v>
      </c>
      <c r="E433" t="s">
        <v>181</v>
      </c>
      <c r="F433" s="72">
        <v>2250</v>
      </c>
      <c r="G433" s="72">
        <v>0</v>
      </c>
    </row>
    <row r="434" spans="2:7" x14ac:dyDescent="0.25">
      <c r="B434" s="71">
        <v>43500</v>
      </c>
      <c r="C434" t="s">
        <v>61</v>
      </c>
      <c r="D434" t="s">
        <v>80</v>
      </c>
      <c r="E434" t="s">
        <v>181</v>
      </c>
      <c r="F434" s="72">
        <v>23.99</v>
      </c>
      <c r="G434" s="72">
        <v>0</v>
      </c>
    </row>
    <row r="435" spans="2:7" x14ac:dyDescent="0.25">
      <c r="B435" s="71">
        <v>43501</v>
      </c>
      <c r="C435" t="s">
        <v>25</v>
      </c>
      <c r="D435" t="s">
        <v>86</v>
      </c>
      <c r="E435" t="s">
        <v>184</v>
      </c>
      <c r="F435" s="72">
        <v>18</v>
      </c>
      <c r="G435" s="72">
        <v>0</v>
      </c>
    </row>
    <row r="436" spans="2:7" x14ac:dyDescent="0.25">
      <c r="B436" s="71">
        <v>43501</v>
      </c>
      <c r="C436" t="s">
        <v>25</v>
      </c>
      <c r="D436" t="s">
        <v>88</v>
      </c>
      <c r="E436" t="s">
        <v>184</v>
      </c>
      <c r="F436" s="72">
        <v>15.95</v>
      </c>
      <c r="G436" s="72">
        <v>0</v>
      </c>
    </row>
    <row r="437" spans="2:7" x14ac:dyDescent="0.25">
      <c r="B437" s="71">
        <v>43501</v>
      </c>
      <c r="C437" t="s">
        <v>25</v>
      </c>
      <c r="D437" t="s">
        <v>88</v>
      </c>
      <c r="E437" t="s">
        <v>184</v>
      </c>
      <c r="F437" s="72">
        <v>23.98</v>
      </c>
      <c r="G437" s="72">
        <v>0</v>
      </c>
    </row>
    <row r="438" spans="2:7" x14ac:dyDescent="0.25">
      <c r="B438" s="71">
        <v>43501</v>
      </c>
      <c r="C438" t="s">
        <v>25</v>
      </c>
      <c r="D438" t="s">
        <v>88</v>
      </c>
      <c r="E438" t="s">
        <v>184</v>
      </c>
      <c r="F438" s="72">
        <v>32.61</v>
      </c>
      <c r="G438" s="72">
        <v>0</v>
      </c>
    </row>
    <row r="439" spans="2:7" x14ac:dyDescent="0.25">
      <c r="B439" s="71">
        <v>43501</v>
      </c>
      <c r="C439" t="s">
        <v>25</v>
      </c>
      <c r="D439" t="s">
        <v>88</v>
      </c>
      <c r="E439" t="s">
        <v>184</v>
      </c>
      <c r="F439" s="72">
        <v>37.520000000000003</v>
      </c>
      <c r="G439" s="72">
        <v>0</v>
      </c>
    </row>
    <row r="440" spans="2:7" x14ac:dyDescent="0.25">
      <c r="B440" s="71">
        <v>43501</v>
      </c>
      <c r="C440" t="s">
        <v>25</v>
      </c>
      <c r="D440" t="s">
        <v>88</v>
      </c>
      <c r="E440" t="s">
        <v>184</v>
      </c>
      <c r="F440" s="72">
        <v>44.99</v>
      </c>
      <c r="G440" s="72">
        <v>0</v>
      </c>
    </row>
    <row r="441" spans="2:7" x14ac:dyDescent="0.25">
      <c r="B441" s="71">
        <v>43501</v>
      </c>
      <c r="C441" t="s">
        <v>25</v>
      </c>
      <c r="D441" t="s">
        <v>88</v>
      </c>
      <c r="E441" t="s">
        <v>184</v>
      </c>
      <c r="F441" s="72">
        <v>66.55</v>
      </c>
      <c r="G441" s="72">
        <v>0</v>
      </c>
    </row>
    <row r="442" spans="2:7" x14ac:dyDescent="0.25">
      <c r="B442" s="71">
        <v>43501</v>
      </c>
      <c r="C442" t="s">
        <v>25</v>
      </c>
      <c r="D442" t="s">
        <v>88</v>
      </c>
      <c r="E442" t="s">
        <v>184</v>
      </c>
      <c r="F442" s="72">
        <v>79.86</v>
      </c>
      <c r="G442" s="72">
        <v>0</v>
      </c>
    </row>
    <row r="443" spans="2:7" x14ac:dyDescent="0.25">
      <c r="B443" s="71">
        <v>43501</v>
      </c>
      <c r="C443" t="s">
        <v>25</v>
      </c>
      <c r="D443" t="s">
        <v>82</v>
      </c>
      <c r="E443" t="s">
        <v>154</v>
      </c>
      <c r="F443" s="72">
        <v>6.4</v>
      </c>
      <c r="G443" s="72">
        <v>0</v>
      </c>
    </row>
    <row r="444" spans="2:7" x14ac:dyDescent="0.25">
      <c r="B444" s="71">
        <v>43501</v>
      </c>
      <c r="C444" t="s">
        <v>25</v>
      </c>
      <c r="D444" t="s">
        <v>82</v>
      </c>
      <c r="E444" t="s">
        <v>165</v>
      </c>
      <c r="F444" s="72">
        <v>18</v>
      </c>
      <c r="G444" s="72">
        <v>0</v>
      </c>
    </row>
    <row r="445" spans="2:7" x14ac:dyDescent="0.25">
      <c r="B445" s="71">
        <v>43501</v>
      </c>
      <c r="C445" t="s">
        <v>25</v>
      </c>
      <c r="D445" t="s">
        <v>83</v>
      </c>
      <c r="E445" t="s">
        <v>184</v>
      </c>
      <c r="F445" s="72">
        <v>46.4</v>
      </c>
      <c r="G445" s="72">
        <v>0</v>
      </c>
    </row>
    <row r="446" spans="2:7" x14ac:dyDescent="0.25">
      <c r="B446" s="71">
        <v>43501</v>
      </c>
      <c r="C446" t="s">
        <v>25</v>
      </c>
      <c r="D446" t="s">
        <v>83</v>
      </c>
      <c r="E446" t="s">
        <v>184</v>
      </c>
      <c r="F446" s="72">
        <v>359.78</v>
      </c>
      <c r="G446" s="72">
        <v>0</v>
      </c>
    </row>
    <row r="447" spans="2:7" x14ac:dyDescent="0.25">
      <c r="B447" s="71">
        <v>43501</v>
      </c>
      <c r="C447" t="s">
        <v>60</v>
      </c>
      <c r="D447" t="s">
        <v>83</v>
      </c>
      <c r="E447" t="s">
        <v>184</v>
      </c>
      <c r="F447" s="72">
        <v>175.85</v>
      </c>
      <c r="G447" s="72">
        <v>0</v>
      </c>
    </row>
    <row r="448" spans="2:7" x14ac:dyDescent="0.25">
      <c r="B448" s="71">
        <v>43501</v>
      </c>
      <c r="C448" t="s">
        <v>58</v>
      </c>
      <c r="D448" t="s">
        <v>81</v>
      </c>
      <c r="E448" t="s">
        <v>184</v>
      </c>
      <c r="F448" s="72">
        <v>27.75</v>
      </c>
      <c r="G448" s="72">
        <v>0</v>
      </c>
    </row>
    <row r="449" spans="2:7" x14ac:dyDescent="0.25">
      <c r="B449" s="71">
        <v>43501</v>
      </c>
      <c r="C449" t="s">
        <v>21</v>
      </c>
      <c r="D449" t="s">
        <v>94</v>
      </c>
      <c r="E449" t="s">
        <v>184</v>
      </c>
      <c r="F449" s="72">
        <v>8</v>
      </c>
      <c r="G449" s="72">
        <v>0</v>
      </c>
    </row>
    <row r="450" spans="2:7" x14ac:dyDescent="0.25">
      <c r="B450" s="71">
        <v>43501</v>
      </c>
      <c r="C450" t="s">
        <v>21</v>
      </c>
      <c r="D450" t="s">
        <v>80</v>
      </c>
      <c r="E450" t="s">
        <v>184</v>
      </c>
      <c r="F450" s="72">
        <v>24</v>
      </c>
      <c r="G450" s="72">
        <v>0</v>
      </c>
    </row>
    <row r="451" spans="2:7" x14ac:dyDescent="0.25">
      <c r="B451" s="71">
        <v>43501</v>
      </c>
      <c r="C451" t="s">
        <v>21</v>
      </c>
      <c r="D451" t="s">
        <v>80</v>
      </c>
      <c r="E451" t="s">
        <v>184</v>
      </c>
      <c r="F451" s="72">
        <v>32</v>
      </c>
      <c r="G451" s="72">
        <v>0</v>
      </c>
    </row>
    <row r="452" spans="2:7" x14ac:dyDescent="0.25">
      <c r="B452" s="71">
        <v>43501</v>
      </c>
      <c r="C452" t="s">
        <v>49</v>
      </c>
      <c r="D452" t="s">
        <v>88</v>
      </c>
      <c r="E452" t="s">
        <v>184</v>
      </c>
      <c r="F452" s="72">
        <v>29.96</v>
      </c>
      <c r="G452" s="72">
        <v>0</v>
      </c>
    </row>
    <row r="453" spans="2:7" x14ac:dyDescent="0.25">
      <c r="B453" s="71">
        <v>43501</v>
      </c>
      <c r="C453" t="s">
        <v>46</v>
      </c>
      <c r="D453" t="s">
        <v>83</v>
      </c>
      <c r="E453" t="s">
        <v>184</v>
      </c>
      <c r="F453" s="72">
        <v>42</v>
      </c>
      <c r="G453" s="72">
        <v>0</v>
      </c>
    </row>
    <row r="454" spans="2:7" x14ac:dyDescent="0.25">
      <c r="B454" s="71">
        <v>43501</v>
      </c>
      <c r="C454" t="s">
        <v>54</v>
      </c>
      <c r="D454" t="s">
        <v>86</v>
      </c>
      <c r="E454" t="s">
        <v>184</v>
      </c>
      <c r="F454" s="72">
        <v>262.48</v>
      </c>
      <c r="G454" s="72">
        <v>0</v>
      </c>
    </row>
    <row r="455" spans="2:7" x14ac:dyDescent="0.25">
      <c r="B455" s="71">
        <v>43502</v>
      </c>
      <c r="C455" t="s">
        <v>25</v>
      </c>
      <c r="D455" t="s">
        <v>82</v>
      </c>
      <c r="E455" t="s">
        <v>155</v>
      </c>
      <c r="F455" s="72">
        <v>2.25</v>
      </c>
      <c r="G455" s="72">
        <v>0</v>
      </c>
    </row>
    <row r="456" spans="2:7" x14ac:dyDescent="0.25">
      <c r="B456" s="71">
        <v>43502</v>
      </c>
      <c r="C456" t="s">
        <v>25</v>
      </c>
      <c r="D456" t="s">
        <v>83</v>
      </c>
      <c r="E456" t="s">
        <v>185</v>
      </c>
      <c r="F456" s="72">
        <v>25</v>
      </c>
      <c r="G456" s="72">
        <v>0</v>
      </c>
    </row>
    <row r="457" spans="2:7" x14ac:dyDescent="0.25">
      <c r="B457" s="71">
        <v>43502</v>
      </c>
      <c r="C457" t="s">
        <v>52</v>
      </c>
      <c r="D457" t="s">
        <v>83</v>
      </c>
      <c r="E457" t="s">
        <v>185</v>
      </c>
      <c r="F457" s="72">
        <v>334.41</v>
      </c>
      <c r="G457" s="72">
        <v>0</v>
      </c>
    </row>
    <row r="458" spans="2:7" x14ac:dyDescent="0.25">
      <c r="B458" s="71">
        <v>43502</v>
      </c>
      <c r="C458" t="s">
        <v>21</v>
      </c>
      <c r="D458" t="s">
        <v>80</v>
      </c>
      <c r="E458" t="s">
        <v>185</v>
      </c>
      <c r="F458" s="72">
        <v>16</v>
      </c>
      <c r="G458" s="72">
        <v>0</v>
      </c>
    </row>
    <row r="459" spans="2:7" x14ac:dyDescent="0.25">
      <c r="B459" s="71">
        <v>43502</v>
      </c>
      <c r="C459" t="s">
        <v>51</v>
      </c>
      <c r="D459" t="s">
        <v>83</v>
      </c>
      <c r="E459" t="s">
        <v>185</v>
      </c>
      <c r="F459" s="72">
        <v>10.57</v>
      </c>
      <c r="G459" s="72">
        <v>0</v>
      </c>
    </row>
    <row r="460" spans="2:7" x14ac:dyDescent="0.25">
      <c r="B460" s="71">
        <v>43503</v>
      </c>
      <c r="C460" t="s">
        <v>25</v>
      </c>
      <c r="D460" t="s">
        <v>84</v>
      </c>
      <c r="E460" t="s">
        <v>186</v>
      </c>
      <c r="F460" s="72">
        <v>32.1</v>
      </c>
      <c r="G460" s="72">
        <v>0</v>
      </c>
    </row>
    <row r="461" spans="2:7" x14ac:dyDescent="0.25">
      <c r="B461" s="71">
        <v>43503</v>
      </c>
      <c r="C461" t="s">
        <v>25</v>
      </c>
      <c r="D461" t="s">
        <v>88</v>
      </c>
      <c r="E461" t="s">
        <v>186</v>
      </c>
      <c r="F461" s="72">
        <v>17.07</v>
      </c>
      <c r="G461" s="72">
        <v>0</v>
      </c>
    </row>
    <row r="462" spans="2:7" x14ac:dyDescent="0.25">
      <c r="B462" s="71">
        <v>43503</v>
      </c>
      <c r="C462" t="s">
        <v>25</v>
      </c>
      <c r="D462" t="s">
        <v>88</v>
      </c>
      <c r="E462" t="s">
        <v>186</v>
      </c>
      <c r="F462" s="72">
        <v>18</v>
      </c>
      <c r="G462" s="72">
        <v>0</v>
      </c>
    </row>
    <row r="463" spans="2:7" x14ac:dyDescent="0.25">
      <c r="B463" s="71">
        <v>43503</v>
      </c>
      <c r="C463" t="s">
        <v>25</v>
      </c>
      <c r="D463" t="s">
        <v>88</v>
      </c>
      <c r="E463" t="s">
        <v>186</v>
      </c>
      <c r="F463" s="72">
        <v>31.13</v>
      </c>
      <c r="G463" s="72">
        <v>0</v>
      </c>
    </row>
    <row r="464" spans="2:7" x14ac:dyDescent="0.25">
      <c r="B464" s="71">
        <v>43503</v>
      </c>
      <c r="C464" t="s">
        <v>25</v>
      </c>
      <c r="D464" t="s">
        <v>88</v>
      </c>
      <c r="E464" t="s">
        <v>186</v>
      </c>
      <c r="F464" s="72">
        <v>49.11</v>
      </c>
      <c r="G464" s="72">
        <v>0</v>
      </c>
    </row>
    <row r="465" spans="2:7" x14ac:dyDescent="0.25">
      <c r="B465" s="71">
        <v>43503</v>
      </c>
      <c r="C465" t="s">
        <v>25</v>
      </c>
      <c r="D465" t="s">
        <v>88</v>
      </c>
      <c r="E465" t="s">
        <v>186</v>
      </c>
      <c r="F465" s="72">
        <v>66.849999999999994</v>
      </c>
      <c r="G465" s="72">
        <v>0</v>
      </c>
    </row>
    <row r="466" spans="2:7" x14ac:dyDescent="0.25">
      <c r="B466" s="71">
        <v>43503</v>
      </c>
      <c r="C466" t="s">
        <v>25</v>
      </c>
      <c r="D466" t="s">
        <v>88</v>
      </c>
      <c r="E466" t="s">
        <v>186</v>
      </c>
      <c r="F466" s="72">
        <v>101.68</v>
      </c>
      <c r="G466" s="72">
        <v>0</v>
      </c>
    </row>
    <row r="467" spans="2:7" x14ac:dyDescent="0.25">
      <c r="B467" s="71">
        <v>43503</v>
      </c>
      <c r="C467" t="s">
        <v>25</v>
      </c>
      <c r="D467" t="s">
        <v>87</v>
      </c>
      <c r="E467" t="s">
        <v>186</v>
      </c>
      <c r="F467" s="72">
        <v>28</v>
      </c>
      <c r="G467" s="72">
        <v>0</v>
      </c>
    </row>
    <row r="468" spans="2:7" x14ac:dyDescent="0.25">
      <c r="B468" s="71">
        <v>43503</v>
      </c>
      <c r="C468" t="s">
        <v>25</v>
      </c>
      <c r="D468" t="s">
        <v>82</v>
      </c>
      <c r="E468" t="s">
        <v>156</v>
      </c>
      <c r="F468" s="72">
        <v>2.4</v>
      </c>
      <c r="G468" s="72">
        <v>0</v>
      </c>
    </row>
    <row r="469" spans="2:7" x14ac:dyDescent="0.25">
      <c r="B469" s="71">
        <v>43503</v>
      </c>
      <c r="C469" t="s">
        <v>21</v>
      </c>
      <c r="D469" t="s">
        <v>80</v>
      </c>
      <c r="E469" t="s">
        <v>186</v>
      </c>
      <c r="F469" s="72">
        <v>8</v>
      </c>
      <c r="G469" s="72">
        <v>0</v>
      </c>
    </row>
    <row r="470" spans="2:7" x14ac:dyDescent="0.25">
      <c r="B470" s="71">
        <v>43503</v>
      </c>
      <c r="C470" t="s">
        <v>21</v>
      </c>
      <c r="D470" t="s">
        <v>80</v>
      </c>
      <c r="E470" t="s">
        <v>186</v>
      </c>
      <c r="F470" s="72">
        <v>16</v>
      </c>
      <c r="G470" s="72">
        <v>0</v>
      </c>
    </row>
    <row r="471" spans="2:7" x14ac:dyDescent="0.25">
      <c r="B471" s="71">
        <v>43503</v>
      </c>
      <c r="C471" t="s">
        <v>21</v>
      </c>
      <c r="D471" t="s">
        <v>80</v>
      </c>
      <c r="E471" t="s">
        <v>186</v>
      </c>
      <c r="F471" s="72">
        <v>64</v>
      </c>
      <c r="G471" s="72">
        <v>0</v>
      </c>
    </row>
    <row r="472" spans="2:7" x14ac:dyDescent="0.25">
      <c r="B472" s="71">
        <v>43503</v>
      </c>
      <c r="C472" t="s">
        <v>46</v>
      </c>
      <c r="D472" t="s">
        <v>87</v>
      </c>
      <c r="E472" t="s">
        <v>186</v>
      </c>
      <c r="F472" s="72">
        <v>517.79</v>
      </c>
      <c r="G472" s="72">
        <v>0</v>
      </c>
    </row>
    <row r="473" spans="2:7" x14ac:dyDescent="0.25">
      <c r="B473" s="71">
        <v>43503</v>
      </c>
      <c r="C473" t="s">
        <v>50</v>
      </c>
      <c r="D473" t="s">
        <v>83</v>
      </c>
      <c r="E473" t="s">
        <v>186</v>
      </c>
      <c r="F473" s="72">
        <v>77</v>
      </c>
      <c r="G473" s="72">
        <v>0</v>
      </c>
    </row>
    <row r="474" spans="2:7" x14ac:dyDescent="0.25">
      <c r="B474" s="71">
        <v>43503</v>
      </c>
      <c r="C474" t="s">
        <v>24</v>
      </c>
      <c r="D474" t="s">
        <v>80</v>
      </c>
      <c r="E474" t="s">
        <v>186</v>
      </c>
      <c r="F474" s="72">
        <v>8</v>
      </c>
      <c r="G474" s="72">
        <v>0</v>
      </c>
    </row>
    <row r="475" spans="2:7" x14ac:dyDescent="0.25">
      <c r="B475" s="71">
        <v>43504</v>
      </c>
      <c r="C475" t="s">
        <v>25</v>
      </c>
      <c r="D475" t="s">
        <v>86</v>
      </c>
      <c r="E475" t="s">
        <v>187</v>
      </c>
      <c r="F475" s="72">
        <v>17</v>
      </c>
      <c r="G475" s="72">
        <v>0</v>
      </c>
    </row>
    <row r="476" spans="2:7" x14ac:dyDescent="0.25">
      <c r="B476" s="71">
        <v>43504</v>
      </c>
      <c r="C476" t="s">
        <v>25</v>
      </c>
      <c r="D476" t="s">
        <v>86</v>
      </c>
      <c r="E476" t="s">
        <v>187</v>
      </c>
      <c r="F476" s="72">
        <v>22.27</v>
      </c>
      <c r="G476" s="72">
        <v>0</v>
      </c>
    </row>
    <row r="477" spans="2:7" x14ac:dyDescent="0.25">
      <c r="B477" s="71">
        <v>43504</v>
      </c>
      <c r="C477" t="s">
        <v>25</v>
      </c>
      <c r="D477" t="s">
        <v>82</v>
      </c>
      <c r="E477" t="s">
        <v>149</v>
      </c>
      <c r="F477" s="72">
        <v>2.25</v>
      </c>
      <c r="G477" s="72">
        <v>0</v>
      </c>
    </row>
    <row r="478" spans="2:7" x14ac:dyDescent="0.25">
      <c r="B478" s="71">
        <v>43504</v>
      </c>
      <c r="C478" t="s">
        <v>25</v>
      </c>
      <c r="D478" t="s">
        <v>82</v>
      </c>
      <c r="E478" t="s">
        <v>141</v>
      </c>
      <c r="F478" s="72">
        <v>2.4</v>
      </c>
      <c r="G478" s="72">
        <v>0</v>
      </c>
    </row>
    <row r="479" spans="2:7" x14ac:dyDescent="0.25">
      <c r="B479" s="71">
        <v>43504</v>
      </c>
      <c r="C479" t="s">
        <v>25</v>
      </c>
      <c r="D479" t="s">
        <v>82</v>
      </c>
      <c r="E479" t="s">
        <v>188</v>
      </c>
      <c r="F479" s="72">
        <v>7.2</v>
      </c>
      <c r="G479" s="72">
        <v>0</v>
      </c>
    </row>
    <row r="480" spans="2:7" x14ac:dyDescent="0.25">
      <c r="B480" s="71">
        <v>43504</v>
      </c>
      <c r="C480" t="s">
        <v>47</v>
      </c>
      <c r="D480" t="s">
        <v>83</v>
      </c>
      <c r="E480" t="s">
        <v>187</v>
      </c>
      <c r="F480" s="72">
        <v>14.3</v>
      </c>
      <c r="G480" s="72">
        <v>0</v>
      </c>
    </row>
    <row r="481" spans="2:7" x14ac:dyDescent="0.25">
      <c r="B481" s="71">
        <v>43504</v>
      </c>
      <c r="C481" t="s">
        <v>60</v>
      </c>
      <c r="D481" t="s">
        <v>83</v>
      </c>
      <c r="E481" t="s">
        <v>187</v>
      </c>
      <c r="F481" s="72">
        <v>39</v>
      </c>
      <c r="G481" s="72">
        <v>0</v>
      </c>
    </row>
    <row r="482" spans="2:7" x14ac:dyDescent="0.25">
      <c r="B482" s="71">
        <v>43504</v>
      </c>
      <c r="C482" t="s">
        <v>48</v>
      </c>
      <c r="D482" t="s">
        <v>83</v>
      </c>
      <c r="E482" t="s">
        <v>187</v>
      </c>
      <c r="F482" s="72">
        <v>22</v>
      </c>
      <c r="G482" s="72">
        <v>0</v>
      </c>
    </row>
    <row r="483" spans="2:7" x14ac:dyDescent="0.25">
      <c r="B483" s="71">
        <v>43504</v>
      </c>
      <c r="C483" t="s">
        <v>52</v>
      </c>
      <c r="D483" t="s">
        <v>83</v>
      </c>
      <c r="E483" t="s">
        <v>187</v>
      </c>
      <c r="F483" s="72">
        <v>47.6</v>
      </c>
      <c r="G483" s="72">
        <v>0</v>
      </c>
    </row>
    <row r="484" spans="2:7" x14ac:dyDescent="0.25">
      <c r="B484" s="71">
        <v>43504</v>
      </c>
      <c r="C484" t="s">
        <v>58</v>
      </c>
      <c r="D484" t="s">
        <v>81</v>
      </c>
      <c r="E484" t="s">
        <v>187</v>
      </c>
      <c r="F484" s="72">
        <v>158.94999999999999</v>
      </c>
      <c r="G484" s="72">
        <v>0</v>
      </c>
    </row>
    <row r="485" spans="2:7" x14ac:dyDescent="0.25">
      <c r="B485" s="71">
        <v>43504</v>
      </c>
      <c r="C485" t="s">
        <v>21</v>
      </c>
      <c r="D485" t="s">
        <v>80</v>
      </c>
      <c r="E485" t="s">
        <v>187</v>
      </c>
      <c r="F485" s="72">
        <v>8</v>
      </c>
      <c r="G485" s="72">
        <v>0</v>
      </c>
    </row>
    <row r="486" spans="2:7" x14ac:dyDescent="0.25">
      <c r="B486" s="71">
        <v>43504</v>
      </c>
      <c r="C486" t="s">
        <v>21</v>
      </c>
      <c r="D486" t="s">
        <v>80</v>
      </c>
      <c r="E486" t="s">
        <v>187</v>
      </c>
      <c r="F486" s="72">
        <v>16</v>
      </c>
      <c r="G486" s="72">
        <v>0</v>
      </c>
    </row>
    <row r="487" spans="2:7" x14ac:dyDescent="0.25">
      <c r="B487" s="71">
        <v>43504</v>
      </c>
      <c r="C487" t="s">
        <v>21</v>
      </c>
      <c r="D487" t="s">
        <v>80</v>
      </c>
      <c r="E487" t="s">
        <v>187</v>
      </c>
      <c r="F487" s="72">
        <v>24</v>
      </c>
      <c r="G487" s="72">
        <v>0</v>
      </c>
    </row>
    <row r="488" spans="2:7" x14ac:dyDescent="0.25">
      <c r="B488" s="71">
        <v>43504</v>
      </c>
      <c r="C488" t="s">
        <v>21</v>
      </c>
      <c r="D488" t="s">
        <v>80</v>
      </c>
      <c r="E488" t="s">
        <v>187</v>
      </c>
      <c r="F488" s="72">
        <v>32</v>
      </c>
      <c r="G488" s="72">
        <v>0</v>
      </c>
    </row>
    <row r="489" spans="2:7" x14ac:dyDescent="0.25">
      <c r="B489" s="71">
        <v>43504</v>
      </c>
      <c r="C489" t="s">
        <v>21</v>
      </c>
      <c r="D489" t="s">
        <v>80</v>
      </c>
      <c r="E489" t="s">
        <v>187</v>
      </c>
      <c r="F489" s="72">
        <v>40</v>
      </c>
      <c r="G489" s="72">
        <v>0</v>
      </c>
    </row>
    <row r="490" spans="2:7" x14ac:dyDescent="0.25">
      <c r="B490" s="71">
        <v>43504</v>
      </c>
      <c r="C490" t="s">
        <v>21</v>
      </c>
      <c r="D490" t="s">
        <v>80</v>
      </c>
      <c r="E490" t="s">
        <v>187</v>
      </c>
      <c r="F490" s="72">
        <v>72</v>
      </c>
      <c r="G490" s="72">
        <v>0</v>
      </c>
    </row>
    <row r="491" spans="2:7" x14ac:dyDescent="0.25">
      <c r="B491" s="71">
        <v>43504</v>
      </c>
      <c r="C491" t="s">
        <v>21</v>
      </c>
      <c r="D491" t="s">
        <v>83</v>
      </c>
      <c r="E491" t="s">
        <v>187</v>
      </c>
      <c r="F491" s="72">
        <v>139.19999999999999</v>
      </c>
      <c r="G491" s="72">
        <v>0</v>
      </c>
    </row>
    <row r="492" spans="2:7" x14ac:dyDescent="0.25">
      <c r="B492" s="71">
        <v>43504</v>
      </c>
      <c r="C492" t="s">
        <v>49</v>
      </c>
      <c r="D492" t="s">
        <v>80</v>
      </c>
      <c r="E492" t="s">
        <v>187</v>
      </c>
      <c r="F492" s="72">
        <v>574.17999999999995</v>
      </c>
      <c r="G492" s="72">
        <v>0</v>
      </c>
    </row>
    <row r="493" spans="2:7" x14ac:dyDescent="0.25">
      <c r="B493" s="71">
        <v>43504</v>
      </c>
      <c r="C493" t="s">
        <v>50</v>
      </c>
      <c r="D493" t="s">
        <v>86</v>
      </c>
      <c r="E493" t="s">
        <v>187</v>
      </c>
      <c r="F493" s="72">
        <v>36</v>
      </c>
      <c r="G493" s="72">
        <v>0</v>
      </c>
    </row>
    <row r="494" spans="2:7" x14ac:dyDescent="0.25">
      <c r="B494" s="71">
        <v>43504</v>
      </c>
      <c r="C494" t="s">
        <v>50</v>
      </c>
      <c r="D494" t="s">
        <v>83</v>
      </c>
      <c r="E494" t="s">
        <v>187</v>
      </c>
      <c r="F494" s="72">
        <v>24</v>
      </c>
      <c r="G494" s="72">
        <v>0</v>
      </c>
    </row>
    <row r="495" spans="2:7" x14ac:dyDescent="0.25">
      <c r="B495" s="71">
        <v>43504</v>
      </c>
      <c r="C495" t="s">
        <v>51</v>
      </c>
      <c r="D495" t="s">
        <v>80</v>
      </c>
      <c r="E495" t="s">
        <v>187</v>
      </c>
      <c r="F495" s="72">
        <v>10</v>
      </c>
      <c r="G495" s="72">
        <v>0</v>
      </c>
    </row>
    <row r="496" spans="2:7" x14ac:dyDescent="0.25">
      <c r="B496" s="71">
        <v>43504</v>
      </c>
      <c r="C496" t="s">
        <v>51</v>
      </c>
      <c r="D496" t="s">
        <v>83</v>
      </c>
      <c r="E496" t="s">
        <v>187</v>
      </c>
      <c r="F496" s="72">
        <v>20.51</v>
      </c>
      <c r="G496" s="72">
        <v>0</v>
      </c>
    </row>
    <row r="497" spans="2:7" x14ac:dyDescent="0.25">
      <c r="B497" s="71">
        <v>43504</v>
      </c>
      <c r="C497" t="s">
        <v>53</v>
      </c>
      <c r="D497" t="s">
        <v>83</v>
      </c>
      <c r="E497" t="s">
        <v>187</v>
      </c>
      <c r="F497" s="72">
        <v>8</v>
      </c>
      <c r="G497" s="72">
        <v>0</v>
      </c>
    </row>
    <row r="498" spans="2:7" x14ac:dyDescent="0.25">
      <c r="B498" s="71">
        <v>43504</v>
      </c>
      <c r="C498" t="s">
        <v>59</v>
      </c>
      <c r="D498" t="s">
        <v>83</v>
      </c>
      <c r="E498" t="s">
        <v>187</v>
      </c>
      <c r="F498" s="72">
        <v>10</v>
      </c>
      <c r="G498" s="72">
        <v>0</v>
      </c>
    </row>
    <row r="499" spans="2:7" x14ac:dyDescent="0.25">
      <c r="B499" s="71">
        <v>43504</v>
      </c>
      <c r="C499" t="s">
        <v>64</v>
      </c>
      <c r="D499" t="s">
        <v>81</v>
      </c>
      <c r="E499" t="s">
        <v>187</v>
      </c>
      <c r="F499" s="72">
        <v>45.13</v>
      </c>
      <c r="G499" s="72">
        <v>0</v>
      </c>
    </row>
    <row r="500" spans="2:7" x14ac:dyDescent="0.25">
      <c r="B500" s="71">
        <v>43504</v>
      </c>
      <c r="C500" t="s">
        <v>66</v>
      </c>
      <c r="D500" t="s">
        <v>86</v>
      </c>
      <c r="E500" t="s">
        <v>187</v>
      </c>
      <c r="F500" s="72">
        <v>30</v>
      </c>
      <c r="G500" s="72">
        <v>0</v>
      </c>
    </row>
    <row r="501" spans="2:7" x14ac:dyDescent="0.25">
      <c r="B501" s="71">
        <v>43504</v>
      </c>
      <c r="C501" t="s">
        <v>24</v>
      </c>
      <c r="D501" t="s">
        <v>80</v>
      </c>
      <c r="E501" t="s">
        <v>187</v>
      </c>
      <c r="F501" s="72">
        <v>8</v>
      </c>
      <c r="G501" s="72">
        <v>0</v>
      </c>
    </row>
    <row r="502" spans="2:7" x14ac:dyDescent="0.25">
      <c r="B502" s="71">
        <v>43505</v>
      </c>
      <c r="C502" t="s">
        <v>25</v>
      </c>
      <c r="D502" t="s">
        <v>95</v>
      </c>
      <c r="E502" t="s">
        <v>189</v>
      </c>
      <c r="F502" s="72">
        <v>42.78</v>
      </c>
      <c r="G502" s="72">
        <v>0</v>
      </c>
    </row>
    <row r="503" spans="2:7" x14ac:dyDescent="0.25">
      <c r="B503" s="71">
        <v>43505</v>
      </c>
      <c r="C503" t="s">
        <v>25</v>
      </c>
      <c r="D503" t="s">
        <v>95</v>
      </c>
      <c r="E503" t="s">
        <v>189</v>
      </c>
      <c r="F503" s="72">
        <v>43.11</v>
      </c>
      <c r="G503" s="72">
        <v>0</v>
      </c>
    </row>
    <row r="504" spans="2:7" x14ac:dyDescent="0.25">
      <c r="B504" s="71">
        <v>43505</v>
      </c>
      <c r="C504" t="s">
        <v>25</v>
      </c>
      <c r="D504" t="s">
        <v>95</v>
      </c>
      <c r="E504" t="s">
        <v>189</v>
      </c>
      <c r="F504" s="72">
        <v>43.5</v>
      </c>
      <c r="G504" s="72">
        <v>0</v>
      </c>
    </row>
    <row r="505" spans="2:7" x14ac:dyDescent="0.25">
      <c r="B505" s="71">
        <v>43505</v>
      </c>
      <c r="C505" t="s">
        <v>25</v>
      </c>
      <c r="D505" t="s">
        <v>95</v>
      </c>
      <c r="E505" t="s">
        <v>189</v>
      </c>
      <c r="F505" s="72">
        <v>44.01</v>
      </c>
      <c r="G505" s="72">
        <v>0</v>
      </c>
    </row>
    <row r="506" spans="2:7" x14ac:dyDescent="0.25">
      <c r="B506" s="71">
        <v>43505</v>
      </c>
      <c r="C506" t="s">
        <v>25</v>
      </c>
      <c r="D506" t="s">
        <v>95</v>
      </c>
      <c r="E506" t="s">
        <v>189</v>
      </c>
      <c r="F506" s="72">
        <v>61</v>
      </c>
      <c r="G506" s="72">
        <v>0</v>
      </c>
    </row>
    <row r="507" spans="2:7" x14ac:dyDescent="0.25">
      <c r="B507" s="71">
        <v>43505</v>
      </c>
      <c r="C507" t="s">
        <v>25</v>
      </c>
      <c r="D507" t="s">
        <v>95</v>
      </c>
      <c r="E507" t="s">
        <v>189</v>
      </c>
      <c r="F507" s="72">
        <v>66.95</v>
      </c>
      <c r="G507" s="72">
        <v>0</v>
      </c>
    </row>
    <row r="508" spans="2:7" x14ac:dyDescent="0.25">
      <c r="B508" s="71">
        <v>43505</v>
      </c>
      <c r="C508" t="s">
        <v>25</v>
      </c>
      <c r="D508" t="s">
        <v>95</v>
      </c>
      <c r="E508" t="s">
        <v>189</v>
      </c>
      <c r="F508" s="72">
        <v>77.08</v>
      </c>
      <c r="G508" s="72">
        <v>0</v>
      </c>
    </row>
    <row r="509" spans="2:7" x14ac:dyDescent="0.25">
      <c r="B509" s="71">
        <v>43505</v>
      </c>
      <c r="C509" t="s">
        <v>25</v>
      </c>
      <c r="D509" t="s">
        <v>95</v>
      </c>
      <c r="E509" t="s">
        <v>189</v>
      </c>
      <c r="F509" s="72">
        <v>110.17</v>
      </c>
      <c r="G509" s="72">
        <v>0</v>
      </c>
    </row>
    <row r="510" spans="2:7" x14ac:dyDescent="0.25">
      <c r="B510" s="71">
        <v>43505</v>
      </c>
      <c r="C510" t="s">
        <v>25</v>
      </c>
      <c r="D510" t="s">
        <v>95</v>
      </c>
      <c r="E510" t="s">
        <v>189</v>
      </c>
      <c r="F510" s="72">
        <v>111.83</v>
      </c>
      <c r="G510" s="72">
        <v>0</v>
      </c>
    </row>
    <row r="511" spans="2:7" x14ac:dyDescent="0.25">
      <c r="B511" s="71">
        <v>43505</v>
      </c>
      <c r="C511" t="s">
        <v>55</v>
      </c>
      <c r="D511" t="s">
        <v>95</v>
      </c>
      <c r="E511" t="s">
        <v>189</v>
      </c>
      <c r="F511" s="72">
        <v>5620.07</v>
      </c>
      <c r="G511" s="72">
        <v>0</v>
      </c>
    </row>
    <row r="512" spans="2:7" x14ac:dyDescent="0.25">
      <c r="B512" s="71">
        <v>43505</v>
      </c>
      <c r="C512" t="s">
        <v>47</v>
      </c>
      <c r="D512" t="s">
        <v>95</v>
      </c>
      <c r="E512" t="s">
        <v>189</v>
      </c>
      <c r="F512" s="72">
        <v>150.58000000000001</v>
      </c>
      <c r="G512" s="72">
        <v>0</v>
      </c>
    </row>
    <row r="513" spans="2:7" x14ac:dyDescent="0.25">
      <c r="B513" s="71">
        <v>43505</v>
      </c>
      <c r="C513" t="s">
        <v>21</v>
      </c>
      <c r="D513" t="s">
        <v>95</v>
      </c>
      <c r="E513" t="s">
        <v>189</v>
      </c>
      <c r="F513" s="72">
        <v>16.690000000000001</v>
      </c>
      <c r="G513" s="72">
        <v>0</v>
      </c>
    </row>
    <row r="514" spans="2:7" x14ac:dyDescent="0.25">
      <c r="B514" s="71">
        <v>43505</v>
      </c>
      <c r="C514" t="s">
        <v>21</v>
      </c>
      <c r="D514" t="s">
        <v>95</v>
      </c>
      <c r="E514" t="s">
        <v>189</v>
      </c>
      <c r="F514" s="72">
        <v>22.42</v>
      </c>
      <c r="G514" s="72">
        <v>0</v>
      </c>
    </row>
    <row r="515" spans="2:7" x14ac:dyDescent="0.25">
      <c r="B515" s="71">
        <v>43505</v>
      </c>
      <c r="C515" t="s">
        <v>21</v>
      </c>
      <c r="D515" t="s">
        <v>95</v>
      </c>
      <c r="E515" t="s">
        <v>189</v>
      </c>
      <c r="F515" s="72">
        <v>39.020000000000003</v>
      </c>
      <c r="G515" s="72">
        <v>0</v>
      </c>
    </row>
    <row r="516" spans="2:7" x14ac:dyDescent="0.25">
      <c r="B516" s="71">
        <v>43505</v>
      </c>
      <c r="C516" t="s">
        <v>21</v>
      </c>
      <c r="D516" t="s">
        <v>95</v>
      </c>
      <c r="E516" t="s">
        <v>189</v>
      </c>
      <c r="F516" s="72">
        <v>84.8</v>
      </c>
      <c r="G516" s="72">
        <v>0</v>
      </c>
    </row>
    <row r="517" spans="2:7" x14ac:dyDescent="0.25">
      <c r="B517" s="71">
        <v>43505</v>
      </c>
      <c r="C517" t="s">
        <v>21</v>
      </c>
      <c r="D517" t="s">
        <v>95</v>
      </c>
      <c r="E517" t="s">
        <v>189</v>
      </c>
      <c r="F517" s="72">
        <v>85.49</v>
      </c>
      <c r="G517" s="72">
        <v>0</v>
      </c>
    </row>
    <row r="518" spans="2:7" x14ac:dyDescent="0.25">
      <c r="B518" s="71">
        <v>43505</v>
      </c>
      <c r="C518" t="s">
        <v>21</v>
      </c>
      <c r="D518" t="s">
        <v>95</v>
      </c>
      <c r="E518" t="s">
        <v>189</v>
      </c>
      <c r="F518" s="72">
        <v>123.44</v>
      </c>
      <c r="G518" s="72">
        <v>0</v>
      </c>
    </row>
    <row r="519" spans="2:7" x14ac:dyDescent="0.25">
      <c r="B519" s="71">
        <v>43505</v>
      </c>
      <c r="C519" t="s">
        <v>21</v>
      </c>
      <c r="D519" t="s">
        <v>95</v>
      </c>
      <c r="E519" t="s">
        <v>189</v>
      </c>
      <c r="F519" s="72">
        <v>200.77</v>
      </c>
      <c r="G519" s="72">
        <v>0</v>
      </c>
    </row>
    <row r="520" spans="2:7" x14ac:dyDescent="0.25">
      <c r="B520" s="71">
        <v>43505</v>
      </c>
      <c r="C520" t="s">
        <v>21</v>
      </c>
      <c r="D520" t="s">
        <v>95</v>
      </c>
      <c r="E520" t="s">
        <v>189</v>
      </c>
      <c r="F520" s="72">
        <v>209.59</v>
      </c>
      <c r="G520" s="72">
        <v>0</v>
      </c>
    </row>
    <row r="521" spans="2:7" x14ac:dyDescent="0.25">
      <c r="B521" s="71">
        <v>43505</v>
      </c>
      <c r="C521" t="s">
        <v>21</v>
      </c>
      <c r="D521" t="s">
        <v>95</v>
      </c>
      <c r="E521" t="s">
        <v>189</v>
      </c>
      <c r="F521" s="72">
        <v>212.88</v>
      </c>
      <c r="G521" s="72">
        <v>0</v>
      </c>
    </row>
    <row r="522" spans="2:7" x14ac:dyDescent="0.25">
      <c r="B522" s="71">
        <v>43505</v>
      </c>
      <c r="C522" t="s">
        <v>21</v>
      </c>
      <c r="D522" t="s">
        <v>95</v>
      </c>
      <c r="E522" t="s">
        <v>189</v>
      </c>
      <c r="F522" s="72">
        <v>219.83</v>
      </c>
      <c r="G522" s="72">
        <v>0</v>
      </c>
    </row>
    <row r="523" spans="2:7" x14ac:dyDescent="0.25">
      <c r="B523" s="71">
        <v>43505</v>
      </c>
      <c r="C523" t="s">
        <v>21</v>
      </c>
      <c r="D523" t="s">
        <v>95</v>
      </c>
      <c r="E523" t="s">
        <v>189</v>
      </c>
      <c r="F523" s="72">
        <v>264.37</v>
      </c>
      <c r="G523" s="72">
        <v>0</v>
      </c>
    </row>
    <row r="524" spans="2:7" x14ac:dyDescent="0.25">
      <c r="B524" s="71">
        <v>43505</v>
      </c>
      <c r="C524" t="s">
        <v>21</v>
      </c>
      <c r="D524" t="s">
        <v>95</v>
      </c>
      <c r="E524" t="s">
        <v>189</v>
      </c>
      <c r="F524" s="72">
        <v>295.97000000000003</v>
      </c>
      <c r="G524" s="72">
        <v>0</v>
      </c>
    </row>
    <row r="525" spans="2:7" x14ac:dyDescent="0.25">
      <c r="B525" s="71">
        <v>43505</v>
      </c>
      <c r="C525" t="s">
        <v>21</v>
      </c>
      <c r="D525" t="s">
        <v>95</v>
      </c>
      <c r="E525" t="s">
        <v>189</v>
      </c>
      <c r="F525" s="72">
        <v>307.33999999999997</v>
      </c>
      <c r="G525" s="72">
        <v>0</v>
      </c>
    </row>
    <row r="526" spans="2:7" x14ac:dyDescent="0.25">
      <c r="B526" s="71">
        <v>43505</v>
      </c>
      <c r="C526" t="s">
        <v>21</v>
      </c>
      <c r="D526" t="s">
        <v>95</v>
      </c>
      <c r="E526" t="s">
        <v>189</v>
      </c>
      <c r="F526" s="72">
        <v>387.82</v>
      </c>
      <c r="G526" s="72">
        <v>0</v>
      </c>
    </row>
    <row r="527" spans="2:7" x14ac:dyDescent="0.25">
      <c r="B527" s="71">
        <v>43505</v>
      </c>
      <c r="C527" t="s">
        <v>21</v>
      </c>
      <c r="D527" t="s">
        <v>95</v>
      </c>
      <c r="E527" t="s">
        <v>189</v>
      </c>
      <c r="F527" s="72">
        <v>411.2</v>
      </c>
      <c r="G527" s="72">
        <v>0</v>
      </c>
    </row>
    <row r="528" spans="2:7" x14ac:dyDescent="0.25">
      <c r="B528" s="71">
        <v>43505</v>
      </c>
      <c r="C528" t="s">
        <v>21</v>
      </c>
      <c r="D528" t="s">
        <v>95</v>
      </c>
      <c r="E528" t="s">
        <v>189</v>
      </c>
      <c r="F528" s="72">
        <v>414.19</v>
      </c>
      <c r="G528" s="72">
        <v>0</v>
      </c>
    </row>
    <row r="529" spans="2:7" x14ac:dyDescent="0.25">
      <c r="B529" s="71">
        <v>43505</v>
      </c>
      <c r="C529" t="s">
        <v>21</v>
      </c>
      <c r="D529" t="s">
        <v>95</v>
      </c>
      <c r="E529" t="s">
        <v>189</v>
      </c>
      <c r="F529" s="72">
        <v>478.22</v>
      </c>
      <c r="G529" s="72">
        <v>0</v>
      </c>
    </row>
    <row r="530" spans="2:7" x14ac:dyDescent="0.25">
      <c r="B530" s="71">
        <v>43505</v>
      </c>
      <c r="C530" t="s">
        <v>21</v>
      </c>
      <c r="D530" t="s">
        <v>95</v>
      </c>
      <c r="E530" t="s">
        <v>189</v>
      </c>
      <c r="F530" s="72">
        <v>714.31</v>
      </c>
      <c r="G530" s="72">
        <v>0</v>
      </c>
    </row>
    <row r="531" spans="2:7" x14ac:dyDescent="0.25">
      <c r="B531" s="71">
        <v>43505</v>
      </c>
      <c r="C531" t="s">
        <v>21</v>
      </c>
      <c r="D531" t="s">
        <v>95</v>
      </c>
      <c r="E531" t="s">
        <v>189</v>
      </c>
      <c r="F531" s="72">
        <v>725.25</v>
      </c>
      <c r="G531" s="72">
        <v>0</v>
      </c>
    </row>
    <row r="532" spans="2:7" x14ac:dyDescent="0.25">
      <c r="B532" s="71">
        <v>43505</v>
      </c>
      <c r="C532" t="s">
        <v>21</v>
      </c>
      <c r="D532" t="s">
        <v>95</v>
      </c>
      <c r="E532" t="s">
        <v>189</v>
      </c>
      <c r="F532" s="72">
        <v>812.98</v>
      </c>
      <c r="G532" s="72">
        <v>0</v>
      </c>
    </row>
    <row r="533" spans="2:7" x14ac:dyDescent="0.25">
      <c r="B533" s="71">
        <v>43505</v>
      </c>
      <c r="C533" t="s">
        <v>21</v>
      </c>
      <c r="D533" t="s">
        <v>95</v>
      </c>
      <c r="E533" t="s">
        <v>189</v>
      </c>
      <c r="F533" s="72">
        <v>859.78</v>
      </c>
      <c r="G533" s="72">
        <v>0</v>
      </c>
    </row>
    <row r="534" spans="2:7" x14ac:dyDescent="0.25">
      <c r="B534" s="71">
        <v>43505</v>
      </c>
      <c r="C534" t="s">
        <v>21</v>
      </c>
      <c r="D534" t="s">
        <v>95</v>
      </c>
      <c r="E534" t="s">
        <v>189</v>
      </c>
      <c r="F534" s="72">
        <v>969.56</v>
      </c>
      <c r="G534" s="72">
        <v>0</v>
      </c>
    </row>
    <row r="535" spans="2:7" x14ac:dyDescent="0.25">
      <c r="B535" s="71">
        <v>43505</v>
      </c>
      <c r="C535" t="s">
        <v>21</v>
      </c>
      <c r="D535" t="s">
        <v>95</v>
      </c>
      <c r="E535" t="s">
        <v>189</v>
      </c>
      <c r="F535" s="72">
        <v>983.14</v>
      </c>
      <c r="G535" s="72">
        <v>0</v>
      </c>
    </row>
    <row r="536" spans="2:7" x14ac:dyDescent="0.25">
      <c r="B536" s="71">
        <v>43505</v>
      </c>
      <c r="C536" t="s">
        <v>49</v>
      </c>
      <c r="D536" t="s">
        <v>95</v>
      </c>
      <c r="E536" t="s">
        <v>189</v>
      </c>
      <c r="F536" s="72">
        <v>111.49</v>
      </c>
      <c r="G536" s="72">
        <v>0</v>
      </c>
    </row>
    <row r="537" spans="2:7" x14ac:dyDescent="0.25">
      <c r="B537" s="71">
        <v>43505</v>
      </c>
      <c r="C537" t="s">
        <v>56</v>
      </c>
      <c r="D537" t="s">
        <v>95</v>
      </c>
      <c r="E537" t="s">
        <v>189</v>
      </c>
      <c r="F537" s="72">
        <v>51.85</v>
      </c>
      <c r="G537" s="72">
        <v>0</v>
      </c>
    </row>
    <row r="538" spans="2:7" x14ac:dyDescent="0.25">
      <c r="B538" s="71">
        <v>43505</v>
      </c>
      <c r="C538" t="s">
        <v>50</v>
      </c>
      <c r="D538" t="s">
        <v>95</v>
      </c>
      <c r="E538" t="s">
        <v>189</v>
      </c>
      <c r="F538" s="72">
        <v>1127.55</v>
      </c>
      <c r="G538" s="72">
        <v>0</v>
      </c>
    </row>
    <row r="539" spans="2:7" x14ac:dyDescent="0.25">
      <c r="B539" s="71">
        <v>43505</v>
      </c>
      <c r="C539" t="s">
        <v>51</v>
      </c>
      <c r="D539" t="s">
        <v>95</v>
      </c>
      <c r="E539" t="s">
        <v>189</v>
      </c>
      <c r="F539" s="72">
        <v>506.95</v>
      </c>
      <c r="G539" s="72">
        <v>0</v>
      </c>
    </row>
    <row r="540" spans="2:7" x14ac:dyDescent="0.25">
      <c r="B540" s="71">
        <v>43505</v>
      </c>
      <c r="C540" t="s">
        <v>51</v>
      </c>
      <c r="D540" t="s">
        <v>83</v>
      </c>
      <c r="E540" t="s">
        <v>190</v>
      </c>
      <c r="F540" s="72">
        <v>154.85</v>
      </c>
      <c r="G540" s="72">
        <v>0</v>
      </c>
    </row>
    <row r="541" spans="2:7" x14ac:dyDescent="0.25">
      <c r="B541" s="71">
        <v>43505</v>
      </c>
      <c r="C541" t="s">
        <v>53</v>
      </c>
      <c r="D541" t="s">
        <v>95</v>
      </c>
      <c r="E541" t="s">
        <v>189</v>
      </c>
      <c r="F541" s="72">
        <v>318.22000000000003</v>
      </c>
      <c r="G541" s="72">
        <v>0</v>
      </c>
    </row>
    <row r="542" spans="2:7" x14ac:dyDescent="0.25">
      <c r="B542" s="71">
        <v>43505</v>
      </c>
      <c r="C542" t="s">
        <v>54</v>
      </c>
      <c r="D542" t="s">
        <v>95</v>
      </c>
      <c r="E542" t="s">
        <v>189</v>
      </c>
      <c r="F542" s="72">
        <v>271.64999999999998</v>
      </c>
      <c r="G542" s="72">
        <v>0</v>
      </c>
    </row>
    <row r="543" spans="2:7" x14ac:dyDescent="0.25">
      <c r="B543" s="71">
        <v>43505</v>
      </c>
      <c r="C543" t="s">
        <v>24</v>
      </c>
      <c r="D543" t="s">
        <v>95</v>
      </c>
      <c r="E543" t="s">
        <v>189</v>
      </c>
      <c r="F543" s="72">
        <v>18.420000000000002</v>
      </c>
      <c r="G543" s="72">
        <v>0</v>
      </c>
    </row>
    <row r="544" spans="2:7" x14ac:dyDescent="0.25">
      <c r="B544" s="71">
        <v>43505</v>
      </c>
      <c r="C544" t="s">
        <v>24</v>
      </c>
      <c r="D544" t="s">
        <v>95</v>
      </c>
      <c r="E544" t="s">
        <v>189</v>
      </c>
      <c r="F544" s="72">
        <v>23.25</v>
      </c>
      <c r="G544" s="72">
        <v>0</v>
      </c>
    </row>
    <row r="545" spans="2:7" x14ac:dyDescent="0.25">
      <c r="B545" s="71">
        <v>43505</v>
      </c>
      <c r="C545" t="s">
        <v>24</v>
      </c>
      <c r="D545" t="s">
        <v>95</v>
      </c>
      <c r="E545" t="s">
        <v>189</v>
      </c>
      <c r="F545" s="72">
        <v>24.4</v>
      </c>
      <c r="G545" s="72">
        <v>0</v>
      </c>
    </row>
    <row r="546" spans="2:7" x14ac:dyDescent="0.25">
      <c r="B546" s="71">
        <v>43505</v>
      </c>
      <c r="C546" t="s">
        <v>24</v>
      </c>
      <c r="D546" t="s">
        <v>95</v>
      </c>
      <c r="E546" t="s">
        <v>189</v>
      </c>
      <c r="F546" s="72">
        <v>25.26</v>
      </c>
      <c r="G546" s="72">
        <v>0</v>
      </c>
    </row>
    <row r="547" spans="2:7" x14ac:dyDescent="0.25">
      <c r="B547" s="71">
        <v>43505</v>
      </c>
      <c r="C547" t="s">
        <v>24</v>
      </c>
      <c r="D547" t="s">
        <v>95</v>
      </c>
      <c r="E547" t="s">
        <v>189</v>
      </c>
      <c r="F547" s="72">
        <v>27.18</v>
      </c>
      <c r="G547" s="72">
        <v>0</v>
      </c>
    </row>
    <row r="548" spans="2:7" x14ac:dyDescent="0.25">
      <c r="B548" s="71">
        <v>43505</v>
      </c>
      <c r="C548" t="s">
        <v>24</v>
      </c>
      <c r="D548" t="s">
        <v>95</v>
      </c>
      <c r="E548" t="s">
        <v>189</v>
      </c>
      <c r="F548" s="72">
        <v>28.99</v>
      </c>
      <c r="G548" s="72">
        <v>0</v>
      </c>
    </row>
    <row r="549" spans="2:7" x14ac:dyDescent="0.25">
      <c r="B549" s="71">
        <v>43505</v>
      </c>
      <c r="C549" t="s">
        <v>24</v>
      </c>
      <c r="D549" t="s">
        <v>95</v>
      </c>
      <c r="E549" t="s">
        <v>189</v>
      </c>
      <c r="F549" s="72">
        <v>36.630000000000003</v>
      </c>
      <c r="G549" s="72">
        <v>0</v>
      </c>
    </row>
    <row r="550" spans="2:7" x14ac:dyDescent="0.25">
      <c r="B550" s="71">
        <v>43505</v>
      </c>
      <c r="C550" t="s">
        <v>24</v>
      </c>
      <c r="D550" t="s">
        <v>95</v>
      </c>
      <c r="E550" t="s">
        <v>189</v>
      </c>
      <c r="F550" s="72">
        <v>51.37</v>
      </c>
      <c r="G550" s="72">
        <v>0</v>
      </c>
    </row>
    <row r="551" spans="2:7" x14ac:dyDescent="0.25">
      <c r="B551" s="71">
        <v>43505</v>
      </c>
      <c r="C551" t="s">
        <v>24</v>
      </c>
      <c r="D551" t="s">
        <v>95</v>
      </c>
      <c r="E551" t="s">
        <v>189</v>
      </c>
      <c r="F551" s="72">
        <v>77.61</v>
      </c>
      <c r="G551" s="72">
        <v>0</v>
      </c>
    </row>
    <row r="552" spans="2:7" x14ac:dyDescent="0.25">
      <c r="B552" s="71">
        <v>43505</v>
      </c>
      <c r="C552" t="s">
        <v>24</v>
      </c>
      <c r="D552" t="s">
        <v>95</v>
      </c>
      <c r="E552" t="s">
        <v>189</v>
      </c>
      <c r="F552" s="72">
        <v>90.79</v>
      </c>
      <c r="G552" s="72">
        <v>0</v>
      </c>
    </row>
    <row r="553" spans="2:7" x14ac:dyDescent="0.25">
      <c r="B553" s="71">
        <v>43505</v>
      </c>
      <c r="C553" t="s">
        <v>24</v>
      </c>
      <c r="D553" t="s">
        <v>95</v>
      </c>
      <c r="E553" t="s">
        <v>189</v>
      </c>
      <c r="F553" s="72">
        <v>114.95</v>
      </c>
      <c r="G553" s="72">
        <v>0</v>
      </c>
    </row>
    <row r="554" spans="2:7" x14ac:dyDescent="0.25">
      <c r="B554" s="71">
        <v>43505</v>
      </c>
      <c r="C554" t="s">
        <v>61</v>
      </c>
      <c r="D554" t="s">
        <v>86</v>
      </c>
      <c r="E554" t="s">
        <v>190</v>
      </c>
      <c r="F554" s="72">
        <v>20.100000000000001</v>
      </c>
      <c r="G554" s="72">
        <v>0</v>
      </c>
    </row>
    <row r="555" spans="2:7" x14ac:dyDescent="0.25">
      <c r="B555" s="71">
        <v>43507</v>
      </c>
      <c r="C555" t="s">
        <v>25</v>
      </c>
      <c r="D555" t="s">
        <v>82</v>
      </c>
      <c r="E555" t="s">
        <v>165</v>
      </c>
      <c r="F555" s="72">
        <v>18</v>
      </c>
      <c r="G555" s="72">
        <v>0</v>
      </c>
    </row>
    <row r="556" spans="2:7" x14ac:dyDescent="0.25">
      <c r="B556" s="71">
        <v>43507</v>
      </c>
      <c r="C556" t="s">
        <v>25</v>
      </c>
      <c r="D556" t="s">
        <v>82</v>
      </c>
      <c r="E556" t="s">
        <v>155</v>
      </c>
      <c r="F556" s="72">
        <v>4.5</v>
      </c>
      <c r="G556" s="72">
        <v>0</v>
      </c>
    </row>
    <row r="557" spans="2:7" x14ac:dyDescent="0.25">
      <c r="B557" s="71">
        <v>43507</v>
      </c>
      <c r="C557" t="s">
        <v>21</v>
      </c>
      <c r="D557" t="s">
        <v>80</v>
      </c>
      <c r="E557" t="s">
        <v>191</v>
      </c>
      <c r="F557" s="72">
        <v>8</v>
      </c>
      <c r="G557" s="72">
        <v>0</v>
      </c>
    </row>
    <row r="558" spans="2:7" x14ac:dyDescent="0.25">
      <c r="B558" s="71">
        <v>43507</v>
      </c>
      <c r="C558" t="s">
        <v>21</v>
      </c>
      <c r="D558" t="s">
        <v>80</v>
      </c>
      <c r="E558" t="s">
        <v>191</v>
      </c>
      <c r="F558" s="72">
        <v>32</v>
      </c>
      <c r="G558" s="72">
        <v>0</v>
      </c>
    </row>
    <row r="559" spans="2:7" x14ac:dyDescent="0.25">
      <c r="B559" s="71">
        <v>43507</v>
      </c>
      <c r="C559" t="s">
        <v>49</v>
      </c>
      <c r="D559" t="s">
        <v>85</v>
      </c>
      <c r="E559" t="s">
        <v>191</v>
      </c>
      <c r="F559" s="72">
        <v>1050.5999999999999</v>
      </c>
      <c r="G559" s="72">
        <v>0</v>
      </c>
    </row>
    <row r="560" spans="2:7" x14ac:dyDescent="0.25">
      <c r="B560" s="71">
        <v>43507</v>
      </c>
      <c r="C560" t="s">
        <v>46</v>
      </c>
      <c r="D560" t="s">
        <v>83</v>
      </c>
      <c r="E560" t="s">
        <v>191</v>
      </c>
      <c r="F560" s="72">
        <v>12.9</v>
      </c>
      <c r="G560" s="72">
        <v>0</v>
      </c>
    </row>
    <row r="561" spans="2:7" x14ac:dyDescent="0.25">
      <c r="B561" s="71">
        <v>43507</v>
      </c>
      <c r="C561" t="s">
        <v>24</v>
      </c>
      <c r="D561" t="s">
        <v>80</v>
      </c>
      <c r="E561" t="s">
        <v>191</v>
      </c>
      <c r="F561" s="72">
        <v>8</v>
      </c>
      <c r="G561" s="72">
        <v>0</v>
      </c>
    </row>
    <row r="562" spans="2:7" x14ac:dyDescent="0.25">
      <c r="B562" s="71">
        <v>43508</v>
      </c>
      <c r="C562" t="s">
        <v>25</v>
      </c>
      <c r="D562" t="s">
        <v>82</v>
      </c>
      <c r="E562" t="s">
        <v>192</v>
      </c>
      <c r="F562" s="72">
        <v>22</v>
      </c>
      <c r="G562" s="72">
        <v>0</v>
      </c>
    </row>
    <row r="563" spans="2:7" x14ac:dyDescent="0.25">
      <c r="B563" s="71">
        <v>43508</v>
      </c>
      <c r="C563" t="s">
        <v>25</v>
      </c>
      <c r="D563" t="s">
        <v>82</v>
      </c>
      <c r="E563" t="s">
        <v>129</v>
      </c>
      <c r="F563" s="72">
        <v>3</v>
      </c>
      <c r="G563" s="72">
        <v>0</v>
      </c>
    </row>
    <row r="564" spans="2:7" x14ac:dyDescent="0.25">
      <c r="B564" s="71">
        <v>43508</v>
      </c>
      <c r="C564" t="s">
        <v>60</v>
      </c>
      <c r="D564" t="s">
        <v>83</v>
      </c>
      <c r="E564" t="s">
        <v>193</v>
      </c>
      <c r="F564" s="72">
        <v>91.18</v>
      </c>
      <c r="G564" s="72">
        <v>0</v>
      </c>
    </row>
    <row r="565" spans="2:7" x14ac:dyDescent="0.25">
      <c r="B565" s="71">
        <v>43508</v>
      </c>
      <c r="C565" t="s">
        <v>53</v>
      </c>
      <c r="D565" t="s">
        <v>83</v>
      </c>
      <c r="E565" t="s">
        <v>193</v>
      </c>
      <c r="F565" s="72">
        <v>24</v>
      </c>
      <c r="G565" s="72">
        <v>0</v>
      </c>
    </row>
    <row r="566" spans="2:7" x14ac:dyDescent="0.25">
      <c r="B566" s="71">
        <v>43509</v>
      </c>
      <c r="C566" t="s">
        <v>25</v>
      </c>
      <c r="D566" t="s">
        <v>80</v>
      </c>
      <c r="E566" t="s">
        <v>194</v>
      </c>
      <c r="F566" s="72">
        <v>16</v>
      </c>
      <c r="G566" s="72">
        <v>0</v>
      </c>
    </row>
    <row r="567" spans="2:7" x14ac:dyDescent="0.25">
      <c r="B567" s="71">
        <v>43509</v>
      </c>
      <c r="C567" t="s">
        <v>25</v>
      </c>
      <c r="D567" t="s">
        <v>86</v>
      </c>
      <c r="E567" t="s">
        <v>194</v>
      </c>
      <c r="F567" s="72">
        <v>18</v>
      </c>
      <c r="G567" s="72">
        <v>0</v>
      </c>
    </row>
    <row r="568" spans="2:7" x14ac:dyDescent="0.25">
      <c r="B568" s="71">
        <v>43509</v>
      </c>
      <c r="C568" t="s">
        <v>25</v>
      </c>
      <c r="D568" t="s">
        <v>81</v>
      </c>
      <c r="E568" t="s">
        <v>194</v>
      </c>
      <c r="F568" s="72">
        <v>83.24</v>
      </c>
      <c r="G568" s="72">
        <v>0</v>
      </c>
    </row>
    <row r="569" spans="2:7" x14ac:dyDescent="0.25">
      <c r="B569" s="71">
        <v>43509</v>
      </c>
      <c r="C569" t="s">
        <v>25</v>
      </c>
      <c r="D569" t="s">
        <v>88</v>
      </c>
      <c r="E569" t="s">
        <v>194</v>
      </c>
      <c r="F569" s="72">
        <v>23.4</v>
      </c>
      <c r="G569" s="72">
        <v>0</v>
      </c>
    </row>
    <row r="570" spans="2:7" x14ac:dyDescent="0.25">
      <c r="B570" s="71">
        <v>43509</v>
      </c>
      <c r="C570" t="s">
        <v>25</v>
      </c>
      <c r="D570" t="s">
        <v>88</v>
      </c>
      <c r="E570" t="s">
        <v>194</v>
      </c>
      <c r="F570" s="72">
        <v>23.55</v>
      </c>
      <c r="G570" s="72">
        <v>0</v>
      </c>
    </row>
    <row r="571" spans="2:7" x14ac:dyDescent="0.25">
      <c r="B571" s="71">
        <v>43509</v>
      </c>
      <c r="C571" t="s">
        <v>25</v>
      </c>
      <c r="D571" t="s">
        <v>88</v>
      </c>
      <c r="E571" t="s">
        <v>194</v>
      </c>
      <c r="F571" s="72">
        <v>43.39</v>
      </c>
      <c r="G571" s="72">
        <v>0</v>
      </c>
    </row>
    <row r="572" spans="2:7" x14ac:dyDescent="0.25">
      <c r="B572" s="71">
        <v>43509</v>
      </c>
      <c r="C572" t="s">
        <v>25</v>
      </c>
      <c r="D572" t="s">
        <v>88</v>
      </c>
      <c r="E572" t="s">
        <v>194</v>
      </c>
      <c r="F572" s="72">
        <v>66.099999999999994</v>
      </c>
      <c r="G572" s="72">
        <v>0</v>
      </c>
    </row>
    <row r="573" spans="2:7" x14ac:dyDescent="0.25">
      <c r="B573" s="71">
        <v>43509</v>
      </c>
      <c r="C573" t="s">
        <v>25</v>
      </c>
      <c r="D573" t="s">
        <v>88</v>
      </c>
      <c r="E573" t="s">
        <v>194</v>
      </c>
      <c r="F573" s="72">
        <v>81.83</v>
      </c>
      <c r="G573" s="72">
        <v>0</v>
      </c>
    </row>
    <row r="574" spans="2:7" x14ac:dyDescent="0.25">
      <c r="B574" s="71">
        <v>43509</v>
      </c>
      <c r="C574" t="s">
        <v>25</v>
      </c>
      <c r="D574" t="s">
        <v>88</v>
      </c>
      <c r="E574" t="s">
        <v>194</v>
      </c>
      <c r="F574" s="72">
        <v>104.61</v>
      </c>
      <c r="G574" s="72">
        <v>0</v>
      </c>
    </row>
    <row r="575" spans="2:7" x14ac:dyDescent="0.25">
      <c r="B575" s="71">
        <v>43509</v>
      </c>
      <c r="C575" t="s">
        <v>25</v>
      </c>
      <c r="D575" t="s">
        <v>88</v>
      </c>
      <c r="E575" t="s">
        <v>194</v>
      </c>
      <c r="F575" s="72">
        <v>250</v>
      </c>
      <c r="G575" s="72">
        <v>0</v>
      </c>
    </row>
    <row r="576" spans="2:7" x14ac:dyDescent="0.25">
      <c r="B576" s="71">
        <v>43509</v>
      </c>
      <c r="C576" t="s">
        <v>25</v>
      </c>
      <c r="D576" t="s">
        <v>82</v>
      </c>
      <c r="E576" t="s">
        <v>195</v>
      </c>
      <c r="F576" s="72">
        <v>7.35</v>
      </c>
      <c r="G576" s="72">
        <v>0</v>
      </c>
    </row>
    <row r="577" spans="2:7" x14ac:dyDescent="0.25">
      <c r="B577" s="71">
        <v>43509</v>
      </c>
      <c r="C577" t="s">
        <v>25</v>
      </c>
      <c r="D577" t="s">
        <v>82</v>
      </c>
      <c r="E577" t="s">
        <v>136</v>
      </c>
      <c r="F577" s="72">
        <v>2.4</v>
      </c>
      <c r="G577" s="72">
        <v>0</v>
      </c>
    </row>
    <row r="578" spans="2:7" x14ac:dyDescent="0.25">
      <c r="B578" s="71">
        <v>43509</v>
      </c>
      <c r="C578" t="s">
        <v>25</v>
      </c>
      <c r="D578" t="s">
        <v>82</v>
      </c>
      <c r="E578" t="s">
        <v>196</v>
      </c>
      <c r="F578" s="72">
        <v>9</v>
      </c>
      <c r="G578" s="72">
        <v>0</v>
      </c>
    </row>
    <row r="579" spans="2:7" x14ac:dyDescent="0.25">
      <c r="B579" s="71">
        <v>43509</v>
      </c>
      <c r="C579" t="s">
        <v>25</v>
      </c>
      <c r="D579" t="s">
        <v>82</v>
      </c>
      <c r="E579" t="s">
        <v>192</v>
      </c>
      <c r="F579" s="72">
        <v>22</v>
      </c>
      <c r="G579" s="72">
        <v>0</v>
      </c>
    </row>
    <row r="580" spans="2:7" x14ac:dyDescent="0.25">
      <c r="B580" s="71">
        <v>43509</v>
      </c>
      <c r="C580" t="s">
        <v>25</v>
      </c>
      <c r="D580" t="s">
        <v>82</v>
      </c>
      <c r="E580" t="s">
        <v>188</v>
      </c>
      <c r="F580" s="72">
        <v>2.25</v>
      </c>
      <c r="G580" s="72">
        <v>0</v>
      </c>
    </row>
    <row r="581" spans="2:7" x14ac:dyDescent="0.25">
      <c r="B581" s="71">
        <v>43509</v>
      </c>
      <c r="C581" t="s">
        <v>25</v>
      </c>
      <c r="D581" t="s">
        <v>82</v>
      </c>
      <c r="E581" t="s">
        <v>197</v>
      </c>
      <c r="F581" s="72">
        <v>9.1999999999999993</v>
      </c>
      <c r="G581" s="72">
        <v>0</v>
      </c>
    </row>
    <row r="582" spans="2:7" x14ac:dyDescent="0.25">
      <c r="B582" s="71">
        <v>43509</v>
      </c>
      <c r="C582" t="s">
        <v>25</v>
      </c>
      <c r="D582" t="s">
        <v>83</v>
      </c>
      <c r="E582" t="s">
        <v>194</v>
      </c>
      <c r="F582" s="72">
        <v>12</v>
      </c>
      <c r="G582" s="72">
        <v>0</v>
      </c>
    </row>
    <row r="583" spans="2:7" x14ac:dyDescent="0.25">
      <c r="B583" s="71">
        <v>43509</v>
      </c>
      <c r="C583" t="s">
        <v>47</v>
      </c>
      <c r="D583" t="s">
        <v>83</v>
      </c>
      <c r="E583" t="s">
        <v>194</v>
      </c>
      <c r="F583" s="72">
        <v>20</v>
      </c>
      <c r="G583" s="72">
        <v>0</v>
      </c>
    </row>
    <row r="584" spans="2:7" x14ac:dyDescent="0.25">
      <c r="B584" s="71">
        <v>43509</v>
      </c>
      <c r="C584" t="s">
        <v>60</v>
      </c>
      <c r="D584" t="s">
        <v>81</v>
      </c>
      <c r="E584" t="s">
        <v>194</v>
      </c>
      <c r="F584" s="72">
        <v>158.47999999999999</v>
      </c>
      <c r="G584" s="72">
        <v>0</v>
      </c>
    </row>
    <row r="585" spans="2:7" x14ac:dyDescent="0.25">
      <c r="B585" s="71">
        <v>43509</v>
      </c>
      <c r="C585" t="s">
        <v>48</v>
      </c>
      <c r="D585" t="s">
        <v>81</v>
      </c>
      <c r="E585" t="s">
        <v>194</v>
      </c>
      <c r="F585" s="72">
        <v>144.99</v>
      </c>
      <c r="G585" s="72">
        <v>0</v>
      </c>
    </row>
    <row r="586" spans="2:7" x14ac:dyDescent="0.25">
      <c r="B586" s="71">
        <v>43509</v>
      </c>
      <c r="C586" t="s">
        <v>48</v>
      </c>
      <c r="D586" t="s">
        <v>87</v>
      </c>
      <c r="E586" t="s">
        <v>194</v>
      </c>
      <c r="F586" s="72">
        <v>16.05</v>
      </c>
      <c r="G586" s="72">
        <v>0</v>
      </c>
    </row>
    <row r="587" spans="2:7" x14ac:dyDescent="0.25">
      <c r="B587" s="71">
        <v>43509</v>
      </c>
      <c r="C587" t="s">
        <v>21</v>
      </c>
      <c r="D587" t="s">
        <v>80</v>
      </c>
      <c r="E587" t="s">
        <v>194</v>
      </c>
      <c r="F587" s="72">
        <v>8</v>
      </c>
      <c r="G587" s="72">
        <v>0</v>
      </c>
    </row>
    <row r="588" spans="2:7" x14ac:dyDescent="0.25">
      <c r="B588" s="71">
        <v>43509</v>
      </c>
      <c r="C588" t="s">
        <v>21</v>
      </c>
      <c r="D588" t="s">
        <v>80</v>
      </c>
      <c r="E588" t="s">
        <v>194</v>
      </c>
      <c r="F588" s="72">
        <v>24</v>
      </c>
      <c r="G588" s="72">
        <v>0</v>
      </c>
    </row>
    <row r="589" spans="2:7" x14ac:dyDescent="0.25">
      <c r="B589" s="71">
        <v>43509</v>
      </c>
      <c r="C589" t="s">
        <v>21</v>
      </c>
      <c r="D589" t="s">
        <v>80</v>
      </c>
      <c r="E589" t="s">
        <v>194</v>
      </c>
      <c r="F589" s="72">
        <v>32</v>
      </c>
      <c r="G589" s="72">
        <v>0</v>
      </c>
    </row>
    <row r="590" spans="2:7" x14ac:dyDescent="0.25">
      <c r="B590" s="71">
        <v>43509</v>
      </c>
      <c r="C590" t="s">
        <v>21</v>
      </c>
      <c r="D590" t="s">
        <v>80</v>
      </c>
      <c r="E590" t="s">
        <v>194</v>
      </c>
      <c r="F590" s="72">
        <v>40</v>
      </c>
      <c r="G590" s="72">
        <v>0</v>
      </c>
    </row>
    <row r="591" spans="2:7" x14ac:dyDescent="0.25">
      <c r="B591" s="71">
        <v>43509</v>
      </c>
      <c r="C591" t="s">
        <v>21</v>
      </c>
      <c r="D591" t="s">
        <v>80</v>
      </c>
      <c r="E591" t="s">
        <v>194</v>
      </c>
      <c r="F591" s="72">
        <v>48</v>
      </c>
      <c r="G591" s="72">
        <v>0</v>
      </c>
    </row>
    <row r="592" spans="2:7" x14ac:dyDescent="0.25">
      <c r="B592" s="71">
        <v>43509</v>
      </c>
      <c r="C592" t="s">
        <v>67</v>
      </c>
      <c r="D592" t="s">
        <v>80</v>
      </c>
      <c r="E592" t="s">
        <v>194</v>
      </c>
      <c r="F592" s="72">
        <v>299</v>
      </c>
      <c r="G592" s="72">
        <v>0</v>
      </c>
    </row>
    <row r="593" spans="2:7" x14ac:dyDescent="0.25">
      <c r="B593" s="71">
        <v>43509</v>
      </c>
      <c r="C593" t="s">
        <v>46</v>
      </c>
      <c r="D593" t="s">
        <v>83</v>
      </c>
      <c r="E593" t="s">
        <v>194</v>
      </c>
      <c r="F593" s="72">
        <v>128</v>
      </c>
      <c r="G593" s="72">
        <v>0</v>
      </c>
    </row>
    <row r="594" spans="2:7" x14ac:dyDescent="0.25">
      <c r="B594" s="71">
        <v>43509</v>
      </c>
      <c r="C594" t="s">
        <v>50</v>
      </c>
      <c r="D594" t="s">
        <v>92</v>
      </c>
      <c r="E594" t="s">
        <v>194</v>
      </c>
      <c r="F594" s="72">
        <v>100</v>
      </c>
      <c r="G594" s="72">
        <v>0</v>
      </c>
    </row>
    <row r="595" spans="2:7" x14ac:dyDescent="0.25">
      <c r="B595" s="71">
        <v>43509</v>
      </c>
      <c r="C595" t="s">
        <v>24</v>
      </c>
      <c r="D595" t="s">
        <v>80</v>
      </c>
      <c r="E595" t="s">
        <v>194</v>
      </c>
      <c r="F595" s="72">
        <v>8</v>
      </c>
      <c r="G595" s="72">
        <v>0</v>
      </c>
    </row>
    <row r="596" spans="2:7" x14ac:dyDescent="0.25">
      <c r="B596" s="71">
        <v>43510</v>
      </c>
      <c r="C596" t="s">
        <v>25</v>
      </c>
      <c r="D596" t="s">
        <v>82</v>
      </c>
      <c r="E596" t="s">
        <v>198</v>
      </c>
      <c r="F596" s="72">
        <v>11.3</v>
      </c>
      <c r="G596" s="72">
        <v>0</v>
      </c>
    </row>
    <row r="597" spans="2:7" x14ac:dyDescent="0.25">
      <c r="B597" s="71">
        <v>43510</v>
      </c>
      <c r="C597" t="s">
        <v>25</v>
      </c>
      <c r="D597" t="s">
        <v>82</v>
      </c>
      <c r="E597" t="s">
        <v>173</v>
      </c>
      <c r="F597" s="72">
        <v>7.45</v>
      </c>
      <c r="G597" s="72">
        <v>0</v>
      </c>
    </row>
    <row r="598" spans="2:7" x14ac:dyDescent="0.25">
      <c r="B598" s="71">
        <v>43510</v>
      </c>
      <c r="C598" t="s">
        <v>25</v>
      </c>
      <c r="D598" t="s">
        <v>82</v>
      </c>
      <c r="E598" t="s">
        <v>199</v>
      </c>
      <c r="F598" s="72">
        <v>9.1999999999999993</v>
      </c>
      <c r="G598" s="72">
        <v>0</v>
      </c>
    </row>
    <row r="599" spans="2:7" x14ac:dyDescent="0.25">
      <c r="B599" s="71">
        <v>43510</v>
      </c>
      <c r="C599" t="s">
        <v>25</v>
      </c>
      <c r="D599" t="s">
        <v>82</v>
      </c>
      <c r="E599" t="s">
        <v>159</v>
      </c>
      <c r="F599" s="72">
        <v>7.35</v>
      </c>
      <c r="G599" s="72">
        <v>0</v>
      </c>
    </row>
    <row r="600" spans="2:7" x14ac:dyDescent="0.25">
      <c r="B600" s="71">
        <v>43510</v>
      </c>
      <c r="C600" t="s">
        <v>25</v>
      </c>
      <c r="D600" t="s">
        <v>82</v>
      </c>
      <c r="E600" t="s">
        <v>200</v>
      </c>
      <c r="F600" s="72">
        <v>6.4</v>
      </c>
      <c r="G600" s="72">
        <v>0</v>
      </c>
    </row>
    <row r="601" spans="2:7" x14ac:dyDescent="0.25">
      <c r="B601" s="71">
        <v>43510</v>
      </c>
      <c r="C601" t="s">
        <v>21</v>
      </c>
      <c r="D601" t="s">
        <v>80</v>
      </c>
      <c r="E601" t="s">
        <v>201</v>
      </c>
      <c r="F601" s="72">
        <v>8</v>
      </c>
      <c r="G601" s="72">
        <v>0</v>
      </c>
    </row>
    <row r="602" spans="2:7" x14ac:dyDescent="0.25">
      <c r="B602" s="71">
        <v>43510</v>
      </c>
      <c r="C602" t="s">
        <v>59</v>
      </c>
      <c r="D602" t="s">
        <v>83</v>
      </c>
      <c r="E602" t="s">
        <v>201</v>
      </c>
      <c r="F602" s="72">
        <v>10</v>
      </c>
      <c r="G602" s="72">
        <v>0</v>
      </c>
    </row>
    <row r="603" spans="2:7" x14ac:dyDescent="0.25">
      <c r="B603" s="71">
        <v>43510</v>
      </c>
      <c r="C603" t="s">
        <v>54</v>
      </c>
      <c r="D603" t="s">
        <v>83</v>
      </c>
      <c r="E603" t="s">
        <v>201</v>
      </c>
      <c r="F603" s="72">
        <v>5</v>
      </c>
      <c r="G603" s="72">
        <v>0</v>
      </c>
    </row>
    <row r="604" spans="2:7" x14ac:dyDescent="0.25">
      <c r="B604" s="71">
        <v>43511</v>
      </c>
      <c r="C604" t="s">
        <v>25</v>
      </c>
      <c r="D604" t="s">
        <v>80</v>
      </c>
      <c r="E604" t="s">
        <v>202</v>
      </c>
      <c r="F604" s="72">
        <v>24</v>
      </c>
      <c r="G604" s="72">
        <v>0</v>
      </c>
    </row>
    <row r="605" spans="2:7" x14ac:dyDescent="0.25">
      <c r="B605" s="71">
        <v>43511</v>
      </c>
      <c r="C605" t="s">
        <v>25</v>
      </c>
      <c r="D605" t="s">
        <v>81</v>
      </c>
      <c r="E605" t="s">
        <v>202</v>
      </c>
      <c r="F605" s="72">
        <v>25.25</v>
      </c>
      <c r="G605" s="72">
        <v>0</v>
      </c>
    </row>
    <row r="606" spans="2:7" x14ac:dyDescent="0.25">
      <c r="B606" s="71">
        <v>43511</v>
      </c>
      <c r="C606" t="s">
        <v>25</v>
      </c>
      <c r="D606" t="s">
        <v>81</v>
      </c>
      <c r="E606" t="s">
        <v>202</v>
      </c>
      <c r="F606" s="72">
        <v>56.18</v>
      </c>
      <c r="G606" s="72">
        <v>0</v>
      </c>
    </row>
    <row r="607" spans="2:7" x14ac:dyDescent="0.25">
      <c r="B607" s="71">
        <v>43511</v>
      </c>
      <c r="C607" t="s">
        <v>25</v>
      </c>
      <c r="D607" t="s">
        <v>88</v>
      </c>
      <c r="E607" t="s">
        <v>202</v>
      </c>
      <c r="F607" s="72">
        <v>23.78</v>
      </c>
      <c r="G607" s="72">
        <v>0</v>
      </c>
    </row>
    <row r="608" spans="2:7" x14ac:dyDescent="0.25">
      <c r="B608" s="71">
        <v>43511</v>
      </c>
      <c r="C608" t="s">
        <v>25</v>
      </c>
      <c r="D608" t="s">
        <v>88</v>
      </c>
      <c r="E608" t="s">
        <v>202</v>
      </c>
      <c r="F608" s="72">
        <v>38.64</v>
      </c>
      <c r="G608" s="72">
        <v>0</v>
      </c>
    </row>
    <row r="609" spans="2:7" x14ac:dyDescent="0.25">
      <c r="B609" s="71">
        <v>43511</v>
      </c>
      <c r="C609" t="s">
        <v>25</v>
      </c>
      <c r="D609" t="s">
        <v>88</v>
      </c>
      <c r="E609" t="s">
        <v>202</v>
      </c>
      <c r="F609" s="72">
        <v>46.18</v>
      </c>
      <c r="G609" s="72">
        <v>0</v>
      </c>
    </row>
    <row r="610" spans="2:7" x14ac:dyDescent="0.25">
      <c r="B610" s="71">
        <v>43511</v>
      </c>
      <c r="C610" t="s">
        <v>25</v>
      </c>
      <c r="D610" t="s">
        <v>88</v>
      </c>
      <c r="E610" t="s">
        <v>202</v>
      </c>
      <c r="F610" s="72">
        <v>142.96</v>
      </c>
      <c r="G610" s="72">
        <v>0</v>
      </c>
    </row>
    <row r="611" spans="2:7" x14ac:dyDescent="0.25">
      <c r="B611" s="71">
        <v>43511</v>
      </c>
      <c r="C611" t="s">
        <v>25</v>
      </c>
      <c r="D611" t="s">
        <v>82</v>
      </c>
      <c r="E611" t="s">
        <v>123</v>
      </c>
      <c r="F611" s="72">
        <v>7.35</v>
      </c>
      <c r="G611" s="72">
        <v>0</v>
      </c>
    </row>
    <row r="612" spans="2:7" x14ac:dyDescent="0.25">
      <c r="B612" s="71">
        <v>43511</v>
      </c>
      <c r="C612" t="s">
        <v>25</v>
      </c>
      <c r="D612" t="s">
        <v>82</v>
      </c>
      <c r="E612" t="s">
        <v>203</v>
      </c>
      <c r="F612">
        <v>7.35</v>
      </c>
      <c r="G612" s="72">
        <v>0</v>
      </c>
    </row>
    <row r="613" spans="2:7" x14ac:dyDescent="0.25">
      <c r="B613" s="71">
        <v>43511</v>
      </c>
      <c r="C613" t="s">
        <v>25</v>
      </c>
      <c r="D613" t="s">
        <v>82</v>
      </c>
      <c r="E613" t="s">
        <v>200</v>
      </c>
      <c r="F613" s="72">
        <v>8.6999999999999993</v>
      </c>
      <c r="G613" s="72">
        <v>0</v>
      </c>
    </row>
    <row r="614" spans="2:7" x14ac:dyDescent="0.25">
      <c r="B614" s="71">
        <v>43511</v>
      </c>
      <c r="C614" t="s">
        <v>25</v>
      </c>
      <c r="D614" t="s">
        <v>82</v>
      </c>
      <c r="E614" t="s">
        <v>188</v>
      </c>
      <c r="F614" s="72">
        <v>7.35</v>
      </c>
      <c r="G614" s="72">
        <v>0</v>
      </c>
    </row>
    <row r="615" spans="2:7" x14ac:dyDescent="0.25">
      <c r="B615" s="71">
        <v>43511</v>
      </c>
      <c r="C615" t="s">
        <v>55</v>
      </c>
      <c r="D615" t="s">
        <v>87</v>
      </c>
      <c r="E615" t="s">
        <v>202</v>
      </c>
      <c r="F615" s="72">
        <v>524.4</v>
      </c>
      <c r="G615" s="72">
        <v>0</v>
      </c>
    </row>
    <row r="616" spans="2:7" x14ac:dyDescent="0.25">
      <c r="B616" s="71">
        <v>43511</v>
      </c>
      <c r="C616" t="s">
        <v>47</v>
      </c>
      <c r="D616" t="s">
        <v>87</v>
      </c>
      <c r="E616" t="s">
        <v>202</v>
      </c>
      <c r="F616" s="72">
        <v>193.8</v>
      </c>
      <c r="G616" s="72">
        <v>0</v>
      </c>
    </row>
    <row r="617" spans="2:7" x14ac:dyDescent="0.25">
      <c r="B617" s="71">
        <v>43511</v>
      </c>
      <c r="C617" t="s">
        <v>48</v>
      </c>
      <c r="D617" t="s">
        <v>81</v>
      </c>
      <c r="E617" t="s">
        <v>202</v>
      </c>
      <c r="F617" s="72">
        <v>16.260000000000002</v>
      </c>
      <c r="G617" s="72">
        <v>0</v>
      </c>
    </row>
    <row r="618" spans="2:7" x14ac:dyDescent="0.25">
      <c r="B618" s="71">
        <v>43511</v>
      </c>
      <c r="C618" t="s">
        <v>48</v>
      </c>
      <c r="D618" t="s">
        <v>87</v>
      </c>
      <c r="E618" t="s">
        <v>202</v>
      </c>
      <c r="F618" s="72">
        <v>47.11</v>
      </c>
      <c r="G618" s="72">
        <v>0</v>
      </c>
    </row>
    <row r="619" spans="2:7" x14ac:dyDescent="0.25">
      <c r="B619" s="71">
        <v>43511</v>
      </c>
      <c r="C619" t="s">
        <v>58</v>
      </c>
      <c r="D619" t="s">
        <v>87</v>
      </c>
      <c r="E619" t="s">
        <v>202</v>
      </c>
      <c r="F619" s="72">
        <v>23</v>
      </c>
      <c r="G619" s="72">
        <v>0</v>
      </c>
    </row>
    <row r="620" spans="2:7" x14ac:dyDescent="0.25">
      <c r="B620" s="71">
        <v>43511</v>
      </c>
      <c r="C620" t="s">
        <v>45</v>
      </c>
      <c r="D620" t="s">
        <v>87</v>
      </c>
      <c r="E620" t="s">
        <v>202</v>
      </c>
      <c r="F620" s="72">
        <v>60.95</v>
      </c>
      <c r="G620" s="72">
        <v>0</v>
      </c>
    </row>
    <row r="621" spans="2:7" x14ac:dyDescent="0.25">
      <c r="B621" s="71">
        <v>43511</v>
      </c>
      <c r="C621" t="s">
        <v>21</v>
      </c>
      <c r="D621" t="s">
        <v>80</v>
      </c>
      <c r="E621" t="s">
        <v>202</v>
      </c>
      <c r="F621" s="72">
        <v>16</v>
      </c>
      <c r="G621" s="72">
        <v>0</v>
      </c>
    </row>
    <row r="622" spans="2:7" x14ac:dyDescent="0.25">
      <c r="B622" s="71">
        <v>43511</v>
      </c>
      <c r="C622" t="s">
        <v>21</v>
      </c>
      <c r="D622" t="s">
        <v>80</v>
      </c>
      <c r="E622" t="s">
        <v>202</v>
      </c>
      <c r="F622" s="72">
        <v>32</v>
      </c>
      <c r="G622" s="72">
        <v>0</v>
      </c>
    </row>
    <row r="623" spans="2:7" x14ac:dyDescent="0.25">
      <c r="B623" s="71">
        <v>43511</v>
      </c>
      <c r="C623" t="s">
        <v>50</v>
      </c>
      <c r="D623" t="s">
        <v>83</v>
      </c>
      <c r="E623" t="s">
        <v>202</v>
      </c>
      <c r="F623" s="72">
        <v>93</v>
      </c>
      <c r="G623" s="72">
        <v>0</v>
      </c>
    </row>
    <row r="624" spans="2:7" x14ac:dyDescent="0.25">
      <c r="B624" s="71">
        <v>43511</v>
      </c>
      <c r="C624" t="s">
        <v>51</v>
      </c>
      <c r="D624" t="s">
        <v>83</v>
      </c>
      <c r="E624" t="s">
        <v>202</v>
      </c>
      <c r="F624" s="72">
        <v>20.69</v>
      </c>
      <c r="G624" s="72">
        <v>0</v>
      </c>
    </row>
    <row r="625" spans="2:7" x14ac:dyDescent="0.25">
      <c r="B625" s="71">
        <v>43511</v>
      </c>
      <c r="C625" t="s">
        <v>59</v>
      </c>
      <c r="D625" t="s">
        <v>83</v>
      </c>
      <c r="E625" t="s">
        <v>202</v>
      </c>
      <c r="F625" s="72">
        <v>73</v>
      </c>
      <c r="G625" s="72">
        <v>0</v>
      </c>
    </row>
    <row r="626" spans="2:7" x14ac:dyDescent="0.25">
      <c r="B626" s="71">
        <v>43511</v>
      </c>
      <c r="C626" t="s">
        <v>54</v>
      </c>
      <c r="D626" t="s">
        <v>83</v>
      </c>
      <c r="E626" t="s">
        <v>202</v>
      </c>
      <c r="F626" s="72">
        <v>5</v>
      </c>
      <c r="G626" s="72">
        <v>0</v>
      </c>
    </row>
    <row r="627" spans="2:7" x14ac:dyDescent="0.25">
      <c r="B627" s="71">
        <v>43511</v>
      </c>
      <c r="C627" t="s">
        <v>24</v>
      </c>
      <c r="D627" t="s">
        <v>80</v>
      </c>
      <c r="E627" t="s">
        <v>202</v>
      </c>
      <c r="F627" s="72">
        <v>8</v>
      </c>
      <c r="G627" s="72">
        <v>0</v>
      </c>
    </row>
    <row r="628" spans="2:7" x14ac:dyDescent="0.25">
      <c r="B628" s="71">
        <v>43511</v>
      </c>
      <c r="C628" t="s">
        <v>61</v>
      </c>
      <c r="D628" t="s">
        <v>81</v>
      </c>
      <c r="E628" t="s">
        <v>202</v>
      </c>
      <c r="F628" s="72">
        <v>62.65</v>
      </c>
      <c r="G628" s="72">
        <v>0</v>
      </c>
    </row>
    <row r="629" spans="2:7" x14ac:dyDescent="0.25">
      <c r="B629" s="71">
        <v>43511</v>
      </c>
      <c r="C629" t="s">
        <v>61</v>
      </c>
      <c r="D629" t="s">
        <v>87</v>
      </c>
      <c r="E629" t="s">
        <v>202</v>
      </c>
      <c r="F629" s="72">
        <v>448.15</v>
      </c>
      <c r="G629" s="72">
        <v>0</v>
      </c>
    </row>
    <row r="630" spans="2:7" x14ac:dyDescent="0.25">
      <c r="B630" s="71">
        <v>43511</v>
      </c>
      <c r="C630" t="s">
        <v>62</v>
      </c>
      <c r="D630" t="s">
        <v>87</v>
      </c>
      <c r="E630" t="s">
        <v>202</v>
      </c>
      <c r="F630" s="72">
        <v>622.45000000000005</v>
      </c>
      <c r="G630" s="72">
        <v>0</v>
      </c>
    </row>
    <row r="631" spans="2:7" x14ac:dyDescent="0.25">
      <c r="B631" s="71">
        <v>43511</v>
      </c>
      <c r="C631" t="s">
        <v>63</v>
      </c>
      <c r="D631" t="s">
        <v>87</v>
      </c>
      <c r="E631" t="s">
        <v>202</v>
      </c>
      <c r="F631" s="72">
        <v>114.25</v>
      </c>
      <c r="G631" s="72">
        <v>0</v>
      </c>
    </row>
    <row r="632" spans="2:7" x14ac:dyDescent="0.25">
      <c r="B632" s="71">
        <v>43512</v>
      </c>
      <c r="C632" t="s">
        <v>25</v>
      </c>
      <c r="D632" t="s">
        <v>82</v>
      </c>
      <c r="E632" t="s">
        <v>204</v>
      </c>
      <c r="F632" s="72">
        <v>10.5</v>
      </c>
      <c r="G632" s="72">
        <v>0</v>
      </c>
    </row>
    <row r="633" spans="2:7" x14ac:dyDescent="0.25">
      <c r="B633" s="71">
        <v>43512</v>
      </c>
      <c r="C633" t="s">
        <v>25</v>
      </c>
      <c r="D633" t="s">
        <v>82</v>
      </c>
      <c r="E633" t="s">
        <v>129</v>
      </c>
      <c r="F633" s="72">
        <v>2.25</v>
      </c>
      <c r="G633" s="72">
        <v>0</v>
      </c>
    </row>
    <row r="634" spans="2:7" x14ac:dyDescent="0.25">
      <c r="B634" s="71">
        <v>43512</v>
      </c>
      <c r="C634" t="s">
        <v>57</v>
      </c>
      <c r="D634" t="s">
        <v>83</v>
      </c>
      <c r="E634" t="s">
        <v>205</v>
      </c>
      <c r="F634" s="72">
        <v>33</v>
      </c>
      <c r="G634" s="72">
        <v>0</v>
      </c>
    </row>
    <row r="635" spans="2:7" x14ac:dyDescent="0.25">
      <c r="B635" s="71">
        <v>43512</v>
      </c>
      <c r="C635" t="s">
        <v>68</v>
      </c>
      <c r="D635" t="s">
        <v>86</v>
      </c>
      <c r="E635" t="s">
        <v>205</v>
      </c>
      <c r="F635" s="72">
        <v>1000</v>
      </c>
      <c r="G635" s="72">
        <v>0</v>
      </c>
    </row>
    <row r="636" spans="2:7" x14ac:dyDescent="0.25">
      <c r="B636" s="71">
        <v>43514</v>
      </c>
      <c r="C636" t="s">
        <v>25</v>
      </c>
      <c r="D636" t="s">
        <v>81</v>
      </c>
      <c r="E636" t="s">
        <v>206</v>
      </c>
      <c r="F636" s="72">
        <v>80</v>
      </c>
      <c r="G636" s="72">
        <v>0</v>
      </c>
    </row>
    <row r="637" spans="2:7" x14ac:dyDescent="0.25">
      <c r="B637" s="71">
        <v>43514</v>
      </c>
      <c r="C637" t="s">
        <v>25</v>
      </c>
      <c r="D637" t="s">
        <v>82</v>
      </c>
      <c r="E637" t="s">
        <v>207</v>
      </c>
      <c r="F637" s="72">
        <v>12.08</v>
      </c>
      <c r="G637" s="72">
        <v>0</v>
      </c>
    </row>
    <row r="638" spans="2:7" x14ac:dyDescent="0.25">
      <c r="B638" s="71">
        <v>43514</v>
      </c>
      <c r="C638" t="s">
        <v>25</v>
      </c>
      <c r="D638" t="s">
        <v>82</v>
      </c>
      <c r="E638" t="s">
        <v>208</v>
      </c>
      <c r="F638" s="72">
        <v>9.5500000000000007</v>
      </c>
      <c r="G638" s="72">
        <v>0</v>
      </c>
    </row>
    <row r="639" spans="2:7" x14ac:dyDescent="0.25">
      <c r="B639" s="71">
        <v>43514</v>
      </c>
      <c r="C639" t="s">
        <v>25</v>
      </c>
      <c r="D639" t="s">
        <v>82</v>
      </c>
      <c r="E639" t="s">
        <v>209</v>
      </c>
      <c r="F639" s="72">
        <v>7.45</v>
      </c>
      <c r="G639" s="72">
        <v>0</v>
      </c>
    </row>
    <row r="640" spans="2:7" x14ac:dyDescent="0.25">
      <c r="B640" s="71">
        <v>43514</v>
      </c>
      <c r="C640" t="s">
        <v>25</v>
      </c>
      <c r="D640" t="s">
        <v>82</v>
      </c>
      <c r="E640" t="s">
        <v>196</v>
      </c>
      <c r="F640" s="72">
        <v>26</v>
      </c>
      <c r="G640" s="72">
        <v>0</v>
      </c>
    </row>
    <row r="641" spans="2:7" x14ac:dyDescent="0.25">
      <c r="B641" s="71">
        <v>43514</v>
      </c>
      <c r="C641" t="s">
        <v>25</v>
      </c>
      <c r="D641" t="s">
        <v>82</v>
      </c>
      <c r="E641" t="s">
        <v>210</v>
      </c>
      <c r="F641" s="72">
        <v>18</v>
      </c>
      <c r="G641" s="72">
        <v>0</v>
      </c>
    </row>
    <row r="642" spans="2:7" x14ac:dyDescent="0.25">
      <c r="B642" s="71">
        <v>43514</v>
      </c>
      <c r="C642" t="s">
        <v>25</v>
      </c>
      <c r="D642" t="s">
        <v>82</v>
      </c>
      <c r="E642" t="s">
        <v>129</v>
      </c>
      <c r="F642" s="72">
        <v>9.1999999999999993</v>
      </c>
      <c r="G642" s="72">
        <v>0</v>
      </c>
    </row>
    <row r="643" spans="2:7" x14ac:dyDescent="0.25">
      <c r="B643" s="71">
        <v>43514</v>
      </c>
      <c r="C643" t="s">
        <v>25</v>
      </c>
      <c r="D643" t="s">
        <v>83</v>
      </c>
      <c r="E643" t="s">
        <v>206</v>
      </c>
      <c r="F643" s="72">
        <v>12</v>
      </c>
      <c r="G643" s="72">
        <v>0</v>
      </c>
    </row>
    <row r="644" spans="2:7" x14ac:dyDescent="0.25">
      <c r="B644" s="71">
        <v>43514</v>
      </c>
      <c r="C644" t="s">
        <v>25</v>
      </c>
      <c r="D644" t="s">
        <v>83</v>
      </c>
      <c r="E644" t="s">
        <v>206</v>
      </c>
      <c r="F644" s="72">
        <v>29.33</v>
      </c>
      <c r="G644" s="72">
        <v>0</v>
      </c>
    </row>
    <row r="645" spans="2:7" x14ac:dyDescent="0.25">
      <c r="B645" s="71">
        <v>43514</v>
      </c>
      <c r="C645" t="s">
        <v>25</v>
      </c>
      <c r="D645" t="s">
        <v>83</v>
      </c>
      <c r="E645" t="s">
        <v>206</v>
      </c>
      <c r="F645" s="72">
        <v>137.5</v>
      </c>
      <c r="G645" s="72">
        <v>0</v>
      </c>
    </row>
    <row r="646" spans="2:7" x14ac:dyDescent="0.25">
      <c r="B646" s="71">
        <v>43514</v>
      </c>
      <c r="C646" t="s">
        <v>60</v>
      </c>
      <c r="D646" t="s">
        <v>83</v>
      </c>
      <c r="E646" t="s">
        <v>206</v>
      </c>
      <c r="F646" s="72">
        <v>32.01</v>
      </c>
      <c r="G646" s="72">
        <v>0</v>
      </c>
    </row>
    <row r="647" spans="2:7" x14ac:dyDescent="0.25">
      <c r="B647" s="71">
        <v>43514</v>
      </c>
      <c r="C647" t="s">
        <v>60</v>
      </c>
      <c r="D647" t="s">
        <v>85</v>
      </c>
      <c r="E647" t="s">
        <v>206</v>
      </c>
      <c r="F647" s="72">
        <v>259.26</v>
      </c>
      <c r="G647" s="72">
        <v>0</v>
      </c>
    </row>
    <row r="648" spans="2:7" x14ac:dyDescent="0.25">
      <c r="B648" s="71">
        <v>43514</v>
      </c>
      <c r="C648" t="s">
        <v>57</v>
      </c>
      <c r="D648" t="s">
        <v>83</v>
      </c>
      <c r="E648" t="s">
        <v>206</v>
      </c>
      <c r="F648" s="72">
        <v>56.25</v>
      </c>
      <c r="G648" s="72">
        <v>0</v>
      </c>
    </row>
    <row r="649" spans="2:7" x14ac:dyDescent="0.25">
      <c r="B649" s="71">
        <v>43514</v>
      </c>
      <c r="C649" t="s">
        <v>21</v>
      </c>
      <c r="D649" t="s">
        <v>80</v>
      </c>
      <c r="E649" t="s">
        <v>206</v>
      </c>
      <c r="F649" s="72">
        <v>8</v>
      </c>
      <c r="G649" s="72">
        <v>0</v>
      </c>
    </row>
    <row r="650" spans="2:7" x14ac:dyDescent="0.25">
      <c r="B650" s="71">
        <v>43514</v>
      </c>
      <c r="C650" t="s">
        <v>21</v>
      </c>
      <c r="D650" t="s">
        <v>80</v>
      </c>
      <c r="E650" t="s">
        <v>206</v>
      </c>
      <c r="F650" s="72">
        <v>16</v>
      </c>
      <c r="G650" s="72">
        <v>0</v>
      </c>
    </row>
    <row r="651" spans="2:7" x14ac:dyDescent="0.25">
      <c r="B651" s="71">
        <v>43514</v>
      </c>
      <c r="C651" t="s">
        <v>21</v>
      </c>
      <c r="D651" t="s">
        <v>80</v>
      </c>
      <c r="E651" t="s">
        <v>206</v>
      </c>
      <c r="F651" s="72">
        <v>32</v>
      </c>
      <c r="G651" s="72">
        <v>0</v>
      </c>
    </row>
    <row r="652" spans="2:7" x14ac:dyDescent="0.25">
      <c r="B652" s="71">
        <v>43514</v>
      </c>
      <c r="C652" t="s">
        <v>21</v>
      </c>
      <c r="D652" t="s">
        <v>80</v>
      </c>
      <c r="E652" t="s">
        <v>206</v>
      </c>
      <c r="F652" s="72">
        <v>40</v>
      </c>
      <c r="G652" s="72">
        <v>0</v>
      </c>
    </row>
    <row r="653" spans="2:7" x14ac:dyDescent="0.25">
      <c r="B653" s="71">
        <v>43514</v>
      </c>
      <c r="C653" t="s">
        <v>21</v>
      </c>
      <c r="D653" t="s">
        <v>80</v>
      </c>
      <c r="E653" t="s">
        <v>206</v>
      </c>
      <c r="F653" s="72">
        <v>48</v>
      </c>
      <c r="G653" s="72">
        <v>0</v>
      </c>
    </row>
    <row r="654" spans="2:7" x14ac:dyDescent="0.25">
      <c r="B654" s="71">
        <v>43514</v>
      </c>
      <c r="C654" t="s">
        <v>21</v>
      </c>
      <c r="D654" t="s">
        <v>80</v>
      </c>
      <c r="E654" t="s">
        <v>206</v>
      </c>
      <c r="F654" s="72">
        <v>64</v>
      </c>
      <c r="G654" s="72">
        <v>0</v>
      </c>
    </row>
    <row r="655" spans="2:7" x14ac:dyDescent="0.25">
      <c r="B655" s="71">
        <v>43514</v>
      </c>
      <c r="C655" t="s">
        <v>46</v>
      </c>
      <c r="D655" t="s">
        <v>85</v>
      </c>
      <c r="E655" t="s">
        <v>206</v>
      </c>
      <c r="F655" s="72">
        <v>48</v>
      </c>
      <c r="G655" s="72">
        <v>0</v>
      </c>
    </row>
    <row r="656" spans="2:7" x14ac:dyDescent="0.25">
      <c r="B656" s="71">
        <v>43514</v>
      </c>
      <c r="C656" t="s">
        <v>51</v>
      </c>
      <c r="D656" t="s">
        <v>83</v>
      </c>
      <c r="E656" t="s">
        <v>206</v>
      </c>
      <c r="F656" s="72">
        <v>5.96</v>
      </c>
      <c r="G656" s="72">
        <v>0</v>
      </c>
    </row>
    <row r="657" spans="2:7" x14ac:dyDescent="0.25">
      <c r="B657" s="71">
        <v>43514</v>
      </c>
      <c r="C657" t="s">
        <v>54</v>
      </c>
      <c r="D657" t="s">
        <v>83</v>
      </c>
      <c r="E657" t="s">
        <v>206</v>
      </c>
      <c r="F657" s="72">
        <v>28.17</v>
      </c>
      <c r="G657" s="72">
        <v>0</v>
      </c>
    </row>
    <row r="658" spans="2:7" x14ac:dyDescent="0.25">
      <c r="B658" s="71">
        <v>43514</v>
      </c>
      <c r="C658" t="s">
        <v>24</v>
      </c>
      <c r="D658" t="s">
        <v>80</v>
      </c>
      <c r="E658" t="s">
        <v>206</v>
      </c>
      <c r="F658" s="72">
        <v>8</v>
      </c>
      <c r="G658" s="72">
        <v>0</v>
      </c>
    </row>
    <row r="659" spans="2:7" x14ac:dyDescent="0.25">
      <c r="B659" s="71">
        <v>43514</v>
      </c>
      <c r="C659" t="s">
        <v>61</v>
      </c>
      <c r="D659" t="s">
        <v>86</v>
      </c>
      <c r="E659" t="s">
        <v>206</v>
      </c>
      <c r="F659" s="72">
        <v>58.47</v>
      </c>
      <c r="G659" s="72">
        <v>0</v>
      </c>
    </row>
    <row r="660" spans="2:7" x14ac:dyDescent="0.25">
      <c r="B660" s="71">
        <v>43515</v>
      </c>
      <c r="C660" t="s">
        <v>25</v>
      </c>
      <c r="D660" t="s">
        <v>81</v>
      </c>
      <c r="E660" t="s">
        <v>211</v>
      </c>
      <c r="F660" s="72">
        <v>14.35</v>
      </c>
      <c r="G660" s="72">
        <v>0</v>
      </c>
    </row>
    <row r="661" spans="2:7" x14ac:dyDescent="0.25">
      <c r="B661" s="71">
        <v>43515</v>
      </c>
      <c r="C661" t="s">
        <v>25</v>
      </c>
      <c r="D661" t="s">
        <v>88</v>
      </c>
      <c r="E661" t="s">
        <v>211</v>
      </c>
      <c r="F661" s="72">
        <v>10.43</v>
      </c>
      <c r="G661" s="72">
        <v>0</v>
      </c>
    </row>
    <row r="662" spans="2:7" x14ac:dyDescent="0.25">
      <c r="B662" s="71">
        <v>43515</v>
      </c>
      <c r="C662" t="s">
        <v>25</v>
      </c>
      <c r="D662" t="s">
        <v>88</v>
      </c>
      <c r="E662" t="s">
        <v>211</v>
      </c>
      <c r="F662" s="72">
        <v>24.5</v>
      </c>
      <c r="G662" s="72">
        <v>0</v>
      </c>
    </row>
    <row r="663" spans="2:7" x14ac:dyDescent="0.25">
      <c r="B663" s="71">
        <v>43515</v>
      </c>
      <c r="C663" t="s">
        <v>25</v>
      </c>
      <c r="D663" t="s">
        <v>88</v>
      </c>
      <c r="E663" t="s">
        <v>211</v>
      </c>
      <c r="F663" s="72">
        <v>49.83</v>
      </c>
      <c r="G663" s="72">
        <v>0</v>
      </c>
    </row>
    <row r="664" spans="2:7" x14ac:dyDescent="0.25">
      <c r="B664" s="71">
        <v>43515</v>
      </c>
      <c r="C664" t="s">
        <v>25</v>
      </c>
      <c r="D664" t="s">
        <v>88</v>
      </c>
      <c r="E664" t="s">
        <v>211</v>
      </c>
      <c r="F664" s="72">
        <v>100.68</v>
      </c>
      <c r="G664" s="72">
        <v>0</v>
      </c>
    </row>
    <row r="665" spans="2:7" x14ac:dyDescent="0.25">
      <c r="B665" s="71">
        <v>43515</v>
      </c>
      <c r="C665" t="s">
        <v>25</v>
      </c>
      <c r="D665" t="s">
        <v>88</v>
      </c>
      <c r="E665" t="s">
        <v>211</v>
      </c>
      <c r="F665" s="72">
        <v>188.88</v>
      </c>
      <c r="G665" s="72">
        <v>0</v>
      </c>
    </row>
    <row r="666" spans="2:7" x14ac:dyDescent="0.25">
      <c r="B666" s="71">
        <v>43515</v>
      </c>
      <c r="C666" t="s">
        <v>25</v>
      </c>
      <c r="D666" t="s">
        <v>88</v>
      </c>
      <c r="E666" t="s">
        <v>211</v>
      </c>
      <c r="F666" s="72">
        <v>189.2</v>
      </c>
      <c r="G666" s="72">
        <v>0</v>
      </c>
    </row>
    <row r="667" spans="2:7" x14ac:dyDescent="0.25">
      <c r="B667" s="71">
        <v>43515</v>
      </c>
      <c r="C667" t="s">
        <v>25</v>
      </c>
      <c r="D667" t="s">
        <v>82</v>
      </c>
      <c r="E667" t="s">
        <v>212</v>
      </c>
      <c r="F667" s="72">
        <v>10.25</v>
      </c>
      <c r="G667" s="72">
        <v>0</v>
      </c>
    </row>
    <row r="668" spans="2:7" x14ac:dyDescent="0.25">
      <c r="B668" s="71">
        <v>43515</v>
      </c>
      <c r="C668" t="s">
        <v>25</v>
      </c>
      <c r="D668" t="s">
        <v>82</v>
      </c>
      <c r="E668" t="s">
        <v>213</v>
      </c>
      <c r="F668" s="72">
        <v>25.9</v>
      </c>
      <c r="G668" s="72">
        <v>0</v>
      </c>
    </row>
    <row r="669" spans="2:7" x14ac:dyDescent="0.25">
      <c r="B669" s="71">
        <v>43515</v>
      </c>
      <c r="C669" t="s">
        <v>25</v>
      </c>
      <c r="D669" t="s">
        <v>82</v>
      </c>
      <c r="E669" t="s">
        <v>149</v>
      </c>
      <c r="F669" s="72">
        <v>25</v>
      </c>
      <c r="G669" s="72">
        <v>0</v>
      </c>
    </row>
    <row r="670" spans="2:7" x14ac:dyDescent="0.25">
      <c r="B670" s="71">
        <v>43515</v>
      </c>
      <c r="C670" t="s">
        <v>25</v>
      </c>
      <c r="D670" t="s">
        <v>82</v>
      </c>
      <c r="E670" t="s">
        <v>123</v>
      </c>
      <c r="F670" s="72">
        <v>2.4</v>
      </c>
      <c r="G670" s="72">
        <v>0</v>
      </c>
    </row>
    <row r="671" spans="2:7" x14ac:dyDescent="0.25">
      <c r="B671" s="71">
        <v>43515</v>
      </c>
      <c r="C671" t="s">
        <v>25</v>
      </c>
      <c r="D671" t="s">
        <v>82</v>
      </c>
      <c r="E671" t="s">
        <v>148</v>
      </c>
      <c r="F671" s="72">
        <v>20.5</v>
      </c>
      <c r="G671" s="72">
        <v>0</v>
      </c>
    </row>
    <row r="672" spans="2:7" x14ac:dyDescent="0.25">
      <c r="B672" s="71">
        <v>43515</v>
      </c>
      <c r="C672" t="s">
        <v>25</v>
      </c>
      <c r="D672" t="s">
        <v>82</v>
      </c>
      <c r="E672" t="s">
        <v>214</v>
      </c>
      <c r="F672" s="72">
        <v>40</v>
      </c>
      <c r="G672" s="72">
        <v>0</v>
      </c>
    </row>
    <row r="673" spans="2:7" x14ac:dyDescent="0.25">
      <c r="B673" s="71">
        <v>43515</v>
      </c>
      <c r="C673" t="s">
        <v>25</v>
      </c>
      <c r="D673" t="s">
        <v>82</v>
      </c>
      <c r="E673" t="s">
        <v>215</v>
      </c>
      <c r="F673" s="72">
        <v>9.1999999999999993</v>
      </c>
      <c r="G673" s="72">
        <v>0</v>
      </c>
    </row>
    <row r="674" spans="2:7" x14ac:dyDescent="0.25">
      <c r="B674" s="71">
        <v>43515</v>
      </c>
      <c r="C674" t="s">
        <v>25</v>
      </c>
      <c r="D674" t="s">
        <v>82</v>
      </c>
      <c r="E674" t="s">
        <v>188</v>
      </c>
      <c r="F674" s="72">
        <v>7.35</v>
      </c>
      <c r="G674" s="72">
        <v>0</v>
      </c>
    </row>
    <row r="675" spans="2:7" x14ac:dyDescent="0.25">
      <c r="B675" s="71">
        <v>43515</v>
      </c>
      <c r="C675" t="s">
        <v>25</v>
      </c>
      <c r="D675" t="s">
        <v>82</v>
      </c>
      <c r="E675" t="s">
        <v>128</v>
      </c>
      <c r="F675" s="72">
        <v>11.3</v>
      </c>
      <c r="G675" s="72">
        <v>0</v>
      </c>
    </row>
    <row r="676" spans="2:7" x14ac:dyDescent="0.25">
      <c r="B676" s="71">
        <v>43515</v>
      </c>
      <c r="C676" t="s">
        <v>25</v>
      </c>
      <c r="D676" t="s">
        <v>82</v>
      </c>
      <c r="E676" t="s">
        <v>134</v>
      </c>
      <c r="F676" s="72">
        <v>10.25</v>
      </c>
      <c r="G676" s="72">
        <v>0</v>
      </c>
    </row>
    <row r="677" spans="2:7" x14ac:dyDescent="0.25">
      <c r="B677" s="71">
        <v>43515</v>
      </c>
      <c r="C677" t="s">
        <v>60</v>
      </c>
      <c r="D677" t="s">
        <v>81</v>
      </c>
      <c r="E677" t="s">
        <v>211</v>
      </c>
      <c r="F677" s="72">
        <v>20.75</v>
      </c>
      <c r="G677" s="72">
        <v>0</v>
      </c>
    </row>
    <row r="678" spans="2:7" x14ac:dyDescent="0.25">
      <c r="B678" s="71">
        <v>43515</v>
      </c>
      <c r="C678" t="s">
        <v>52</v>
      </c>
      <c r="D678" t="s">
        <v>83</v>
      </c>
      <c r="E678" t="s">
        <v>211</v>
      </c>
      <c r="F678" s="72">
        <v>156.4</v>
      </c>
      <c r="G678" s="72">
        <v>0</v>
      </c>
    </row>
    <row r="679" spans="2:7" x14ac:dyDescent="0.25">
      <c r="B679" s="71">
        <v>43515</v>
      </c>
      <c r="C679" t="s">
        <v>21</v>
      </c>
      <c r="D679" t="s">
        <v>80</v>
      </c>
      <c r="E679" t="s">
        <v>211</v>
      </c>
      <c r="F679" s="72">
        <v>16</v>
      </c>
      <c r="G679" s="72">
        <v>0</v>
      </c>
    </row>
    <row r="680" spans="2:7" x14ac:dyDescent="0.25">
      <c r="B680" s="71">
        <v>43515</v>
      </c>
      <c r="C680" t="s">
        <v>21</v>
      </c>
      <c r="D680" t="s">
        <v>80</v>
      </c>
      <c r="E680" t="s">
        <v>211</v>
      </c>
      <c r="F680" s="72">
        <v>32</v>
      </c>
      <c r="G680" s="72">
        <v>0</v>
      </c>
    </row>
    <row r="681" spans="2:7" x14ac:dyDescent="0.25">
      <c r="B681" s="71">
        <v>43515</v>
      </c>
      <c r="C681" t="s">
        <v>49</v>
      </c>
      <c r="D681" t="s">
        <v>87</v>
      </c>
      <c r="E681" t="s">
        <v>211</v>
      </c>
      <c r="F681" s="72">
        <v>39.9</v>
      </c>
      <c r="G681" s="72">
        <v>0</v>
      </c>
    </row>
    <row r="682" spans="2:7" x14ac:dyDescent="0.25">
      <c r="B682" s="71">
        <v>43515</v>
      </c>
      <c r="C682" t="s">
        <v>51</v>
      </c>
      <c r="D682" t="s">
        <v>88</v>
      </c>
      <c r="E682" t="s">
        <v>211</v>
      </c>
      <c r="F682" s="72">
        <v>47.52</v>
      </c>
      <c r="G682" s="72">
        <v>0</v>
      </c>
    </row>
    <row r="683" spans="2:7" x14ac:dyDescent="0.25">
      <c r="B683" s="71">
        <v>43515</v>
      </c>
      <c r="C683" t="s">
        <v>59</v>
      </c>
      <c r="D683" t="s">
        <v>83</v>
      </c>
      <c r="E683" t="s">
        <v>211</v>
      </c>
      <c r="F683" s="72">
        <v>64</v>
      </c>
      <c r="G683" s="72">
        <v>0</v>
      </c>
    </row>
    <row r="684" spans="2:7" x14ac:dyDescent="0.25">
      <c r="B684" s="71">
        <v>43515</v>
      </c>
      <c r="C684" t="s">
        <v>59</v>
      </c>
      <c r="D684" t="s">
        <v>85</v>
      </c>
      <c r="E684" t="s">
        <v>211</v>
      </c>
      <c r="F684" s="72">
        <v>1539.2</v>
      </c>
      <c r="G684" s="72">
        <v>0</v>
      </c>
    </row>
    <row r="685" spans="2:7" x14ac:dyDescent="0.25">
      <c r="B685" s="71">
        <v>43515</v>
      </c>
      <c r="C685" t="s">
        <v>24</v>
      </c>
      <c r="D685" t="s">
        <v>80</v>
      </c>
      <c r="E685" t="s">
        <v>211</v>
      </c>
      <c r="F685" s="72">
        <v>8</v>
      </c>
      <c r="G685" s="72">
        <v>0</v>
      </c>
    </row>
    <row r="686" spans="2:7" x14ac:dyDescent="0.25">
      <c r="B686" s="71">
        <v>43516</v>
      </c>
      <c r="C686" t="s">
        <v>25</v>
      </c>
      <c r="D686" t="s">
        <v>82</v>
      </c>
      <c r="E686" t="s">
        <v>198</v>
      </c>
      <c r="F686" s="72">
        <v>5</v>
      </c>
      <c r="G686" s="72">
        <v>0</v>
      </c>
    </row>
    <row r="687" spans="2:7" x14ac:dyDescent="0.25">
      <c r="B687" s="71">
        <v>43516</v>
      </c>
      <c r="C687" t="s">
        <v>25</v>
      </c>
      <c r="D687" t="s">
        <v>82</v>
      </c>
      <c r="E687" t="s">
        <v>212</v>
      </c>
      <c r="F687" s="72">
        <v>10.25</v>
      </c>
      <c r="G687" s="72">
        <v>0</v>
      </c>
    </row>
    <row r="688" spans="2:7" x14ac:dyDescent="0.25">
      <c r="B688" s="71">
        <v>43516</v>
      </c>
      <c r="C688" t="s">
        <v>25</v>
      </c>
      <c r="D688" t="s">
        <v>82</v>
      </c>
      <c r="E688" t="s">
        <v>174</v>
      </c>
      <c r="F688" s="72">
        <v>9.1999999999999993</v>
      </c>
      <c r="G688" s="72">
        <v>0</v>
      </c>
    </row>
    <row r="689" spans="2:7" x14ac:dyDescent="0.25">
      <c r="B689" s="71">
        <v>43516</v>
      </c>
      <c r="C689" t="s">
        <v>25</v>
      </c>
      <c r="D689" t="s">
        <v>82</v>
      </c>
      <c r="E689" t="s">
        <v>136</v>
      </c>
      <c r="F689">
        <v>9.1999999999999993</v>
      </c>
      <c r="G689" s="72">
        <v>0</v>
      </c>
    </row>
    <row r="690" spans="2:7" x14ac:dyDescent="0.25">
      <c r="B690" s="71">
        <v>43516</v>
      </c>
      <c r="C690" t="s">
        <v>25</v>
      </c>
      <c r="D690" t="s">
        <v>82</v>
      </c>
      <c r="E690" t="s">
        <v>140</v>
      </c>
      <c r="F690">
        <v>9.1999999999999993</v>
      </c>
      <c r="G690" s="72">
        <v>0</v>
      </c>
    </row>
    <row r="691" spans="2:7" x14ac:dyDescent="0.25">
      <c r="B691" s="71">
        <v>43516</v>
      </c>
      <c r="C691" t="s">
        <v>25</v>
      </c>
      <c r="D691" t="s">
        <v>82</v>
      </c>
      <c r="E691" t="s">
        <v>182</v>
      </c>
      <c r="F691" s="72">
        <v>7.4</v>
      </c>
      <c r="G691" s="72">
        <v>0</v>
      </c>
    </row>
    <row r="692" spans="2:7" x14ac:dyDescent="0.25">
      <c r="B692" s="71">
        <v>43516</v>
      </c>
      <c r="C692" t="s">
        <v>25</v>
      </c>
      <c r="D692" t="s">
        <v>82</v>
      </c>
      <c r="E692" t="s">
        <v>170</v>
      </c>
      <c r="F692" s="72">
        <v>7.35</v>
      </c>
      <c r="G692" s="72">
        <v>0</v>
      </c>
    </row>
    <row r="693" spans="2:7" x14ac:dyDescent="0.25">
      <c r="B693" s="71">
        <v>43516</v>
      </c>
      <c r="C693" t="s">
        <v>25</v>
      </c>
      <c r="D693" t="s">
        <v>82</v>
      </c>
      <c r="E693" t="s">
        <v>203</v>
      </c>
      <c r="F693">
        <v>7.35</v>
      </c>
      <c r="G693" s="72">
        <v>0</v>
      </c>
    </row>
    <row r="694" spans="2:7" x14ac:dyDescent="0.25">
      <c r="B694" s="71">
        <v>43516</v>
      </c>
      <c r="C694" t="s">
        <v>21</v>
      </c>
      <c r="D694" t="s">
        <v>80</v>
      </c>
      <c r="E694" t="s">
        <v>216</v>
      </c>
      <c r="F694" s="72">
        <v>8</v>
      </c>
      <c r="G694" s="72">
        <v>0</v>
      </c>
    </row>
    <row r="695" spans="2:7" x14ac:dyDescent="0.25">
      <c r="B695" s="71">
        <v>43516</v>
      </c>
      <c r="C695" t="s">
        <v>21</v>
      </c>
      <c r="D695" t="s">
        <v>80</v>
      </c>
      <c r="E695" t="s">
        <v>216</v>
      </c>
      <c r="F695" s="72">
        <v>40</v>
      </c>
      <c r="G695" s="72">
        <v>0</v>
      </c>
    </row>
    <row r="696" spans="2:7" x14ac:dyDescent="0.25">
      <c r="B696" s="71">
        <v>43516</v>
      </c>
      <c r="C696" t="s">
        <v>21</v>
      </c>
      <c r="D696" t="s">
        <v>80</v>
      </c>
      <c r="E696" t="s">
        <v>216</v>
      </c>
      <c r="F696" s="72">
        <v>48</v>
      </c>
      <c r="G696" s="72">
        <v>0</v>
      </c>
    </row>
    <row r="697" spans="2:7" x14ac:dyDescent="0.25">
      <c r="B697" s="71">
        <v>43516</v>
      </c>
      <c r="C697" t="s">
        <v>67</v>
      </c>
      <c r="D697" t="s">
        <v>80</v>
      </c>
      <c r="E697" t="s">
        <v>216</v>
      </c>
      <c r="F697" s="72">
        <v>68.53</v>
      </c>
      <c r="G697" s="72">
        <v>0</v>
      </c>
    </row>
    <row r="698" spans="2:7" x14ac:dyDescent="0.25">
      <c r="B698" s="71">
        <v>43516</v>
      </c>
      <c r="C698" t="s">
        <v>49</v>
      </c>
      <c r="D698" t="s">
        <v>83</v>
      </c>
      <c r="E698" t="s">
        <v>216</v>
      </c>
      <c r="F698" s="72">
        <v>21</v>
      </c>
      <c r="G698" s="72">
        <v>0</v>
      </c>
    </row>
    <row r="699" spans="2:7" x14ac:dyDescent="0.25">
      <c r="B699" s="71">
        <v>43516</v>
      </c>
      <c r="C699" t="s">
        <v>46</v>
      </c>
      <c r="D699" t="s">
        <v>86</v>
      </c>
      <c r="E699" t="s">
        <v>216</v>
      </c>
      <c r="F699" s="72">
        <v>25</v>
      </c>
      <c r="G699" s="72">
        <v>0</v>
      </c>
    </row>
    <row r="700" spans="2:7" x14ac:dyDescent="0.25">
      <c r="B700" s="71">
        <v>43516</v>
      </c>
      <c r="C700" t="s">
        <v>53</v>
      </c>
      <c r="D700" t="s">
        <v>83</v>
      </c>
      <c r="E700" t="s">
        <v>216</v>
      </c>
      <c r="F700" s="72">
        <v>4.8</v>
      </c>
      <c r="G700" s="72">
        <v>0</v>
      </c>
    </row>
    <row r="701" spans="2:7" x14ac:dyDescent="0.25">
      <c r="B701" s="71">
        <v>43516</v>
      </c>
      <c r="C701" t="s">
        <v>59</v>
      </c>
      <c r="D701" t="s">
        <v>83</v>
      </c>
      <c r="E701" t="s">
        <v>216</v>
      </c>
      <c r="F701" s="72">
        <v>8</v>
      </c>
      <c r="G701" s="72">
        <v>0</v>
      </c>
    </row>
    <row r="702" spans="2:7" x14ac:dyDescent="0.25">
      <c r="B702" s="71">
        <v>43516</v>
      </c>
      <c r="C702" t="s">
        <v>59</v>
      </c>
      <c r="D702" t="s">
        <v>85</v>
      </c>
      <c r="E702" t="s">
        <v>216</v>
      </c>
      <c r="F702" s="72">
        <v>353.6</v>
      </c>
      <c r="G702" s="72">
        <v>0</v>
      </c>
    </row>
    <row r="703" spans="2:7" x14ac:dyDescent="0.25">
      <c r="B703" s="71">
        <v>43516</v>
      </c>
      <c r="C703" t="s">
        <v>69</v>
      </c>
      <c r="D703" t="s">
        <v>86</v>
      </c>
      <c r="E703" t="s">
        <v>216</v>
      </c>
      <c r="F703" s="72">
        <v>625</v>
      </c>
      <c r="G703" s="72">
        <v>0</v>
      </c>
    </row>
    <row r="704" spans="2:7" x14ac:dyDescent="0.25">
      <c r="B704" s="71">
        <v>43517</v>
      </c>
      <c r="C704" t="s">
        <v>25</v>
      </c>
      <c r="D704" t="s">
        <v>82</v>
      </c>
      <c r="E704" t="s">
        <v>208</v>
      </c>
      <c r="F704" s="72">
        <v>110.45</v>
      </c>
      <c r="G704" s="72">
        <v>0</v>
      </c>
    </row>
    <row r="705" spans="2:7" x14ac:dyDescent="0.25">
      <c r="B705" s="71">
        <v>43517</v>
      </c>
      <c r="C705" t="s">
        <v>25</v>
      </c>
      <c r="D705" t="s">
        <v>82</v>
      </c>
      <c r="E705" t="s">
        <v>173</v>
      </c>
      <c r="F705" s="72">
        <v>7.45</v>
      </c>
      <c r="G705" s="72">
        <v>0</v>
      </c>
    </row>
    <row r="706" spans="2:7" x14ac:dyDescent="0.25">
      <c r="B706" s="71">
        <v>43517</v>
      </c>
      <c r="C706" t="s">
        <v>25</v>
      </c>
      <c r="D706" t="s">
        <v>82</v>
      </c>
      <c r="E706" t="s">
        <v>217</v>
      </c>
      <c r="F706" s="72">
        <v>3</v>
      </c>
      <c r="G706" s="72">
        <v>0</v>
      </c>
    </row>
    <row r="707" spans="2:7" x14ac:dyDescent="0.25">
      <c r="B707" s="71">
        <v>43517</v>
      </c>
      <c r="C707" t="s">
        <v>25</v>
      </c>
      <c r="D707" t="s">
        <v>82</v>
      </c>
      <c r="E707" t="s">
        <v>132</v>
      </c>
      <c r="F707" s="72">
        <v>2.4</v>
      </c>
      <c r="G707" s="72">
        <v>0</v>
      </c>
    </row>
    <row r="708" spans="2:7" x14ac:dyDescent="0.25">
      <c r="B708" s="71">
        <v>43517</v>
      </c>
      <c r="C708" t="s">
        <v>25</v>
      </c>
      <c r="D708" t="s">
        <v>82</v>
      </c>
      <c r="E708" t="s">
        <v>215</v>
      </c>
      <c r="F708" s="72">
        <v>9.1999999999999993</v>
      </c>
      <c r="G708" s="72">
        <v>0</v>
      </c>
    </row>
    <row r="709" spans="2:7" x14ac:dyDescent="0.25">
      <c r="B709" s="71">
        <v>43517</v>
      </c>
      <c r="C709" t="s">
        <v>25</v>
      </c>
      <c r="D709" t="s">
        <v>82</v>
      </c>
      <c r="E709" t="s">
        <v>140</v>
      </c>
      <c r="F709" s="72">
        <v>7.15</v>
      </c>
      <c r="G709" s="72">
        <v>0</v>
      </c>
    </row>
    <row r="710" spans="2:7" x14ac:dyDescent="0.25">
      <c r="B710" s="71">
        <v>43517</v>
      </c>
      <c r="C710" t="s">
        <v>25</v>
      </c>
      <c r="D710" t="s">
        <v>82</v>
      </c>
      <c r="E710" t="s">
        <v>218</v>
      </c>
      <c r="F710" s="72">
        <v>18.399999999999999</v>
      </c>
      <c r="G710" s="72">
        <v>0</v>
      </c>
    </row>
    <row r="711" spans="2:7" x14ac:dyDescent="0.25">
      <c r="B711" s="71">
        <v>43517</v>
      </c>
      <c r="C711" t="s">
        <v>21</v>
      </c>
      <c r="D711" t="s">
        <v>80</v>
      </c>
      <c r="E711" t="s">
        <v>219</v>
      </c>
      <c r="F711" s="72">
        <v>8</v>
      </c>
      <c r="G711" s="72">
        <v>0</v>
      </c>
    </row>
    <row r="712" spans="2:7" x14ac:dyDescent="0.25">
      <c r="B712" s="71">
        <v>43517</v>
      </c>
      <c r="C712" t="s">
        <v>21</v>
      </c>
      <c r="D712" t="s">
        <v>80</v>
      </c>
      <c r="E712" t="s">
        <v>219</v>
      </c>
      <c r="F712" s="72">
        <v>16</v>
      </c>
      <c r="G712" s="72">
        <v>0</v>
      </c>
    </row>
    <row r="713" spans="2:7" x14ac:dyDescent="0.25">
      <c r="B713" s="71">
        <v>43517</v>
      </c>
      <c r="C713" t="s">
        <v>59</v>
      </c>
      <c r="D713" t="s">
        <v>87</v>
      </c>
      <c r="E713" t="s">
        <v>219</v>
      </c>
      <c r="F713" s="72">
        <v>0</v>
      </c>
      <c r="G713" s="72">
        <v>2.4</v>
      </c>
    </row>
    <row r="714" spans="2:7" x14ac:dyDescent="0.25">
      <c r="B714" s="71">
        <v>43518</v>
      </c>
      <c r="C714" t="s">
        <v>25</v>
      </c>
      <c r="D714" t="s">
        <v>81</v>
      </c>
      <c r="E714" t="s">
        <v>220</v>
      </c>
      <c r="F714" s="72">
        <v>41.84</v>
      </c>
      <c r="G714" s="72">
        <v>0</v>
      </c>
    </row>
    <row r="715" spans="2:7" x14ac:dyDescent="0.25">
      <c r="B715" s="71">
        <v>43518</v>
      </c>
      <c r="C715" t="s">
        <v>25</v>
      </c>
      <c r="D715" t="s">
        <v>88</v>
      </c>
      <c r="E715" t="s">
        <v>220</v>
      </c>
      <c r="F715" s="72">
        <v>17.66</v>
      </c>
      <c r="G715" s="72">
        <v>0</v>
      </c>
    </row>
    <row r="716" spans="2:7" x14ac:dyDescent="0.25">
      <c r="B716" s="71">
        <v>43518</v>
      </c>
      <c r="C716" t="s">
        <v>25</v>
      </c>
      <c r="D716" t="s">
        <v>88</v>
      </c>
      <c r="E716" t="s">
        <v>220</v>
      </c>
      <c r="F716" s="72">
        <v>23.32</v>
      </c>
      <c r="G716" s="72">
        <v>0</v>
      </c>
    </row>
    <row r="717" spans="2:7" x14ac:dyDescent="0.25">
      <c r="B717" s="71">
        <v>43518</v>
      </c>
      <c r="C717" t="s">
        <v>25</v>
      </c>
      <c r="D717" t="s">
        <v>88</v>
      </c>
      <c r="E717" t="s">
        <v>220</v>
      </c>
      <c r="F717" s="72">
        <v>39.19</v>
      </c>
      <c r="G717" s="72">
        <v>0</v>
      </c>
    </row>
    <row r="718" spans="2:7" x14ac:dyDescent="0.25">
      <c r="B718" s="71">
        <v>43518</v>
      </c>
      <c r="C718" t="s">
        <v>25</v>
      </c>
      <c r="D718" t="s">
        <v>88</v>
      </c>
      <c r="E718" t="s">
        <v>220</v>
      </c>
      <c r="F718" s="72">
        <v>44.91</v>
      </c>
      <c r="G718" s="72">
        <v>0</v>
      </c>
    </row>
    <row r="719" spans="2:7" x14ac:dyDescent="0.25">
      <c r="B719" s="71">
        <v>43518</v>
      </c>
      <c r="C719" t="s">
        <v>25</v>
      </c>
      <c r="D719" t="s">
        <v>82</v>
      </c>
      <c r="E719" t="s">
        <v>148</v>
      </c>
      <c r="F719" s="72">
        <v>10.25</v>
      </c>
      <c r="G719" s="72">
        <v>0</v>
      </c>
    </row>
    <row r="720" spans="2:7" x14ac:dyDescent="0.25">
      <c r="B720" s="71">
        <v>43518</v>
      </c>
      <c r="C720" t="s">
        <v>25</v>
      </c>
      <c r="D720" t="s">
        <v>82</v>
      </c>
      <c r="E720" t="s">
        <v>221</v>
      </c>
      <c r="F720" s="72">
        <v>12.65</v>
      </c>
      <c r="G720" s="72">
        <v>0</v>
      </c>
    </row>
    <row r="721" spans="2:7" x14ac:dyDescent="0.25">
      <c r="B721" s="71">
        <v>43518</v>
      </c>
      <c r="C721" t="s">
        <v>25</v>
      </c>
      <c r="D721" t="s">
        <v>82</v>
      </c>
      <c r="E721" t="s">
        <v>162</v>
      </c>
      <c r="F721" s="72">
        <v>23.05</v>
      </c>
      <c r="G721" s="72">
        <v>0</v>
      </c>
    </row>
    <row r="722" spans="2:7" x14ac:dyDescent="0.25">
      <c r="B722" s="71">
        <v>43518</v>
      </c>
      <c r="C722" t="s">
        <v>25</v>
      </c>
      <c r="D722" t="s">
        <v>82</v>
      </c>
      <c r="E722" t="s">
        <v>222</v>
      </c>
      <c r="F722" s="72">
        <v>3</v>
      </c>
      <c r="G722" s="72">
        <v>0</v>
      </c>
    </row>
    <row r="723" spans="2:7" x14ac:dyDescent="0.25">
      <c r="B723" s="71">
        <v>43518</v>
      </c>
      <c r="C723" t="s">
        <v>25</v>
      </c>
      <c r="D723" t="s">
        <v>82</v>
      </c>
      <c r="E723" t="s">
        <v>140</v>
      </c>
      <c r="F723" s="72">
        <v>9.1999999999999993</v>
      </c>
      <c r="G723" s="72">
        <v>0</v>
      </c>
    </row>
    <row r="724" spans="2:7" x14ac:dyDescent="0.25">
      <c r="B724" s="71">
        <v>43518</v>
      </c>
      <c r="C724" t="s">
        <v>25</v>
      </c>
      <c r="D724" t="s">
        <v>82</v>
      </c>
      <c r="E724" t="s">
        <v>180</v>
      </c>
      <c r="F724" s="72">
        <v>3.6</v>
      </c>
      <c r="G724" s="72">
        <v>0</v>
      </c>
    </row>
    <row r="725" spans="2:7" x14ac:dyDescent="0.25">
      <c r="B725" s="71">
        <v>43518</v>
      </c>
      <c r="C725" t="s">
        <v>25</v>
      </c>
      <c r="D725" t="s">
        <v>82</v>
      </c>
      <c r="E725" t="s">
        <v>203</v>
      </c>
      <c r="F725" s="72">
        <v>2.9</v>
      </c>
      <c r="G725" s="72">
        <v>0</v>
      </c>
    </row>
    <row r="726" spans="2:7" x14ac:dyDescent="0.25">
      <c r="B726" s="71">
        <v>43518</v>
      </c>
      <c r="C726" t="s">
        <v>25</v>
      </c>
      <c r="D726" t="s">
        <v>82</v>
      </c>
      <c r="E726" t="s">
        <v>223</v>
      </c>
      <c r="F726" s="72">
        <v>11.2</v>
      </c>
      <c r="G726" s="72">
        <v>0</v>
      </c>
    </row>
    <row r="727" spans="2:7" x14ac:dyDescent="0.25">
      <c r="B727" s="71">
        <v>43518</v>
      </c>
      <c r="C727" t="s">
        <v>60</v>
      </c>
      <c r="D727" t="s">
        <v>83</v>
      </c>
      <c r="E727" t="s">
        <v>220</v>
      </c>
      <c r="F727" s="72">
        <v>85.51</v>
      </c>
      <c r="G727" s="72">
        <v>0</v>
      </c>
    </row>
    <row r="728" spans="2:7" x14ac:dyDescent="0.25">
      <c r="B728" s="71">
        <v>43518</v>
      </c>
      <c r="C728" t="s">
        <v>48</v>
      </c>
      <c r="D728" t="s">
        <v>81</v>
      </c>
      <c r="E728" t="s">
        <v>220</v>
      </c>
      <c r="F728" s="72">
        <v>171.21</v>
      </c>
      <c r="G728" s="72">
        <v>0</v>
      </c>
    </row>
    <row r="729" spans="2:7" x14ac:dyDescent="0.25">
      <c r="B729" s="71">
        <v>43518</v>
      </c>
      <c r="C729" t="s">
        <v>52</v>
      </c>
      <c r="D729" t="s">
        <v>83</v>
      </c>
      <c r="E729" t="s">
        <v>220</v>
      </c>
      <c r="F729" s="72">
        <v>232.86</v>
      </c>
      <c r="G729" s="72">
        <v>0</v>
      </c>
    </row>
    <row r="730" spans="2:7" x14ac:dyDescent="0.25">
      <c r="B730" s="71">
        <v>43518</v>
      </c>
      <c r="C730" t="s">
        <v>21</v>
      </c>
      <c r="D730" t="s">
        <v>80</v>
      </c>
      <c r="E730" t="s">
        <v>220</v>
      </c>
      <c r="F730" s="72">
        <v>16</v>
      </c>
      <c r="G730" s="72">
        <v>0</v>
      </c>
    </row>
    <row r="731" spans="2:7" x14ac:dyDescent="0.25">
      <c r="B731" s="71">
        <v>43518</v>
      </c>
      <c r="C731" t="s">
        <v>49</v>
      </c>
      <c r="D731" t="s">
        <v>88</v>
      </c>
      <c r="E731" t="s">
        <v>220</v>
      </c>
      <c r="F731" s="72">
        <v>56.75</v>
      </c>
      <c r="G731" s="72">
        <v>0</v>
      </c>
    </row>
    <row r="732" spans="2:7" x14ac:dyDescent="0.25">
      <c r="B732" s="71">
        <v>43518</v>
      </c>
      <c r="C732" t="s">
        <v>49</v>
      </c>
      <c r="D732" t="s">
        <v>85</v>
      </c>
      <c r="E732" t="s">
        <v>220</v>
      </c>
      <c r="F732" s="72">
        <v>1026.1199999999999</v>
      </c>
      <c r="G732" s="72">
        <v>0</v>
      </c>
    </row>
    <row r="733" spans="2:7" x14ac:dyDescent="0.25">
      <c r="B733" s="71">
        <v>43518</v>
      </c>
      <c r="C733" t="s">
        <v>51</v>
      </c>
      <c r="D733" t="s">
        <v>81</v>
      </c>
      <c r="E733" t="s">
        <v>220</v>
      </c>
      <c r="F733" s="72">
        <v>27.5</v>
      </c>
      <c r="G733" s="72">
        <v>0</v>
      </c>
    </row>
    <row r="734" spans="2:7" x14ac:dyDescent="0.25">
      <c r="B734" s="71">
        <v>43518</v>
      </c>
      <c r="C734" t="s">
        <v>59</v>
      </c>
      <c r="D734" t="s">
        <v>86</v>
      </c>
      <c r="E734" t="s">
        <v>220</v>
      </c>
      <c r="F734" s="72">
        <v>15.25</v>
      </c>
      <c r="G734" s="72">
        <v>0</v>
      </c>
    </row>
    <row r="735" spans="2:7" x14ac:dyDescent="0.25">
      <c r="B735" s="71">
        <v>43518</v>
      </c>
      <c r="C735" t="s">
        <v>59</v>
      </c>
      <c r="D735" t="s">
        <v>83</v>
      </c>
      <c r="E735" t="s">
        <v>220</v>
      </c>
      <c r="F735" s="72">
        <v>20.8</v>
      </c>
      <c r="G735" s="72">
        <v>0</v>
      </c>
    </row>
    <row r="736" spans="2:7" x14ac:dyDescent="0.25">
      <c r="B736" s="71">
        <v>43518</v>
      </c>
      <c r="C736" t="s">
        <v>54</v>
      </c>
      <c r="D736" t="s">
        <v>83</v>
      </c>
      <c r="E736" t="s">
        <v>220</v>
      </c>
      <c r="F736" s="72">
        <v>10</v>
      </c>
      <c r="G736" s="72">
        <v>0</v>
      </c>
    </row>
    <row r="737" spans="2:7" x14ac:dyDescent="0.25">
      <c r="B737" s="71">
        <v>43518</v>
      </c>
      <c r="C737" t="s">
        <v>62</v>
      </c>
      <c r="D737" t="s">
        <v>81</v>
      </c>
      <c r="E737" t="s">
        <v>220</v>
      </c>
      <c r="F737" s="72">
        <v>84.12</v>
      </c>
      <c r="G737" s="72">
        <v>0</v>
      </c>
    </row>
    <row r="738" spans="2:7" x14ac:dyDescent="0.25">
      <c r="B738" s="71">
        <v>43518</v>
      </c>
      <c r="C738" t="s">
        <v>62</v>
      </c>
      <c r="D738" t="s">
        <v>87</v>
      </c>
      <c r="E738" t="s">
        <v>220</v>
      </c>
      <c r="F738" s="72">
        <v>157.69999999999999</v>
      </c>
      <c r="G738" s="72">
        <v>0</v>
      </c>
    </row>
    <row r="739" spans="2:7" x14ac:dyDescent="0.25">
      <c r="B739" s="71">
        <v>43521</v>
      </c>
      <c r="C739" t="s">
        <v>25</v>
      </c>
      <c r="D739" t="s">
        <v>80</v>
      </c>
      <c r="E739" t="s">
        <v>224</v>
      </c>
      <c r="F739" s="72">
        <v>8</v>
      </c>
      <c r="G739" s="72">
        <v>0</v>
      </c>
    </row>
    <row r="740" spans="2:7" x14ac:dyDescent="0.25">
      <c r="B740" s="71">
        <v>43521</v>
      </c>
      <c r="C740" t="s">
        <v>25</v>
      </c>
      <c r="D740" t="s">
        <v>82</v>
      </c>
      <c r="E740" t="s">
        <v>149</v>
      </c>
      <c r="F740" s="72">
        <v>25</v>
      </c>
      <c r="G740" s="72">
        <v>0</v>
      </c>
    </row>
    <row r="741" spans="2:7" x14ac:dyDescent="0.25">
      <c r="B741" s="71">
        <v>43521</v>
      </c>
      <c r="C741" t="s">
        <v>25</v>
      </c>
      <c r="D741" t="s">
        <v>82</v>
      </c>
      <c r="E741" t="s">
        <v>165</v>
      </c>
      <c r="F741" s="72">
        <v>3.25</v>
      </c>
      <c r="G741" s="72">
        <v>0</v>
      </c>
    </row>
    <row r="742" spans="2:7" x14ac:dyDescent="0.25">
      <c r="B742" s="71">
        <v>43521</v>
      </c>
      <c r="C742" t="s">
        <v>25</v>
      </c>
      <c r="D742" t="s">
        <v>82</v>
      </c>
      <c r="E742" t="s">
        <v>203</v>
      </c>
      <c r="F742" s="72">
        <v>4.05</v>
      </c>
      <c r="G742" s="72">
        <v>0</v>
      </c>
    </row>
    <row r="743" spans="2:7" x14ac:dyDescent="0.25">
      <c r="B743" s="71">
        <v>43521</v>
      </c>
      <c r="C743" t="s">
        <v>25</v>
      </c>
      <c r="D743" t="s">
        <v>96</v>
      </c>
      <c r="E743" t="s">
        <v>225</v>
      </c>
      <c r="F743" s="72">
        <v>21.09</v>
      </c>
      <c r="G743" s="72">
        <v>0</v>
      </c>
    </row>
    <row r="744" spans="2:7" x14ac:dyDescent="0.25">
      <c r="B744" s="71">
        <v>43521</v>
      </c>
      <c r="C744" t="s">
        <v>25</v>
      </c>
      <c r="D744" t="s">
        <v>96</v>
      </c>
      <c r="E744" t="s">
        <v>225</v>
      </c>
      <c r="F744" s="72">
        <v>43.5</v>
      </c>
      <c r="G744" s="72">
        <v>0</v>
      </c>
    </row>
    <row r="745" spans="2:7" x14ac:dyDescent="0.25">
      <c r="B745" s="71">
        <v>43521</v>
      </c>
      <c r="C745" t="s">
        <v>25</v>
      </c>
      <c r="D745" t="s">
        <v>96</v>
      </c>
      <c r="E745" t="s">
        <v>225</v>
      </c>
      <c r="F745" s="72">
        <v>44.84</v>
      </c>
      <c r="G745" s="72">
        <v>0</v>
      </c>
    </row>
    <row r="746" spans="2:7" x14ac:dyDescent="0.25">
      <c r="B746" s="71">
        <v>43521</v>
      </c>
      <c r="C746" t="s">
        <v>55</v>
      </c>
      <c r="D746" t="s">
        <v>96</v>
      </c>
      <c r="E746" t="s">
        <v>225</v>
      </c>
      <c r="F746" s="72">
        <v>983.17</v>
      </c>
      <c r="G746" s="72">
        <v>0</v>
      </c>
    </row>
    <row r="747" spans="2:7" x14ac:dyDescent="0.25">
      <c r="B747" s="71">
        <v>43521</v>
      </c>
      <c r="C747" t="s">
        <v>47</v>
      </c>
      <c r="D747" t="s">
        <v>96</v>
      </c>
      <c r="E747" t="s">
        <v>225</v>
      </c>
      <c r="F747" s="72">
        <v>99.97</v>
      </c>
      <c r="G747" s="72">
        <v>0</v>
      </c>
    </row>
    <row r="748" spans="2:7" x14ac:dyDescent="0.25">
      <c r="B748" s="71">
        <v>43521</v>
      </c>
      <c r="C748" t="s">
        <v>57</v>
      </c>
      <c r="D748" t="s">
        <v>83</v>
      </c>
      <c r="E748" t="s">
        <v>224</v>
      </c>
      <c r="F748" s="72">
        <v>35</v>
      </c>
      <c r="G748" s="72">
        <v>0</v>
      </c>
    </row>
    <row r="749" spans="2:7" x14ac:dyDescent="0.25">
      <c r="B749" s="71">
        <v>43521</v>
      </c>
      <c r="C749" t="s">
        <v>21</v>
      </c>
      <c r="D749" t="s">
        <v>80</v>
      </c>
      <c r="E749" t="s">
        <v>224</v>
      </c>
      <c r="F749" s="72">
        <v>8</v>
      </c>
      <c r="G749" s="72">
        <v>0</v>
      </c>
    </row>
    <row r="750" spans="2:7" x14ac:dyDescent="0.25">
      <c r="B750" s="71">
        <v>43521</v>
      </c>
      <c r="C750" t="s">
        <v>21</v>
      </c>
      <c r="D750" t="s">
        <v>80</v>
      </c>
      <c r="E750" t="s">
        <v>224</v>
      </c>
      <c r="F750" s="72">
        <v>16</v>
      </c>
      <c r="G750" s="72">
        <v>0</v>
      </c>
    </row>
    <row r="751" spans="2:7" x14ac:dyDescent="0.25">
      <c r="B751" s="71">
        <v>43521</v>
      </c>
      <c r="C751" t="s">
        <v>21</v>
      </c>
      <c r="D751" t="s">
        <v>80</v>
      </c>
      <c r="E751" t="s">
        <v>224</v>
      </c>
      <c r="F751" s="72">
        <v>24</v>
      </c>
      <c r="G751" s="72">
        <v>0</v>
      </c>
    </row>
    <row r="752" spans="2:7" x14ac:dyDescent="0.25">
      <c r="B752" s="71">
        <v>43521</v>
      </c>
      <c r="C752" t="s">
        <v>21</v>
      </c>
      <c r="D752" t="s">
        <v>80</v>
      </c>
      <c r="E752" t="s">
        <v>224</v>
      </c>
      <c r="F752" s="72">
        <v>32</v>
      </c>
      <c r="G752" s="72">
        <v>0</v>
      </c>
    </row>
    <row r="753" spans="2:7" x14ac:dyDescent="0.25">
      <c r="B753" s="71">
        <v>43521</v>
      </c>
      <c r="C753" t="s">
        <v>21</v>
      </c>
      <c r="D753" t="s">
        <v>80</v>
      </c>
      <c r="E753" t="s">
        <v>224</v>
      </c>
      <c r="F753" s="72">
        <v>48</v>
      </c>
      <c r="G753" s="72">
        <v>0</v>
      </c>
    </row>
    <row r="754" spans="2:7" x14ac:dyDescent="0.25">
      <c r="B754" s="71">
        <v>43521</v>
      </c>
      <c r="C754" t="s">
        <v>21</v>
      </c>
      <c r="D754" t="s">
        <v>96</v>
      </c>
      <c r="E754" t="s">
        <v>225</v>
      </c>
      <c r="F754" s="72">
        <v>10.29</v>
      </c>
      <c r="G754" s="72">
        <v>0</v>
      </c>
    </row>
    <row r="755" spans="2:7" x14ac:dyDescent="0.25">
      <c r="B755" s="71">
        <v>43521</v>
      </c>
      <c r="C755" t="s">
        <v>21</v>
      </c>
      <c r="D755" t="s">
        <v>96</v>
      </c>
      <c r="E755" t="s">
        <v>225</v>
      </c>
      <c r="F755" s="72">
        <v>12.59</v>
      </c>
      <c r="G755" s="72">
        <v>0</v>
      </c>
    </row>
    <row r="756" spans="2:7" x14ac:dyDescent="0.25">
      <c r="B756" s="71">
        <v>43521</v>
      </c>
      <c r="C756" t="s">
        <v>21</v>
      </c>
      <c r="D756" t="s">
        <v>96</v>
      </c>
      <c r="E756" t="s">
        <v>225</v>
      </c>
      <c r="F756" s="72">
        <v>45.01</v>
      </c>
      <c r="G756" s="72">
        <v>0</v>
      </c>
    </row>
    <row r="757" spans="2:7" x14ac:dyDescent="0.25">
      <c r="B757" s="71">
        <v>43521</v>
      </c>
      <c r="C757" t="s">
        <v>21</v>
      </c>
      <c r="D757" t="s">
        <v>96</v>
      </c>
      <c r="E757" t="s">
        <v>225</v>
      </c>
      <c r="F757" s="72">
        <v>45.85</v>
      </c>
      <c r="G757" s="72">
        <v>0</v>
      </c>
    </row>
    <row r="758" spans="2:7" x14ac:dyDescent="0.25">
      <c r="B758" s="71">
        <v>43521</v>
      </c>
      <c r="C758" t="s">
        <v>21</v>
      </c>
      <c r="D758" t="s">
        <v>96</v>
      </c>
      <c r="E758" t="s">
        <v>225</v>
      </c>
      <c r="F758" s="72">
        <v>47.09</v>
      </c>
      <c r="G758" s="72">
        <v>0</v>
      </c>
    </row>
    <row r="759" spans="2:7" x14ac:dyDescent="0.25">
      <c r="B759" s="71">
        <v>43521</v>
      </c>
      <c r="C759" t="s">
        <v>21</v>
      </c>
      <c r="D759" t="s">
        <v>96</v>
      </c>
      <c r="E759" t="s">
        <v>225</v>
      </c>
      <c r="F759" s="72">
        <v>99.42</v>
      </c>
      <c r="G759" s="72">
        <v>0</v>
      </c>
    </row>
    <row r="760" spans="2:7" x14ac:dyDescent="0.25">
      <c r="B760" s="71">
        <v>43521</v>
      </c>
      <c r="C760" t="s">
        <v>21</v>
      </c>
      <c r="D760" t="s">
        <v>96</v>
      </c>
      <c r="E760" t="s">
        <v>225</v>
      </c>
      <c r="F760" s="72">
        <v>101.38</v>
      </c>
      <c r="G760" s="72">
        <v>0</v>
      </c>
    </row>
    <row r="761" spans="2:7" x14ac:dyDescent="0.25">
      <c r="B761" s="71">
        <v>43521</v>
      </c>
      <c r="C761" t="s">
        <v>21</v>
      </c>
      <c r="D761" t="s">
        <v>96</v>
      </c>
      <c r="E761" t="s">
        <v>225</v>
      </c>
      <c r="F761" s="72">
        <v>127.85</v>
      </c>
      <c r="G761" s="72">
        <v>0</v>
      </c>
    </row>
    <row r="762" spans="2:7" x14ac:dyDescent="0.25">
      <c r="B762" s="71">
        <v>43521</v>
      </c>
      <c r="C762" t="s">
        <v>21</v>
      </c>
      <c r="D762" t="s">
        <v>96</v>
      </c>
      <c r="E762" t="s">
        <v>225</v>
      </c>
      <c r="F762" s="72">
        <v>129.44999999999999</v>
      </c>
      <c r="G762" s="72">
        <v>0</v>
      </c>
    </row>
    <row r="763" spans="2:7" x14ac:dyDescent="0.25">
      <c r="B763" s="71">
        <v>43521</v>
      </c>
      <c r="C763" t="s">
        <v>21</v>
      </c>
      <c r="D763" t="s">
        <v>96</v>
      </c>
      <c r="E763" t="s">
        <v>225</v>
      </c>
      <c r="F763" s="72">
        <v>140.37</v>
      </c>
      <c r="G763" s="72">
        <v>0</v>
      </c>
    </row>
    <row r="764" spans="2:7" x14ac:dyDescent="0.25">
      <c r="B764" s="71">
        <v>43521</v>
      </c>
      <c r="C764" t="s">
        <v>21</v>
      </c>
      <c r="D764" t="s">
        <v>96</v>
      </c>
      <c r="E764" t="s">
        <v>225</v>
      </c>
      <c r="F764" s="72">
        <v>162.05000000000001</v>
      </c>
      <c r="G764" s="72">
        <v>0</v>
      </c>
    </row>
    <row r="765" spans="2:7" x14ac:dyDescent="0.25">
      <c r="B765" s="71">
        <v>43521</v>
      </c>
      <c r="C765" t="s">
        <v>21</v>
      </c>
      <c r="D765" t="s">
        <v>96</v>
      </c>
      <c r="E765" t="s">
        <v>225</v>
      </c>
      <c r="F765" s="72">
        <v>215.46</v>
      </c>
      <c r="G765" s="72">
        <v>0</v>
      </c>
    </row>
    <row r="766" spans="2:7" x14ac:dyDescent="0.25">
      <c r="B766" s="71">
        <v>43521</v>
      </c>
      <c r="C766" t="s">
        <v>21</v>
      </c>
      <c r="D766" t="s">
        <v>96</v>
      </c>
      <c r="E766" t="s">
        <v>225</v>
      </c>
      <c r="F766" s="72">
        <v>231.33</v>
      </c>
      <c r="G766" s="72">
        <v>0</v>
      </c>
    </row>
    <row r="767" spans="2:7" x14ac:dyDescent="0.25">
      <c r="B767" s="71">
        <v>43521</v>
      </c>
      <c r="C767" t="s">
        <v>21</v>
      </c>
      <c r="D767" t="s">
        <v>96</v>
      </c>
      <c r="E767" t="s">
        <v>225</v>
      </c>
      <c r="F767" s="72">
        <v>243.25</v>
      </c>
      <c r="G767" s="72">
        <v>0</v>
      </c>
    </row>
    <row r="768" spans="2:7" x14ac:dyDescent="0.25">
      <c r="B768" s="71">
        <v>43521</v>
      </c>
      <c r="C768" t="s">
        <v>21</v>
      </c>
      <c r="D768" t="s">
        <v>96</v>
      </c>
      <c r="E768" t="s">
        <v>225</v>
      </c>
      <c r="F768" s="72">
        <v>287.85000000000002</v>
      </c>
      <c r="G768" s="72">
        <v>0</v>
      </c>
    </row>
    <row r="769" spans="2:7" x14ac:dyDescent="0.25">
      <c r="B769" s="71">
        <v>43521</v>
      </c>
      <c r="C769" t="s">
        <v>21</v>
      </c>
      <c r="D769" t="s">
        <v>96</v>
      </c>
      <c r="E769" t="s">
        <v>225</v>
      </c>
      <c r="F769" s="72">
        <v>308.57</v>
      </c>
      <c r="G769" s="72">
        <v>0</v>
      </c>
    </row>
    <row r="770" spans="2:7" x14ac:dyDescent="0.25">
      <c r="B770" s="71">
        <v>43521</v>
      </c>
      <c r="C770" t="s">
        <v>21</v>
      </c>
      <c r="D770" t="s">
        <v>96</v>
      </c>
      <c r="E770" t="s">
        <v>225</v>
      </c>
      <c r="F770" s="72">
        <v>319.01</v>
      </c>
      <c r="G770" s="72">
        <v>0</v>
      </c>
    </row>
    <row r="771" spans="2:7" x14ac:dyDescent="0.25">
      <c r="B771" s="71">
        <v>43521</v>
      </c>
      <c r="C771" t="s">
        <v>21</v>
      </c>
      <c r="D771" t="s">
        <v>96</v>
      </c>
      <c r="E771" t="s">
        <v>225</v>
      </c>
      <c r="F771" s="72">
        <v>371.65</v>
      </c>
      <c r="G771" s="72">
        <v>0</v>
      </c>
    </row>
    <row r="772" spans="2:7" x14ac:dyDescent="0.25">
      <c r="B772" s="71">
        <v>43521</v>
      </c>
      <c r="C772" t="s">
        <v>21</v>
      </c>
      <c r="D772" t="s">
        <v>96</v>
      </c>
      <c r="E772" t="s">
        <v>225</v>
      </c>
      <c r="F772" s="72">
        <v>395.45</v>
      </c>
      <c r="G772" s="72">
        <v>0</v>
      </c>
    </row>
    <row r="773" spans="2:7" x14ac:dyDescent="0.25">
      <c r="B773" s="71">
        <v>43521</v>
      </c>
      <c r="C773" t="s">
        <v>21</v>
      </c>
      <c r="D773" t="s">
        <v>96</v>
      </c>
      <c r="E773" t="s">
        <v>225</v>
      </c>
      <c r="F773" s="72">
        <v>486.58</v>
      </c>
      <c r="G773" s="72">
        <v>0</v>
      </c>
    </row>
    <row r="774" spans="2:7" x14ac:dyDescent="0.25">
      <c r="B774" s="71">
        <v>43521</v>
      </c>
      <c r="C774" t="s">
        <v>21</v>
      </c>
      <c r="D774" t="s">
        <v>96</v>
      </c>
      <c r="E774" t="s">
        <v>225</v>
      </c>
      <c r="F774" s="72">
        <v>536.64</v>
      </c>
      <c r="G774" s="72">
        <v>0</v>
      </c>
    </row>
    <row r="775" spans="2:7" x14ac:dyDescent="0.25">
      <c r="B775" s="71">
        <v>43521</v>
      </c>
      <c r="C775" t="s">
        <v>21</v>
      </c>
      <c r="D775" t="s">
        <v>96</v>
      </c>
      <c r="E775" t="s">
        <v>225</v>
      </c>
      <c r="F775" s="72">
        <v>639.91999999999996</v>
      </c>
      <c r="G775" s="72">
        <v>0</v>
      </c>
    </row>
    <row r="776" spans="2:7" x14ac:dyDescent="0.25">
      <c r="B776" s="71">
        <v>43521</v>
      </c>
      <c r="C776" t="s">
        <v>21</v>
      </c>
      <c r="D776" t="s">
        <v>96</v>
      </c>
      <c r="E776" t="s">
        <v>225</v>
      </c>
      <c r="F776" s="72">
        <v>646.41</v>
      </c>
      <c r="G776" s="72">
        <v>0</v>
      </c>
    </row>
    <row r="777" spans="2:7" x14ac:dyDescent="0.25">
      <c r="B777" s="71">
        <v>43521</v>
      </c>
      <c r="C777" t="s">
        <v>21</v>
      </c>
      <c r="D777" t="s">
        <v>96</v>
      </c>
      <c r="E777" t="s">
        <v>225</v>
      </c>
      <c r="F777" s="72">
        <v>717.11</v>
      </c>
      <c r="G777" s="72">
        <v>0</v>
      </c>
    </row>
    <row r="778" spans="2:7" x14ac:dyDescent="0.25">
      <c r="B778" s="71">
        <v>43521</v>
      </c>
      <c r="C778" t="s">
        <v>21</v>
      </c>
      <c r="D778" t="s">
        <v>96</v>
      </c>
      <c r="E778" t="s">
        <v>225</v>
      </c>
      <c r="F778" s="72">
        <v>739.91</v>
      </c>
      <c r="G778" s="72">
        <v>0</v>
      </c>
    </row>
    <row r="779" spans="2:7" x14ac:dyDescent="0.25">
      <c r="B779" s="71">
        <v>43521</v>
      </c>
      <c r="C779" t="s">
        <v>56</v>
      </c>
      <c r="D779" t="s">
        <v>96</v>
      </c>
      <c r="E779" t="s">
        <v>225</v>
      </c>
      <c r="F779" s="72">
        <v>90.45</v>
      </c>
      <c r="G779" s="72">
        <v>0</v>
      </c>
    </row>
    <row r="780" spans="2:7" x14ac:dyDescent="0.25">
      <c r="B780" s="71">
        <v>43521</v>
      </c>
      <c r="C780" t="s">
        <v>46</v>
      </c>
      <c r="D780" t="s">
        <v>80</v>
      </c>
      <c r="E780" t="s">
        <v>224</v>
      </c>
      <c r="F780" s="72">
        <v>24</v>
      </c>
      <c r="G780" s="72">
        <v>0</v>
      </c>
    </row>
    <row r="781" spans="2:7" x14ac:dyDescent="0.25">
      <c r="B781" s="71">
        <v>43521</v>
      </c>
      <c r="C781" t="s">
        <v>46</v>
      </c>
      <c r="D781" t="s">
        <v>83</v>
      </c>
      <c r="E781" t="s">
        <v>224</v>
      </c>
      <c r="F781" s="72">
        <v>9.85</v>
      </c>
      <c r="G781" s="72">
        <v>0</v>
      </c>
    </row>
    <row r="782" spans="2:7" x14ac:dyDescent="0.25">
      <c r="B782" s="71">
        <v>43521</v>
      </c>
      <c r="C782" t="s">
        <v>50</v>
      </c>
      <c r="D782" t="s">
        <v>96</v>
      </c>
      <c r="E782" t="s">
        <v>225</v>
      </c>
      <c r="F782" s="72">
        <v>191.12</v>
      </c>
      <c r="G782" s="72">
        <v>0</v>
      </c>
    </row>
    <row r="783" spans="2:7" x14ac:dyDescent="0.25">
      <c r="B783" s="71">
        <v>43521</v>
      </c>
      <c r="C783" t="s">
        <v>51</v>
      </c>
      <c r="D783" t="s">
        <v>96</v>
      </c>
      <c r="E783" t="s">
        <v>225</v>
      </c>
      <c r="F783" s="72">
        <v>156.97</v>
      </c>
      <c r="G783" s="72">
        <v>0</v>
      </c>
    </row>
    <row r="784" spans="2:7" x14ac:dyDescent="0.25">
      <c r="B784" s="71">
        <v>43521</v>
      </c>
      <c r="C784" t="s">
        <v>51</v>
      </c>
      <c r="D784" t="s">
        <v>83</v>
      </c>
      <c r="E784" t="s">
        <v>224</v>
      </c>
      <c r="F784" s="72">
        <v>293</v>
      </c>
      <c r="G784" s="72">
        <v>0</v>
      </c>
    </row>
    <row r="785" spans="2:7" x14ac:dyDescent="0.25">
      <c r="B785" s="71">
        <v>43521</v>
      </c>
      <c r="C785" t="s">
        <v>59</v>
      </c>
      <c r="D785" t="s">
        <v>83</v>
      </c>
      <c r="E785" t="s">
        <v>224</v>
      </c>
      <c r="F785" s="72">
        <v>74.400000000000006</v>
      </c>
      <c r="G785" s="72">
        <v>0</v>
      </c>
    </row>
    <row r="786" spans="2:7" x14ac:dyDescent="0.25">
      <c r="B786" s="71">
        <v>43521</v>
      </c>
      <c r="C786" t="s">
        <v>66</v>
      </c>
      <c r="D786" t="s">
        <v>86</v>
      </c>
      <c r="E786" t="s">
        <v>224</v>
      </c>
      <c r="F786" s="72">
        <v>29.96</v>
      </c>
      <c r="G786" s="72">
        <v>0</v>
      </c>
    </row>
    <row r="787" spans="2:7" x14ac:dyDescent="0.25">
      <c r="B787" s="71">
        <v>43521</v>
      </c>
      <c r="C787" t="s">
        <v>24</v>
      </c>
      <c r="D787" t="s">
        <v>80</v>
      </c>
      <c r="E787" t="s">
        <v>224</v>
      </c>
      <c r="F787" s="72">
        <v>8</v>
      </c>
      <c r="G787" s="72">
        <v>0</v>
      </c>
    </row>
    <row r="788" spans="2:7" x14ac:dyDescent="0.25">
      <c r="B788" s="71">
        <v>43521</v>
      </c>
      <c r="C788" t="s">
        <v>24</v>
      </c>
      <c r="D788" t="s">
        <v>96</v>
      </c>
      <c r="E788" t="s">
        <v>225</v>
      </c>
      <c r="F788" s="72">
        <v>10.6</v>
      </c>
      <c r="G788" s="72">
        <v>0</v>
      </c>
    </row>
    <row r="789" spans="2:7" x14ac:dyDescent="0.25">
      <c r="B789" s="71">
        <v>43521</v>
      </c>
      <c r="C789" t="s">
        <v>24</v>
      </c>
      <c r="D789" t="s">
        <v>96</v>
      </c>
      <c r="E789" t="s">
        <v>225</v>
      </c>
      <c r="F789" s="72">
        <v>10.71</v>
      </c>
      <c r="G789" s="72">
        <v>0</v>
      </c>
    </row>
    <row r="790" spans="2:7" x14ac:dyDescent="0.25">
      <c r="B790" s="71">
        <v>43521</v>
      </c>
      <c r="C790" t="s">
        <v>24</v>
      </c>
      <c r="D790" t="s">
        <v>96</v>
      </c>
      <c r="E790" t="s">
        <v>225</v>
      </c>
      <c r="F790" s="72">
        <v>11.08</v>
      </c>
      <c r="G790" s="72">
        <v>0</v>
      </c>
    </row>
    <row r="791" spans="2:7" x14ac:dyDescent="0.25">
      <c r="B791" s="71">
        <v>43521</v>
      </c>
      <c r="C791" t="s">
        <v>24</v>
      </c>
      <c r="D791" t="s">
        <v>96</v>
      </c>
      <c r="E791" t="s">
        <v>225</v>
      </c>
      <c r="F791" s="72">
        <v>17.510000000000002</v>
      </c>
      <c r="G791" s="72">
        <v>0</v>
      </c>
    </row>
    <row r="792" spans="2:7" x14ac:dyDescent="0.25">
      <c r="B792" s="71">
        <v>43521</v>
      </c>
      <c r="C792" t="s">
        <v>24</v>
      </c>
      <c r="D792" t="s">
        <v>96</v>
      </c>
      <c r="E792" t="s">
        <v>225</v>
      </c>
      <c r="F792" s="72">
        <v>21.76</v>
      </c>
      <c r="G792" s="72">
        <v>0</v>
      </c>
    </row>
    <row r="793" spans="2:7" x14ac:dyDescent="0.25">
      <c r="B793" s="71">
        <v>43521</v>
      </c>
      <c r="C793" t="s">
        <v>24</v>
      </c>
      <c r="D793" t="s">
        <v>96</v>
      </c>
      <c r="E793" t="s">
        <v>225</v>
      </c>
      <c r="F793" s="72">
        <v>27.72</v>
      </c>
      <c r="G793" s="72">
        <v>0</v>
      </c>
    </row>
    <row r="794" spans="2:7" x14ac:dyDescent="0.25">
      <c r="B794" s="71">
        <v>43521</v>
      </c>
      <c r="C794" t="s">
        <v>24</v>
      </c>
      <c r="D794" t="s">
        <v>96</v>
      </c>
      <c r="E794" t="s">
        <v>225</v>
      </c>
      <c r="F794" s="72">
        <v>28.57</v>
      </c>
      <c r="G794" s="72">
        <v>0</v>
      </c>
    </row>
    <row r="795" spans="2:7" x14ac:dyDescent="0.25">
      <c r="B795" s="71">
        <v>43521</v>
      </c>
      <c r="C795" t="s">
        <v>24</v>
      </c>
      <c r="D795" t="s">
        <v>96</v>
      </c>
      <c r="E795" t="s">
        <v>225</v>
      </c>
      <c r="F795" s="72">
        <v>55.12</v>
      </c>
      <c r="G795" s="72">
        <v>0</v>
      </c>
    </row>
    <row r="796" spans="2:7" x14ac:dyDescent="0.25">
      <c r="B796" s="71">
        <v>43521</v>
      </c>
      <c r="C796" t="s">
        <v>24</v>
      </c>
      <c r="D796" t="s">
        <v>96</v>
      </c>
      <c r="E796" t="s">
        <v>225</v>
      </c>
      <c r="F796" s="72">
        <v>56.43</v>
      </c>
      <c r="G796" s="72">
        <v>0</v>
      </c>
    </row>
    <row r="797" spans="2:7" x14ac:dyDescent="0.25">
      <c r="B797" s="71">
        <v>43521</v>
      </c>
      <c r="C797" t="s">
        <v>24</v>
      </c>
      <c r="D797" t="s">
        <v>96</v>
      </c>
      <c r="E797" t="s">
        <v>225</v>
      </c>
      <c r="F797" s="72">
        <v>60.58</v>
      </c>
      <c r="G797" s="72">
        <v>0</v>
      </c>
    </row>
    <row r="798" spans="2:7" x14ac:dyDescent="0.25">
      <c r="B798" s="71">
        <v>43521</v>
      </c>
      <c r="C798" t="s">
        <v>24</v>
      </c>
      <c r="D798" t="s">
        <v>96</v>
      </c>
      <c r="E798" t="s">
        <v>225</v>
      </c>
      <c r="F798" s="72">
        <v>61.62</v>
      </c>
      <c r="G798" s="72">
        <v>0</v>
      </c>
    </row>
    <row r="799" spans="2:7" x14ac:dyDescent="0.25">
      <c r="B799" s="71">
        <v>43521</v>
      </c>
      <c r="C799" t="s">
        <v>24</v>
      </c>
      <c r="D799" t="s">
        <v>96</v>
      </c>
      <c r="E799" t="s">
        <v>225</v>
      </c>
      <c r="F799" s="72">
        <v>159.63</v>
      </c>
      <c r="G799" s="72">
        <v>0</v>
      </c>
    </row>
    <row r="800" spans="2:7" x14ac:dyDescent="0.25">
      <c r="B800" s="71">
        <v>43521</v>
      </c>
      <c r="C800" t="s">
        <v>61</v>
      </c>
      <c r="D800" t="s">
        <v>96</v>
      </c>
      <c r="E800" t="s">
        <v>225</v>
      </c>
      <c r="F800" s="72">
        <v>327.85</v>
      </c>
      <c r="G800" s="72">
        <v>0</v>
      </c>
    </row>
    <row r="801" spans="2:7" x14ac:dyDescent="0.25">
      <c r="B801" s="71">
        <v>43522</v>
      </c>
      <c r="C801" t="s">
        <v>25</v>
      </c>
      <c r="D801" t="s">
        <v>81</v>
      </c>
      <c r="E801" t="s">
        <v>226</v>
      </c>
      <c r="F801" s="72">
        <v>115.77</v>
      </c>
      <c r="G801" s="72">
        <v>0</v>
      </c>
    </row>
    <row r="802" spans="2:7" x14ac:dyDescent="0.25">
      <c r="B802" s="71">
        <v>43522</v>
      </c>
      <c r="C802" t="s">
        <v>25</v>
      </c>
      <c r="D802" t="s">
        <v>81</v>
      </c>
      <c r="E802" t="s">
        <v>226</v>
      </c>
      <c r="F802" s="72">
        <v>157.56</v>
      </c>
      <c r="G802" s="72">
        <v>0</v>
      </c>
    </row>
    <row r="803" spans="2:7" x14ac:dyDescent="0.25">
      <c r="B803" s="71">
        <v>43522</v>
      </c>
      <c r="C803" t="s">
        <v>25</v>
      </c>
      <c r="D803" t="s">
        <v>88</v>
      </c>
      <c r="E803" t="s">
        <v>226</v>
      </c>
      <c r="F803" s="72">
        <v>10.99</v>
      </c>
      <c r="G803" s="72">
        <v>0</v>
      </c>
    </row>
    <row r="804" spans="2:7" x14ac:dyDescent="0.25">
      <c r="B804" s="71">
        <v>43522</v>
      </c>
      <c r="C804" t="s">
        <v>25</v>
      </c>
      <c r="D804" t="s">
        <v>88</v>
      </c>
      <c r="E804" t="s">
        <v>226</v>
      </c>
      <c r="F804" s="72">
        <v>16.350000000000001</v>
      </c>
      <c r="G804" s="72">
        <v>0</v>
      </c>
    </row>
    <row r="805" spans="2:7" x14ac:dyDescent="0.25">
      <c r="B805" s="71">
        <v>43522</v>
      </c>
      <c r="C805" t="s">
        <v>25</v>
      </c>
      <c r="D805" t="s">
        <v>88</v>
      </c>
      <c r="E805" t="s">
        <v>226</v>
      </c>
      <c r="F805" s="72">
        <v>34.56</v>
      </c>
      <c r="G805" s="72">
        <v>0</v>
      </c>
    </row>
    <row r="806" spans="2:7" x14ac:dyDescent="0.25">
      <c r="B806" s="71">
        <v>43522</v>
      </c>
      <c r="C806" t="s">
        <v>25</v>
      </c>
      <c r="D806" t="s">
        <v>88</v>
      </c>
      <c r="E806" t="s">
        <v>226</v>
      </c>
      <c r="F806" s="72">
        <v>53.96</v>
      </c>
      <c r="G806" s="72">
        <v>0</v>
      </c>
    </row>
    <row r="807" spans="2:7" x14ac:dyDescent="0.25">
      <c r="B807" s="71">
        <v>43522</v>
      </c>
      <c r="C807" t="s">
        <v>25</v>
      </c>
      <c r="D807" t="s">
        <v>88</v>
      </c>
      <c r="E807" t="s">
        <v>226</v>
      </c>
      <c r="F807" s="72">
        <v>65.94</v>
      </c>
      <c r="G807" s="72">
        <v>0</v>
      </c>
    </row>
    <row r="808" spans="2:7" x14ac:dyDescent="0.25">
      <c r="B808" s="71">
        <v>43522</v>
      </c>
      <c r="C808" t="s">
        <v>25</v>
      </c>
      <c r="D808" t="s">
        <v>88</v>
      </c>
      <c r="E808" t="s">
        <v>226</v>
      </c>
      <c r="F808" s="72">
        <v>80</v>
      </c>
      <c r="G808" s="72">
        <v>0</v>
      </c>
    </row>
    <row r="809" spans="2:7" x14ac:dyDescent="0.25">
      <c r="B809" s="71">
        <v>43522</v>
      </c>
      <c r="C809" t="s">
        <v>25</v>
      </c>
      <c r="D809" t="s">
        <v>88</v>
      </c>
      <c r="E809" t="s">
        <v>226</v>
      </c>
      <c r="F809" s="72">
        <v>82.83</v>
      </c>
      <c r="G809" s="72">
        <v>0</v>
      </c>
    </row>
    <row r="810" spans="2:7" x14ac:dyDescent="0.25">
      <c r="B810" s="71">
        <v>43522</v>
      </c>
      <c r="C810" t="s">
        <v>25</v>
      </c>
      <c r="D810" t="s">
        <v>82</v>
      </c>
      <c r="E810" t="s">
        <v>179</v>
      </c>
      <c r="F810" s="72">
        <v>9.75</v>
      </c>
      <c r="G810" s="72">
        <v>0</v>
      </c>
    </row>
    <row r="811" spans="2:7" x14ac:dyDescent="0.25">
      <c r="B811" s="71">
        <v>43522</v>
      </c>
      <c r="C811" t="s">
        <v>25</v>
      </c>
      <c r="D811" t="s">
        <v>83</v>
      </c>
      <c r="E811" t="s">
        <v>226</v>
      </c>
      <c r="F811" s="72">
        <v>39</v>
      </c>
      <c r="G811" s="72">
        <v>0</v>
      </c>
    </row>
    <row r="812" spans="2:7" x14ac:dyDescent="0.25">
      <c r="B812" s="71">
        <v>43522</v>
      </c>
      <c r="C812" t="s">
        <v>25</v>
      </c>
      <c r="D812" t="s">
        <v>83</v>
      </c>
      <c r="E812" t="s">
        <v>226</v>
      </c>
      <c r="F812" s="72">
        <v>183.93</v>
      </c>
      <c r="G812" s="72">
        <v>0</v>
      </c>
    </row>
    <row r="813" spans="2:7" x14ac:dyDescent="0.25">
      <c r="B813" s="71">
        <v>43522</v>
      </c>
      <c r="C813" t="s">
        <v>55</v>
      </c>
      <c r="D813" t="s">
        <v>86</v>
      </c>
      <c r="E813" t="s">
        <v>226</v>
      </c>
      <c r="F813" s="72">
        <v>28</v>
      </c>
      <c r="G813" s="72">
        <v>0</v>
      </c>
    </row>
    <row r="814" spans="2:7" x14ac:dyDescent="0.25">
      <c r="B814" s="71">
        <v>43522</v>
      </c>
      <c r="C814" t="s">
        <v>60</v>
      </c>
      <c r="D814" t="s">
        <v>83</v>
      </c>
      <c r="E814" t="s">
        <v>226</v>
      </c>
      <c r="F814" s="72">
        <v>584.82000000000005</v>
      </c>
      <c r="G814" s="72">
        <v>0</v>
      </c>
    </row>
    <row r="815" spans="2:7" x14ac:dyDescent="0.25">
      <c r="B815" s="71">
        <v>43522</v>
      </c>
      <c r="C815" t="s">
        <v>58</v>
      </c>
      <c r="D815" t="s">
        <v>88</v>
      </c>
      <c r="E815" t="s">
        <v>226</v>
      </c>
      <c r="F815" s="72">
        <v>65</v>
      </c>
      <c r="G815" s="72">
        <v>0</v>
      </c>
    </row>
    <row r="816" spans="2:7" x14ac:dyDescent="0.25">
      <c r="B816" s="71">
        <v>43522</v>
      </c>
      <c r="C816" t="s">
        <v>21</v>
      </c>
      <c r="D816" t="s">
        <v>80</v>
      </c>
      <c r="E816" t="s">
        <v>226</v>
      </c>
      <c r="F816" s="72">
        <v>8</v>
      </c>
      <c r="G816" s="72">
        <v>0</v>
      </c>
    </row>
    <row r="817" spans="2:7" x14ac:dyDescent="0.25">
      <c r="B817" s="71">
        <v>43522</v>
      </c>
      <c r="C817" t="s">
        <v>49</v>
      </c>
      <c r="D817" t="s">
        <v>88</v>
      </c>
      <c r="E817" t="s">
        <v>226</v>
      </c>
      <c r="F817" s="72">
        <v>26.25</v>
      </c>
      <c r="G817" s="72">
        <v>0</v>
      </c>
    </row>
    <row r="818" spans="2:7" x14ac:dyDescent="0.25">
      <c r="B818" s="71">
        <v>43522</v>
      </c>
      <c r="C818" t="s">
        <v>49</v>
      </c>
      <c r="D818" t="s">
        <v>87</v>
      </c>
      <c r="E818" t="s">
        <v>226</v>
      </c>
      <c r="F818" s="72">
        <v>56.9</v>
      </c>
      <c r="G818" s="72">
        <v>0</v>
      </c>
    </row>
    <row r="819" spans="2:7" x14ac:dyDescent="0.25">
      <c r="B819" s="71">
        <v>43522</v>
      </c>
      <c r="C819" t="s">
        <v>49</v>
      </c>
      <c r="D819" t="s">
        <v>97</v>
      </c>
      <c r="E819" t="s">
        <v>227</v>
      </c>
      <c r="F819" s="72">
        <v>0</v>
      </c>
      <c r="G819" s="72">
        <v>13600</v>
      </c>
    </row>
    <row r="820" spans="2:7" x14ac:dyDescent="0.25">
      <c r="B820" s="71">
        <v>43522</v>
      </c>
      <c r="C820" t="s">
        <v>49</v>
      </c>
      <c r="D820" t="s">
        <v>83</v>
      </c>
      <c r="E820" t="s">
        <v>226</v>
      </c>
      <c r="F820" s="72">
        <v>366.01</v>
      </c>
      <c r="G820" s="72">
        <v>0</v>
      </c>
    </row>
    <row r="821" spans="2:7" x14ac:dyDescent="0.25">
      <c r="B821" s="71">
        <v>43522</v>
      </c>
      <c r="C821" t="s">
        <v>46</v>
      </c>
      <c r="D821" t="s">
        <v>83</v>
      </c>
      <c r="E821" t="s">
        <v>226</v>
      </c>
      <c r="F821" s="72">
        <v>10.25</v>
      </c>
      <c r="G821" s="72">
        <v>0</v>
      </c>
    </row>
    <row r="822" spans="2:7" x14ac:dyDescent="0.25">
      <c r="B822" s="71">
        <v>43522</v>
      </c>
      <c r="C822" t="s">
        <v>70</v>
      </c>
      <c r="D822" t="s">
        <v>88</v>
      </c>
      <c r="E822" t="s">
        <v>226</v>
      </c>
      <c r="F822" s="72">
        <v>69.900000000000006</v>
      </c>
      <c r="G822" s="72">
        <v>0</v>
      </c>
    </row>
    <row r="823" spans="2:7" x14ac:dyDescent="0.25">
      <c r="B823" s="71">
        <v>43522</v>
      </c>
      <c r="C823" t="s">
        <v>54</v>
      </c>
      <c r="D823" t="s">
        <v>83</v>
      </c>
      <c r="E823" t="s">
        <v>226</v>
      </c>
      <c r="F823" s="72">
        <v>181</v>
      </c>
      <c r="G823" s="72">
        <v>0</v>
      </c>
    </row>
    <row r="824" spans="2:7" x14ac:dyDescent="0.25">
      <c r="B824" s="71">
        <v>43522</v>
      </c>
      <c r="C824" t="s">
        <v>61</v>
      </c>
      <c r="D824" t="s">
        <v>80</v>
      </c>
      <c r="E824" t="s">
        <v>226</v>
      </c>
      <c r="F824" s="72">
        <v>75.5</v>
      </c>
      <c r="G824" s="72">
        <v>0</v>
      </c>
    </row>
    <row r="825" spans="2:7" x14ac:dyDescent="0.25">
      <c r="B825" s="71">
        <v>43523</v>
      </c>
      <c r="C825" t="s">
        <v>25</v>
      </c>
      <c r="D825" t="s">
        <v>86</v>
      </c>
      <c r="E825" t="s">
        <v>228</v>
      </c>
      <c r="F825" s="72">
        <v>47.15</v>
      </c>
      <c r="G825" s="72">
        <v>0</v>
      </c>
    </row>
    <row r="826" spans="2:7" x14ac:dyDescent="0.25">
      <c r="B826" s="71">
        <v>43523</v>
      </c>
      <c r="C826" t="s">
        <v>25</v>
      </c>
      <c r="D826" t="s">
        <v>81</v>
      </c>
      <c r="E826" t="s">
        <v>228</v>
      </c>
      <c r="F826" s="72">
        <v>39.25</v>
      </c>
      <c r="G826" s="72">
        <v>0</v>
      </c>
    </row>
    <row r="827" spans="2:7" x14ac:dyDescent="0.25">
      <c r="B827" s="71">
        <v>43523</v>
      </c>
      <c r="C827" t="s">
        <v>25</v>
      </c>
      <c r="D827" t="s">
        <v>88</v>
      </c>
      <c r="E827" t="s">
        <v>228</v>
      </c>
      <c r="F827" s="72">
        <v>23.98</v>
      </c>
      <c r="G827" s="72">
        <v>0</v>
      </c>
    </row>
    <row r="828" spans="2:7" x14ac:dyDescent="0.25">
      <c r="B828" s="71">
        <v>43523</v>
      </c>
      <c r="C828" t="s">
        <v>25</v>
      </c>
      <c r="D828" t="s">
        <v>82</v>
      </c>
      <c r="E828" t="s">
        <v>151</v>
      </c>
      <c r="F828" s="72">
        <v>28</v>
      </c>
      <c r="G828" s="72">
        <v>0</v>
      </c>
    </row>
    <row r="829" spans="2:7" x14ac:dyDescent="0.25">
      <c r="B829" s="71">
        <v>43523</v>
      </c>
      <c r="C829" t="s">
        <v>25</v>
      </c>
      <c r="D829" t="s">
        <v>83</v>
      </c>
      <c r="E829" t="s">
        <v>228</v>
      </c>
      <c r="F829" s="72">
        <v>51.6</v>
      </c>
      <c r="G829" s="72">
        <v>0</v>
      </c>
    </row>
    <row r="830" spans="2:7" x14ac:dyDescent="0.25">
      <c r="B830" s="71">
        <v>43523</v>
      </c>
      <c r="C830" t="s">
        <v>21</v>
      </c>
      <c r="D830" t="s">
        <v>80</v>
      </c>
      <c r="E830" t="s">
        <v>228</v>
      </c>
      <c r="F830" s="72">
        <v>24</v>
      </c>
      <c r="G830" s="72">
        <v>0</v>
      </c>
    </row>
    <row r="831" spans="2:7" x14ac:dyDescent="0.25">
      <c r="B831" s="71">
        <v>43523</v>
      </c>
      <c r="C831" t="s">
        <v>21</v>
      </c>
      <c r="D831" t="s">
        <v>80</v>
      </c>
      <c r="E831" t="s">
        <v>228</v>
      </c>
      <c r="F831" s="72">
        <v>32</v>
      </c>
      <c r="G831" s="72">
        <v>0</v>
      </c>
    </row>
    <row r="832" spans="2:7" x14ac:dyDescent="0.25">
      <c r="B832" s="71">
        <v>43523</v>
      </c>
      <c r="C832" t="s">
        <v>21</v>
      </c>
      <c r="D832" t="s">
        <v>93</v>
      </c>
      <c r="E832" t="s">
        <v>229</v>
      </c>
      <c r="F832" s="72">
        <v>75.819999999999993</v>
      </c>
      <c r="G832" s="72">
        <v>0</v>
      </c>
    </row>
    <row r="833" spans="2:7" x14ac:dyDescent="0.25">
      <c r="B833" s="71">
        <v>43523</v>
      </c>
      <c r="C833" t="s">
        <v>49</v>
      </c>
      <c r="D833" t="s">
        <v>81</v>
      </c>
      <c r="E833" t="s">
        <v>228</v>
      </c>
      <c r="F833" s="72">
        <v>44</v>
      </c>
      <c r="G833" s="72">
        <v>0</v>
      </c>
    </row>
    <row r="834" spans="2:7" x14ac:dyDescent="0.25">
      <c r="B834" s="71">
        <v>43523</v>
      </c>
      <c r="C834" t="s">
        <v>46</v>
      </c>
      <c r="D834" t="s">
        <v>86</v>
      </c>
      <c r="E834" t="s">
        <v>228</v>
      </c>
      <c r="F834" s="72">
        <v>72</v>
      </c>
      <c r="G834" s="72">
        <v>0</v>
      </c>
    </row>
    <row r="835" spans="2:7" x14ac:dyDescent="0.25">
      <c r="B835" s="71">
        <v>43523</v>
      </c>
      <c r="C835" t="s">
        <v>24</v>
      </c>
      <c r="D835" t="s">
        <v>80</v>
      </c>
      <c r="E835" t="s">
        <v>228</v>
      </c>
      <c r="F835" s="72">
        <v>8</v>
      </c>
      <c r="G835" s="72">
        <v>0</v>
      </c>
    </row>
    <row r="836" spans="2:7" x14ac:dyDescent="0.25">
      <c r="B836" s="71">
        <v>43523</v>
      </c>
      <c r="C836" t="s">
        <v>24</v>
      </c>
      <c r="D836" t="s">
        <v>80</v>
      </c>
      <c r="E836" t="s">
        <v>228</v>
      </c>
      <c r="F836" s="72">
        <v>16</v>
      </c>
      <c r="G836" s="72">
        <v>0</v>
      </c>
    </row>
    <row r="837" spans="2:7" x14ac:dyDescent="0.25">
      <c r="B837" s="71">
        <v>43524</v>
      </c>
      <c r="C837" t="s">
        <v>25</v>
      </c>
      <c r="D837" t="s">
        <v>82</v>
      </c>
      <c r="E837" t="s">
        <v>123</v>
      </c>
      <c r="F837" s="72">
        <v>7.35</v>
      </c>
      <c r="G837" s="72">
        <v>0</v>
      </c>
    </row>
    <row r="838" spans="2:7" x14ac:dyDescent="0.25">
      <c r="B838" s="71">
        <v>43525</v>
      </c>
      <c r="C838" t="s">
        <v>25</v>
      </c>
      <c r="D838" t="s">
        <v>81</v>
      </c>
      <c r="E838" t="s">
        <v>230</v>
      </c>
      <c r="F838" s="72">
        <v>12.9</v>
      </c>
      <c r="G838" s="72">
        <v>0</v>
      </c>
    </row>
    <row r="839" spans="2:7" x14ac:dyDescent="0.25">
      <c r="B839" s="71">
        <v>43525</v>
      </c>
      <c r="C839" t="s">
        <v>25</v>
      </c>
      <c r="D839" t="s">
        <v>81</v>
      </c>
      <c r="E839" t="s">
        <v>230</v>
      </c>
      <c r="F839" s="72">
        <v>47.98</v>
      </c>
      <c r="G839" s="72">
        <v>0</v>
      </c>
    </row>
    <row r="840" spans="2:7" x14ac:dyDescent="0.25">
      <c r="B840" s="71">
        <v>43525</v>
      </c>
      <c r="C840" t="s">
        <v>25</v>
      </c>
      <c r="D840" t="s">
        <v>81</v>
      </c>
      <c r="E840" t="s">
        <v>230</v>
      </c>
      <c r="F840" s="72">
        <v>80</v>
      </c>
      <c r="G840" s="72">
        <v>0</v>
      </c>
    </row>
    <row r="841" spans="2:7" x14ac:dyDescent="0.25">
      <c r="B841" s="71">
        <v>43525</v>
      </c>
      <c r="C841" t="s">
        <v>25</v>
      </c>
      <c r="D841" t="s">
        <v>88</v>
      </c>
      <c r="E841" t="s">
        <v>230</v>
      </c>
      <c r="F841" s="72">
        <v>15.92</v>
      </c>
      <c r="G841" s="72">
        <v>0</v>
      </c>
    </row>
    <row r="842" spans="2:7" x14ac:dyDescent="0.25">
      <c r="B842" s="71">
        <v>43525</v>
      </c>
      <c r="C842" t="s">
        <v>25</v>
      </c>
      <c r="D842" t="s">
        <v>88</v>
      </c>
      <c r="E842" t="s">
        <v>230</v>
      </c>
      <c r="F842" s="72">
        <v>26.15</v>
      </c>
      <c r="G842" s="72">
        <v>0</v>
      </c>
    </row>
    <row r="843" spans="2:7" x14ac:dyDescent="0.25">
      <c r="B843" s="71">
        <v>43525</v>
      </c>
      <c r="C843" t="s">
        <v>25</v>
      </c>
      <c r="D843" t="s">
        <v>88</v>
      </c>
      <c r="E843" t="s">
        <v>230</v>
      </c>
      <c r="F843" s="72">
        <v>59.15</v>
      </c>
      <c r="G843" s="72">
        <v>0</v>
      </c>
    </row>
    <row r="844" spans="2:7" x14ac:dyDescent="0.25">
      <c r="B844" s="71">
        <v>43525</v>
      </c>
      <c r="C844" t="s">
        <v>25</v>
      </c>
      <c r="D844" t="s">
        <v>88</v>
      </c>
      <c r="E844" t="s">
        <v>230</v>
      </c>
      <c r="F844" s="72">
        <v>60.87</v>
      </c>
      <c r="G844" s="72">
        <v>0</v>
      </c>
    </row>
    <row r="845" spans="2:7" x14ac:dyDescent="0.25">
      <c r="B845" s="71">
        <v>43525</v>
      </c>
      <c r="C845" t="s">
        <v>25</v>
      </c>
      <c r="D845" t="s">
        <v>88</v>
      </c>
      <c r="E845" t="s">
        <v>230</v>
      </c>
      <c r="F845" s="72">
        <v>65.44</v>
      </c>
      <c r="G845" s="72">
        <v>0</v>
      </c>
    </row>
    <row r="846" spans="2:7" x14ac:dyDescent="0.25">
      <c r="B846" s="71">
        <v>43525</v>
      </c>
      <c r="C846" t="s">
        <v>25</v>
      </c>
      <c r="D846" t="s">
        <v>82</v>
      </c>
      <c r="E846" t="s">
        <v>151</v>
      </c>
      <c r="F846" s="72">
        <v>14</v>
      </c>
      <c r="G846" s="72">
        <v>0</v>
      </c>
    </row>
    <row r="847" spans="2:7" x14ac:dyDescent="0.25">
      <c r="B847" s="71">
        <v>43525</v>
      </c>
      <c r="C847" t="s">
        <v>25</v>
      </c>
      <c r="D847" t="s">
        <v>82</v>
      </c>
      <c r="E847" t="s">
        <v>165</v>
      </c>
      <c r="F847" s="72">
        <v>18</v>
      </c>
      <c r="G847" s="72">
        <v>0</v>
      </c>
    </row>
    <row r="848" spans="2:7" x14ac:dyDescent="0.25">
      <c r="B848" s="71">
        <v>43525</v>
      </c>
      <c r="C848" t="s">
        <v>55</v>
      </c>
      <c r="D848" t="s">
        <v>81</v>
      </c>
      <c r="E848" t="s">
        <v>230</v>
      </c>
      <c r="F848" s="72">
        <v>71.97</v>
      </c>
      <c r="G848" s="72">
        <v>0</v>
      </c>
    </row>
    <row r="849" spans="2:7" x14ac:dyDescent="0.25">
      <c r="B849" s="71">
        <v>43525</v>
      </c>
      <c r="C849" t="s">
        <v>45</v>
      </c>
      <c r="D849" t="s">
        <v>81</v>
      </c>
      <c r="E849" t="s">
        <v>230</v>
      </c>
      <c r="F849" s="72">
        <v>38.96</v>
      </c>
      <c r="G849" s="72">
        <v>0</v>
      </c>
    </row>
    <row r="850" spans="2:7" x14ac:dyDescent="0.25">
      <c r="B850" s="71">
        <v>43525</v>
      </c>
      <c r="C850" t="s">
        <v>49</v>
      </c>
      <c r="D850" t="s">
        <v>85</v>
      </c>
      <c r="E850" t="s">
        <v>230</v>
      </c>
      <c r="F850" s="72">
        <v>150</v>
      </c>
      <c r="G850" s="72">
        <v>0</v>
      </c>
    </row>
    <row r="851" spans="2:7" x14ac:dyDescent="0.25">
      <c r="B851" s="71">
        <v>43525</v>
      </c>
      <c r="C851" t="s">
        <v>46</v>
      </c>
      <c r="D851" t="s">
        <v>83</v>
      </c>
      <c r="E851" t="s">
        <v>230</v>
      </c>
      <c r="F851" s="72">
        <v>28.95</v>
      </c>
      <c r="G851" s="72">
        <v>0</v>
      </c>
    </row>
    <row r="852" spans="2:7" x14ac:dyDescent="0.25">
      <c r="B852" s="71">
        <v>43525</v>
      </c>
      <c r="C852" t="s">
        <v>50</v>
      </c>
      <c r="D852" t="s">
        <v>85</v>
      </c>
      <c r="E852" t="s">
        <v>230</v>
      </c>
      <c r="F852" s="72">
        <v>150</v>
      </c>
      <c r="G852" s="72">
        <v>0</v>
      </c>
    </row>
    <row r="853" spans="2:7" x14ac:dyDescent="0.25">
      <c r="B853" s="71">
        <v>43525</v>
      </c>
      <c r="C853" t="s">
        <v>51</v>
      </c>
      <c r="D853" t="s">
        <v>85</v>
      </c>
      <c r="E853" t="s">
        <v>230</v>
      </c>
      <c r="F853" s="72">
        <v>1950</v>
      </c>
      <c r="G853" s="72">
        <v>0</v>
      </c>
    </row>
    <row r="854" spans="2:7" x14ac:dyDescent="0.25">
      <c r="B854" s="71">
        <v>43525</v>
      </c>
      <c r="C854" t="s">
        <v>24</v>
      </c>
      <c r="D854" t="s">
        <v>83</v>
      </c>
      <c r="E854" t="s">
        <v>230</v>
      </c>
      <c r="F854" s="72">
        <v>140</v>
      </c>
      <c r="G854" s="72">
        <v>0</v>
      </c>
    </row>
    <row r="855" spans="2:7" x14ac:dyDescent="0.25">
      <c r="B855" s="71">
        <v>43525</v>
      </c>
      <c r="C855" t="s">
        <v>24</v>
      </c>
      <c r="D855" t="s">
        <v>83</v>
      </c>
      <c r="E855" t="s">
        <v>230</v>
      </c>
      <c r="F855" s="72">
        <v>171.6</v>
      </c>
      <c r="G855" s="72">
        <v>0</v>
      </c>
    </row>
    <row r="856" spans="2:7" x14ac:dyDescent="0.25">
      <c r="B856" s="71">
        <v>43526</v>
      </c>
      <c r="C856" t="s">
        <v>25</v>
      </c>
      <c r="D856" t="s">
        <v>82</v>
      </c>
      <c r="E856" t="s">
        <v>162</v>
      </c>
      <c r="F856" s="72">
        <v>52.2</v>
      </c>
      <c r="G856" s="72">
        <v>0</v>
      </c>
    </row>
    <row r="857" spans="2:7" x14ac:dyDescent="0.25">
      <c r="B857" s="71">
        <v>43530</v>
      </c>
      <c r="C857" t="s">
        <v>57</v>
      </c>
      <c r="D857" t="s">
        <v>83</v>
      </c>
      <c r="E857" t="s">
        <v>231</v>
      </c>
      <c r="F857" s="72">
        <v>196.4</v>
      </c>
      <c r="G857" s="72">
        <v>0</v>
      </c>
    </row>
    <row r="858" spans="2:7" x14ac:dyDescent="0.25">
      <c r="B858" s="71">
        <v>43530</v>
      </c>
      <c r="C858" t="s">
        <v>52</v>
      </c>
      <c r="D858" t="s">
        <v>83</v>
      </c>
      <c r="E858" t="s">
        <v>231</v>
      </c>
      <c r="F858" s="72">
        <v>161.44999999999999</v>
      </c>
      <c r="G858" s="72">
        <v>0</v>
      </c>
    </row>
    <row r="859" spans="2:7" x14ac:dyDescent="0.25">
      <c r="B859" s="71">
        <v>43530</v>
      </c>
      <c r="C859" t="s">
        <v>21</v>
      </c>
      <c r="D859" t="s">
        <v>80</v>
      </c>
      <c r="E859" t="s">
        <v>231</v>
      </c>
      <c r="F859" s="72">
        <v>8</v>
      </c>
      <c r="G859" s="72">
        <v>0</v>
      </c>
    </row>
    <row r="860" spans="2:7" x14ac:dyDescent="0.25">
      <c r="B860" s="71">
        <v>43530</v>
      </c>
      <c r="C860" t="s">
        <v>21</v>
      </c>
      <c r="D860" t="s">
        <v>80</v>
      </c>
      <c r="E860" t="s">
        <v>231</v>
      </c>
      <c r="F860" s="72">
        <v>16</v>
      </c>
      <c r="G860" s="72">
        <v>0</v>
      </c>
    </row>
    <row r="861" spans="2:7" x14ac:dyDescent="0.25">
      <c r="B861" s="71">
        <v>43530</v>
      </c>
      <c r="C861" t="s">
        <v>21</v>
      </c>
      <c r="D861" t="s">
        <v>80</v>
      </c>
      <c r="E861" t="s">
        <v>231</v>
      </c>
      <c r="F861" s="72">
        <v>24</v>
      </c>
      <c r="G861" s="72">
        <v>0</v>
      </c>
    </row>
    <row r="862" spans="2:7" x14ac:dyDescent="0.25">
      <c r="B862" s="71">
        <v>43530</v>
      </c>
      <c r="C862" t="s">
        <v>21</v>
      </c>
      <c r="D862" t="s">
        <v>80</v>
      </c>
      <c r="E862" t="s">
        <v>231</v>
      </c>
      <c r="F862" s="72">
        <v>40</v>
      </c>
      <c r="G862" s="72">
        <v>0</v>
      </c>
    </row>
    <row r="863" spans="2:7" x14ac:dyDescent="0.25">
      <c r="B863" s="71">
        <v>43530</v>
      </c>
      <c r="C863" t="s">
        <v>21</v>
      </c>
      <c r="D863" t="s">
        <v>80</v>
      </c>
      <c r="E863" t="s">
        <v>231</v>
      </c>
      <c r="F863" s="72">
        <v>48</v>
      </c>
      <c r="G863" s="72">
        <v>0</v>
      </c>
    </row>
    <row r="864" spans="2:7" x14ac:dyDescent="0.25">
      <c r="B864" s="71">
        <v>43530</v>
      </c>
      <c r="C864" t="s">
        <v>21</v>
      </c>
      <c r="D864" t="s">
        <v>80</v>
      </c>
      <c r="E864" t="s">
        <v>231</v>
      </c>
      <c r="F864" s="72">
        <v>64</v>
      </c>
      <c r="G864" s="72">
        <v>0</v>
      </c>
    </row>
    <row r="865" spans="2:7" x14ac:dyDescent="0.25">
      <c r="B865" s="71">
        <v>43530</v>
      </c>
      <c r="C865" t="s">
        <v>21</v>
      </c>
      <c r="D865" t="s">
        <v>80</v>
      </c>
      <c r="E865" t="s">
        <v>231</v>
      </c>
      <c r="F865" s="72">
        <v>128</v>
      </c>
      <c r="G865" s="72">
        <v>0</v>
      </c>
    </row>
    <row r="866" spans="2:7" x14ac:dyDescent="0.25">
      <c r="B866" s="71">
        <v>43530</v>
      </c>
      <c r="C866" t="s">
        <v>46</v>
      </c>
      <c r="D866" t="s">
        <v>83</v>
      </c>
      <c r="E866" t="s">
        <v>231</v>
      </c>
      <c r="F866" s="72">
        <v>42.5</v>
      </c>
      <c r="G866" s="72">
        <v>0</v>
      </c>
    </row>
    <row r="867" spans="2:7" x14ac:dyDescent="0.25">
      <c r="B867" s="71">
        <v>43530</v>
      </c>
      <c r="C867" t="s">
        <v>51</v>
      </c>
      <c r="D867" t="s">
        <v>86</v>
      </c>
      <c r="E867" t="s">
        <v>231</v>
      </c>
      <c r="F867" s="72">
        <v>88</v>
      </c>
      <c r="G867" s="72">
        <v>0</v>
      </c>
    </row>
    <row r="868" spans="2:7" x14ac:dyDescent="0.25">
      <c r="B868" s="71">
        <v>43530</v>
      </c>
      <c r="C868" t="s">
        <v>51</v>
      </c>
      <c r="D868" t="s">
        <v>83</v>
      </c>
      <c r="E868" t="s">
        <v>231</v>
      </c>
      <c r="F868" s="72">
        <v>21.24</v>
      </c>
      <c r="G868" s="72">
        <v>0</v>
      </c>
    </row>
    <row r="869" spans="2:7" x14ac:dyDescent="0.25">
      <c r="B869" s="71">
        <v>43530</v>
      </c>
      <c r="C869" t="s">
        <v>24</v>
      </c>
      <c r="D869" t="s">
        <v>80</v>
      </c>
      <c r="E869" t="s">
        <v>231</v>
      </c>
      <c r="F869" s="72">
        <v>16</v>
      </c>
      <c r="G869" s="72">
        <v>0</v>
      </c>
    </row>
    <row r="870" spans="2:7" x14ac:dyDescent="0.25">
      <c r="B870" s="71">
        <v>43530</v>
      </c>
      <c r="C870" t="s">
        <v>61</v>
      </c>
      <c r="D870" t="s">
        <v>86</v>
      </c>
      <c r="E870" t="s">
        <v>231</v>
      </c>
      <c r="F870" s="72">
        <v>19.559999999999999</v>
      </c>
      <c r="G870" s="72">
        <v>0</v>
      </c>
    </row>
    <row r="871" spans="2:7" x14ac:dyDescent="0.25">
      <c r="B871" s="71">
        <v>43531</v>
      </c>
      <c r="C871" t="s">
        <v>25</v>
      </c>
      <c r="D871" t="s">
        <v>86</v>
      </c>
      <c r="E871" t="s">
        <v>232</v>
      </c>
      <c r="F871" s="72">
        <v>18</v>
      </c>
      <c r="G871" s="72">
        <v>0</v>
      </c>
    </row>
    <row r="872" spans="2:7" x14ac:dyDescent="0.25">
      <c r="B872" s="71">
        <v>43531</v>
      </c>
      <c r="C872" t="s">
        <v>25</v>
      </c>
      <c r="D872" t="s">
        <v>81</v>
      </c>
      <c r="E872" t="s">
        <v>232</v>
      </c>
      <c r="F872" s="72">
        <v>23.99</v>
      </c>
      <c r="G872" s="72">
        <v>0</v>
      </c>
    </row>
    <row r="873" spans="2:7" x14ac:dyDescent="0.25">
      <c r="B873" s="71">
        <v>43531</v>
      </c>
      <c r="C873" t="s">
        <v>25</v>
      </c>
      <c r="D873" t="s">
        <v>81</v>
      </c>
      <c r="E873" t="s">
        <v>232</v>
      </c>
      <c r="F873" s="72">
        <v>60</v>
      </c>
      <c r="G873" s="72">
        <v>0</v>
      </c>
    </row>
    <row r="874" spans="2:7" x14ac:dyDescent="0.25">
      <c r="B874" s="71">
        <v>43531</v>
      </c>
      <c r="C874" t="s">
        <v>25</v>
      </c>
      <c r="D874" t="s">
        <v>88</v>
      </c>
      <c r="E874" t="s">
        <v>232</v>
      </c>
      <c r="F874" s="72">
        <v>36.450000000000003</v>
      </c>
      <c r="G874" s="72">
        <v>0</v>
      </c>
    </row>
    <row r="875" spans="2:7" x14ac:dyDescent="0.25">
      <c r="B875" s="71">
        <v>43531</v>
      </c>
      <c r="C875" t="s">
        <v>25</v>
      </c>
      <c r="D875" t="s">
        <v>88</v>
      </c>
      <c r="E875" t="s">
        <v>232</v>
      </c>
      <c r="F875" s="72">
        <v>37.68</v>
      </c>
      <c r="G875" s="72">
        <v>0</v>
      </c>
    </row>
    <row r="876" spans="2:7" x14ac:dyDescent="0.25">
      <c r="B876" s="71">
        <v>43531</v>
      </c>
      <c r="C876" t="s">
        <v>25</v>
      </c>
      <c r="D876" t="s">
        <v>88</v>
      </c>
      <c r="E876" t="s">
        <v>232</v>
      </c>
      <c r="F876" s="72">
        <v>63.01</v>
      </c>
      <c r="G876" s="72">
        <v>0</v>
      </c>
    </row>
    <row r="877" spans="2:7" x14ac:dyDescent="0.25">
      <c r="B877" s="71">
        <v>43531</v>
      </c>
      <c r="C877" t="s">
        <v>25</v>
      </c>
      <c r="D877" t="s">
        <v>88</v>
      </c>
      <c r="E877" t="s">
        <v>232</v>
      </c>
      <c r="F877" s="72">
        <v>86.12</v>
      </c>
      <c r="G877" s="72">
        <v>0</v>
      </c>
    </row>
    <row r="878" spans="2:7" x14ac:dyDescent="0.25">
      <c r="B878" s="71">
        <v>43531</v>
      </c>
      <c r="C878" t="s">
        <v>25</v>
      </c>
      <c r="D878" t="s">
        <v>82</v>
      </c>
      <c r="E878" t="s">
        <v>136</v>
      </c>
      <c r="F878" s="72">
        <v>3.15</v>
      </c>
      <c r="G878" s="72">
        <v>0</v>
      </c>
    </row>
    <row r="879" spans="2:7" x14ac:dyDescent="0.25">
      <c r="B879" s="71">
        <v>43531</v>
      </c>
      <c r="C879" t="s">
        <v>25</v>
      </c>
      <c r="D879" t="s">
        <v>82</v>
      </c>
      <c r="E879" t="s">
        <v>140</v>
      </c>
      <c r="F879" s="72">
        <v>3</v>
      </c>
      <c r="G879" s="72">
        <v>0</v>
      </c>
    </row>
    <row r="880" spans="2:7" x14ac:dyDescent="0.25">
      <c r="B880" s="71">
        <v>43531</v>
      </c>
      <c r="C880" t="s">
        <v>25</v>
      </c>
      <c r="D880" t="s">
        <v>82</v>
      </c>
      <c r="E880" t="s">
        <v>141</v>
      </c>
      <c r="F880" s="72">
        <v>1.8</v>
      </c>
      <c r="G880" s="72">
        <v>0</v>
      </c>
    </row>
    <row r="881" spans="2:7" x14ac:dyDescent="0.25">
      <c r="B881" s="71">
        <v>43531</v>
      </c>
      <c r="C881" t="s">
        <v>48</v>
      </c>
      <c r="D881" t="s">
        <v>81</v>
      </c>
      <c r="E881" t="s">
        <v>232</v>
      </c>
      <c r="F881" s="72">
        <v>57.09</v>
      </c>
      <c r="G881" s="72">
        <v>0</v>
      </c>
    </row>
    <row r="882" spans="2:7" x14ac:dyDescent="0.25">
      <c r="B882" s="71">
        <v>43531</v>
      </c>
      <c r="C882" t="s">
        <v>48</v>
      </c>
      <c r="D882" t="s">
        <v>87</v>
      </c>
      <c r="E882" t="s">
        <v>232</v>
      </c>
      <c r="F882" s="72">
        <v>40</v>
      </c>
      <c r="G882" s="72">
        <v>0</v>
      </c>
    </row>
    <row r="883" spans="2:7" x14ac:dyDescent="0.25">
      <c r="B883" s="71">
        <v>43531</v>
      </c>
      <c r="C883" t="s">
        <v>21</v>
      </c>
      <c r="D883" t="s">
        <v>80</v>
      </c>
      <c r="E883" t="s">
        <v>232</v>
      </c>
      <c r="F883" s="72">
        <v>32</v>
      </c>
      <c r="G883" s="72">
        <v>0</v>
      </c>
    </row>
    <row r="884" spans="2:7" x14ac:dyDescent="0.25">
      <c r="B884" s="71">
        <v>43531</v>
      </c>
      <c r="C884" t="s">
        <v>21</v>
      </c>
      <c r="D884" t="s">
        <v>80</v>
      </c>
      <c r="E884" t="s">
        <v>232</v>
      </c>
      <c r="F884" s="72">
        <v>64</v>
      </c>
      <c r="G884" s="72">
        <v>0</v>
      </c>
    </row>
    <row r="885" spans="2:7" x14ac:dyDescent="0.25">
      <c r="B885" s="71">
        <v>43531</v>
      </c>
      <c r="C885" t="s">
        <v>21</v>
      </c>
      <c r="D885" t="s">
        <v>80</v>
      </c>
      <c r="E885" t="s">
        <v>232</v>
      </c>
      <c r="F885" s="72">
        <v>80</v>
      </c>
      <c r="G885" s="72">
        <v>0</v>
      </c>
    </row>
    <row r="886" spans="2:7" x14ac:dyDescent="0.25">
      <c r="B886" s="71">
        <v>43531</v>
      </c>
      <c r="C886" t="s">
        <v>49</v>
      </c>
      <c r="D886" t="s">
        <v>83</v>
      </c>
      <c r="E886" t="s">
        <v>232</v>
      </c>
      <c r="F886" s="72">
        <v>195.57</v>
      </c>
      <c r="G886" s="72">
        <v>0</v>
      </c>
    </row>
    <row r="887" spans="2:7" x14ac:dyDescent="0.25">
      <c r="B887" s="71">
        <v>43531</v>
      </c>
      <c r="C887" t="s">
        <v>50</v>
      </c>
      <c r="D887" t="s">
        <v>83</v>
      </c>
      <c r="E887" t="s">
        <v>232</v>
      </c>
      <c r="F887" s="72">
        <v>53</v>
      </c>
      <c r="G887" s="72">
        <v>0</v>
      </c>
    </row>
    <row r="888" spans="2:7" x14ac:dyDescent="0.25">
      <c r="B888" s="71">
        <v>43531</v>
      </c>
      <c r="C888" t="s">
        <v>54</v>
      </c>
      <c r="D888" t="s">
        <v>86</v>
      </c>
      <c r="E888" t="s">
        <v>232</v>
      </c>
      <c r="F888" s="72">
        <v>255.93</v>
      </c>
      <c r="G888" s="72">
        <v>0</v>
      </c>
    </row>
    <row r="889" spans="2:7" x14ac:dyDescent="0.25">
      <c r="B889" s="71">
        <v>43531</v>
      </c>
      <c r="C889" t="s">
        <v>54</v>
      </c>
      <c r="D889" t="s">
        <v>83</v>
      </c>
      <c r="E889" t="s">
        <v>232</v>
      </c>
      <c r="F889" s="72">
        <v>176</v>
      </c>
      <c r="G889" s="72">
        <v>0</v>
      </c>
    </row>
    <row r="890" spans="2:7" x14ac:dyDescent="0.25">
      <c r="B890" s="71">
        <v>43531</v>
      </c>
      <c r="C890" t="s">
        <v>24</v>
      </c>
      <c r="D890" t="s">
        <v>80</v>
      </c>
      <c r="E890" t="s">
        <v>232</v>
      </c>
      <c r="F890" s="72">
        <v>8</v>
      </c>
      <c r="G890" s="72">
        <v>0</v>
      </c>
    </row>
    <row r="891" spans="2:7" x14ac:dyDescent="0.25">
      <c r="B891" s="71">
        <v>43532</v>
      </c>
      <c r="C891" t="s">
        <v>25</v>
      </c>
      <c r="D891" t="s">
        <v>86</v>
      </c>
      <c r="E891" t="s">
        <v>233</v>
      </c>
      <c r="F891" s="72">
        <v>24.7</v>
      </c>
      <c r="G891" s="72">
        <v>0</v>
      </c>
    </row>
    <row r="892" spans="2:7" x14ac:dyDescent="0.25">
      <c r="B892" s="71">
        <v>43532</v>
      </c>
      <c r="C892" t="s">
        <v>25</v>
      </c>
      <c r="D892" t="s">
        <v>82</v>
      </c>
      <c r="E892" t="s">
        <v>123</v>
      </c>
      <c r="F892" s="72">
        <v>14.7</v>
      </c>
      <c r="G892" s="72">
        <v>0</v>
      </c>
    </row>
    <row r="893" spans="2:7" x14ac:dyDescent="0.25">
      <c r="B893" s="71">
        <v>43532</v>
      </c>
      <c r="C893" t="s">
        <v>25</v>
      </c>
      <c r="D893" t="s">
        <v>82</v>
      </c>
      <c r="E893" t="s">
        <v>196</v>
      </c>
      <c r="F893" s="72">
        <v>26</v>
      </c>
      <c r="G893" s="72">
        <v>0</v>
      </c>
    </row>
    <row r="894" spans="2:7" x14ac:dyDescent="0.25">
      <c r="B894" s="71">
        <v>43532</v>
      </c>
      <c r="C894" t="s">
        <v>25</v>
      </c>
      <c r="D894" t="s">
        <v>82</v>
      </c>
      <c r="E894" t="s">
        <v>192</v>
      </c>
      <c r="F894" s="72">
        <v>3.5</v>
      </c>
      <c r="G894" s="72">
        <v>0</v>
      </c>
    </row>
    <row r="895" spans="2:7" x14ac:dyDescent="0.25">
      <c r="B895" s="71">
        <v>43532</v>
      </c>
      <c r="C895" t="s">
        <v>25</v>
      </c>
      <c r="D895" t="s">
        <v>83</v>
      </c>
      <c r="E895" t="s">
        <v>233</v>
      </c>
      <c r="F895" s="72">
        <v>42</v>
      </c>
      <c r="G895" s="72">
        <v>0</v>
      </c>
    </row>
    <row r="896" spans="2:7" x14ac:dyDescent="0.25">
      <c r="B896" s="71">
        <v>43532</v>
      </c>
      <c r="C896" t="s">
        <v>47</v>
      </c>
      <c r="D896" t="s">
        <v>83</v>
      </c>
      <c r="E896" t="s">
        <v>233</v>
      </c>
      <c r="F896" s="72">
        <v>9.1999999999999993</v>
      </c>
      <c r="G896" s="72">
        <v>0</v>
      </c>
    </row>
    <row r="897" spans="2:7" x14ac:dyDescent="0.25">
      <c r="B897" s="71">
        <v>43532</v>
      </c>
      <c r="C897" t="s">
        <v>52</v>
      </c>
      <c r="D897" t="s">
        <v>83</v>
      </c>
      <c r="E897" t="s">
        <v>233</v>
      </c>
      <c r="F897" s="72">
        <v>98.1</v>
      </c>
      <c r="G897" s="72">
        <v>0</v>
      </c>
    </row>
    <row r="898" spans="2:7" x14ac:dyDescent="0.25">
      <c r="B898" s="71">
        <v>43532</v>
      </c>
      <c r="C898" t="s">
        <v>21</v>
      </c>
      <c r="D898" t="s">
        <v>80</v>
      </c>
      <c r="E898" t="s">
        <v>233</v>
      </c>
      <c r="F898" s="72">
        <v>16</v>
      </c>
      <c r="G898" s="72">
        <v>0</v>
      </c>
    </row>
    <row r="899" spans="2:7" x14ac:dyDescent="0.25">
      <c r="B899" s="71">
        <v>43532</v>
      </c>
      <c r="C899" t="s">
        <v>21</v>
      </c>
      <c r="D899" t="s">
        <v>80</v>
      </c>
      <c r="E899" t="s">
        <v>233</v>
      </c>
      <c r="F899" s="72">
        <v>24</v>
      </c>
      <c r="G899" s="72">
        <v>0</v>
      </c>
    </row>
    <row r="900" spans="2:7" x14ac:dyDescent="0.25">
      <c r="B900" s="71">
        <v>43532</v>
      </c>
      <c r="C900" t="s">
        <v>21</v>
      </c>
      <c r="D900" t="s">
        <v>80</v>
      </c>
      <c r="E900" t="s">
        <v>233</v>
      </c>
      <c r="F900" s="72">
        <v>96</v>
      </c>
      <c r="G900" s="72">
        <v>0</v>
      </c>
    </row>
    <row r="901" spans="2:7" x14ac:dyDescent="0.25">
      <c r="B901" s="71">
        <v>43532</v>
      </c>
      <c r="C901" t="s">
        <v>67</v>
      </c>
      <c r="D901" t="s">
        <v>83</v>
      </c>
      <c r="E901" t="s">
        <v>233</v>
      </c>
      <c r="F901" s="72">
        <v>24</v>
      </c>
      <c r="G901" s="72">
        <v>0</v>
      </c>
    </row>
    <row r="902" spans="2:7" x14ac:dyDescent="0.25">
      <c r="B902" s="71">
        <v>43532</v>
      </c>
      <c r="C902" t="s">
        <v>59</v>
      </c>
      <c r="D902" t="s">
        <v>83</v>
      </c>
      <c r="E902" t="s">
        <v>233</v>
      </c>
      <c r="F902">
        <v>24</v>
      </c>
      <c r="G902" s="72">
        <v>0</v>
      </c>
    </row>
    <row r="903" spans="2:7" x14ac:dyDescent="0.25">
      <c r="B903" s="71">
        <v>43532</v>
      </c>
      <c r="C903" t="s">
        <v>24</v>
      </c>
      <c r="D903" t="s">
        <v>80</v>
      </c>
      <c r="E903" t="s">
        <v>233</v>
      </c>
      <c r="F903" s="72">
        <v>16</v>
      </c>
      <c r="G903" s="72">
        <v>0</v>
      </c>
    </row>
    <row r="904" spans="2:7" x14ac:dyDescent="0.25">
      <c r="B904" s="71">
        <v>43533</v>
      </c>
      <c r="C904" t="s">
        <v>25</v>
      </c>
      <c r="D904" t="s">
        <v>81</v>
      </c>
      <c r="E904" t="s">
        <v>234</v>
      </c>
      <c r="F904" s="72">
        <v>23.99</v>
      </c>
      <c r="G904" s="72">
        <v>0</v>
      </c>
    </row>
    <row r="905" spans="2:7" x14ac:dyDescent="0.25">
      <c r="B905" s="71">
        <v>43533</v>
      </c>
      <c r="C905" t="s">
        <v>25</v>
      </c>
      <c r="D905" t="s">
        <v>81</v>
      </c>
      <c r="E905" t="s">
        <v>234</v>
      </c>
      <c r="F905" s="72">
        <v>40.75</v>
      </c>
      <c r="G905" s="72">
        <v>0</v>
      </c>
    </row>
    <row r="906" spans="2:7" x14ac:dyDescent="0.25">
      <c r="B906" s="71">
        <v>43533</v>
      </c>
      <c r="C906" t="s">
        <v>25</v>
      </c>
      <c r="D906" t="s">
        <v>88</v>
      </c>
      <c r="E906" t="s">
        <v>234</v>
      </c>
      <c r="F906" s="72">
        <v>21.2</v>
      </c>
      <c r="G906" s="72">
        <v>0</v>
      </c>
    </row>
    <row r="907" spans="2:7" x14ac:dyDescent="0.25">
      <c r="B907" s="71">
        <v>43533</v>
      </c>
      <c r="C907" t="s">
        <v>25</v>
      </c>
      <c r="D907" t="s">
        <v>88</v>
      </c>
      <c r="E907" t="s">
        <v>234</v>
      </c>
      <c r="F907" s="72">
        <v>32.049999999999997</v>
      </c>
      <c r="G907" s="72">
        <v>0</v>
      </c>
    </row>
    <row r="908" spans="2:7" x14ac:dyDescent="0.25">
      <c r="B908" s="71">
        <v>43533</v>
      </c>
      <c r="C908" t="s">
        <v>25</v>
      </c>
      <c r="D908" t="s">
        <v>88</v>
      </c>
      <c r="E908" t="s">
        <v>234</v>
      </c>
      <c r="F908" s="72">
        <v>36.590000000000003</v>
      </c>
      <c r="G908" s="72">
        <v>0</v>
      </c>
    </row>
    <row r="909" spans="2:7" x14ac:dyDescent="0.25">
      <c r="B909" s="71">
        <v>43533</v>
      </c>
      <c r="C909" t="s">
        <v>25</v>
      </c>
      <c r="D909" t="s">
        <v>82</v>
      </c>
      <c r="E909" t="s">
        <v>165</v>
      </c>
      <c r="F909" s="72">
        <v>18</v>
      </c>
      <c r="G909" s="72">
        <v>0</v>
      </c>
    </row>
    <row r="910" spans="2:7" x14ac:dyDescent="0.25">
      <c r="B910" s="71">
        <v>43533</v>
      </c>
      <c r="C910" t="s">
        <v>25</v>
      </c>
      <c r="D910" t="s">
        <v>82</v>
      </c>
      <c r="E910" t="s">
        <v>141</v>
      </c>
      <c r="F910" s="72">
        <v>2.4</v>
      </c>
      <c r="G910" s="72">
        <v>0</v>
      </c>
    </row>
    <row r="911" spans="2:7" x14ac:dyDescent="0.25">
      <c r="B911" s="71">
        <v>43533</v>
      </c>
      <c r="C911" t="s">
        <v>25</v>
      </c>
      <c r="D911" t="s">
        <v>98</v>
      </c>
      <c r="E911" t="s">
        <v>235</v>
      </c>
      <c r="F911" s="72">
        <v>21.27</v>
      </c>
      <c r="G911" s="72">
        <v>0</v>
      </c>
    </row>
    <row r="912" spans="2:7" x14ac:dyDescent="0.25">
      <c r="B912" s="71">
        <v>43533</v>
      </c>
      <c r="C912" t="s">
        <v>25</v>
      </c>
      <c r="D912" t="s">
        <v>98</v>
      </c>
      <c r="E912" t="s">
        <v>235</v>
      </c>
      <c r="F912" s="72">
        <v>32.450000000000003</v>
      </c>
      <c r="G912" s="72">
        <v>0</v>
      </c>
    </row>
    <row r="913" spans="2:7" x14ac:dyDescent="0.25">
      <c r="B913" s="71">
        <v>43533</v>
      </c>
      <c r="C913" t="s">
        <v>25</v>
      </c>
      <c r="D913" t="s">
        <v>98</v>
      </c>
      <c r="E913" t="s">
        <v>235</v>
      </c>
      <c r="F913" s="72">
        <v>37.57</v>
      </c>
      <c r="G913" s="72">
        <v>0</v>
      </c>
    </row>
    <row r="914" spans="2:7" x14ac:dyDescent="0.25">
      <c r="B914" s="71">
        <v>43533</v>
      </c>
      <c r="C914" t="s">
        <v>25</v>
      </c>
      <c r="D914" t="s">
        <v>98</v>
      </c>
      <c r="E914" t="s">
        <v>235</v>
      </c>
      <c r="F914" s="72">
        <v>41.44</v>
      </c>
      <c r="G914" s="72">
        <v>0</v>
      </c>
    </row>
    <row r="915" spans="2:7" x14ac:dyDescent="0.25">
      <c r="B915" s="71">
        <v>43533</v>
      </c>
      <c r="C915" t="s">
        <v>25</v>
      </c>
      <c r="D915" t="s">
        <v>98</v>
      </c>
      <c r="E915" t="s">
        <v>235</v>
      </c>
      <c r="F915" s="72">
        <v>42.17</v>
      </c>
      <c r="G915" s="72">
        <v>0</v>
      </c>
    </row>
    <row r="916" spans="2:7" x14ac:dyDescent="0.25">
      <c r="B916" s="71">
        <v>43533</v>
      </c>
      <c r="C916" t="s">
        <v>25</v>
      </c>
      <c r="D916" t="s">
        <v>98</v>
      </c>
      <c r="E916" t="s">
        <v>235</v>
      </c>
      <c r="F916" s="72">
        <v>88.26</v>
      </c>
      <c r="G916" s="72">
        <v>0</v>
      </c>
    </row>
    <row r="917" spans="2:7" x14ac:dyDescent="0.25">
      <c r="B917" s="71">
        <v>43533</v>
      </c>
      <c r="C917" t="s">
        <v>25</v>
      </c>
      <c r="D917" t="s">
        <v>98</v>
      </c>
      <c r="E917" t="s">
        <v>235</v>
      </c>
      <c r="F917" s="72">
        <v>127.17</v>
      </c>
      <c r="G917" s="72">
        <v>0</v>
      </c>
    </row>
    <row r="918" spans="2:7" x14ac:dyDescent="0.25">
      <c r="B918" s="71">
        <v>43533</v>
      </c>
      <c r="C918" t="s">
        <v>55</v>
      </c>
      <c r="D918" t="s">
        <v>98</v>
      </c>
      <c r="E918" t="s">
        <v>235</v>
      </c>
      <c r="F918" s="72">
        <v>1232.6199999999999</v>
      </c>
      <c r="G918" s="72">
        <v>0</v>
      </c>
    </row>
    <row r="919" spans="2:7" x14ac:dyDescent="0.25">
      <c r="B919" s="71">
        <v>43533</v>
      </c>
      <c r="C919" t="s">
        <v>44</v>
      </c>
      <c r="D919" t="s">
        <v>87</v>
      </c>
      <c r="E919" t="s">
        <v>234</v>
      </c>
      <c r="F919" s="72">
        <v>796.5</v>
      </c>
      <c r="G919" s="72">
        <v>0</v>
      </c>
    </row>
    <row r="920" spans="2:7" x14ac:dyDescent="0.25">
      <c r="B920" s="71">
        <v>43533</v>
      </c>
      <c r="C920" t="s">
        <v>21</v>
      </c>
      <c r="D920" t="s">
        <v>98</v>
      </c>
      <c r="E920" t="s">
        <v>235</v>
      </c>
      <c r="F920" s="72">
        <v>6.56</v>
      </c>
      <c r="G920" s="72">
        <v>0</v>
      </c>
    </row>
    <row r="921" spans="2:7" x14ac:dyDescent="0.25">
      <c r="B921" s="71">
        <v>43533</v>
      </c>
      <c r="C921" t="s">
        <v>21</v>
      </c>
      <c r="D921" t="s">
        <v>98</v>
      </c>
      <c r="E921" t="s">
        <v>235</v>
      </c>
      <c r="F921" s="72">
        <v>9.5</v>
      </c>
      <c r="G921" s="72">
        <v>0</v>
      </c>
    </row>
    <row r="922" spans="2:7" x14ac:dyDescent="0.25">
      <c r="B922" s="71">
        <v>43533</v>
      </c>
      <c r="C922" t="s">
        <v>21</v>
      </c>
      <c r="D922" t="s">
        <v>98</v>
      </c>
      <c r="E922" t="s">
        <v>235</v>
      </c>
      <c r="F922" s="72">
        <v>24.81</v>
      </c>
      <c r="G922" s="72">
        <v>0</v>
      </c>
    </row>
    <row r="923" spans="2:7" x14ac:dyDescent="0.25">
      <c r="B923" s="71">
        <v>43533</v>
      </c>
      <c r="C923" t="s">
        <v>21</v>
      </c>
      <c r="D923" t="s">
        <v>98</v>
      </c>
      <c r="E923" t="s">
        <v>235</v>
      </c>
      <c r="F923" s="72">
        <v>29.99</v>
      </c>
      <c r="G923" s="72">
        <v>0</v>
      </c>
    </row>
    <row r="924" spans="2:7" x14ac:dyDescent="0.25">
      <c r="B924" s="71">
        <v>43533</v>
      </c>
      <c r="C924" t="s">
        <v>21</v>
      </c>
      <c r="D924" t="s">
        <v>98</v>
      </c>
      <c r="E924" t="s">
        <v>235</v>
      </c>
      <c r="F924" s="72">
        <v>59.91</v>
      </c>
      <c r="G924" s="72">
        <v>0</v>
      </c>
    </row>
    <row r="925" spans="2:7" x14ac:dyDescent="0.25">
      <c r="B925" s="71">
        <v>43533</v>
      </c>
      <c r="C925" t="s">
        <v>21</v>
      </c>
      <c r="D925" t="s">
        <v>98</v>
      </c>
      <c r="E925" t="s">
        <v>235</v>
      </c>
      <c r="F925" s="72">
        <v>98.19</v>
      </c>
      <c r="G925" s="72">
        <v>0</v>
      </c>
    </row>
    <row r="926" spans="2:7" x14ac:dyDescent="0.25">
      <c r="B926" s="71">
        <v>43533</v>
      </c>
      <c r="C926" t="s">
        <v>21</v>
      </c>
      <c r="D926" t="s">
        <v>98</v>
      </c>
      <c r="E926" t="s">
        <v>235</v>
      </c>
      <c r="F926" s="72">
        <v>105.88</v>
      </c>
      <c r="G926" s="72">
        <v>0</v>
      </c>
    </row>
    <row r="927" spans="2:7" x14ac:dyDescent="0.25">
      <c r="B927" s="71">
        <v>43533</v>
      </c>
      <c r="C927" t="s">
        <v>21</v>
      </c>
      <c r="D927" t="s">
        <v>98</v>
      </c>
      <c r="E927" t="s">
        <v>235</v>
      </c>
      <c r="F927" s="72">
        <v>131.81</v>
      </c>
      <c r="G927" s="72">
        <v>0</v>
      </c>
    </row>
    <row r="928" spans="2:7" x14ac:dyDescent="0.25">
      <c r="B928" s="71">
        <v>43533</v>
      </c>
      <c r="C928" t="s">
        <v>21</v>
      </c>
      <c r="D928" t="s">
        <v>98</v>
      </c>
      <c r="E928" t="s">
        <v>235</v>
      </c>
      <c r="F928" s="72">
        <v>132.91</v>
      </c>
      <c r="G928" s="72">
        <v>0</v>
      </c>
    </row>
    <row r="929" spans="2:7" x14ac:dyDescent="0.25">
      <c r="B929" s="71">
        <v>43533</v>
      </c>
      <c r="C929" t="s">
        <v>21</v>
      </c>
      <c r="D929" t="s">
        <v>98</v>
      </c>
      <c r="E929" t="s">
        <v>235</v>
      </c>
      <c r="F929" s="72">
        <v>181.12</v>
      </c>
      <c r="G929" s="72">
        <v>0</v>
      </c>
    </row>
    <row r="930" spans="2:7" x14ac:dyDescent="0.25">
      <c r="B930" s="71">
        <v>43533</v>
      </c>
      <c r="C930" t="s">
        <v>21</v>
      </c>
      <c r="D930" t="s">
        <v>98</v>
      </c>
      <c r="E930" t="s">
        <v>235</v>
      </c>
      <c r="F930" s="72">
        <v>199.74</v>
      </c>
      <c r="G930" s="72">
        <v>0</v>
      </c>
    </row>
    <row r="931" spans="2:7" x14ac:dyDescent="0.25">
      <c r="B931" s="71">
        <v>43533</v>
      </c>
      <c r="C931" t="s">
        <v>21</v>
      </c>
      <c r="D931" t="s">
        <v>98</v>
      </c>
      <c r="E931" t="s">
        <v>235</v>
      </c>
      <c r="F931" s="72">
        <v>247.68</v>
      </c>
      <c r="G931" s="72">
        <v>0</v>
      </c>
    </row>
    <row r="932" spans="2:7" x14ac:dyDescent="0.25">
      <c r="B932" s="71">
        <v>43533</v>
      </c>
      <c r="C932" t="s">
        <v>21</v>
      </c>
      <c r="D932" t="s">
        <v>98</v>
      </c>
      <c r="E932" t="s">
        <v>235</v>
      </c>
      <c r="F932" s="72">
        <v>256.25</v>
      </c>
      <c r="G932" s="72">
        <v>0</v>
      </c>
    </row>
    <row r="933" spans="2:7" x14ac:dyDescent="0.25">
      <c r="B933" s="71">
        <v>43533</v>
      </c>
      <c r="C933" t="s">
        <v>21</v>
      </c>
      <c r="D933" t="s">
        <v>98</v>
      </c>
      <c r="E933" t="s">
        <v>235</v>
      </c>
      <c r="F933" s="72">
        <v>258.82</v>
      </c>
      <c r="G933" s="72">
        <v>0</v>
      </c>
    </row>
    <row r="934" spans="2:7" x14ac:dyDescent="0.25">
      <c r="B934" s="71">
        <v>43533</v>
      </c>
      <c r="C934" t="s">
        <v>21</v>
      </c>
      <c r="D934" t="s">
        <v>98</v>
      </c>
      <c r="E934" t="s">
        <v>235</v>
      </c>
      <c r="F934" s="72">
        <v>261.7</v>
      </c>
      <c r="G934" s="72">
        <v>0</v>
      </c>
    </row>
    <row r="935" spans="2:7" x14ac:dyDescent="0.25">
      <c r="B935" s="71">
        <v>43533</v>
      </c>
      <c r="C935" t="s">
        <v>21</v>
      </c>
      <c r="D935" t="s">
        <v>98</v>
      </c>
      <c r="E935" t="s">
        <v>235</v>
      </c>
      <c r="F935" s="72">
        <v>277.94</v>
      </c>
      <c r="G935" s="72">
        <v>0</v>
      </c>
    </row>
    <row r="936" spans="2:7" x14ac:dyDescent="0.25">
      <c r="B936" s="71">
        <v>43533</v>
      </c>
      <c r="C936" t="s">
        <v>21</v>
      </c>
      <c r="D936" t="s">
        <v>98</v>
      </c>
      <c r="E936" t="s">
        <v>235</v>
      </c>
      <c r="F936" s="72">
        <v>297.5</v>
      </c>
      <c r="G936" s="72">
        <v>0</v>
      </c>
    </row>
    <row r="937" spans="2:7" x14ac:dyDescent="0.25">
      <c r="B937" s="71">
        <v>43533</v>
      </c>
      <c r="C937" t="s">
        <v>21</v>
      </c>
      <c r="D937" t="s">
        <v>98</v>
      </c>
      <c r="E937" t="s">
        <v>235</v>
      </c>
      <c r="F937" s="72">
        <v>371.73</v>
      </c>
      <c r="G937" s="72">
        <v>0</v>
      </c>
    </row>
    <row r="938" spans="2:7" x14ac:dyDescent="0.25">
      <c r="B938" s="71">
        <v>43533</v>
      </c>
      <c r="C938" t="s">
        <v>21</v>
      </c>
      <c r="D938" t="s">
        <v>98</v>
      </c>
      <c r="E938" t="s">
        <v>235</v>
      </c>
      <c r="F938" s="72">
        <v>474.74</v>
      </c>
      <c r="G938" s="72">
        <v>0</v>
      </c>
    </row>
    <row r="939" spans="2:7" x14ac:dyDescent="0.25">
      <c r="B939" s="71">
        <v>43533</v>
      </c>
      <c r="C939" t="s">
        <v>21</v>
      </c>
      <c r="D939" t="s">
        <v>98</v>
      </c>
      <c r="E939" t="s">
        <v>235</v>
      </c>
      <c r="F939" s="72">
        <v>480.58</v>
      </c>
      <c r="G939" s="72">
        <v>0</v>
      </c>
    </row>
    <row r="940" spans="2:7" x14ac:dyDescent="0.25">
      <c r="B940" s="71">
        <v>43533</v>
      </c>
      <c r="C940" t="s">
        <v>21</v>
      </c>
      <c r="D940" t="s">
        <v>98</v>
      </c>
      <c r="E940" t="s">
        <v>235</v>
      </c>
      <c r="F940" s="72">
        <v>708.43</v>
      </c>
      <c r="G940" s="72">
        <v>0</v>
      </c>
    </row>
    <row r="941" spans="2:7" x14ac:dyDescent="0.25">
      <c r="B941" s="71">
        <v>43533</v>
      </c>
      <c r="C941" t="s">
        <v>21</v>
      </c>
      <c r="D941" t="s">
        <v>98</v>
      </c>
      <c r="E941" t="s">
        <v>235</v>
      </c>
      <c r="F941" s="72">
        <v>827.43</v>
      </c>
      <c r="G941" s="72">
        <v>0</v>
      </c>
    </row>
    <row r="942" spans="2:7" x14ac:dyDescent="0.25">
      <c r="B942" s="71">
        <v>43533</v>
      </c>
      <c r="C942" t="s">
        <v>21</v>
      </c>
      <c r="D942" t="s">
        <v>98</v>
      </c>
      <c r="E942" t="s">
        <v>235</v>
      </c>
      <c r="F942" s="72">
        <v>976.58</v>
      </c>
      <c r="G942" s="72">
        <v>0</v>
      </c>
    </row>
    <row r="943" spans="2:7" x14ac:dyDescent="0.25">
      <c r="B943" s="71">
        <v>43533</v>
      </c>
      <c r="C943" t="s">
        <v>21</v>
      </c>
      <c r="D943" t="s">
        <v>98</v>
      </c>
      <c r="E943" t="s">
        <v>235</v>
      </c>
      <c r="F943" s="72">
        <v>1090.04</v>
      </c>
      <c r="G943" s="72">
        <v>0</v>
      </c>
    </row>
    <row r="944" spans="2:7" x14ac:dyDescent="0.25">
      <c r="B944" s="71">
        <v>43533</v>
      </c>
      <c r="C944" t="s">
        <v>21</v>
      </c>
      <c r="D944" t="s">
        <v>98</v>
      </c>
      <c r="E944" t="s">
        <v>235</v>
      </c>
      <c r="F944" s="72">
        <v>1181.26</v>
      </c>
      <c r="G944" s="72">
        <v>0</v>
      </c>
    </row>
    <row r="945" spans="2:7" x14ac:dyDescent="0.25">
      <c r="B945" s="71">
        <v>43533</v>
      </c>
      <c r="C945" t="s">
        <v>50</v>
      </c>
      <c r="D945" t="s">
        <v>98</v>
      </c>
      <c r="E945" t="s">
        <v>235</v>
      </c>
      <c r="F945" s="72">
        <v>305.36</v>
      </c>
      <c r="G945" s="72">
        <v>0</v>
      </c>
    </row>
    <row r="946" spans="2:7" x14ac:dyDescent="0.25">
      <c r="B946" s="71">
        <v>43533</v>
      </c>
      <c r="C946" t="s">
        <v>51</v>
      </c>
      <c r="D946" t="s">
        <v>88</v>
      </c>
      <c r="E946" t="s">
        <v>234</v>
      </c>
      <c r="F946" s="72">
        <v>167.84</v>
      </c>
      <c r="G946" s="72">
        <v>0</v>
      </c>
    </row>
    <row r="947" spans="2:7" x14ac:dyDescent="0.25">
      <c r="B947" s="71">
        <v>43533</v>
      </c>
      <c r="C947" t="s">
        <v>51</v>
      </c>
      <c r="D947" t="s">
        <v>98</v>
      </c>
      <c r="E947" t="s">
        <v>235</v>
      </c>
      <c r="F947" s="72">
        <v>444.29</v>
      </c>
      <c r="G947" s="72">
        <v>0</v>
      </c>
    </row>
    <row r="948" spans="2:7" x14ac:dyDescent="0.25">
      <c r="B948" s="71">
        <v>43533</v>
      </c>
      <c r="C948" t="s">
        <v>53</v>
      </c>
      <c r="D948" t="s">
        <v>98</v>
      </c>
      <c r="E948" t="s">
        <v>235</v>
      </c>
      <c r="F948" s="72">
        <v>259.77</v>
      </c>
      <c r="G948" s="72">
        <v>0</v>
      </c>
    </row>
    <row r="949" spans="2:7" x14ac:dyDescent="0.25">
      <c r="B949" s="71">
        <v>43533</v>
      </c>
      <c r="C949" t="s">
        <v>54</v>
      </c>
      <c r="D949" t="s">
        <v>98</v>
      </c>
      <c r="E949" t="s">
        <v>235</v>
      </c>
      <c r="F949" s="72">
        <v>86.5</v>
      </c>
      <c r="G949" s="72">
        <v>0</v>
      </c>
    </row>
    <row r="950" spans="2:7" x14ac:dyDescent="0.25">
      <c r="B950" s="71">
        <v>43533</v>
      </c>
      <c r="C950" t="s">
        <v>68</v>
      </c>
      <c r="D950" t="s">
        <v>83</v>
      </c>
      <c r="E950" t="s">
        <v>234</v>
      </c>
      <c r="F950" s="72">
        <v>150</v>
      </c>
      <c r="G950" s="72">
        <v>0</v>
      </c>
    </row>
    <row r="951" spans="2:7" x14ac:dyDescent="0.25">
      <c r="B951" s="71">
        <v>43533</v>
      </c>
      <c r="C951" t="s">
        <v>24</v>
      </c>
      <c r="D951" t="s">
        <v>98</v>
      </c>
      <c r="E951" t="s">
        <v>235</v>
      </c>
      <c r="F951" s="72">
        <v>12.27</v>
      </c>
      <c r="G951" s="72">
        <v>0</v>
      </c>
    </row>
    <row r="952" spans="2:7" x14ac:dyDescent="0.25">
      <c r="B952" s="71">
        <v>43533</v>
      </c>
      <c r="C952" t="s">
        <v>24</v>
      </c>
      <c r="D952" t="s">
        <v>98</v>
      </c>
      <c r="E952" t="s">
        <v>235</v>
      </c>
      <c r="F952" s="72">
        <v>12.49</v>
      </c>
      <c r="G952" s="72">
        <v>0</v>
      </c>
    </row>
    <row r="953" spans="2:7" x14ac:dyDescent="0.25">
      <c r="B953" s="71">
        <v>43533</v>
      </c>
      <c r="C953" t="s">
        <v>24</v>
      </c>
      <c r="D953" t="s">
        <v>98</v>
      </c>
      <c r="E953" t="s">
        <v>235</v>
      </c>
      <c r="F953" s="72">
        <v>14.14</v>
      </c>
      <c r="G953" s="72">
        <v>0</v>
      </c>
    </row>
    <row r="954" spans="2:7" x14ac:dyDescent="0.25">
      <c r="B954" s="71">
        <v>43533</v>
      </c>
      <c r="C954" t="s">
        <v>24</v>
      </c>
      <c r="D954" t="s">
        <v>98</v>
      </c>
      <c r="E954" t="s">
        <v>235</v>
      </c>
      <c r="F954" s="72">
        <v>15.93</v>
      </c>
      <c r="G954" s="72">
        <v>0</v>
      </c>
    </row>
    <row r="955" spans="2:7" x14ac:dyDescent="0.25">
      <c r="B955" s="71">
        <v>43533</v>
      </c>
      <c r="C955" t="s">
        <v>24</v>
      </c>
      <c r="D955" t="s">
        <v>98</v>
      </c>
      <c r="E955" t="s">
        <v>235</v>
      </c>
      <c r="F955" s="72">
        <v>17.7</v>
      </c>
      <c r="G955" s="72">
        <v>0</v>
      </c>
    </row>
    <row r="956" spans="2:7" x14ac:dyDescent="0.25">
      <c r="B956" s="71">
        <v>43533</v>
      </c>
      <c r="C956" t="s">
        <v>24</v>
      </c>
      <c r="D956" t="s">
        <v>98</v>
      </c>
      <c r="E956" t="s">
        <v>235</v>
      </c>
      <c r="F956" s="72">
        <v>20.75</v>
      </c>
      <c r="G956" s="72">
        <v>0</v>
      </c>
    </row>
    <row r="957" spans="2:7" x14ac:dyDescent="0.25">
      <c r="B957" s="71">
        <v>43533</v>
      </c>
      <c r="C957" t="s">
        <v>24</v>
      </c>
      <c r="D957" t="s">
        <v>98</v>
      </c>
      <c r="E957" t="s">
        <v>235</v>
      </c>
      <c r="F957" s="72">
        <v>26.84</v>
      </c>
      <c r="G957" s="72">
        <v>0</v>
      </c>
    </row>
    <row r="958" spans="2:7" x14ac:dyDescent="0.25">
      <c r="B958" s="71">
        <v>43533</v>
      </c>
      <c r="C958" t="s">
        <v>24</v>
      </c>
      <c r="D958" t="s">
        <v>98</v>
      </c>
      <c r="E958" t="s">
        <v>235</v>
      </c>
      <c r="F958" s="72">
        <v>28.12</v>
      </c>
      <c r="G958" s="72">
        <v>0</v>
      </c>
    </row>
    <row r="959" spans="2:7" x14ac:dyDescent="0.25">
      <c r="B959" s="71">
        <v>43533</v>
      </c>
      <c r="C959" t="s">
        <v>24</v>
      </c>
      <c r="D959" t="s">
        <v>98</v>
      </c>
      <c r="E959" t="s">
        <v>235</v>
      </c>
      <c r="F959" s="72">
        <v>38.9</v>
      </c>
      <c r="G959" s="72">
        <v>0</v>
      </c>
    </row>
    <row r="960" spans="2:7" x14ac:dyDescent="0.25">
      <c r="B960" s="71">
        <v>43533</v>
      </c>
      <c r="C960" t="s">
        <v>24</v>
      </c>
      <c r="D960" t="s">
        <v>98</v>
      </c>
      <c r="E960" t="s">
        <v>235</v>
      </c>
      <c r="F960" s="72">
        <v>48.03</v>
      </c>
      <c r="G960" s="72">
        <v>0</v>
      </c>
    </row>
    <row r="961" spans="2:7" x14ac:dyDescent="0.25">
      <c r="B961" s="71">
        <v>43533</v>
      </c>
      <c r="C961" t="s">
        <v>24</v>
      </c>
      <c r="D961" t="s">
        <v>98</v>
      </c>
      <c r="E961" t="s">
        <v>235</v>
      </c>
      <c r="F961" s="72">
        <v>49.31</v>
      </c>
      <c r="G961" s="72">
        <v>0</v>
      </c>
    </row>
    <row r="962" spans="2:7" x14ac:dyDescent="0.25">
      <c r="B962" s="71">
        <v>43533</v>
      </c>
      <c r="C962" t="s">
        <v>24</v>
      </c>
      <c r="D962" t="s">
        <v>98</v>
      </c>
      <c r="E962" t="s">
        <v>235</v>
      </c>
      <c r="F962" s="72">
        <v>61.2</v>
      </c>
      <c r="G962" s="72">
        <v>0</v>
      </c>
    </row>
    <row r="963" spans="2:7" x14ac:dyDescent="0.25">
      <c r="B963" s="71">
        <v>43535</v>
      </c>
      <c r="C963" t="s">
        <v>25</v>
      </c>
      <c r="D963" t="s">
        <v>81</v>
      </c>
      <c r="E963" t="s">
        <v>236</v>
      </c>
      <c r="F963" s="72">
        <v>0</v>
      </c>
      <c r="G963" s="72">
        <v>136</v>
      </c>
    </row>
    <row r="964" spans="2:7" x14ac:dyDescent="0.25">
      <c r="B964" s="71">
        <v>43535</v>
      </c>
      <c r="C964" t="s">
        <v>25</v>
      </c>
      <c r="D964" t="s">
        <v>82</v>
      </c>
      <c r="E964" t="s">
        <v>208</v>
      </c>
      <c r="F964" s="72">
        <v>4.2</v>
      </c>
      <c r="G964" s="72">
        <v>0</v>
      </c>
    </row>
    <row r="965" spans="2:7" x14ac:dyDescent="0.25">
      <c r="B965" s="71">
        <v>43535</v>
      </c>
      <c r="C965" t="s">
        <v>25</v>
      </c>
      <c r="D965" t="s">
        <v>82</v>
      </c>
      <c r="E965" t="s">
        <v>165</v>
      </c>
      <c r="F965" s="72">
        <v>18</v>
      </c>
      <c r="G965" s="72">
        <v>0</v>
      </c>
    </row>
    <row r="966" spans="2:7" x14ac:dyDescent="0.25">
      <c r="B966" s="71">
        <v>43535</v>
      </c>
      <c r="C966" t="s">
        <v>25</v>
      </c>
      <c r="D966" t="s">
        <v>82</v>
      </c>
      <c r="E966" t="s">
        <v>141</v>
      </c>
      <c r="F966" s="72">
        <v>1.8</v>
      </c>
      <c r="G966" s="72">
        <v>0</v>
      </c>
    </row>
    <row r="967" spans="2:7" x14ac:dyDescent="0.25">
      <c r="B967" s="71">
        <v>43535</v>
      </c>
      <c r="C967" t="s">
        <v>25</v>
      </c>
      <c r="D967" t="s">
        <v>82</v>
      </c>
      <c r="E967" t="s">
        <v>155</v>
      </c>
      <c r="F967" s="72">
        <v>2.25</v>
      </c>
      <c r="G967" s="72">
        <v>0</v>
      </c>
    </row>
    <row r="968" spans="2:7" x14ac:dyDescent="0.25">
      <c r="B968" s="71">
        <v>43535</v>
      </c>
      <c r="C968" t="s">
        <v>47</v>
      </c>
      <c r="D968" t="s">
        <v>83</v>
      </c>
      <c r="E968" t="s">
        <v>236</v>
      </c>
      <c r="F968" s="72">
        <v>22.3</v>
      </c>
      <c r="G968" s="72">
        <v>0</v>
      </c>
    </row>
    <row r="969" spans="2:7" x14ac:dyDescent="0.25">
      <c r="B969" s="71">
        <v>43535</v>
      </c>
      <c r="C969" t="s">
        <v>57</v>
      </c>
      <c r="D969" t="s">
        <v>83</v>
      </c>
      <c r="E969" t="s">
        <v>236</v>
      </c>
      <c r="F969" s="72">
        <v>93.11</v>
      </c>
      <c r="G969" s="72">
        <v>0</v>
      </c>
    </row>
    <row r="970" spans="2:7" x14ac:dyDescent="0.25">
      <c r="B970" s="71">
        <v>43535</v>
      </c>
      <c r="C970" t="s">
        <v>44</v>
      </c>
      <c r="D970" t="s">
        <v>92</v>
      </c>
      <c r="E970" t="s">
        <v>236</v>
      </c>
      <c r="F970" s="72">
        <v>127.57</v>
      </c>
      <c r="G970" s="72">
        <v>0</v>
      </c>
    </row>
    <row r="971" spans="2:7" x14ac:dyDescent="0.25">
      <c r="B971" s="71">
        <v>43535</v>
      </c>
      <c r="C971" t="s">
        <v>21</v>
      </c>
      <c r="D971" t="s">
        <v>80</v>
      </c>
      <c r="E971" t="s">
        <v>236</v>
      </c>
      <c r="F971" s="72">
        <v>8</v>
      </c>
      <c r="G971" s="72">
        <v>0</v>
      </c>
    </row>
    <row r="972" spans="2:7" x14ac:dyDescent="0.25">
      <c r="B972" s="71">
        <v>43535</v>
      </c>
      <c r="C972" t="s">
        <v>21</v>
      </c>
      <c r="D972" t="s">
        <v>80</v>
      </c>
      <c r="E972" t="s">
        <v>236</v>
      </c>
      <c r="F972" s="72">
        <v>16</v>
      </c>
      <c r="G972" s="72">
        <v>0</v>
      </c>
    </row>
    <row r="973" spans="2:7" x14ac:dyDescent="0.25">
      <c r="B973" s="71">
        <v>43535</v>
      </c>
      <c r="C973" t="s">
        <v>21</v>
      </c>
      <c r="D973" t="s">
        <v>80</v>
      </c>
      <c r="E973" t="s">
        <v>236</v>
      </c>
      <c r="F973" s="72">
        <v>24</v>
      </c>
      <c r="G973" s="72">
        <v>0</v>
      </c>
    </row>
    <row r="974" spans="2:7" x14ac:dyDescent="0.25">
      <c r="B974" s="71">
        <v>43535</v>
      </c>
      <c r="C974" t="s">
        <v>21</v>
      </c>
      <c r="D974" t="s">
        <v>80</v>
      </c>
      <c r="E974" t="s">
        <v>236</v>
      </c>
      <c r="F974" s="72">
        <v>40</v>
      </c>
      <c r="G974" s="72">
        <v>0</v>
      </c>
    </row>
    <row r="975" spans="2:7" x14ac:dyDescent="0.25">
      <c r="B975" s="71">
        <v>43535</v>
      </c>
      <c r="C975" t="s">
        <v>21</v>
      </c>
      <c r="D975" t="s">
        <v>80</v>
      </c>
      <c r="E975" t="s">
        <v>236</v>
      </c>
      <c r="F975" s="72">
        <v>56</v>
      </c>
      <c r="G975" s="72">
        <v>0</v>
      </c>
    </row>
    <row r="976" spans="2:7" x14ac:dyDescent="0.25">
      <c r="B976" s="71">
        <v>43535</v>
      </c>
      <c r="C976" t="s">
        <v>21</v>
      </c>
      <c r="D976" t="s">
        <v>80</v>
      </c>
      <c r="E976" t="s">
        <v>236</v>
      </c>
      <c r="F976" s="72">
        <v>80</v>
      </c>
      <c r="G976" s="72">
        <v>0</v>
      </c>
    </row>
    <row r="977" spans="2:7" x14ac:dyDescent="0.25">
      <c r="B977" s="71">
        <v>43535</v>
      </c>
      <c r="C977" t="s">
        <v>21</v>
      </c>
      <c r="D977" t="s">
        <v>83</v>
      </c>
      <c r="E977" t="s">
        <v>236</v>
      </c>
      <c r="F977" s="72">
        <v>139.19999999999999</v>
      </c>
      <c r="G977" s="72">
        <v>0</v>
      </c>
    </row>
    <row r="978" spans="2:7" x14ac:dyDescent="0.25">
      <c r="B978" s="71">
        <v>43535</v>
      </c>
      <c r="C978" t="s">
        <v>50</v>
      </c>
      <c r="D978" t="s">
        <v>83</v>
      </c>
      <c r="E978" t="s">
        <v>236</v>
      </c>
      <c r="F978" s="72">
        <v>8</v>
      </c>
      <c r="G978" s="72">
        <v>0</v>
      </c>
    </row>
    <row r="979" spans="2:7" x14ac:dyDescent="0.25">
      <c r="B979" s="71">
        <v>43535</v>
      </c>
      <c r="C979" t="s">
        <v>51</v>
      </c>
      <c r="D979" t="s">
        <v>83</v>
      </c>
      <c r="E979" t="s">
        <v>236</v>
      </c>
      <c r="F979" s="72">
        <v>5.22</v>
      </c>
      <c r="G979" s="72">
        <v>0</v>
      </c>
    </row>
    <row r="980" spans="2:7" x14ac:dyDescent="0.25">
      <c r="B980" s="71">
        <v>43535</v>
      </c>
      <c r="C980" t="s">
        <v>24</v>
      </c>
      <c r="D980" t="s">
        <v>80</v>
      </c>
      <c r="E980" t="s">
        <v>236</v>
      </c>
      <c r="F980" s="72">
        <v>8</v>
      </c>
      <c r="G980" s="72">
        <v>0</v>
      </c>
    </row>
    <row r="981" spans="2:7" x14ac:dyDescent="0.25">
      <c r="B981" s="71">
        <v>43535</v>
      </c>
      <c r="C981" t="s">
        <v>24</v>
      </c>
      <c r="D981" t="s">
        <v>83</v>
      </c>
      <c r="E981" t="s">
        <v>236</v>
      </c>
      <c r="F981" s="72">
        <v>6.3</v>
      </c>
      <c r="G981" s="72">
        <v>0</v>
      </c>
    </row>
    <row r="982" spans="2:7" x14ac:dyDescent="0.25">
      <c r="B982" s="71">
        <v>43536</v>
      </c>
      <c r="C982" t="s">
        <v>25</v>
      </c>
      <c r="D982" t="s">
        <v>80</v>
      </c>
      <c r="E982" t="s">
        <v>237</v>
      </c>
      <c r="F982" s="72">
        <v>8</v>
      </c>
      <c r="G982" s="72">
        <v>0</v>
      </c>
    </row>
    <row r="983" spans="2:7" x14ac:dyDescent="0.25">
      <c r="B983" s="71">
        <v>43536</v>
      </c>
      <c r="C983" t="s">
        <v>25</v>
      </c>
      <c r="D983" t="s">
        <v>81</v>
      </c>
      <c r="E983" t="s">
        <v>237</v>
      </c>
      <c r="F983" s="72">
        <v>15.91</v>
      </c>
      <c r="G983" s="72">
        <v>0</v>
      </c>
    </row>
    <row r="984" spans="2:7" x14ac:dyDescent="0.25">
      <c r="B984" s="71">
        <v>43536</v>
      </c>
      <c r="C984" t="s">
        <v>25</v>
      </c>
      <c r="D984" t="s">
        <v>81</v>
      </c>
      <c r="E984" t="s">
        <v>237</v>
      </c>
      <c r="F984" s="72">
        <v>37.979999999999997</v>
      </c>
      <c r="G984" s="72">
        <v>0</v>
      </c>
    </row>
    <row r="985" spans="2:7" x14ac:dyDescent="0.25">
      <c r="B985" s="71">
        <v>43536</v>
      </c>
      <c r="C985" t="s">
        <v>25</v>
      </c>
      <c r="D985" t="s">
        <v>81</v>
      </c>
      <c r="E985" t="s">
        <v>237</v>
      </c>
      <c r="F985" s="72">
        <v>47.25</v>
      </c>
      <c r="G985" s="72">
        <v>0</v>
      </c>
    </row>
    <row r="986" spans="2:7" x14ac:dyDescent="0.25">
      <c r="B986" s="71">
        <v>43536</v>
      </c>
      <c r="C986" t="s">
        <v>25</v>
      </c>
      <c r="D986" t="s">
        <v>81</v>
      </c>
      <c r="E986" t="s">
        <v>237</v>
      </c>
      <c r="F986" s="72">
        <v>156.4</v>
      </c>
      <c r="G986" s="72">
        <v>0</v>
      </c>
    </row>
    <row r="987" spans="2:7" x14ac:dyDescent="0.25">
      <c r="B987" s="71">
        <v>43536</v>
      </c>
      <c r="C987" t="s">
        <v>25</v>
      </c>
      <c r="D987" t="s">
        <v>81</v>
      </c>
      <c r="E987" t="s">
        <v>237</v>
      </c>
      <c r="F987" s="72">
        <v>272</v>
      </c>
      <c r="G987" s="72">
        <v>0</v>
      </c>
    </row>
    <row r="988" spans="2:7" x14ac:dyDescent="0.25">
      <c r="B988" s="71">
        <v>43536</v>
      </c>
      <c r="C988" t="s">
        <v>25</v>
      </c>
      <c r="D988" t="s">
        <v>88</v>
      </c>
      <c r="E988" t="s">
        <v>237</v>
      </c>
      <c r="F988" s="72">
        <v>18</v>
      </c>
      <c r="G988" s="72">
        <v>0</v>
      </c>
    </row>
    <row r="989" spans="2:7" x14ac:dyDescent="0.25">
      <c r="B989" s="71">
        <v>43536</v>
      </c>
      <c r="C989" t="s">
        <v>25</v>
      </c>
      <c r="D989" t="s">
        <v>88</v>
      </c>
      <c r="E989" t="s">
        <v>237</v>
      </c>
      <c r="F989" s="72">
        <v>19.95</v>
      </c>
      <c r="G989" s="72">
        <v>0</v>
      </c>
    </row>
    <row r="990" spans="2:7" x14ac:dyDescent="0.25">
      <c r="B990" s="71">
        <v>43536</v>
      </c>
      <c r="C990" t="s">
        <v>25</v>
      </c>
      <c r="D990" t="s">
        <v>88</v>
      </c>
      <c r="E990" t="s">
        <v>237</v>
      </c>
      <c r="F990" s="72">
        <v>26.75</v>
      </c>
      <c r="G990" s="72">
        <v>0</v>
      </c>
    </row>
    <row r="991" spans="2:7" x14ac:dyDescent="0.25">
      <c r="B991" s="71">
        <v>43536</v>
      </c>
      <c r="C991" t="s">
        <v>25</v>
      </c>
      <c r="D991" t="s">
        <v>88</v>
      </c>
      <c r="E991" t="s">
        <v>237</v>
      </c>
      <c r="F991" s="72">
        <v>50.45</v>
      </c>
      <c r="G991" s="72">
        <v>0</v>
      </c>
    </row>
    <row r="992" spans="2:7" x14ac:dyDescent="0.25">
      <c r="B992" s="71">
        <v>43536</v>
      </c>
      <c r="C992" t="s">
        <v>25</v>
      </c>
      <c r="D992" t="s">
        <v>88</v>
      </c>
      <c r="E992" t="s">
        <v>237</v>
      </c>
      <c r="F992" s="72">
        <v>112.85</v>
      </c>
      <c r="G992" s="72">
        <v>0</v>
      </c>
    </row>
    <row r="993" spans="2:7" x14ac:dyDescent="0.25">
      <c r="B993" s="71">
        <v>43536</v>
      </c>
      <c r="C993" t="s">
        <v>25</v>
      </c>
      <c r="D993" t="s">
        <v>82</v>
      </c>
      <c r="E993" t="s">
        <v>140</v>
      </c>
      <c r="F993" s="72">
        <v>1.8</v>
      </c>
      <c r="G993" s="72">
        <v>0</v>
      </c>
    </row>
    <row r="994" spans="2:7" x14ac:dyDescent="0.25">
      <c r="B994" s="71">
        <v>43536</v>
      </c>
      <c r="C994" t="s">
        <v>25</v>
      </c>
      <c r="D994" t="s">
        <v>82</v>
      </c>
      <c r="E994" t="s">
        <v>238</v>
      </c>
      <c r="F994" s="72">
        <v>2.1</v>
      </c>
      <c r="G994" s="72">
        <v>0</v>
      </c>
    </row>
    <row r="995" spans="2:7" x14ac:dyDescent="0.25">
      <c r="B995" s="71">
        <v>43536</v>
      </c>
      <c r="C995" t="s">
        <v>25</v>
      </c>
      <c r="D995" t="s">
        <v>82</v>
      </c>
      <c r="E995" t="s">
        <v>200</v>
      </c>
      <c r="F995" s="72">
        <v>3.15</v>
      </c>
      <c r="G995" s="72">
        <v>0</v>
      </c>
    </row>
    <row r="996" spans="2:7" x14ac:dyDescent="0.25">
      <c r="B996" s="71">
        <v>43536</v>
      </c>
      <c r="C996" t="s">
        <v>25</v>
      </c>
      <c r="D996" t="s">
        <v>82</v>
      </c>
      <c r="E996" t="s">
        <v>128</v>
      </c>
      <c r="F996" s="72">
        <v>3</v>
      </c>
      <c r="G996" s="72">
        <v>0</v>
      </c>
    </row>
    <row r="997" spans="2:7" x14ac:dyDescent="0.25">
      <c r="B997" s="71">
        <v>43536</v>
      </c>
      <c r="C997" t="s">
        <v>25</v>
      </c>
      <c r="D997" t="s">
        <v>82</v>
      </c>
      <c r="E997" t="s">
        <v>134</v>
      </c>
      <c r="F997">
        <v>3</v>
      </c>
      <c r="G997" s="72">
        <v>0</v>
      </c>
    </row>
    <row r="998" spans="2:7" x14ac:dyDescent="0.25">
      <c r="B998" s="71">
        <v>43536</v>
      </c>
      <c r="C998" t="s">
        <v>55</v>
      </c>
      <c r="D998" t="s">
        <v>80</v>
      </c>
      <c r="E998" t="s">
        <v>237</v>
      </c>
      <c r="F998" s="72">
        <v>41.16</v>
      </c>
      <c r="G998" s="72">
        <v>0</v>
      </c>
    </row>
    <row r="999" spans="2:7" x14ac:dyDescent="0.25">
      <c r="B999" s="71">
        <v>43536</v>
      </c>
      <c r="C999" t="s">
        <v>55</v>
      </c>
      <c r="D999" t="s">
        <v>86</v>
      </c>
      <c r="E999" t="s">
        <v>237</v>
      </c>
      <c r="F999" s="72">
        <v>41.97</v>
      </c>
      <c r="G999" s="72">
        <v>0</v>
      </c>
    </row>
    <row r="1000" spans="2:7" x14ac:dyDescent="0.25">
      <c r="B1000" s="71">
        <v>43536</v>
      </c>
      <c r="C1000" t="s">
        <v>55</v>
      </c>
      <c r="D1000" t="s">
        <v>81</v>
      </c>
      <c r="E1000" t="s">
        <v>237</v>
      </c>
      <c r="F1000" s="72">
        <v>158.16999999999999</v>
      </c>
      <c r="G1000" s="72">
        <v>0</v>
      </c>
    </row>
    <row r="1001" spans="2:7" x14ac:dyDescent="0.25">
      <c r="B1001" s="71">
        <v>43536</v>
      </c>
      <c r="C1001" t="s">
        <v>60</v>
      </c>
      <c r="D1001" t="s">
        <v>80</v>
      </c>
      <c r="E1001" t="s">
        <v>237</v>
      </c>
      <c r="F1001" s="72">
        <v>121.95</v>
      </c>
      <c r="G1001" s="72">
        <v>0</v>
      </c>
    </row>
    <row r="1002" spans="2:7" x14ac:dyDescent="0.25">
      <c r="B1002" s="71">
        <v>43536</v>
      </c>
      <c r="C1002" t="s">
        <v>57</v>
      </c>
      <c r="D1002" t="s">
        <v>83</v>
      </c>
      <c r="E1002" t="s">
        <v>237</v>
      </c>
      <c r="F1002" s="72">
        <v>32</v>
      </c>
      <c r="G1002" s="72">
        <v>0</v>
      </c>
    </row>
    <row r="1003" spans="2:7" x14ac:dyDescent="0.25">
      <c r="B1003" s="71">
        <v>43536</v>
      </c>
      <c r="C1003" t="s">
        <v>48</v>
      </c>
      <c r="D1003" t="s">
        <v>87</v>
      </c>
      <c r="E1003" t="s">
        <v>237</v>
      </c>
      <c r="F1003" s="72">
        <v>631.71</v>
      </c>
      <c r="G1003" s="72">
        <v>0</v>
      </c>
    </row>
    <row r="1004" spans="2:7" x14ac:dyDescent="0.25">
      <c r="B1004" s="71">
        <v>43536</v>
      </c>
      <c r="C1004" t="s">
        <v>44</v>
      </c>
      <c r="D1004" t="s">
        <v>83</v>
      </c>
      <c r="E1004" t="s">
        <v>237</v>
      </c>
      <c r="F1004" s="72">
        <v>382.02</v>
      </c>
      <c r="G1004" s="72">
        <v>0</v>
      </c>
    </row>
    <row r="1005" spans="2:7" x14ac:dyDescent="0.25">
      <c r="B1005" s="71">
        <v>43536</v>
      </c>
      <c r="C1005" t="s">
        <v>21</v>
      </c>
      <c r="D1005" t="s">
        <v>80</v>
      </c>
      <c r="E1005" t="s">
        <v>237</v>
      </c>
      <c r="F1005" s="72">
        <v>8</v>
      </c>
      <c r="G1005" s="72">
        <v>0</v>
      </c>
    </row>
    <row r="1006" spans="2:7" x14ac:dyDescent="0.25">
      <c r="B1006" s="71">
        <v>43536</v>
      </c>
      <c r="C1006" t="s">
        <v>21</v>
      </c>
      <c r="D1006" t="s">
        <v>80</v>
      </c>
      <c r="E1006" t="s">
        <v>237</v>
      </c>
      <c r="F1006" s="72">
        <v>16</v>
      </c>
      <c r="G1006" s="72">
        <v>0</v>
      </c>
    </row>
    <row r="1007" spans="2:7" x14ac:dyDescent="0.25">
      <c r="B1007" s="71">
        <v>43536</v>
      </c>
      <c r="C1007" t="s">
        <v>21</v>
      </c>
      <c r="D1007" t="s">
        <v>80</v>
      </c>
      <c r="E1007" t="s">
        <v>237</v>
      </c>
      <c r="F1007" s="72">
        <v>24</v>
      </c>
      <c r="G1007" s="72">
        <v>0</v>
      </c>
    </row>
    <row r="1008" spans="2:7" x14ac:dyDescent="0.25">
      <c r="B1008" s="71">
        <v>43536</v>
      </c>
      <c r="C1008" t="s">
        <v>21</v>
      </c>
      <c r="D1008" t="s">
        <v>80</v>
      </c>
      <c r="E1008" t="s">
        <v>237</v>
      </c>
      <c r="F1008" s="72">
        <v>32</v>
      </c>
      <c r="G1008" s="72">
        <v>0</v>
      </c>
    </row>
    <row r="1009" spans="2:7" x14ac:dyDescent="0.25">
      <c r="B1009" s="71">
        <v>43536</v>
      </c>
      <c r="C1009" t="s">
        <v>21</v>
      </c>
      <c r="D1009" t="s">
        <v>80</v>
      </c>
      <c r="E1009" t="s">
        <v>237</v>
      </c>
      <c r="F1009" s="72">
        <v>56</v>
      </c>
      <c r="G1009" s="72">
        <v>0</v>
      </c>
    </row>
    <row r="1010" spans="2:7" x14ac:dyDescent="0.25">
      <c r="B1010" s="71">
        <v>43536</v>
      </c>
      <c r="C1010" t="s">
        <v>49</v>
      </c>
      <c r="D1010" t="s">
        <v>80</v>
      </c>
      <c r="E1010" t="s">
        <v>237</v>
      </c>
      <c r="F1010" s="72">
        <v>40</v>
      </c>
      <c r="G1010" s="72">
        <v>0</v>
      </c>
    </row>
    <row r="1011" spans="2:7" x14ac:dyDescent="0.25">
      <c r="B1011" s="71">
        <v>43536</v>
      </c>
      <c r="C1011" t="s">
        <v>46</v>
      </c>
      <c r="D1011" t="s">
        <v>83</v>
      </c>
      <c r="E1011" t="s">
        <v>237</v>
      </c>
      <c r="F1011" s="72">
        <v>436</v>
      </c>
      <c r="G1011" s="72">
        <v>0</v>
      </c>
    </row>
    <row r="1012" spans="2:7" x14ac:dyDescent="0.25">
      <c r="B1012" s="71">
        <v>43536</v>
      </c>
      <c r="C1012" t="s">
        <v>50</v>
      </c>
      <c r="D1012" t="s">
        <v>99</v>
      </c>
      <c r="E1012" t="s">
        <v>239</v>
      </c>
      <c r="F1012" s="72">
        <v>158.78</v>
      </c>
      <c r="G1012" s="72">
        <v>0</v>
      </c>
    </row>
    <row r="1013" spans="2:7" x14ac:dyDescent="0.25">
      <c r="B1013" s="71">
        <v>43536</v>
      </c>
      <c r="C1013" t="s">
        <v>51</v>
      </c>
      <c r="D1013" t="s">
        <v>86</v>
      </c>
      <c r="E1013" t="s">
        <v>237</v>
      </c>
      <c r="F1013" s="72">
        <v>12.95</v>
      </c>
      <c r="G1013" s="72">
        <v>0</v>
      </c>
    </row>
    <row r="1014" spans="2:7" x14ac:dyDescent="0.25">
      <c r="B1014" s="71">
        <v>43536</v>
      </c>
      <c r="C1014" t="s">
        <v>59</v>
      </c>
      <c r="D1014" t="s">
        <v>80</v>
      </c>
      <c r="E1014" t="s">
        <v>237</v>
      </c>
      <c r="F1014" s="72">
        <v>10</v>
      </c>
      <c r="G1014" s="72">
        <v>0</v>
      </c>
    </row>
    <row r="1015" spans="2:7" x14ac:dyDescent="0.25">
      <c r="B1015" s="71">
        <v>43536</v>
      </c>
      <c r="C1015" t="s">
        <v>24</v>
      </c>
      <c r="D1015" t="s">
        <v>80</v>
      </c>
      <c r="E1015" t="s">
        <v>237</v>
      </c>
      <c r="F1015" s="72">
        <v>8</v>
      </c>
      <c r="G1015" s="72">
        <v>0</v>
      </c>
    </row>
    <row r="1016" spans="2:7" x14ac:dyDescent="0.25">
      <c r="B1016" s="71">
        <v>43537</v>
      </c>
      <c r="C1016" t="s">
        <v>25</v>
      </c>
      <c r="D1016" t="s">
        <v>81</v>
      </c>
      <c r="E1016" t="s">
        <v>240</v>
      </c>
      <c r="F1016" s="72">
        <v>67.16</v>
      </c>
      <c r="G1016" s="72">
        <v>0</v>
      </c>
    </row>
    <row r="1017" spans="2:7" x14ac:dyDescent="0.25">
      <c r="B1017" s="71">
        <v>43537</v>
      </c>
      <c r="C1017" t="s">
        <v>25</v>
      </c>
      <c r="D1017" t="s">
        <v>88</v>
      </c>
      <c r="E1017" t="s">
        <v>240</v>
      </c>
      <c r="F1017" s="72">
        <v>32.75</v>
      </c>
      <c r="G1017" s="72">
        <v>0</v>
      </c>
    </row>
    <row r="1018" spans="2:7" x14ac:dyDescent="0.25">
      <c r="B1018" s="71">
        <v>43537</v>
      </c>
      <c r="C1018" t="s">
        <v>25</v>
      </c>
      <c r="D1018" t="s">
        <v>88</v>
      </c>
      <c r="E1018" t="s">
        <v>240</v>
      </c>
      <c r="F1018" s="72">
        <v>114.05</v>
      </c>
      <c r="G1018" s="72">
        <v>0</v>
      </c>
    </row>
    <row r="1019" spans="2:7" x14ac:dyDescent="0.25">
      <c r="B1019" s="71">
        <v>43537</v>
      </c>
      <c r="C1019" t="s">
        <v>25</v>
      </c>
      <c r="D1019" t="s">
        <v>82</v>
      </c>
      <c r="E1019" t="s">
        <v>241</v>
      </c>
      <c r="F1019" s="72">
        <v>2.25</v>
      </c>
      <c r="G1019" s="72">
        <v>0</v>
      </c>
    </row>
    <row r="1020" spans="2:7" x14ac:dyDescent="0.25">
      <c r="B1020" s="71">
        <v>43537</v>
      </c>
      <c r="C1020" t="s">
        <v>25</v>
      </c>
      <c r="D1020" t="s">
        <v>82</v>
      </c>
      <c r="E1020" t="s">
        <v>192</v>
      </c>
      <c r="F1020" s="72">
        <v>7</v>
      </c>
      <c r="G1020" s="72">
        <v>0</v>
      </c>
    </row>
    <row r="1021" spans="2:7" x14ac:dyDescent="0.25">
      <c r="B1021" s="71">
        <v>43537</v>
      </c>
      <c r="C1021" t="s">
        <v>25</v>
      </c>
      <c r="D1021" t="s">
        <v>82</v>
      </c>
      <c r="E1021" t="s">
        <v>242</v>
      </c>
      <c r="F1021" s="72">
        <v>3.15</v>
      </c>
      <c r="G1021" s="72">
        <v>0</v>
      </c>
    </row>
    <row r="1022" spans="2:7" x14ac:dyDescent="0.25">
      <c r="B1022" s="71">
        <v>43537</v>
      </c>
      <c r="C1022" t="s">
        <v>25</v>
      </c>
      <c r="D1022" t="s">
        <v>82</v>
      </c>
      <c r="E1022" t="s">
        <v>155</v>
      </c>
      <c r="F1022" s="72">
        <v>12</v>
      </c>
      <c r="G1022" s="72">
        <v>0</v>
      </c>
    </row>
    <row r="1023" spans="2:7" x14ac:dyDescent="0.25">
      <c r="B1023" s="71">
        <v>43537</v>
      </c>
      <c r="C1023" t="s">
        <v>25</v>
      </c>
      <c r="D1023" t="s">
        <v>82</v>
      </c>
      <c r="E1023" t="s">
        <v>128</v>
      </c>
      <c r="F1023" s="72">
        <v>3</v>
      </c>
      <c r="G1023" s="72">
        <v>0</v>
      </c>
    </row>
    <row r="1024" spans="2:7" x14ac:dyDescent="0.25">
      <c r="B1024" s="71">
        <v>43537</v>
      </c>
      <c r="C1024" t="s">
        <v>25</v>
      </c>
      <c r="D1024" t="s">
        <v>85</v>
      </c>
      <c r="E1024" t="s">
        <v>240</v>
      </c>
      <c r="F1024" s="72">
        <v>120</v>
      </c>
      <c r="G1024" s="72">
        <v>0</v>
      </c>
    </row>
    <row r="1025" spans="2:7" x14ac:dyDescent="0.25">
      <c r="B1025" s="71">
        <v>43537</v>
      </c>
      <c r="C1025" t="s">
        <v>25</v>
      </c>
      <c r="D1025" t="s">
        <v>85</v>
      </c>
      <c r="E1025" t="s">
        <v>240</v>
      </c>
      <c r="F1025" s="72">
        <v>132</v>
      </c>
      <c r="G1025" s="72">
        <v>0</v>
      </c>
    </row>
    <row r="1026" spans="2:7" x14ac:dyDescent="0.25">
      <c r="B1026" s="71">
        <v>43537</v>
      </c>
      <c r="C1026" t="s">
        <v>57</v>
      </c>
      <c r="D1026" t="s">
        <v>83</v>
      </c>
      <c r="E1026" t="s">
        <v>240</v>
      </c>
      <c r="F1026" s="72">
        <v>60.85</v>
      </c>
      <c r="G1026" s="72">
        <v>0</v>
      </c>
    </row>
    <row r="1027" spans="2:7" x14ac:dyDescent="0.25">
      <c r="B1027" s="71">
        <v>43537</v>
      </c>
      <c r="C1027" t="s">
        <v>52</v>
      </c>
      <c r="D1027" t="s">
        <v>83</v>
      </c>
      <c r="E1027" t="s">
        <v>240</v>
      </c>
      <c r="F1027" s="72">
        <v>100.15</v>
      </c>
      <c r="G1027" s="72">
        <v>0</v>
      </c>
    </row>
    <row r="1028" spans="2:7" x14ac:dyDescent="0.25">
      <c r="B1028" s="71">
        <v>43537</v>
      </c>
      <c r="C1028" t="s">
        <v>21</v>
      </c>
      <c r="D1028" t="s">
        <v>80</v>
      </c>
      <c r="E1028" t="s">
        <v>240</v>
      </c>
      <c r="F1028" s="72">
        <v>16</v>
      </c>
      <c r="G1028" s="72">
        <v>0</v>
      </c>
    </row>
    <row r="1029" spans="2:7" x14ac:dyDescent="0.25">
      <c r="B1029" s="71">
        <v>43537</v>
      </c>
      <c r="C1029" t="s">
        <v>56</v>
      </c>
      <c r="D1029" t="s">
        <v>81</v>
      </c>
      <c r="E1029" t="s">
        <v>240</v>
      </c>
      <c r="F1029" s="72">
        <v>339.18</v>
      </c>
      <c r="G1029" s="72">
        <v>0</v>
      </c>
    </row>
    <row r="1030" spans="2:7" x14ac:dyDescent="0.25">
      <c r="B1030" s="71">
        <v>43537</v>
      </c>
      <c r="C1030" t="s">
        <v>56</v>
      </c>
      <c r="D1030" t="s">
        <v>88</v>
      </c>
      <c r="E1030" t="s">
        <v>240</v>
      </c>
      <c r="F1030" s="72">
        <v>34.22</v>
      </c>
      <c r="G1030" s="72">
        <v>0</v>
      </c>
    </row>
    <row r="1031" spans="2:7" x14ac:dyDescent="0.25">
      <c r="B1031" s="71">
        <v>43537</v>
      </c>
      <c r="C1031" t="s">
        <v>46</v>
      </c>
      <c r="D1031" t="s">
        <v>84</v>
      </c>
      <c r="E1031" t="s">
        <v>240</v>
      </c>
      <c r="F1031" s="72">
        <v>4413.76</v>
      </c>
      <c r="G1031" s="72">
        <v>0</v>
      </c>
    </row>
    <row r="1032" spans="2:7" x14ac:dyDescent="0.25">
      <c r="B1032" s="71">
        <v>43537</v>
      </c>
      <c r="C1032" t="s">
        <v>71</v>
      </c>
      <c r="D1032" t="s">
        <v>85</v>
      </c>
      <c r="E1032" t="s">
        <v>240</v>
      </c>
      <c r="F1032" s="72">
        <v>1320</v>
      </c>
      <c r="G1032" s="72">
        <v>0</v>
      </c>
    </row>
    <row r="1033" spans="2:7" x14ac:dyDescent="0.25">
      <c r="B1033" s="71">
        <v>43537</v>
      </c>
      <c r="C1033" t="s">
        <v>54</v>
      </c>
      <c r="D1033" t="s">
        <v>83</v>
      </c>
      <c r="E1033" t="s">
        <v>240</v>
      </c>
      <c r="F1033" s="72">
        <v>71</v>
      </c>
      <c r="G1033" s="72">
        <v>0</v>
      </c>
    </row>
    <row r="1034" spans="2:7" x14ac:dyDescent="0.25">
      <c r="B1034" s="71">
        <v>43537</v>
      </c>
      <c r="C1034" t="s">
        <v>24</v>
      </c>
      <c r="D1034" t="s">
        <v>80</v>
      </c>
      <c r="E1034" t="s">
        <v>240</v>
      </c>
      <c r="F1034" s="72">
        <v>8</v>
      </c>
      <c r="G1034" s="72">
        <v>0</v>
      </c>
    </row>
    <row r="1035" spans="2:7" x14ac:dyDescent="0.25">
      <c r="B1035" s="71">
        <v>43537</v>
      </c>
      <c r="C1035" t="s">
        <v>24</v>
      </c>
      <c r="D1035" t="s">
        <v>85</v>
      </c>
      <c r="E1035" t="s">
        <v>240</v>
      </c>
      <c r="F1035" s="72">
        <v>96</v>
      </c>
      <c r="G1035" s="72">
        <v>0</v>
      </c>
    </row>
    <row r="1036" spans="2:7" x14ac:dyDescent="0.25">
      <c r="B1036" s="71">
        <v>43537</v>
      </c>
      <c r="C1036" t="s">
        <v>24</v>
      </c>
      <c r="D1036" t="s">
        <v>85</v>
      </c>
      <c r="E1036" t="s">
        <v>240</v>
      </c>
      <c r="F1036" s="72">
        <v>516</v>
      </c>
      <c r="G1036" s="72">
        <v>0</v>
      </c>
    </row>
    <row r="1037" spans="2:7" x14ac:dyDescent="0.25">
      <c r="B1037" s="71">
        <v>43538</v>
      </c>
      <c r="C1037" t="s">
        <v>25</v>
      </c>
      <c r="D1037" t="s">
        <v>82</v>
      </c>
      <c r="E1037" t="s">
        <v>196</v>
      </c>
      <c r="F1037" s="72">
        <v>26</v>
      </c>
      <c r="G1037" s="72">
        <v>0</v>
      </c>
    </row>
    <row r="1038" spans="2:7" x14ac:dyDescent="0.25">
      <c r="B1038" s="71">
        <v>43538</v>
      </c>
      <c r="C1038" t="s">
        <v>25</v>
      </c>
      <c r="D1038" t="s">
        <v>82</v>
      </c>
      <c r="E1038" t="s">
        <v>151</v>
      </c>
      <c r="F1038" s="72">
        <v>14</v>
      </c>
      <c r="G1038" s="72">
        <v>0</v>
      </c>
    </row>
    <row r="1039" spans="2:7" x14ac:dyDescent="0.25">
      <c r="B1039" s="71">
        <v>43538</v>
      </c>
      <c r="C1039" t="s">
        <v>25</v>
      </c>
      <c r="D1039" t="s">
        <v>82</v>
      </c>
      <c r="E1039" t="s">
        <v>159</v>
      </c>
      <c r="F1039" s="72">
        <v>7.35</v>
      </c>
      <c r="G1039" s="72">
        <v>0</v>
      </c>
    </row>
    <row r="1040" spans="2:7" x14ac:dyDescent="0.25">
      <c r="B1040" s="71">
        <v>43538</v>
      </c>
      <c r="C1040" t="s">
        <v>25</v>
      </c>
      <c r="D1040" t="s">
        <v>82</v>
      </c>
      <c r="E1040" t="s">
        <v>169</v>
      </c>
      <c r="F1040" s="72">
        <v>22.5</v>
      </c>
      <c r="G1040" s="72">
        <v>0</v>
      </c>
    </row>
    <row r="1041" spans="2:7" x14ac:dyDescent="0.25">
      <c r="B1041" s="71">
        <v>43538</v>
      </c>
      <c r="C1041" t="s">
        <v>21</v>
      </c>
      <c r="D1041" t="s">
        <v>80</v>
      </c>
      <c r="E1041" t="s">
        <v>243</v>
      </c>
      <c r="F1041" s="72">
        <v>16</v>
      </c>
      <c r="G1041" s="72">
        <v>0</v>
      </c>
    </row>
    <row r="1042" spans="2:7" x14ac:dyDescent="0.25">
      <c r="B1042" s="71">
        <v>43538</v>
      </c>
      <c r="C1042" t="s">
        <v>49</v>
      </c>
      <c r="D1042" t="s">
        <v>86</v>
      </c>
      <c r="E1042" t="s">
        <v>243</v>
      </c>
      <c r="F1042" s="72">
        <v>3.35</v>
      </c>
      <c r="G1042" s="72">
        <v>0</v>
      </c>
    </row>
    <row r="1043" spans="2:7" x14ac:dyDescent="0.25">
      <c r="B1043" s="71">
        <v>43538</v>
      </c>
      <c r="C1043" t="s">
        <v>59</v>
      </c>
      <c r="D1043" t="s">
        <v>85</v>
      </c>
      <c r="E1043" t="s">
        <v>243</v>
      </c>
      <c r="F1043" s="72">
        <v>35</v>
      </c>
      <c r="G1043" s="72">
        <v>0</v>
      </c>
    </row>
    <row r="1044" spans="2:7" x14ac:dyDescent="0.25">
      <c r="B1044" s="71">
        <v>43538</v>
      </c>
      <c r="C1044" t="s">
        <v>54</v>
      </c>
      <c r="D1044" t="s">
        <v>83</v>
      </c>
      <c r="E1044" t="s">
        <v>243</v>
      </c>
      <c r="F1044" s="72">
        <v>101</v>
      </c>
      <c r="G1044" s="72">
        <v>0</v>
      </c>
    </row>
    <row r="1045" spans="2:7" x14ac:dyDescent="0.25">
      <c r="B1045" s="71">
        <v>43538</v>
      </c>
      <c r="C1045" t="s">
        <v>68</v>
      </c>
      <c r="D1045" t="s">
        <v>88</v>
      </c>
      <c r="E1045" t="s">
        <v>243</v>
      </c>
      <c r="F1045" s="72">
        <v>1000</v>
      </c>
      <c r="G1045" s="72">
        <v>0</v>
      </c>
    </row>
    <row r="1046" spans="2:7" x14ac:dyDescent="0.25">
      <c r="B1046" s="71">
        <v>43538</v>
      </c>
      <c r="C1046" t="s">
        <v>24</v>
      </c>
      <c r="D1046" t="s">
        <v>83</v>
      </c>
      <c r="E1046" t="s">
        <v>243</v>
      </c>
      <c r="F1046" s="72">
        <v>168</v>
      </c>
      <c r="G1046" s="72">
        <v>0</v>
      </c>
    </row>
    <row r="1047" spans="2:7" x14ac:dyDescent="0.25">
      <c r="B1047" s="71">
        <v>43538</v>
      </c>
      <c r="C1047" t="s">
        <v>24</v>
      </c>
      <c r="D1047" t="s">
        <v>83</v>
      </c>
      <c r="E1047" t="s">
        <v>243</v>
      </c>
      <c r="F1047" s="72">
        <v>187.2</v>
      </c>
      <c r="G1047" s="72">
        <v>0</v>
      </c>
    </row>
    <row r="1048" spans="2:7" x14ac:dyDescent="0.25">
      <c r="B1048" s="71">
        <v>43538</v>
      </c>
      <c r="C1048" t="s">
        <v>61</v>
      </c>
      <c r="D1048" t="s">
        <v>86</v>
      </c>
      <c r="E1048" t="s">
        <v>243</v>
      </c>
      <c r="F1048" s="72">
        <v>69.45</v>
      </c>
      <c r="G1048" s="72">
        <v>0</v>
      </c>
    </row>
    <row r="1049" spans="2:7" x14ac:dyDescent="0.25">
      <c r="B1049" s="71">
        <v>43538</v>
      </c>
      <c r="C1049" t="s">
        <v>63</v>
      </c>
      <c r="D1049" t="s">
        <v>83</v>
      </c>
      <c r="E1049" t="s">
        <v>243</v>
      </c>
      <c r="F1049" s="72">
        <v>4.5999999999999996</v>
      </c>
      <c r="G1049" s="72">
        <v>0</v>
      </c>
    </row>
    <row r="1050" spans="2:7" x14ac:dyDescent="0.25">
      <c r="B1050" s="71">
        <v>43539</v>
      </c>
      <c r="C1050" t="s">
        <v>25</v>
      </c>
      <c r="D1050" t="s">
        <v>81</v>
      </c>
      <c r="E1050" t="s">
        <v>244</v>
      </c>
      <c r="F1050" s="72">
        <v>4.8</v>
      </c>
      <c r="G1050" s="72">
        <v>0</v>
      </c>
    </row>
    <row r="1051" spans="2:7" x14ac:dyDescent="0.25">
      <c r="B1051" s="71">
        <v>43539</v>
      </c>
      <c r="C1051" t="s">
        <v>25</v>
      </c>
      <c r="D1051" t="s">
        <v>81</v>
      </c>
      <c r="E1051" t="s">
        <v>244</v>
      </c>
      <c r="F1051" s="72">
        <v>9.5</v>
      </c>
      <c r="G1051" s="72">
        <v>0</v>
      </c>
    </row>
    <row r="1052" spans="2:7" x14ac:dyDescent="0.25">
      <c r="B1052" s="71">
        <v>43539</v>
      </c>
      <c r="C1052" t="s">
        <v>25</v>
      </c>
      <c r="D1052" t="s">
        <v>81</v>
      </c>
      <c r="E1052" t="s">
        <v>244</v>
      </c>
      <c r="F1052" s="72">
        <v>16.21</v>
      </c>
      <c r="G1052" s="72">
        <v>0</v>
      </c>
    </row>
    <row r="1053" spans="2:7" x14ac:dyDescent="0.25">
      <c r="B1053" s="71">
        <v>43539</v>
      </c>
      <c r="C1053" t="s">
        <v>25</v>
      </c>
      <c r="D1053" t="s">
        <v>81</v>
      </c>
      <c r="E1053" t="s">
        <v>244</v>
      </c>
      <c r="F1053" s="72">
        <v>53.96</v>
      </c>
      <c r="G1053" s="72">
        <v>0</v>
      </c>
    </row>
    <row r="1054" spans="2:7" x14ac:dyDescent="0.25">
      <c r="B1054" s="71">
        <v>43539</v>
      </c>
      <c r="C1054" t="s">
        <v>25</v>
      </c>
      <c r="D1054" t="s">
        <v>88</v>
      </c>
      <c r="E1054" t="s">
        <v>244</v>
      </c>
      <c r="F1054" s="72">
        <v>33.86</v>
      </c>
      <c r="G1054" s="72">
        <v>0</v>
      </c>
    </row>
    <row r="1055" spans="2:7" x14ac:dyDescent="0.25">
      <c r="B1055" s="71">
        <v>43539</v>
      </c>
      <c r="C1055" t="s">
        <v>25</v>
      </c>
      <c r="D1055" t="s">
        <v>88</v>
      </c>
      <c r="E1055" t="s">
        <v>244</v>
      </c>
      <c r="F1055" s="72">
        <v>35.47</v>
      </c>
      <c r="G1055" s="72">
        <v>0</v>
      </c>
    </row>
    <row r="1056" spans="2:7" x14ac:dyDescent="0.25">
      <c r="B1056" s="71">
        <v>43539</v>
      </c>
      <c r="C1056" t="s">
        <v>25</v>
      </c>
      <c r="D1056" t="s">
        <v>82</v>
      </c>
      <c r="E1056" t="s">
        <v>136</v>
      </c>
      <c r="F1056" s="72">
        <v>4.75</v>
      </c>
      <c r="G1056" s="72">
        <v>0</v>
      </c>
    </row>
    <row r="1057" spans="2:7" x14ac:dyDescent="0.25">
      <c r="B1057" s="71">
        <v>43539</v>
      </c>
      <c r="C1057" t="s">
        <v>25</v>
      </c>
      <c r="D1057" t="s">
        <v>82</v>
      </c>
      <c r="E1057" t="s">
        <v>170</v>
      </c>
      <c r="F1057" s="72">
        <v>3.95</v>
      </c>
      <c r="G1057" s="72">
        <v>0</v>
      </c>
    </row>
    <row r="1058" spans="2:7" x14ac:dyDescent="0.25">
      <c r="B1058" s="71">
        <v>43539</v>
      </c>
      <c r="C1058" t="s">
        <v>25</v>
      </c>
      <c r="D1058" t="s">
        <v>82</v>
      </c>
      <c r="E1058" t="s">
        <v>155</v>
      </c>
      <c r="F1058" s="72">
        <v>10.5</v>
      </c>
      <c r="G1058" s="72">
        <v>0</v>
      </c>
    </row>
    <row r="1059" spans="2:7" x14ac:dyDescent="0.25">
      <c r="B1059" s="71">
        <v>43539</v>
      </c>
      <c r="C1059" t="s">
        <v>47</v>
      </c>
      <c r="D1059" t="s">
        <v>83</v>
      </c>
      <c r="E1059" t="s">
        <v>244</v>
      </c>
      <c r="F1059" s="72">
        <v>15</v>
      </c>
      <c r="G1059" s="72">
        <v>0</v>
      </c>
    </row>
    <row r="1060" spans="2:7" x14ac:dyDescent="0.25">
      <c r="B1060" s="71">
        <v>43539</v>
      </c>
      <c r="C1060" t="s">
        <v>21</v>
      </c>
      <c r="D1060" t="s">
        <v>80</v>
      </c>
      <c r="E1060" t="s">
        <v>244</v>
      </c>
      <c r="F1060" s="72">
        <v>16</v>
      </c>
      <c r="G1060" s="72">
        <v>0</v>
      </c>
    </row>
    <row r="1061" spans="2:7" x14ac:dyDescent="0.25">
      <c r="B1061" s="71">
        <v>43539</v>
      </c>
      <c r="C1061" t="s">
        <v>67</v>
      </c>
      <c r="D1061" t="s">
        <v>83</v>
      </c>
      <c r="E1061" t="s">
        <v>244</v>
      </c>
      <c r="F1061" s="72">
        <v>261</v>
      </c>
      <c r="G1061" s="72">
        <v>0</v>
      </c>
    </row>
    <row r="1062" spans="2:7" x14ac:dyDescent="0.25">
      <c r="B1062" s="71">
        <v>43539</v>
      </c>
      <c r="C1062" t="s">
        <v>49</v>
      </c>
      <c r="D1062" t="s">
        <v>83</v>
      </c>
      <c r="E1062" t="s">
        <v>244</v>
      </c>
      <c r="F1062" s="72">
        <v>132</v>
      </c>
      <c r="G1062" s="72">
        <v>0</v>
      </c>
    </row>
    <row r="1063" spans="2:7" x14ac:dyDescent="0.25">
      <c r="B1063" s="71">
        <v>43539</v>
      </c>
      <c r="C1063" t="s">
        <v>51</v>
      </c>
      <c r="D1063" t="s">
        <v>83</v>
      </c>
      <c r="E1063" t="s">
        <v>244</v>
      </c>
      <c r="F1063" s="72">
        <v>17.27</v>
      </c>
      <c r="G1063" s="72">
        <v>0</v>
      </c>
    </row>
    <row r="1064" spans="2:7" x14ac:dyDescent="0.25">
      <c r="B1064" s="71">
        <v>43539</v>
      </c>
      <c r="C1064" t="s">
        <v>59</v>
      </c>
      <c r="D1064" t="s">
        <v>83</v>
      </c>
      <c r="E1064" t="s">
        <v>244</v>
      </c>
      <c r="F1064" s="72">
        <v>26</v>
      </c>
      <c r="G1064" s="72">
        <v>0</v>
      </c>
    </row>
    <row r="1065" spans="2:7" x14ac:dyDescent="0.25">
      <c r="B1065" s="71">
        <v>43539</v>
      </c>
      <c r="C1065" t="s">
        <v>24</v>
      </c>
      <c r="D1065" t="s">
        <v>80</v>
      </c>
      <c r="E1065" t="s">
        <v>244</v>
      </c>
      <c r="F1065" s="72">
        <v>24</v>
      </c>
      <c r="G1065" s="72">
        <v>0</v>
      </c>
    </row>
    <row r="1066" spans="2:7" x14ac:dyDescent="0.25">
      <c r="B1066" s="71">
        <v>43540</v>
      </c>
      <c r="C1066" t="s">
        <v>25</v>
      </c>
      <c r="D1066" t="s">
        <v>81</v>
      </c>
      <c r="E1066" t="s">
        <v>245</v>
      </c>
      <c r="F1066" s="72">
        <v>104</v>
      </c>
      <c r="G1066" s="72">
        <v>0</v>
      </c>
    </row>
    <row r="1067" spans="2:7" x14ac:dyDescent="0.25">
      <c r="B1067" s="71">
        <v>43540</v>
      </c>
      <c r="C1067" t="s">
        <v>25</v>
      </c>
      <c r="D1067" t="s">
        <v>82</v>
      </c>
      <c r="E1067" t="s">
        <v>179</v>
      </c>
      <c r="F1067" s="72">
        <v>4.5</v>
      </c>
      <c r="G1067" s="72">
        <v>0</v>
      </c>
    </row>
    <row r="1068" spans="2:7" x14ac:dyDescent="0.25">
      <c r="B1068" s="71">
        <v>43540</v>
      </c>
      <c r="C1068" t="s">
        <v>57</v>
      </c>
      <c r="D1068" t="s">
        <v>83</v>
      </c>
      <c r="E1068" t="s">
        <v>245</v>
      </c>
      <c r="F1068" s="72">
        <v>83</v>
      </c>
      <c r="G1068" s="72">
        <v>0</v>
      </c>
    </row>
    <row r="1069" spans="2:7" x14ac:dyDescent="0.25">
      <c r="B1069" s="71">
        <v>43540</v>
      </c>
      <c r="C1069" t="s">
        <v>21</v>
      </c>
      <c r="D1069" t="s">
        <v>80</v>
      </c>
      <c r="E1069" t="s">
        <v>245</v>
      </c>
      <c r="F1069" s="72">
        <v>24</v>
      </c>
      <c r="G1069" s="72">
        <v>0</v>
      </c>
    </row>
    <row r="1070" spans="2:7" x14ac:dyDescent="0.25">
      <c r="B1070" s="71">
        <v>43540</v>
      </c>
      <c r="C1070" t="s">
        <v>49</v>
      </c>
      <c r="D1070" t="s">
        <v>83</v>
      </c>
      <c r="E1070" t="s">
        <v>245</v>
      </c>
      <c r="F1070" s="72">
        <v>136</v>
      </c>
      <c r="G1070" s="72">
        <v>0</v>
      </c>
    </row>
    <row r="1071" spans="2:7" x14ac:dyDescent="0.25">
      <c r="B1071" s="71">
        <v>43540</v>
      </c>
      <c r="C1071" t="s">
        <v>59</v>
      </c>
      <c r="D1071" t="s">
        <v>80</v>
      </c>
      <c r="E1071" t="s">
        <v>245</v>
      </c>
      <c r="F1071" s="72">
        <v>24</v>
      </c>
      <c r="G1071" s="72">
        <v>0</v>
      </c>
    </row>
    <row r="1072" spans="2:7" x14ac:dyDescent="0.25">
      <c r="B1072" s="71">
        <v>43542</v>
      </c>
      <c r="C1072" t="s">
        <v>25</v>
      </c>
      <c r="D1072" t="s">
        <v>82</v>
      </c>
      <c r="E1072" t="s">
        <v>198</v>
      </c>
      <c r="F1072" s="72">
        <v>5</v>
      </c>
      <c r="G1072" s="72">
        <v>0</v>
      </c>
    </row>
    <row r="1073" spans="2:7" x14ac:dyDescent="0.25">
      <c r="B1073" s="71">
        <v>43542</v>
      </c>
      <c r="C1073" t="s">
        <v>25</v>
      </c>
      <c r="D1073" t="s">
        <v>82</v>
      </c>
      <c r="E1073" t="s">
        <v>136</v>
      </c>
      <c r="F1073" s="72">
        <v>3</v>
      </c>
      <c r="G1073" s="72">
        <v>0</v>
      </c>
    </row>
    <row r="1074" spans="2:7" x14ac:dyDescent="0.25">
      <c r="B1074" s="71">
        <v>43542</v>
      </c>
      <c r="C1074" t="s">
        <v>25</v>
      </c>
      <c r="D1074" t="s">
        <v>82</v>
      </c>
      <c r="E1074" t="s">
        <v>170</v>
      </c>
      <c r="F1074" s="72">
        <v>3.95</v>
      </c>
      <c r="G1074" s="72">
        <v>0</v>
      </c>
    </row>
    <row r="1075" spans="2:7" x14ac:dyDescent="0.25">
      <c r="B1075" s="71">
        <v>43542</v>
      </c>
      <c r="C1075" t="s">
        <v>25</v>
      </c>
      <c r="D1075" t="s">
        <v>82</v>
      </c>
      <c r="E1075" t="s">
        <v>141</v>
      </c>
      <c r="F1075" s="72">
        <v>1.8</v>
      </c>
      <c r="G1075" s="72">
        <v>0</v>
      </c>
    </row>
    <row r="1076" spans="2:7" x14ac:dyDescent="0.25">
      <c r="B1076" s="71">
        <v>43542</v>
      </c>
      <c r="C1076" t="s">
        <v>25</v>
      </c>
      <c r="D1076" t="s">
        <v>82</v>
      </c>
      <c r="E1076" t="s">
        <v>134</v>
      </c>
      <c r="F1076" s="72">
        <v>3</v>
      </c>
      <c r="G1076" s="72">
        <v>0</v>
      </c>
    </row>
    <row r="1077" spans="2:7" x14ac:dyDescent="0.25">
      <c r="B1077" s="71">
        <v>43542</v>
      </c>
      <c r="C1077" t="s">
        <v>21</v>
      </c>
      <c r="D1077" t="s">
        <v>80</v>
      </c>
      <c r="E1077" t="s">
        <v>246</v>
      </c>
      <c r="F1077" s="72">
        <v>8</v>
      </c>
      <c r="G1077" s="72">
        <v>0</v>
      </c>
    </row>
    <row r="1078" spans="2:7" x14ac:dyDescent="0.25">
      <c r="B1078" s="71">
        <v>43542</v>
      </c>
      <c r="C1078" t="s">
        <v>21</v>
      </c>
      <c r="D1078" t="s">
        <v>80</v>
      </c>
      <c r="E1078" t="s">
        <v>246</v>
      </c>
      <c r="F1078" s="72">
        <v>16</v>
      </c>
      <c r="G1078" s="72">
        <v>0</v>
      </c>
    </row>
    <row r="1079" spans="2:7" x14ac:dyDescent="0.25">
      <c r="B1079" s="71">
        <v>43542</v>
      </c>
      <c r="C1079" t="s">
        <v>21</v>
      </c>
      <c r="D1079" t="s">
        <v>80</v>
      </c>
      <c r="E1079" t="s">
        <v>246</v>
      </c>
      <c r="F1079" s="72">
        <v>24</v>
      </c>
      <c r="G1079" s="72">
        <v>0</v>
      </c>
    </row>
    <row r="1080" spans="2:7" x14ac:dyDescent="0.25">
      <c r="B1080" s="71">
        <v>43542</v>
      </c>
      <c r="C1080" t="s">
        <v>21</v>
      </c>
      <c r="D1080" t="s">
        <v>80</v>
      </c>
      <c r="E1080" t="s">
        <v>246</v>
      </c>
      <c r="F1080" s="72">
        <v>40</v>
      </c>
      <c r="G1080" s="72">
        <v>0</v>
      </c>
    </row>
    <row r="1081" spans="2:7" x14ac:dyDescent="0.25">
      <c r="B1081" s="71">
        <v>43542</v>
      </c>
      <c r="C1081" t="s">
        <v>21</v>
      </c>
      <c r="D1081" t="s">
        <v>80</v>
      </c>
      <c r="E1081" t="s">
        <v>246</v>
      </c>
      <c r="F1081" s="72">
        <v>56</v>
      </c>
      <c r="G1081" s="72">
        <v>0</v>
      </c>
    </row>
    <row r="1082" spans="2:7" x14ac:dyDescent="0.25">
      <c r="B1082" s="71">
        <v>43542</v>
      </c>
      <c r="C1082" t="s">
        <v>21</v>
      </c>
      <c r="D1082" t="s">
        <v>80</v>
      </c>
      <c r="E1082" t="s">
        <v>246</v>
      </c>
      <c r="F1082" s="72">
        <v>72</v>
      </c>
      <c r="G1082" s="72">
        <v>0</v>
      </c>
    </row>
    <row r="1083" spans="2:7" x14ac:dyDescent="0.25">
      <c r="B1083" s="71">
        <v>43542</v>
      </c>
      <c r="C1083" t="s">
        <v>50</v>
      </c>
      <c r="D1083" t="s">
        <v>83</v>
      </c>
      <c r="E1083" t="s">
        <v>246</v>
      </c>
      <c r="F1083" s="72">
        <v>48</v>
      </c>
      <c r="G1083" s="72">
        <v>0</v>
      </c>
    </row>
    <row r="1084" spans="2:7" x14ac:dyDescent="0.25">
      <c r="B1084" s="71">
        <v>43542</v>
      </c>
      <c r="C1084" t="s">
        <v>51</v>
      </c>
      <c r="D1084" t="s">
        <v>83</v>
      </c>
      <c r="E1084" t="s">
        <v>246</v>
      </c>
      <c r="F1084" s="72">
        <v>11.36</v>
      </c>
      <c r="G1084" s="72">
        <v>0</v>
      </c>
    </row>
    <row r="1085" spans="2:7" x14ac:dyDescent="0.25">
      <c r="B1085" s="71">
        <v>43542</v>
      </c>
      <c r="C1085" t="s">
        <v>24</v>
      </c>
      <c r="D1085" t="s">
        <v>80</v>
      </c>
      <c r="E1085" t="s">
        <v>246</v>
      </c>
      <c r="F1085" s="72">
        <v>8</v>
      </c>
      <c r="G1085" s="72">
        <v>0</v>
      </c>
    </row>
    <row r="1086" spans="2:7" x14ac:dyDescent="0.25">
      <c r="B1086" s="71">
        <v>43542</v>
      </c>
      <c r="C1086" t="s">
        <v>24</v>
      </c>
      <c r="D1086" t="s">
        <v>80</v>
      </c>
      <c r="E1086" t="s">
        <v>246</v>
      </c>
      <c r="F1086" s="72">
        <v>16</v>
      </c>
      <c r="G1086" s="72">
        <v>0</v>
      </c>
    </row>
    <row r="1087" spans="2:7" x14ac:dyDescent="0.25">
      <c r="B1087" s="71">
        <v>43543</v>
      </c>
      <c r="C1087" t="s">
        <v>25</v>
      </c>
      <c r="D1087" t="s">
        <v>80</v>
      </c>
      <c r="E1087" t="s">
        <v>247</v>
      </c>
      <c r="F1087" s="72">
        <v>8</v>
      </c>
      <c r="G1087" s="72">
        <v>0</v>
      </c>
    </row>
    <row r="1088" spans="2:7" x14ac:dyDescent="0.25">
      <c r="B1088" s="71">
        <v>43543</v>
      </c>
      <c r="C1088" t="s">
        <v>25</v>
      </c>
      <c r="D1088" t="s">
        <v>86</v>
      </c>
      <c r="E1088" t="s">
        <v>247</v>
      </c>
      <c r="F1088" s="72">
        <v>15.95</v>
      </c>
      <c r="G1088" s="72">
        <v>0</v>
      </c>
    </row>
    <row r="1089" spans="2:7" x14ac:dyDescent="0.25">
      <c r="B1089" s="71">
        <v>43543</v>
      </c>
      <c r="C1089" t="s">
        <v>25</v>
      </c>
      <c r="D1089" t="s">
        <v>81</v>
      </c>
      <c r="E1089" t="s">
        <v>247</v>
      </c>
      <c r="F1089" s="72">
        <v>12.99</v>
      </c>
      <c r="G1089" s="72">
        <v>0</v>
      </c>
    </row>
    <row r="1090" spans="2:7" x14ac:dyDescent="0.25">
      <c r="B1090" s="71">
        <v>43543</v>
      </c>
      <c r="C1090" t="s">
        <v>25</v>
      </c>
      <c r="D1090" t="s">
        <v>81</v>
      </c>
      <c r="E1090" t="s">
        <v>247</v>
      </c>
      <c r="F1090" s="72">
        <v>15.08</v>
      </c>
      <c r="G1090" s="72">
        <v>0</v>
      </c>
    </row>
    <row r="1091" spans="2:7" x14ac:dyDescent="0.25">
      <c r="B1091" s="71">
        <v>43543</v>
      </c>
      <c r="C1091" t="s">
        <v>25</v>
      </c>
      <c r="D1091" t="s">
        <v>81</v>
      </c>
      <c r="E1091" t="s">
        <v>247</v>
      </c>
      <c r="F1091" s="72">
        <v>35.950000000000003</v>
      </c>
      <c r="G1091" s="72">
        <v>0</v>
      </c>
    </row>
    <row r="1092" spans="2:7" x14ac:dyDescent="0.25">
      <c r="B1092" s="71">
        <v>43543</v>
      </c>
      <c r="C1092" t="s">
        <v>25</v>
      </c>
      <c r="D1092" t="s">
        <v>81</v>
      </c>
      <c r="E1092" t="s">
        <v>247</v>
      </c>
      <c r="F1092" s="72">
        <v>40.49</v>
      </c>
      <c r="G1092" s="72">
        <v>0</v>
      </c>
    </row>
    <row r="1093" spans="2:7" x14ac:dyDescent="0.25">
      <c r="B1093" s="71">
        <v>43543</v>
      </c>
      <c r="C1093" t="s">
        <v>25</v>
      </c>
      <c r="D1093" t="s">
        <v>81</v>
      </c>
      <c r="E1093" t="s">
        <v>247</v>
      </c>
      <c r="F1093" s="72">
        <v>147.55000000000001</v>
      </c>
      <c r="G1093" s="72">
        <v>0</v>
      </c>
    </row>
    <row r="1094" spans="2:7" x14ac:dyDescent="0.25">
      <c r="B1094" s="71">
        <v>43543</v>
      </c>
      <c r="C1094" t="s">
        <v>25</v>
      </c>
      <c r="D1094" t="s">
        <v>88</v>
      </c>
      <c r="E1094" t="s">
        <v>247</v>
      </c>
      <c r="F1094" s="72">
        <v>2.95</v>
      </c>
      <c r="G1094" s="72">
        <v>0</v>
      </c>
    </row>
    <row r="1095" spans="2:7" x14ac:dyDescent="0.25">
      <c r="B1095" s="71">
        <v>43543</v>
      </c>
      <c r="C1095" t="s">
        <v>25</v>
      </c>
      <c r="D1095" t="s">
        <v>88</v>
      </c>
      <c r="E1095" t="s">
        <v>247</v>
      </c>
      <c r="F1095" s="72">
        <v>34.86</v>
      </c>
      <c r="G1095" s="72">
        <v>0</v>
      </c>
    </row>
    <row r="1096" spans="2:7" x14ac:dyDescent="0.25">
      <c r="B1096" s="71">
        <v>43543</v>
      </c>
      <c r="C1096" t="s">
        <v>25</v>
      </c>
      <c r="D1096" t="s">
        <v>88</v>
      </c>
      <c r="E1096" t="s">
        <v>247</v>
      </c>
      <c r="F1096" s="72">
        <v>38.1</v>
      </c>
      <c r="G1096" s="72">
        <v>0</v>
      </c>
    </row>
    <row r="1097" spans="2:7" x14ac:dyDescent="0.25">
      <c r="B1097" s="71">
        <v>43543</v>
      </c>
      <c r="C1097" t="s">
        <v>25</v>
      </c>
      <c r="D1097" t="s">
        <v>88</v>
      </c>
      <c r="E1097" t="s">
        <v>247</v>
      </c>
      <c r="F1097" s="72">
        <v>41.59</v>
      </c>
      <c r="G1097" s="72">
        <v>0</v>
      </c>
    </row>
    <row r="1098" spans="2:7" x14ac:dyDescent="0.25">
      <c r="B1098" s="71">
        <v>43543</v>
      </c>
      <c r="C1098" t="s">
        <v>25</v>
      </c>
      <c r="D1098" t="s">
        <v>88</v>
      </c>
      <c r="E1098" t="s">
        <v>247</v>
      </c>
      <c r="F1098" s="72">
        <v>48</v>
      </c>
      <c r="G1098" s="72">
        <v>0</v>
      </c>
    </row>
    <row r="1099" spans="2:7" x14ac:dyDescent="0.25">
      <c r="B1099" s="71">
        <v>43543</v>
      </c>
      <c r="C1099" t="s">
        <v>25</v>
      </c>
      <c r="D1099" t="s">
        <v>88</v>
      </c>
      <c r="E1099" t="s">
        <v>247</v>
      </c>
      <c r="F1099" s="72">
        <v>52.73</v>
      </c>
      <c r="G1099" s="72">
        <v>0</v>
      </c>
    </row>
    <row r="1100" spans="2:7" x14ac:dyDescent="0.25">
      <c r="B1100" s="71">
        <v>43543</v>
      </c>
      <c r="C1100" t="s">
        <v>25</v>
      </c>
      <c r="D1100" t="s">
        <v>88</v>
      </c>
      <c r="E1100" t="s">
        <v>247</v>
      </c>
      <c r="F1100" s="72">
        <v>71.349999999999994</v>
      </c>
      <c r="G1100" s="72">
        <v>0</v>
      </c>
    </row>
    <row r="1101" spans="2:7" x14ac:dyDescent="0.25">
      <c r="B1101" s="71">
        <v>43543</v>
      </c>
      <c r="C1101" t="s">
        <v>25</v>
      </c>
      <c r="D1101" t="s">
        <v>88</v>
      </c>
      <c r="E1101" t="s">
        <v>247</v>
      </c>
      <c r="F1101" s="72">
        <v>110</v>
      </c>
      <c r="G1101" s="72">
        <v>0</v>
      </c>
    </row>
    <row r="1102" spans="2:7" x14ac:dyDescent="0.25">
      <c r="B1102" s="71">
        <v>43543</v>
      </c>
      <c r="C1102" t="s">
        <v>25</v>
      </c>
      <c r="D1102" t="s">
        <v>82</v>
      </c>
      <c r="E1102" t="s">
        <v>136</v>
      </c>
      <c r="F1102" s="72">
        <v>3</v>
      </c>
      <c r="G1102" s="72">
        <v>0</v>
      </c>
    </row>
    <row r="1103" spans="2:7" x14ac:dyDescent="0.25">
      <c r="B1103" s="71">
        <v>43543</v>
      </c>
      <c r="C1103" t="s">
        <v>25</v>
      </c>
      <c r="D1103" t="s">
        <v>82</v>
      </c>
      <c r="E1103" t="s">
        <v>123</v>
      </c>
      <c r="F1103" s="72">
        <v>2.4</v>
      </c>
      <c r="G1103" s="72">
        <v>0</v>
      </c>
    </row>
    <row r="1104" spans="2:7" x14ac:dyDescent="0.25">
      <c r="B1104" s="71">
        <v>43543</v>
      </c>
      <c r="C1104" t="s">
        <v>25</v>
      </c>
      <c r="D1104" t="s">
        <v>82</v>
      </c>
      <c r="E1104" t="s">
        <v>248</v>
      </c>
      <c r="F1104" s="72">
        <v>7.35</v>
      </c>
      <c r="G1104" s="72">
        <v>0</v>
      </c>
    </row>
    <row r="1105" spans="2:7" x14ac:dyDescent="0.25">
      <c r="B1105" s="71">
        <v>43543</v>
      </c>
      <c r="C1105" t="s">
        <v>25</v>
      </c>
      <c r="D1105" t="s">
        <v>85</v>
      </c>
      <c r="E1105" t="s">
        <v>247</v>
      </c>
      <c r="F1105" s="72">
        <v>80</v>
      </c>
      <c r="G1105" s="72">
        <v>0</v>
      </c>
    </row>
    <row r="1106" spans="2:7" x14ac:dyDescent="0.25">
      <c r="B1106" s="71">
        <v>43543</v>
      </c>
      <c r="C1106" t="s">
        <v>60</v>
      </c>
      <c r="D1106" t="s">
        <v>83</v>
      </c>
      <c r="E1106" t="s">
        <v>247</v>
      </c>
      <c r="F1106" s="72">
        <v>34</v>
      </c>
      <c r="G1106" s="72">
        <v>0</v>
      </c>
    </row>
    <row r="1107" spans="2:7" x14ac:dyDescent="0.25">
      <c r="B1107" s="71">
        <v>43543</v>
      </c>
      <c r="C1107" t="s">
        <v>52</v>
      </c>
      <c r="D1107" t="s">
        <v>80</v>
      </c>
      <c r="E1107" t="s">
        <v>247</v>
      </c>
      <c r="F1107" s="72">
        <v>100</v>
      </c>
      <c r="G1107" s="72">
        <v>0</v>
      </c>
    </row>
    <row r="1108" spans="2:7" x14ac:dyDescent="0.25">
      <c r="B1108" s="71">
        <v>43543</v>
      </c>
      <c r="C1108" t="s">
        <v>52</v>
      </c>
      <c r="D1108" t="s">
        <v>81</v>
      </c>
      <c r="E1108" t="s">
        <v>247</v>
      </c>
      <c r="F1108" s="72">
        <v>87.63</v>
      </c>
      <c r="G1108" s="72">
        <v>0</v>
      </c>
    </row>
    <row r="1109" spans="2:7" x14ac:dyDescent="0.25">
      <c r="B1109" s="71">
        <v>43543</v>
      </c>
      <c r="C1109" t="s">
        <v>21</v>
      </c>
      <c r="D1109" t="s">
        <v>80</v>
      </c>
      <c r="E1109" t="s">
        <v>247</v>
      </c>
      <c r="F1109" s="72">
        <v>8</v>
      </c>
      <c r="G1109" s="72">
        <v>0</v>
      </c>
    </row>
    <row r="1110" spans="2:7" x14ac:dyDescent="0.25">
      <c r="B1110" s="71">
        <v>43543</v>
      </c>
      <c r="C1110" t="s">
        <v>21</v>
      </c>
      <c r="D1110" t="s">
        <v>80</v>
      </c>
      <c r="E1110" t="s">
        <v>247</v>
      </c>
      <c r="F1110" s="72">
        <v>16</v>
      </c>
      <c r="G1110" s="72">
        <v>0</v>
      </c>
    </row>
    <row r="1111" spans="2:7" x14ac:dyDescent="0.25">
      <c r="B1111" s="71">
        <v>43543</v>
      </c>
      <c r="C1111" t="s">
        <v>21</v>
      </c>
      <c r="D1111" t="s">
        <v>80</v>
      </c>
      <c r="E1111" t="s">
        <v>247</v>
      </c>
      <c r="F1111" s="72">
        <v>32</v>
      </c>
      <c r="G1111" s="72">
        <v>0</v>
      </c>
    </row>
    <row r="1112" spans="2:7" x14ac:dyDescent="0.25">
      <c r="B1112" s="71">
        <v>43543</v>
      </c>
      <c r="C1112" t="s">
        <v>21</v>
      </c>
      <c r="D1112" t="s">
        <v>80</v>
      </c>
      <c r="E1112" t="s">
        <v>247</v>
      </c>
      <c r="F1112" s="72">
        <v>48</v>
      </c>
      <c r="G1112" s="72">
        <v>0</v>
      </c>
    </row>
    <row r="1113" spans="2:7" x14ac:dyDescent="0.25">
      <c r="B1113" s="71">
        <v>43543</v>
      </c>
      <c r="C1113" t="s">
        <v>21</v>
      </c>
      <c r="D1113" t="s">
        <v>80</v>
      </c>
      <c r="E1113" t="s">
        <v>247</v>
      </c>
      <c r="F1113" s="72">
        <v>96</v>
      </c>
      <c r="G1113" s="72">
        <v>0</v>
      </c>
    </row>
    <row r="1114" spans="2:7" x14ac:dyDescent="0.25">
      <c r="B1114" s="71">
        <v>43543</v>
      </c>
      <c r="C1114" t="s">
        <v>49</v>
      </c>
      <c r="D1114" t="s">
        <v>80</v>
      </c>
      <c r="E1114" t="s">
        <v>247</v>
      </c>
      <c r="F1114" s="72">
        <v>139.08000000000001</v>
      </c>
      <c r="G1114" s="72">
        <v>0</v>
      </c>
    </row>
    <row r="1115" spans="2:7" x14ac:dyDescent="0.25">
      <c r="B1115" s="71">
        <v>43543</v>
      </c>
      <c r="C1115" t="s">
        <v>24</v>
      </c>
      <c r="D1115" t="s">
        <v>80</v>
      </c>
      <c r="E1115" t="s">
        <v>247</v>
      </c>
      <c r="F1115" s="72">
        <v>8</v>
      </c>
      <c r="G1115" s="72">
        <v>0</v>
      </c>
    </row>
    <row r="1116" spans="2:7" x14ac:dyDescent="0.25">
      <c r="B1116" s="71">
        <v>43544</v>
      </c>
      <c r="C1116" t="s">
        <v>25</v>
      </c>
      <c r="D1116" t="s">
        <v>82</v>
      </c>
      <c r="E1116" t="s">
        <v>139</v>
      </c>
      <c r="F1116" s="72">
        <v>6.85</v>
      </c>
      <c r="G1116" s="72">
        <v>0</v>
      </c>
    </row>
    <row r="1117" spans="2:7" x14ac:dyDescent="0.25">
      <c r="B1117" s="71">
        <v>43544</v>
      </c>
      <c r="C1117" t="s">
        <v>25</v>
      </c>
      <c r="D1117" t="s">
        <v>85</v>
      </c>
      <c r="E1117" t="s">
        <v>249</v>
      </c>
      <c r="F1117" s="72">
        <v>130</v>
      </c>
      <c r="G1117" s="72">
        <v>0</v>
      </c>
    </row>
    <row r="1118" spans="2:7" x14ac:dyDescent="0.25">
      <c r="B1118" s="71">
        <v>43544</v>
      </c>
      <c r="C1118" t="s">
        <v>25</v>
      </c>
      <c r="D1118" t="s">
        <v>85</v>
      </c>
      <c r="E1118" t="s">
        <v>249</v>
      </c>
      <c r="F1118" s="72">
        <v>193</v>
      </c>
      <c r="G1118" s="72">
        <v>0</v>
      </c>
    </row>
    <row r="1119" spans="2:7" x14ac:dyDescent="0.25">
      <c r="B1119" s="71">
        <v>43544</v>
      </c>
      <c r="C1119" t="s">
        <v>60</v>
      </c>
      <c r="D1119" t="s">
        <v>85</v>
      </c>
      <c r="E1119" t="s">
        <v>249</v>
      </c>
      <c r="F1119" s="72">
        <v>1496</v>
      </c>
      <c r="G1119" s="72">
        <v>0</v>
      </c>
    </row>
    <row r="1120" spans="2:7" x14ac:dyDescent="0.25">
      <c r="B1120" s="71">
        <v>43544</v>
      </c>
      <c r="C1120" t="s">
        <v>57</v>
      </c>
      <c r="D1120" t="s">
        <v>83</v>
      </c>
      <c r="E1120" t="s">
        <v>249</v>
      </c>
      <c r="F1120" s="72">
        <v>70.239999999999995</v>
      </c>
      <c r="G1120" s="72">
        <v>0</v>
      </c>
    </row>
    <row r="1121" spans="2:7" x14ac:dyDescent="0.25">
      <c r="B1121" s="71">
        <v>43544</v>
      </c>
      <c r="C1121" t="s">
        <v>52</v>
      </c>
      <c r="D1121" t="s">
        <v>83</v>
      </c>
      <c r="E1121" t="s">
        <v>249</v>
      </c>
      <c r="F1121" s="72">
        <v>115.25</v>
      </c>
      <c r="G1121" s="72">
        <v>0</v>
      </c>
    </row>
    <row r="1122" spans="2:7" x14ac:dyDescent="0.25">
      <c r="B1122" s="71">
        <v>43544</v>
      </c>
      <c r="C1122" t="s">
        <v>44</v>
      </c>
      <c r="D1122" t="s">
        <v>85</v>
      </c>
      <c r="E1122" t="s">
        <v>249</v>
      </c>
      <c r="F1122" s="72">
        <v>120.6</v>
      </c>
      <c r="G1122" s="72">
        <v>0</v>
      </c>
    </row>
    <row r="1123" spans="2:7" x14ac:dyDescent="0.25">
      <c r="B1123" s="71">
        <v>43544</v>
      </c>
      <c r="C1123" t="s">
        <v>21</v>
      </c>
      <c r="D1123" t="s">
        <v>80</v>
      </c>
      <c r="E1123" t="s">
        <v>249</v>
      </c>
      <c r="F1123" s="72">
        <v>8</v>
      </c>
      <c r="G1123" s="72">
        <v>0</v>
      </c>
    </row>
    <row r="1124" spans="2:7" x14ac:dyDescent="0.25">
      <c r="B1124" s="71">
        <v>43544</v>
      </c>
      <c r="C1124" t="s">
        <v>21</v>
      </c>
      <c r="D1124" t="s">
        <v>80</v>
      </c>
      <c r="E1124" t="s">
        <v>249</v>
      </c>
      <c r="F1124" s="72">
        <v>32</v>
      </c>
      <c r="G1124" s="72">
        <v>0</v>
      </c>
    </row>
    <row r="1125" spans="2:7" x14ac:dyDescent="0.25">
      <c r="B1125" s="71">
        <v>43544</v>
      </c>
      <c r="C1125" t="s">
        <v>67</v>
      </c>
      <c r="D1125" t="s">
        <v>85</v>
      </c>
      <c r="E1125" t="s">
        <v>249</v>
      </c>
      <c r="F1125" s="72">
        <v>172.7</v>
      </c>
      <c r="G1125" s="72">
        <v>0</v>
      </c>
    </row>
    <row r="1126" spans="2:7" x14ac:dyDescent="0.25">
      <c r="B1126" s="71">
        <v>43544</v>
      </c>
      <c r="C1126" t="s">
        <v>49</v>
      </c>
      <c r="D1126" t="s">
        <v>85</v>
      </c>
      <c r="E1126" t="s">
        <v>249</v>
      </c>
      <c r="F1126" s="72">
        <v>293.3</v>
      </c>
      <c r="G1126" s="72">
        <v>0</v>
      </c>
    </row>
    <row r="1127" spans="2:7" x14ac:dyDescent="0.25">
      <c r="B1127" s="71">
        <v>43544</v>
      </c>
      <c r="C1127" t="s">
        <v>51</v>
      </c>
      <c r="D1127" t="s">
        <v>85</v>
      </c>
      <c r="E1127" t="s">
        <v>249</v>
      </c>
      <c r="F1127" s="72">
        <v>10.54</v>
      </c>
      <c r="G1127" s="72">
        <v>0</v>
      </c>
    </row>
    <row r="1128" spans="2:7" x14ac:dyDescent="0.25">
      <c r="B1128" s="71">
        <v>43544</v>
      </c>
      <c r="C1128" t="s">
        <v>59</v>
      </c>
      <c r="D1128" t="s">
        <v>80</v>
      </c>
      <c r="E1128" t="s">
        <v>249</v>
      </c>
      <c r="F1128" s="72">
        <v>5</v>
      </c>
      <c r="G1128" s="72">
        <v>0</v>
      </c>
    </row>
    <row r="1129" spans="2:7" x14ac:dyDescent="0.25">
      <c r="B1129" s="71">
        <v>43544</v>
      </c>
      <c r="C1129" t="s">
        <v>61</v>
      </c>
      <c r="D1129" t="s">
        <v>85</v>
      </c>
      <c r="E1129" t="s">
        <v>249</v>
      </c>
      <c r="F1129" s="72">
        <v>18.399999999999999</v>
      </c>
      <c r="G1129" s="72">
        <v>0</v>
      </c>
    </row>
    <row r="1130" spans="2:7" x14ac:dyDescent="0.25">
      <c r="B1130" s="71">
        <v>43545</v>
      </c>
      <c r="C1130" t="s">
        <v>25</v>
      </c>
      <c r="D1130" t="s">
        <v>82</v>
      </c>
      <c r="E1130" t="s">
        <v>123</v>
      </c>
      <c r="F1130" s="72">
        <v>7.35</v>
      </c>
      <c r="G1130" s="72">
        <v>0</v>
      </c>
    </row>
    <row r="1131" spans="2:7" x14ac:dyDescent="0.25">
      <c r="B1131" s="71">
        <v>43545</v>
      </c>
      <c r="C1131" t="s">
        <v>48</v>
      </c>
      <c r="D1131" t="s">
        <v>85</v>
      </c>
      <c r="E1131" t="s">
        <v>250</v>
      </c>
      <c r="F1131" s="72">
        <v>204.35</v>
      </c>
      <c r="G1131" s="72">
        <v>0</v>
      </c>
    </row>
    <row r="1132" spans="2:7" x14ac:dyDescent="0.25">
      <c r="B1132" s="71">
        <v>43545</v>
      </c>
      <c r="C1132" t="s">
        <v>44</v>
      </c>
      <c r="D1132" t="s">
        <v>92</v>
      </c>
      <c r="E1132" t="s">
        <v>250</v>
      </c>
      <c r="F1132" s="72">
        <v>1396.4</v>
      </c>
      <c r="G1132" s="72">
        <v>0</v>
      </c>
    </row>
    <row r="1133" spans="2:7" x14ac:dyDescent="0.25">
      <c r="B1133" s="71">
        <v>43545</v>
      </c>
      <c r="C1133" t="s">
        <v>21</v>
      </c>
      <c r="D1133" t="s">
        <v>80</v>
      </c>
      <c r="E1133" t="s">
        <v>250</v>
      </c>
      <c r="F1133" s="72">
        <v>8</v>
      </c>
      <c r="G1133" s="72">
        <v>0</v>
      </c>
    </row>
    <row r="1134" spans="2:7" x14ac:dyDescent="0.25">
      <c r="B1134" s="71">
        <v>43545</v>
      </c>
      <c r="C1134" t="s">
        <v>21</v>
      </c>
      <c r="D1134" t="s">
        <v>80</v>
      </c>
      <c r="E1134" t="s">
        <v>250</v>
      </c>
      <c r="F1134" s="72">
        <v>16</v>
      </c>
      <c r="G1134" s="72">
        <v>0</v>
      </c>
    </row>
    <row r="1135" spans="2:7" x14ac:dyDescent="0.25">
      <c r="B1135" s="71">
        <v>43545</v>
      </c>
      <c r="C1135" t="s">
        <v>46</v>
      </c>
      <c r="D1135" t="s">
        <v>85</v>
      </c>
      <c r="E1135" t="s">
        <v>250</v>
      </c>
      <c r="F1135" s="72">
        <v>33.25</v>
      </c>
      <c r="G1135" s="72">
        <v>0</v>
      </c>
    </row>
    <row r="1136" spans="2:7" x14ac:dyDescent="0.25">
      <c r="B1136" s="71">
        <v>43545</v>
      </c>
      <c r="C1136" t="s">
        <v>51</v>
      </c>
      <c r="D1136" t="s">
        <v>80</v>
      </c>
      <c r="E1136" t="s">
        <v>250</v>
      </c>
      <c r="F1136" s="72">
        <v>39.96</v>
      </c>
      <c r="G1136" s="72">
        <v>0</v>
      </c>
    </row>
    <row r="1137" spans="2:7" x14ac:dyDescent="0.25">
      <c r="B1137" s="71">
        <v>43546</v>
      </c>
      <c r="C1137" t="s">
        <v>25</v>
      </c>
      <c r="D1137" t="s">
        <v>100</v>
      </c>
      <c r="E1137" t="s">
        <v>251</v>
      </c>
      <c r="F1137" s="72">
        <v>11.3</v>
      </c>
      <c r="G1137" s="72">
        <v>0</v>
      </c>
    </row>
    <row r="1138" spans="2:7" x14ac:dyDescent="0.25">
      <c r="B1138" s="71">
        <v>43546</v>
      </c>
      <c r="C1138" t="s">
        <v>25</v>
      </c>
      <c r="D1138" t="s">
        <v>81</v>
      </c>
      <c r="E1138" t="s">
        <v>252</v>
      </c>
      <c r="F1138" s="72">
        <v>14.3</v>
      </c>
      <c r="G1138" s="72">
        <v>0</v>
      </c>
    </row>
    <row r="1139" spans="2:7" x14ac:dyDescent="0.25">
      <c r="B1139" s="71">
        <v>43546</v>
      </c>
      <c r="C1139" t="s">
        <v>25</v>
      </c>
      <c r="D1139" t="s">
        <v>88</v>
      </c>
      <c r="E1139" t="s">
        <v>252</v>
      </c>
      <c r="F1139" s="72">
        <v>27.85</v>
      </c>
      <c r="G1139" s="72">
        <v>0</v>
      </c>
    </row>
    <row r="1140" spans="2:7" x14ac:dyDescent="0.25">
      <c r="B1140" s="71">
        <v>43546</v>
      </c>
      <c r="C1140" t="s">
        <v>25</v>
      </c>
      <c r="D1140" t="s">
        <v>88</v>
      </c>
      <c r="E1140" t="s">
        <v>252</v>
      </c>
      <c r="F1140" s="72">
        <v>44.15</v>
      </c>
      <c r="G1140" s="72">
        <v>0</v>
      </c>
    </row>
    <row r="1141" spans="2:7" x14ac:dyDescent="0.25">
      <c r="B1141" s="71">
        <v>43546</v>
      </c>
      <c r="C1141" t="s">
        <v>25</v>
      </c>
      <c r="D1141" t="s">
        <v>82</v>
      </c>
      <c r="E1141" t="s">
        <v>136</v>
      </c>
      <c r="F1141" s="72">
        <v>6.85</v>
      </c>
      <c r="G1141" s="72">
        <v>0</v>
      </c>
    </row>
    <row r="1142" spans="2:7" x14ac:dyDescent="0.25">
      <c r="B1142" s="71">
        <v>43546</v>
      </c>
      <c r="C1142" t="s">
        <v>25</v>
      </c>
      <c r="D1142" t="s">
        <v>82</v>
      </c>
      <c r="E1142" t="s">
        <v>154</v>
      </c>
      <c r="F1142" s="72">
        <v>6.5</v>
      </c>
      <c r="G1142" s="72">
        <v>0</v>
      </c>
    </row>
    <row r="1143" spans="2:7" x14ac:dyDescent="0.25">
      <c r="B1143" s="71">
        <v>43546</v>
      </c>
      <c r="C1143" t="s">
        <v>25</v>
      </c>
      <c r="D1143" t="s">
        <v>82</v>
      </c>
      <c r="E1143" t="s">
        <v>196</v>
      </c>
      <c r="F1143" s="72">
        <v>26</v>
      </c>
      <c r="G1143" s="72">
        <v>0</v>
      </c>
    </row>
    <row r="1144" spans="2:7" x14ac:dyDescent="0.25">
      <c r="B1144" s="71">
        <v>43546</v>
      </c>
      <c r="C1144" t="s">
        <v>55</v>
      </c>
      <c r="D1144" t="s">
        <v>87</v>
      </c>
      <c r="E1144" t="s">
        <v>252</v>
      </c>
      <c r="F1144" s="72">
        <v>552.95000000000005</v>
      </c>
      <c r="G1144" s="72">
        <v>0</v>
      </c>
    </row>
    <row r="1145" spans="2:7" x14ac:dyDescent="0.25">
      <c r="B1145" s="71">
        <v>43546</v>
      </c>
      <c r="C1145" t="s">
        <v>47</v>
      </c>
      <c r="D1145" t="s">
        <v>87</v>
      </c>
      <c r="E1145" t="s">
        <v>252</v>
      </c>
      <c r="F1145" s="72">
        <v>147.19999999999999</v>
      </c>
      <c r="G1145" s="72">
        <v>0</v>
      </c>
    </row>
    <row r="1146" spans="2:7" x14ac:dyDescent="0.25">
      <c r="B1146" s="71">
        <v>43546</v>
      </c>
      <c r="C1146" t="s">
        <v>58</v>
      </c>
      <c r="D1146" t="s">
        <v>87</v>
      </c>
      <c r="E1146" t="s">
        <v>252</v>
      </c>
      <c r="F1146" s="72">
        <v>32.200000000000003</v>
      </c>
      <c r="G1146" s="72">
        <v>0</v>
      </c>
    </row>
    <row r="1147" spans="2:7" x14ac:dyDescent="0.25">
      <c r="B1147" s="71">
        <v>43546</v>
      </c>
      <c r="C1147" t="s">
        <v>45</v>
      </c>
      <c r="D1147" t="s">
        <v>87</v>
      </c>
      <c r="E1147" t="s">
        <v>252</v>
      </c>
      <c r="F1147" s="72">
        <v>54.2</v>
      </c>
      <c r="G1147" s="72">
        <v>0</v>
      </c>
    </row>
    <row r="1148" spans="2:7" x14ac:dyDescent="0.25">
      <c r="B1148" s="71">
        <v>43546</v>
      </c>
      <c r="C1148" t="s">
        <v>21</v>
      </c>
      <c r="D1148" t="s">
        <v>80</v>
      </c>
      <c r="E1148" t="s">
        <v>252</v>
      </c>
      <c r="F1148" s="72">
        <v>16</v>
      </c>
      <c r="G1148" s="72">
        <v>0</v>
      </c>
    </row>
    <row r="1149" spans="2:7" x14ac:dyDescent="0.25">
      <c r="B1149" s="71">
        <v>43546</v>
      </c>
      <c r="C1149" t="s">
        <v>59</v>
      </c>
      <c r="D1149" t="s">
        <v>83</v>
      </c>
      <c r="E1149" t="s">
        <v>252</v>
      </c>
      <c r="F1149" s="72">
        <v>30</v>
      </c>
      <c r="G1149" s="72">
        <v>0</v>
      </c>
    </row>
    <row r="1150" spans="2:7" x14ac:dyDescent="0.25">
      <c r="B1150" s="71">
        <v>43546</v>
      </c>
      <c r="C1150" t="s">
        <v>72</v>
      </c>
      <c r="D1150" t="s">
        <v>87</v>
      </c>
      <c r="E1150" t="s">
        <v>252</v>
      </c>
      <c r="F1150" s="72">
        <v>99.66</v>
      </c>
      <c r="G1150" s="72">
        <v>0</v>
      </c>
    </row>
    <row r="1151" spans="2:7" x14ac:dyDescent="0.25">
      <c r="B1151" s="71">
        <v>43546</v>
      </c>
      <c r="C1151" t="s">
        <v>61</v>
      </c>
      <c r="D1151" t="s">
        <v>87</v>
      </c>
      <c r="E1151" t="s">
        <v>252</v>
      </c>
      <c r="F1151" s="72">
        <v>444.3</v>
      </c>
      <c r="G1151" s="72">
        <v>0</v>
      </c>
    </row>
    <row r="1152" spans="2:7" x14ac:dyDescent="0.25">
      <c r="B1152" s="71">
        <v>43546</v>
      </c>
      <c r="C1152" t="s">
        <v>62</v>
      </c>
      <c r="D1152" t="s">
        <v>87</v>
      </c>
      <c r="E1152" t="s">
        <v>252</v>
      </c>
      <c r="F1152" s="72">
        <v>386.65</v>
      </c>
      <c r="G1152" s="72">
        <v>0</v>
      </c>
    </row>
    <row r="1153" spans="2:7" x14ac:dyDescent="0.25">
      <c r="B1153" s="71">
        <v>43546</v>
      </c>
      <c r="C1153" t="s">
        <v>63</v>
      </c>
      <c r="D1153" t="s">
        <v>87</v>
      </c>
      <c r="E1153" t="s">
        <v>252</v>
      </c>
      <c r="F1153" s="72">
        <v>102.8</v>
      </c>
      <c r="G1153" s="72">
        <v>0</v>
      </c>
    </row>
    <row r="1154" spans="2:7" x14ac:dyDescent="0.25">
      <c r="B1154" s="71">
        <v>43547</v>
      </c>
      <c r="C1154" t="s">
        <v>25</v>
      </c>
      <c r="D1154" t="s">
        <v>80</v>
      </c>
      <c r="E1154" t="s">
        <v>253</v>
      </c>
      <c r="F1154" s="72">
        <v>8</v>
      </c>
      <c r="G1154" s="72">
        <v>0</v>
      </c>
    </row>
    <row r="1155" spans="2:7" x14ac:dyDescent="0.25">
      <c r="B1155" s="71">
        <v>43547</v>
      </c>
      <c r="C1155" t="s">
        <v>25</v>
      </c>
      <c r="D1155" t="s">
        <v>86</v>
      </c>
      <c r="E1155" t="s">
        <v>253</v>
      </c>
      <c r="F1155" s="72">
        <v>30</v>
      </c>
      <c r="G1155" s="72">
        <v>0</v>
      </c>
    </row>
    <row r="1156" spans="2:7" x14ac:dyDescent="0.25">
      <c r="B1156" s="71">
        <v>43547</v>
      </c>
      <c r="C1156" t="s">
        <v>25</v>
      </c>
      <c r="D1156" t="s">
        <v>82</v>
      </c>
      <c r="E1156" t="s">
        <v>174</v>
      </c>
      <c r="F1156" s="72">
        <v>4.8</v>
      </c>
      <c r="G1156" s="72">
        <v>0</v>
      </c>
    </row>
    <row r="1157" spans="2:7" x14ac:dyDescent="0.25">
      <c r="B1157" s="71">
        <v>43547</v>
      </c>
      <c r="C1157" t="s">
        <v>25</v>
      </c>
      <c r="D1157" t="s">
        <v>82</v>
      </c>
      <c r="E1157" t="s">
        <v>254</v>
      </c>
      <c r="F1157" s="72">
        <v>5.55</v>
      </c>
      <c r="G1157" s="72">
        <v>0</v>
      </c>
    </row>
    <row r="1158" spans="2:7" x14ac:dyDescent="0.25">
      <c r="B1158" s="71">
        <v>43547</v>
      </c>
      <c r="C1158" t="s">
        <v>25</v>
      </c>
      <c r="D1158" t="s">
        <v>85</v>
      </c>
      <c r="E1158" t="s">
        <v>253</v>
      </c>
      <c r="F1158" s="72">
        <v>34</v>
      </c>
      <c r="G1158" s="72">
        <v>0</v>
      </c>
    </row>
    <row r="1159" spans="2:7" x14ac:dyDescent="0.25">
      <c r="B1159" s="71">
        <v>43547</v>
      </c>
      <c r="C1159" t="s">
        <v>52</v>
      </c>
      <c r="D1159" t="s">
        <v>85</v>
      </c>
      <c r="E1159" t="s">
        <v>253</v>
      </c>
      <c r="F1159" s="72">
        <v>64</v>
      </c>
      <c r="G1159" s="72">
        <v>0</v>
      </c>
    </row>
    <row r="1160" spans="2:7" x14ac:dyDescent="0.25">
      <c r="B1160" s="71">
        <v>43547</v>
      </c>
      <c r="C1160" t="s">
        <v>58</v>
      </c>
      <c r="D1160" t="s">
        <v>85</v>
      </c>
      <c r="E1160" t="s">
        <v>253</v>
      </c>
      <c r="F1160" s="72">
        <v>14.95</v>
      </c>
      <c r="G1160" s="72">
        <v>0</v>
      </c>
    </row>
    <row r="1161" spans="2:7" x14ac:dyDescent="0.25">
      <c r="B1161" s="71">
        <v>43547</v>
      </c>
      <c r="C1161" t="s">
        <v>21</v>
      </c>
      <c r="D1161" t="s">
        <v>80</v>
      </c>
      <c r="E1161" t="s">
        <v>253</v>
      </c>
      <c r="F1161" s="72">
        <v>8</v>
      </c>
      <c r="G1161" s="72">
        <v>0</v>
      </c>
    </row>
    <row r="1162" spans="2:7" x14ac:dyDescent="0.25">
      <c r="B1162" s="71">
        <v>43547</v>
      </c>
      <c r="C1162" t="s">
        <v>21</v>
      </c>
      <c r="D1162" t="s">
        <v>80</v>
      </c>
      <c r="E1162" t="s">
        <v>253</v>
      </c>
      <c r="F1162" s="72">
        <v>24</v>
      </c>
      <c r="G1162" s="72">
        <v>0</v>
      </c>
    </row>
    <row r="1163" spans="2:7" x14ac:dyDescent="0.25">
      <c r="B1163" s="71">
        <v>43547</v>
      </c>
      <c r="C1163" t="s">
        <v>49</v>
      </c>
      <c r="D1163" t="s">
        <v>80</v>
      </c>
      <c r="E1163" t="s">
        <v>253</v>
      </c>
      <c r="F1163" s="72">
        <v>25.6</v>
      </c>
      <c r="G1163" s="72">
        <v>0</v>
      </c>
    </row>
    <row r="1164" spans="2:7" x14ac:dyDescent="0.25">
      <c r="B1164" s="71">
        <v>43547</v>
      </c>
      <c r="C1164" t="s">
        <v>69</v>
      </c>
      <c r="D1164" t="s">
        <v>86</v>
      </c>
      <c r="E1164" t="s">
        <v>253</v>
      </c>
      <c r="F1164" s="72">
        <v>1024.77</v>
      </c>
      <c r="G1164" s="72">
        <v>0</v>
      </c>
    </row>
    <row r="1165" spans="2:7" x14ac:dyDescent="0.25">
      <c r="B1165" s="71">
        <v>43549</v>
      </c>
      <c r="C1165" t="s">
        <v>25</v>
      </c>
      <c r="D1165" t="s">
        <v>80</v>
      </c>
      <c r="E1165" t="s">
        <v>255</v>
      </c>
      <c r="F1165" s="72">
        <v>8</v>
      </c>
      <c r="G1165" s="72">
        <v>0</v>
      </c>
    </row>
    <row r="1166" spans="2:7" x14ac:dyDescent="0.25">
      <c r="B1166" s="71">
        <v>43549</v>
      </c>
      <c r="C1166" t="s">
        <v>25</v>
      </c>
      <c r="D1166" t="s">
        <v>101</v>
      </c>
      <c r="E1166" t="s">
        <v>256</v>
      </c>
      <c r="F1166" s="72">
        <v>5</v>
      </c>
      <c r="G1166" s="72">
        <v>0</v>
      </c>
    </row>
    <row r="1167" spans="2:7" x14ac:dyDescent="0.25">
      <c r="B1167" s="71">
        <v>43549</v>
      </c>
      <c r="C1167" t="s">
        <v>25</v>
      </c>
      <c r="D1167" t="s">
        <v>82</v>
      </c>
      <c r="E1167" t="s">
        <v>149</v>
      </c>
      <c r="F1167" s="72">
        <v>2.25</v>
      </c>
      <c r="G1167" s="72">
        <v>0</v>
      </c>
    </row>
    <row r="1168" spans="2:7" x14ac:dyDescent="0.25">
      <c r="B1168" s="71">
        <v>43549</v>
      </c>
      <c r="C1168" t="s">
        <v>25</v>
      </c>
      <c r="D1168" t="s">
        <v>82</v>
      </c>
      <c r="E1168" t="s">
        <v>165</v>
      </c>
      <c r="F1168" s="72">
        <v>30</v>
      </c>
      <c r="G1168" s="72">
        <v>0</v>
      </c>
    </row>
    <row r="1169" spans="2:7" x14ac:dyDescent="0.25">
      <c r="B1169" s="71">
        <v>43549</v>
      </c>
      <c r="C1169" t="s">
        <v>25</v>
      </c>
      <c r="D1169" t="s">
        <v>102</v>
      </c>
      <c r="E1169" t="s">
        <v>257</v>
      </c>
      <c r="F1169" s="72">
        <v>29.34</v>
      </c>
      <c r="G1169" s="72">
        <v>0</v>
      </c>
    </row>
    <row r="1170" spans="2:7" x14ac:dyDescent="0.25">
      <c r="B1170" s="71">
        <v>43549</v>
      </c>
      <c r="C1170" t="s">
        <v>25</v>
      </c>
      <c r="D1170" t="s">
        <v>102</v>
      </c>
      <c r="E1170" t="s">
        <v>257</v>
      </c>
      <c r="F1170" s="72">
        <v>50.49</v>
      </c>
      <c r="G1170" s="72">
        <v>0</v>
      </c>
    </row>
    <row r="1171" spans="2:7" x14ac:dyDescent="0.25">
      <c r="B1171" s="71">
        <v>43549</v>
      </c>
      <c r="C1171" t="s">
        <v>25</v>
      </c>
      <c r="D1171" t="s">
        <v>102</v>
      </c>
      <c r="E1171" t="s">
        <v>257</v>
      </c>
      <c r="F1171" s="72">
        <v>91.09</v>
      </c>
      <c r="G1171" s="72">
        <v>0</v>
      </c>
    </row>
    <row r="1172" spans="2:7" x14ac:dyDescent="0.25">
      <c r="B1172" s="71">
        <v>43549</v>
      </c>
      <c r="C1172" t="s">
        <v>25</v>
      </c>
      <c r="D1172" t="s">
        <v>102</v>
      </c>
      <c r="E1172" t="s">
        <v>257</v>
      </c>
      <c r="F1172" s="72">
        <v>447.12</v>
      </c>
      <c r="G1172" s="72">
        <v>0</v>
      </c>
    </row>
    <row r="1173" spans="2:7" x14ac:dyDescent="0.25">
      <c r="B1173" s="71">
        <v>43549</v>
      </c>
      <c r="C1173" t="s">
        <v>25</v>
      </c>
      <c r="D1173" t="s">
        <v>85</v>
      </c>
      <c r="E1173" t="s">
        <v>255</v>
      </c>
      <c r="F1173" s="72">
        <v>39</v>
      </c>
      <c r="G1173" s="72">
        <v>0</v>
      </c>
    </row>
    <row r="1174" spans="2:7" x14ac:dyDescent="0.25">
      <c r="B1174" s="71">
        <v>43549</v>
      </c>
      <c r="C1174" t="s">
        <v>55</v>
      </c>
      <c r="D1174" t="s">
        <v>102</v>
      </c>
      <c r="E1174" t="s">
        <v>257</v>
      </c>
      <c r="F1174" s="72">
        <v>1283.31</v>
      </c>
      <c r="G1174" s="72">
        <v>0</v>
      </c>
    </row>
    <row r="1175" spans="2:7" x14ac:dyDescent="0.25">
      <c r="B1175" s="71">
        <v>43549</v>
      </c>
      <c r="C1175" t="s">
        <v>21</v>
      </c>
      <c r="D1175" t="s">
        <v>80</v>
      </c>
      <c r="E1175" t="s">
        <v>255</v>
      </c>
      <c r="F1175" s="72">
        <v>16</v>
      </c>
      <c r="G1175" s="72">
        <v>0</v>
      </c>
    </row>
    <row r="1176" spans="2:7" x14ac:dyDescent="0.25">
      <c r="B1176" s="71">
        <v>43549</v>
      </c>
      <c r="C1176" t="s">
        <v>21</v>
      </c>
      <c r="D1176" t="s">
        <v>80</v>
      </c>
      <c r="E1176" t="s">
        <v>255</v>
      </c>
      <c r="F1176" s="72">
        <v>24</v>
      </c>
      <c r="G1176" s="72">
        <v>0</v>
      </c>
    </row>
    <row r="1177" spans="2:7" x14ac:dyDescent="0.25">
      <c r="B1177" s="71">
        <v>43549</v>
      </c>
      <c r="C1177" t="s">
        <v>21</v>
      </c>
      <c r="D1177" t="s">
        <v>80</v>
      </c>
      <c r="E1177" t="s">
        <v>255</v>
      </c>
      <c r="F1177" s="72">
        <v>40</v>
      </c>
      <c r="G1177" s="72">
        <v>0</v>
      </c>
    </row>
    <row r="1178" spans="2:7" x14ac:dyDescent="0.25">
      <c r="B1178" s="71">
        <v>43549</v>
      </c>
      <c r="C1178" t="s">
        <v>21</v>
      </c>
      <c r="D1178" t="s">
        <v>102</v>
      </c>
      <c r="E1178" t="s">
        <v>257</v>
      </c>
      <c r="F1178" s="72">
        <v>30.38</v>
      </c>
      <c r="G1178" s="72">
        <v>0</v>
      </c>
    </row>
    <row r="1179" spans="2:7" x14ac:dyDescent="0.25">
      <c r="B1179" s="71">
        <v>43549</v>
      </c>
      <c r="C1179" t="s">
        <v>21</v>
      </c>
      <c r="D1179" t="s">
        <v>102</v>
      </c>
      <c r="E1179" t="s">
        <v>257</v>
      </c>
      <c r="F1179" s="72">
        <v>79.08</v>
      </c>
      <c r="G1179" s="72">
        <v>0</v>
      </c>
    </row>
    <row r="1180" spans="2:7" x14ac:dyDescent="0.25">
      <c r="B1180" s="71">
        <v>43549</v>
      </c>
      <c r="C1180" t="s">
        <v>21</v>
      </c>
      <c r="D1180" t="s">
        <v>102</v>
      </c>
      <c r="E1180" t="s">
        <v>257</v>
      </c>
      <c r="F1180" s="72">
        <v>82.59</v>
      </c>
      <c r="G1180" s="72">
        <v>0</v>
      </c>
    </row>
    <row r="1181" spans="2:7" x14ac:dyDescent="0.25">
      <c r="B1181" s="71">
        <v>43549</v>
      </c>
      <c r="C1181" t="s">
        <v>21</v>
      </c>
      <c r="D1181" t="s">
        <v>102</v>
      </c>
      <c r="E1181" t="s">
        <v>257</v>
      </c>
      <c r="F1181" s="72">
        <v>87.89</v>
      </c>
      <c r="G1181" s="72">
        <v>0</v>
      </c>
    </row>
    <row r="1182" spans="2:7" x14ac:dyDescent="0.25">
      <c r="B1182" s="71">
        <v>43549</v>
      </c>
      <c r="C1182" t="s">
        <v>21</v>
      </c>
      <c r="D1182" t="s">
        <v>102</v>
      </c>
      <c r="E1182" t="s">
        <v>257</v>
      </c>
      <c r="F1182" s="72">
        <v>105.12</v>
      </c>
      <c r="G1182" s="72">
        <v>0</v>
      </c>
    </row>
    <row r="1183" spans="2:7" x14ac:dyDescent="0.25">
      <c r="B1183" s="71">
        <v>43549</v>
      </c>
      <c r="C1183" t="s">
        <v>21</v>
      </c>
      <c r="D1183" t="s">
        <v>102</v>
      </c>
      <c r="E1183" t="s">
        <v>257</v>
      </c>
      <c r="F1183" s="72">
        <v>142.01</v>
      </c>
      <c r="G1183" s="72">
        <v>0</v>
      </c>
    </row>
    <row r="1184" spans="2:7" x14ac:dyDescent="0.25">
      <c r="B1184" s="71">
        <v>43549</v>
      </c>
      <c r="C1184" t="s">
        <v>21</v>
      </c>
      <c r="D1184" t="s">
        <v>102</v>
      </c>
      <c r="E1184" t="s">
        <v>257</v>
      </c>
      <c r="F1184" s="72">
        <v>155.74</v>
      </c>
      <c r="G1184" s="72">
        <v>0</v>
      </c>
    </row>
    <row r="1185" spans="2:7" x14ac:dyDescent="0.25">
      <c r="B1185" s="71">
        <v>43549</v>
      </c>
      <c r="C1185" t="s">
        <v>21</v>
      </c>
      <c r="D1185" t="s">
        <v>102</v>
      </c>
      <c r="E1185" t="s">
        <v>257</v>
      </c>
      <c r="F1185" s="72">
        <v>165.12</v>
      </c>
      <c r="G1185" s="72">
        <v>0</v>
      </c>
    </row>
    <row r="1186" spans="2:7" x14ac:dyDescent="0.25">
      <c r="B1186" s="71">
        <v>43549</v>
      </c>
      <c r="C1186" t="s">
        <v>21</v>
      </c>
      <c r="D1186" t="s">
        <v>102</v>
      </c>
      <c r="E1186" t="s">
        <v>257</v>
      </c>
      <c r="F1186" s="72">
        <v>231.75</v>
      </c>
      <c r="G1186" s="72">
        <v>0</v>
      </c>
    </row>
    <row r="1187" spans="2:7" x14ac:dyDescent="0.25">
      <c r="B1187" s="71">
        <v>43549</v>
      </c>
      <c r="C1187" t="s">
        <v>21</v>
      </c>
      <c r="D1187" t="s">
        <v>102</v>
      </c>
      <c r="E1187" t="s">
        <v>257</v>
      </c>
      <c r="F1187" s="72">
        <v>238</v>
      </c>
      <c r="G1187" s="72">
        <v>0</v>
      </c>
    </row>
    <row r="1188" spans="2:7" x14ac:dyDescent="0.25">
      <c r="B1188" s="71">
        <v>43549</v>
      </c>
      <c r="C1188" t="s">
        <v>21</v>
      </c>
      <c r="D1188" t="s">
        <v>102</v>
      </c>
      <c r="E1188" t="s">
        <v>257</v>
      </c>
      <c r="F1188" s="72">
        <v>242.02</v>
      </c>
      <c r="G1188" s="72">
        <v>0</v>
      </c>
    </row>
    <row r="1189" spans="2:7" x14ac:dyDescent="0.25">
      <c r="B1189" s="71">
        <v>43549</v>
      </c>
      <c r="C1189" t="s">
        <v>21</v>
      </c>
      <c r="D1189" t="s">
        <v>102</v>
      </c>
      <c r="E1189" t="s">
        <v>257</v>
      </c>
      <c r="F1189" s="72">
        <v>260.81</v>
      </c>
      <c r="G1189" s="72">
        <v>0</v>
      </c>
    </row>
    <row r="1190" spans="2:7" x14ac:dyDescent="0.25">
      <c r="B1190" s="71">
        <v>43549</v>
      </c>
      <c r="C1190" t="s">
        <v>21</v>
      </c>
      <c r="D1190" t="s">
        <v>102</v>
      </c>
      <c r="E1190" t="s">
        <v>257</v>
      </c>
      <c r="F1190" s="72">
        <v>294.52</v>
      </c>
      <c r="G1190" s="72">
        <v>0</v>
      </c>
    </row>
    <row r="1191" spans="2:7" x14ac:dyDescent="0.25">
      <c r="B1191" s="71">
        <v>43549</v>
      </c>
      <c r="C1191" t="s">
        <v>21</v>
      </c>
      <c r="D1191" t="s">
        <v>102</v>
      </c>
      <c r="E1191" t="s">
        <v>257</v>
      </c>
      <c r="F1191" s="72">
        <v>369.72</v>
      </c>
      <c r="G1191" s="72">
        <v>0</v>
      </c>
    </row>
    <row r="1192" spans="2:7" x14ac:dyDescent="0.25">
      <c r="B1192" s="71">
        <v>43549</v>
      </c>
      <c r="C1192" t="s">
        <v>21</v>
      </c>
      <c r="D1192" t="s">
        <v>102</v>
      </c>
      <c r="E1192" t="s">
        <v>257</v>
      </c>
      <c r="F1192" s="72">
        <v>397.66</v>
      </c>
      <c r="G1192" s="72">
        <v>0</v>
      </c>
    </row>
    <row r="1193" spans="2:7" x14ac:dyDescent="0.25">
      <c r="B1193" s="71">
        <v>43549</v>
      </c>
      <c r="C1193" t="s">
        <v>21</v>
      </c>
      <c r="D1193" t="s">
        <v>102</v>
      </c>
      <c r="E1193" t="s">
        <v>257</v>
      </c>
      <c r="F1193" s="72">
        <v>456.32</v>
      </c>
      <c r="G1193" s="72">
        <v>0</v>
      </c>
    </row>
    <row r="1194" spans="2:7" x14ac:dyDescent="0.25">
      <c r="B1194" s="71">
        <v>43549</v>
      </c>
      <c r="C1194" t="s">
        <v>21</v>
      </c>
      <c r="D1194" t="s">
        <v>102</v>
      </c>
      <c r="E1194" t="s">
        <v>257</v>
      </c>
      <c r="F1194" s="72">
        <v>471.73</v>
      </c>
      <c r="G1194" s="72">
        <v>0</v>
      </c>
    </row>
    <row r="1195" spans="2:7" x14ac:dyDescent="0.25">
      <c r="B1195" s="71">
        <v>43549</v>
      </c>
      <c r="C1195" t="s">
        <v>21</v>
      </c>
      <c r="D1195" t="s">
        <v>102</v>
      </c>
      <c r="E1195" t="s">
        <v>257</v>
      </c>
      <c r="F1195" s="72">
        <v>488.85</v>
      </c>
      <c r="G1195" s="72">
        <v>0</v>
      </c>
    </row>
    <row r="1196" spans="2:7" x14ac:dyDescent="0.25">
      <c r="B1196" s="71">
        <v>43549</v>
      </c>
      <c r="C1196" t="s">
        <v>21</v>
      </c>
      <c r="D1196" t="s">
        <v>102</v>
      </c>
      <c r="E1196" t="s">
        <v>257</v>
      </c>
      <c r="F1196" s="72">
        <v>516.62</v>
      </c>
      <c r="G1196" s="72">
        <v>0</v>
      </c>
    </row>
    <row r="1197" spans="2:7" x14ac:dyDescent="0.25">
      <c r="B1197" s="71">
        <v>43549</v>
      </c>
      <c r="C1197" t="s">
        <v>21</v>
      </c>
      <c r="D1197" t="s">
        <v>102</v>
      </c>
      <c r="E1197" t="s">
        <v>257</v>
      </c>
      <c r="F1197" s="72">
        <v>523.55999999999995</v>
      </c>
      <c r="G1197" s="72">
        <v>0</v>
      </c>
    </row>
    <row r="1198" spans="2:7" x14ac:dyDescent="0.25">
      <c r="B1198" s="71">
        <v>43549</v>
      </c>
      <c r="C1198" t="s">
        <v>21</v>
      </c>
      <c r="D1198" t="s">
        <v>102</v>
      </c>
      <c r="E1198" t="s">
        <v>257</v>
      </c>
      <c r="F1198" s="72">
        <v>523.57000000000005</v>
      </c>
      <c r="G1198" s="72">
        <v>0</v>
      </c>
    </row>
    <row r="1199" spans="2:7" x14ac:dyDescent="0.25">
      <c r="B1199" s="71">
        <v>43549</v>
      </c>
      <c r="C1199" t="s">
        <v>21</v>
      </c>
      <c r="D1199" t="s">
        <v>102</v>
      </c>
      <c r="E1199" t="s">
        <v>257</v>
      </c>
      <c r="F1199" s="72">
        <v>562.41</v>
      </c>
      <c r="G1199" s="72">
        <v>0</v>
      </c>
    </row>
    <row r="1200" spans="2:7" x14ac:dyDescent="0.25">
      <c r="B1200" s="71">
        <v>43549</v>
      </c>
      <c r="C1200" t="s">
        <v>21</v>
      </c>
      <c r="D1200" t="s">
        <v>102</v>
      </c>
      <c r="E1200" t="s">
        <v>257</v>
      </c>
      <c r="F1200" s="72">
        <v>906.64</v>
      </c>
      <c r="G1200" s="72">
        <v>0</v>
      </c>
    </row>
    <row r="1201" spans="2:7" x14ac:dyDescent="0.25">
      <c r="B1201" s="71">
        <v>43549</v>
      </c>
      <c r="C1201" t="s">
        <v>49</v>
      </c>
      <c r="D1201" t="s">
        <v>102</v>
      </c>
      <c r="E1201" t="s">
        <v>257</v>
      </c>
      <c r="F1201" s="72">
        <v>7.31</v>
      </c>
      <c r="G1201" s="72">
        <v>0</v>
      </c>
    </row>
    <row r="1202" spans="2:7" x14ac:dyDescent="0.25">
      <c r="B1202" s="71">
        <v>43549</v>
      </c>
      <c r="C1202" t="s">
        <v>46</v>
      </c>
      <c r="D1202" t="s">
        <v>86</v>
      </c>
      <c r="E1202" t="s">
        <v>255</v>
      </c>
      <c r="F1202" s="72">
        <v>30.75</v>
      </c>
      <c r="G1202" s="72">
        <v>0</v>
      </c>
    </row>
    <row r="1203" spans="2:7" x14ac:dyDescent="0.25">
      <c r="B1203" s="71">
        <v>43549</v>
      </c>
      <c r="C1203" t="s">
        <v>51</v>
      </c>
      <c r="D1203" t="s">
        <v>102</v>
      </c>
      <c r="E1203" t="s">
        <v>257</v>
      </c>
      <c r="F1203" s="72">
        <v>16088.95</v>
      </c>
      <c r="G1203" s="72">
        <v>0</v>
      </c>
    </row>
    <row r="1204" spans="2:7" x14ac:dyDescent="0.25">
      <c r="B1204" s="71">
        <v>43549</v>
      </c>
      <c r="C1204" t="s">
        <v>53</v>
      </c>
      <c r="D1204" t="s">
        <v>102</v>
      </c>
      <c r="E1204" t="s">
        <v>257</v>
      </c>
      <c r="F1204" s="72">
        <v>1189.81</v>
      </c>
      <c r="G1204" s="72">
        <v>0</v>
      </c>
    </row>
    <row r="1205" spans="2:7" x14ac:dyDescent="0.25">
      <c r="B1205" s="71">
        <v>43549</v>
      </c>
      <c r="C1205" t="s">
        <v>54</v>
      </c>
      <c r="D1205" t="s">
        <v>102</v>
      </c>
      <c r="E1205" t="s">
        <v>257</v>
      </c>
      <c r="F1205" s="72">
        <v>37.49</v>
      </c>
      <c r="G1205" s="72">
        <v>0</v>
      </c>
    </row>
    <row r="1206" spans="2:7" x14ac:dyDescent="0.25">
      <c r="B1206" s="71">
        <v>43549</v>
      </c>
      <c r="C1206" t="s">
        <v>24</v>
      </c>
      <c r="D1206" t="s">
        <v>102</v>
      </c>
      <c r="E1206" t="s">
        <v>257</v>
      </c>
      <c r="F1206" s="72">
        <v>15.73</v>
      </c>
      <c r="G1206" s="72">
        <v>0</v>
      </c>
    </row>
    <row r="1207" spans="2:7" x14ac:dyDescent="0.25">
      <c r="B1207" s="71">
        <v>43549</v>
      </c>
      <c r="C1207" t="s">
        <v>24</v>
      </c>
      <c r="D1207" t="s">
        <v>102</v>
      </c>
      <c r="E1207" t="s">
        <v>257</v>
      </c>
      <c r="F1207" s="72">
        <v>17.670000000000002</v>
      </c>
      <c r="G1207" s="72">
        <v>0</v>
      </c>
    </row>
    <row r="1208" spans="2:7" x14ac:dyDescent="0.25">
      <c r="B1208" s="71">
        <v>43549</v>
      </c>
      <c r="C1208" t="s">
        <v>24</v>
      </c>
      <c r="D1208" t="s">
        <v>102</v>
      </c>
      <c r="E1208" t="s">
        <v>257</v>
      </c>
      <c r="F1208" s="72">
        <v>24.36</v>
      </c>
      <c r="G1208" s="72">
        <v>0</v>
      </c>
    </row>
    <row r="1209" spans="2:7" x14ac:dyDescent="0.25">
      <c r="B1209" s="71">
        <v>43549</v>
      </c>
      <c r="C1209" t="s">
        <v>24</v>
      </c>
      <c r="D1209" t="s">
        <v>102</v>
      </c>
      <c r="E1209" t="s">
        <v>257</v>
      </c>
      <c r="F1209" s="72">
        <v>26.83</v>
      </c>
      <c r="G1209" s="72">
        <v>0</v>
      </c>
    </row>
    <row r="1210" spans="2:7" x14ac:dyDescent="0.25">
      <c r="B1210" s="71">
        <v>43549</v>
      </c>
      <c r="C1210" t="s">
        <v>24</v>
      </c>
      <c r="D1210" t="s">
        <v>102</v>
      </c>
      <c r="E1210" t="s">
        <v>257</v>
      </c>
      <c r="F1210" s="72">
        <v>39.42</v>
      </c>
      <c r="G1210" s="72">
        <v>0</v>
      </c>
    </row>
    <row r="1211" spans="2:7" x14ac:dyDescent="0.25">
      <c r="B1211" s="71">
        <v>43549</v>
      </c>
      <c r="C1211" t="s">
        <v>24</v>
      </c>
      <c r="D1211" t="s">
        <v>102</v>
      </c>
      <c r="E1211" t="s">
        <v>257</v>
      </c>
      <c r="F1211" s="72">
        <v>72.62</v>
      </c>
      <c r="G1211" s="72">
        <v>0</v>
      </c>
    </row>
    <row r="1212" spans="2:7" x14ac:dyDescent="0.25">
      <c r="B1212" s="71">
        <v>43549</v>
      </c>
      <c r="C1212" t="s">
        <v>24</v>
      </c>
      <c r="D1212" t="s">
        <v>102</v>
      </c>
      <c r="E1212" t="s">
        <v>257</v>
      </c>
      <c r="F1212" s="72">
        <v>77.64</v>
      </c>
      <c r="G1212" s="72">
        <v>0</v>
      </c>
    </row>
    <row r="1213" spans="2:7" x14ac:dyDescent="0.25">
      <c r="B1213" s="71">
        <v>43549</v>
      </c>
      <c r="C1213" t="s">
        <v>24</v>
      </c>
      <c r="D1213" t="s">
        <v>102</v>
      </c>
      <c r="E1213" t="s">
        <v>257</v>
      </c>
      <c r="F1213" s="72">
        <v>82.95</v>
      </c>
      <c r="G1213" s="72">
        <v>0</v>
      </c>
    </row>
    <row r="1214" spans="2:7" x14ac:dyDescent="0.25">
      <c r="B1214" s="71">
        <v>43549</v>
      </c>
      <c r="C1214" t="s">
        <v>62</v>
      </c>
      <c r="D1214" t="s">
        <v>102</v>
      </c>
      <c r="E1214" t="s">
        <v>257</v>
      </c>
      <c r="F1214" s="72">
        <v>1290.4100000000001</v>
      </c>
      <c r="G1214" s="72">
        <v>0</v>
      </c>
    </row>
    <row r="1215" spans="2:7" x14ac:dyDescent="0.25">
      <c r="B1215" s="71">
        <v>43550</v>
      </c>
      <c r="C1215" t="s">
        <v>25</v>
      </c>
      <c r="D1215" t="s">
        <v>88</v>
      </c>
      <c r="E1215" t="s">
        <v>258</v>
      </c>
      <c r="F1215" s="72">
        <v>35.369999999999997</v>
      </c>
      <c r="G1215" s="72">
        <v>0</v>
      </c>
    </row>
    <row r="1216" spans="2:7" x14ac:dyDescent="0.25">
      <c r="B1216" s="71">
        <v>43550</v>
      </c>
      <c r="C1216" t="s">
        <v>25</v>
      </c>
      <c r="D1216" t="s">
        <v>88</v>
      </c>
      <c r="E1216" t="s">
        <v>258</v>
      </c>
      <c r="F1216" s="72">
        <v>39.86</v>
      </c>
      <c r="G1216" s="72">
        <v>0</v>
      </c>
    </row>
    <row r="1217" spans="2:7" x14ac:dyDescent="0.25">
      <c r="B1217" s="71">
        <v>43550</v>
      </c>
      <c r="C1217" t="s">
        <v>25</v>
      </c>
      <c r="D1217" t="s">
        <v>88</v>
      </c>
      <c r="E1217" t="s">
        <v>258</v>
      </c>
      <c r="F1217" s="72">
        <v>137.11000000000001</v>
      </c>
      <c r="G1217" s="72">
        <v>0</v>
      </c>
    </row>
    <row r="1218" spans="2:7" x14ac:dyDescent="0.25">
      <c r="B1218" s="71">
        <v>43550</v>
      </c>
      <c r="C1218" t="s">
        <v>25</v>
      </c>
      <c r="D1218" t="s">
        <v>88</v>
      </c>
      <c r="E1218" t="s">
        <v>258</v>
      </c>
      <c r="F1218" s="72">
        <v>213.44</v>
      </c>
      <c r="G1218" s="72">
        <v>0</v>
      </c>
    </row>
    <row r="1219" spans="2:7" x14ac:dyDescent="0.25">
      <c r="B1219" s="71">
        <v>43550</v>
      </c>
      <c r="C1219" t="s">
        <v>25</v>
      </c>
      <c r="D1219" t="s">
        <v>85</v>
      </c>
      <c r="E1219" t="s">
        <v>258</v>
      </c>
      <c r="F1219" s="72">
        <v>19</v>
      </c>
      <c r="G1219" s="72">
        <v>0</v>
      </c>
    </row>
    <row r="1220" spans="2:7" x14ac:dyDescent="0.25">
      <c r="B1220" s="71">
        <v>43550</v>
      </c>
      <c r="C1220" t="s">
        <v>25</v>
      </c>
      <c r="D1220" t="s">
        <v>85</v>
      </c>
      <c r="E1220" t="s">
        <v>258</v>
      </c>
      <c r="F1220" s="72">
        <v>30</v>
      </c>
      <c r="G1220" s="72">
        <v>0</v>
      </c>
    </row>
    <row r="1221" spans="2:7" x14ac:dyDescent="0.25">
      <c r="B1221" s="71">
        <v>43550</v>
      </c>
      <c r="C1221" t="s">
        <v>47</v>
      </c>
      <c r="D1221" t="s">
        <v>85</v>
      </c>
      <c r="E1221" t="s">
        <v>258</v>
      </c>
      <c r="F1221" s="72">
        <v>10</v>
      </c>
      <c r="G1221" s="72">
        <v>0</v>
      </c>
    </row>
    <row r="1222" spans="2:7" x14ac:dyDescent="0.25">
      <c r="B1222" s="71">
        <v>43550</v>
      </c>
      <c r="C1222" t="s">
        <v>60</v>
      </c>
      <c r="D1222" t="s">
        <v>85</v>
      </c>
      <c r="E1222" t="s">
        <v>258</v>
      </c>
      <c r="F1222" s="72">
        <v>1060.6500000000001</v>
      </c>
      <c r="G1222" s="72">
        <v>0</v>
      </c>
    </row>
    <row r="1223" spans="2:7" x14ac:dyDescent="0.25">
      <c r="B1223" s="71">
        <v>43550</v>
      </c>
      <c r="C1223" t="s">
        <v>57</v>
      </c>
      <c r="D1223" t="s">
        <v>85</v>
      </c>
      <c r="E1223" t="s">
        <v>258</v>
      </c>
      <c r="F1223" s="72">
        <v>46.02</v>
      </c>
      <c r="G1223" s="72">
        <v>0</v>
      </c>
    </row>
    <row r="1224" spans="2:7" x14ac:dyDescent="0.25">
      <c r="B1224" s="71">
        <v>43550</v>
      </c>
      <c r="C1224" t="s">
        <v>52</v>
      </c>
      <c r="D1224" t="s">
        <v>87</v>
      </c>
      <c r="E1224" t="s">
        <v>258</v>
      </c>
      <c r="F1224" s="72">
        <v>166.26</v>
      </c>
      <c r="G1224" s="72">
        <v>0</v>
      </c>
    </row>
    <row r="1225" spans="2:7" x14ac:dyDescent="0.25">
      <c r="B1225" s="71">
        <v>43550</v>
      </c>
      <c r="C1225" t="s">
        <v>52</v>
      </c>
      <c r="D1225" t="s">
        <v>85</v>
      </c>
      <c r="E1225" t="s">
        <v>258</v>
      </c>
      <c r="F1225" s="72">
        <v>61.92</v>
      </c>
      <c r="G1225" s="72">
        <v>0</v>
      </c>
    </row>
    <row r="1226" spans="2:7" x14ac:dyDescent="0.25">
      <c r="B1226" s="71">
        <v>43550</v>
      </c>
      <c r="C1226" t="s">
        <v>44</v>
      </c>
      <c r="D1226" t="s">
        <v>85</v>
      </c>
      <c r="E1226" t="s">
        <v>258</v>
      </c>
      <c r="F1226" s="72">
        <v>675.9</v>
      </c>
      <c r="G1226" s="72">
        <v>0</v>
      </c>
    </row>
    <row r="1227" spans="2:7" x14ac:dyDescent="0.25">
      <c r="B1227" s="71">
        <v>43550</v>
      </c>
      <c r="C1227" t="s">
        <v>21</v>
      </c>
      <c r="D1227" t="s">
        <v>80</v>
      </c>
      <c r="E1227" t="s">
        <v>258</v>
      </c>
      <c r="F1227" s="72">
        <v>8</v>
      </c>
      <c r="G1227" s="72">
        <v>0</v>
      </c>
    </row>
    <row r="1228" spans="2:7" x14ac:dyDescent="0.25">
      <c r="B1228" s="71">
        <v>43550</v>
      </c>
      <c r="C1228" t="s">
        <v>21</v>
      </c>
      <c r="D1228" t="s">
        <v>80</v>
      </c>
      <c r="E1228" t="s">
        <v>258</v>
      </c>
      <c r="F1228" s="72">
        <v>16</v>
      </c>
      <c r="G1228" s="72">
        <v>0</v>
      </c>
    </row>
    <row r="1229" spans="2:7" x14ac:dyDescent="0.25">
      <c r="B1229" s="71">
        <v>43550</v>
      </c>
      <c r="C1229" t="s">
        <v>49</v>
      </c>
      <c r="D1229" t="s">
        <v>81</v>
      </c>
      <c r="E1229" t="s">
        <v>258</v>
      </c>
      <c r="F1229" s="72">
        <v>41.19</v>
      </c>
      <c r="G1229" s="72">
        <v>0</v>
      </c>
    </row>
    <row r="1230" spans="2:7" x14ac:dyDescent="0.25">
      <c r="B1230" s="71">
        <v>43550</v>
      </c>
      <c r="C1230" t="s">
        <v>49</v>
      </c>
      <c r="D1230" t="s">
        <v>88</v>
      </c>
      <c r="E1230" t="s">
        <v>258</v>
      </c>
      <c r="F1230" s="72">
        <v>23.26</v>
      </c>
      <c r="G1230" s="72">
        <v>0</v>
      </c>
    </row>
    <row r="1231" spans="2:7" x14ac:dyDescent="0.25">
      <c r="B1231" s="71">
        <v>43550</v>
      </c>
      <c r="C1231" t="s">
        <v>49</v>
      </c>
      <c r="D1231" t="s">
        <v>87</v>
      </c>
      <c r="E1231" t="s">
        <v>258</v>
      </c>
      <c r="F1231" s="72">
        <v>235.9</v>
      </c>
      <c r="G1231" s="72">
        <v>0</v>
      </c>
    </row>
    <row r="1232" spans="2:7" x14ac:dyDescent="0.25">
      <c r="B1232" s="71">
        <v>43550</v>
      </c>
      <c r="C1232" t="s">
        <v>49</v>
      </c>
      <c r="D1232" t="s">
        <v>85</v>
      </c>
      <c r="E1232" t="s">
        <v>258</v>
      </c>
      <c r="F1232" s="72">
        <v>90.01</v>
      </c>
      <c r="G1232" s="72">
        <v>0</v>
      </c>
    </row>
    <row r="1233" spans="2:7" x14ac:dyDescent="0.25">
      <c r="B1233" s="71">
        <v>43550</v>
      </c>
      <c r="C1233" t="s">
        <v>51</v>
      </c>
      <c r="D1233" t="s">
        <v>84</v>
      </c>
      <c r="E1233" t="s">
        <v>258</v>
      </c>
      <c r="F1233" s="72">
        <v>150</v>
      </c>
      <c r="G1233" s="72">
        <v>0</v>
      </c>
    </row>
    <row r="1234" spans="2:7" x14ac:dyDescent="0.25">
      <c r="B1234" s="71">
        <v>43551</v>
      </c>
      <c r="C1234" t="s">
        <v>25</v>
      </c>
      <c r="D1234" t="s">
        <v>80</v>
      </c>
      <c r="E1234" t="s">
        <v>259</v>
      </c>
      <c r="F1234" s="72">
        <v>8</v>
      </c>
      <c r="G1234" s="72">
        <v>0</v>
      </c>
    </row>
    <row r="1235" spans="2:7" x14ac:dyDescent="0.25">
      <c r="B1235" s="71">
        <v>43551</v>
      </c>
      <c r="C1235" t="s">
        <v>25</v>
      </c>
      <c r="D1235" t="s">
        <v>88</v>
      </c>
      <c r="E1235" t="s">
        <v>259</v>
      </c>
      <c r="F1235" s="72">
        <v>31.55</v>
      </c>
      <c r="G1235" s="72">
        <v>0</v>
      </c>
    </row>
    <row r="1236" spans="2:7" x14ac:dyDescent="0.25">
      <c r="B1236" s="71">
        <v>43551</v>
      </c>
      <c r="C1236" t="s">
        <v>25</v>
      </c>
      <c r="D1236" t="s">
        <v>88</v>
      </c>
      <c r="E1236" t="s">
        <v>259</v>
      </c>
      <c r="F1236" s="72">
        <v>60.5</v>
      </c>
      <c r="G1236" s="72">
        <v>0</v>
      </c>
    </row>
    <row r="1237" spans="2:7" x14ac:dyDescent="0.25">
      <c r="B1237" s="71">
        <v>43551</v>
      </c>
      <c r="C1237" t="s">
        <v>25</v>
      </c>
      <c r="D1237" t="s">
        <v>88</v>
      </c>
      <c r="E1237" t="s">
        <v>259</v>
      </c>
      <c r="F1237" s="72">
        <v>85</v>
      </c>
      <c r="G1237" s="72">
        <v>0</v>
      </c>
    </row>
    <row r="1238" spans="2:7" x14ac:dyDescent="0.25">
      <c r="B1238" s="71">
        <v>43551</v>
      </c>
      <c r="C1238" t="s">
        <v>25</v>
      </c>
      <c r="D1238" t="s">
        <v>88</v>
      </c>
      <c r="E1238" t="s">
        <v>259</v>
      </c>
      <c r="F1238" s="72">
        <v>97.25</v>
      </c>
      <c r="G1238" s="72">
        <v>0</v>
      </c>
    </row>
    <row r="1239" spans="2:7" x14ac:dyDescent="0.25">
      <c r="B1239" s="71">
        <v>43551</v>
      </c>
      <c r="C1239" t="s">
        <v>25</v>
      </c>
      <c r="D1239" t="s">
        <v>82</v>
      </c>
      <c r="E1239" t="s">
        <v>136</v>
      </c>
      <c r="F1239" s="72">
        <v>3.15</v>
      </c>
      <c r="G1239" s="72">
        <v>0</v>
      </c>
    </row>
    <row r="1240" spans="2:7" x14ac:dyDescent="0.25">
      <c r="B1240" s="71">
        <v>43551</v>
      </c>
      <c r="C1240" t="s">
        <v>25</v>
      </c>
      <c r="D1240" t="s">
        <v>82</v>
      </c>
      <c r="E1240" t="s">
        <v>221</v>
      </c>
      <c r="F1240" s="72">
        <v>2.25</v>
      </c>
      <c r="G1240" s="72">
        <v>0</v>
      </c>
    </row>
    <row r="1241" spans="2:7" x14ac:dyDescent="0.25">
      <c r="B1241" s="71">
        <v>43551</v>
      </c>
      <c r="C1241" t="s">
        <v>25</v>
      </c>
      <c r="D1241" t="s">
        <v>82</v>
      </c>
      <c r="E1241" t="s">
        <v>196</v>
      </c>
      <c r="F1241" s="72">
        <v>26</v>
      </c>
      <c r="G1241" s="72">
        <v>0</v>
      </c>
    </row>
    <row r="1242" spans="2:7" x14ac:dyDescent="0.25">
      <c r="B1242" s="71">
        <v>43551</v>
      </c>
      <c r="C1242" t="s">
        <v>25</v>
      </c>
      <c r="D1242" t="s">
        <v>82</v>
      </c>
      <c r="E1242" t="s">
        <v>162</v>
      </c>
      <c r="F1242" s="72">
        <v>17.399999999999999</v>
      </c>
      <c r="G1242" s="72">
        <v>0</v>
      </c>
    </row>
    <row r="1243" spans="2:7" x14ac:dyDescent="0.25">
      <c r="B1243" s="71">
        <v>43551</v>
      </c>
      <c r="C1243" t="s">
        <v>25</v>
      </c>
      <c r="D1243" t="s">
        <v>85</v>
      </c>
      <c r="E1243" t="s">
        <v>259</v>
      </c>
      <c r="F1243" s="72">
        <v>19</v>
      </c>
      <c r="G1243" s="72">
        <v>0</v>
      </c>
    </row>
    <row r="1244" spans="2:7" x14ac:dyDescent="0.25">
      <c r="B1244" s="71">
        <v>43551</v>
      </c>
      <c r="C1244" t="s">
        <v>25</v>
      </c>
      <c r="D1244" t="s">
        <v>85</v>
      </c>
      <c r="E1244" t="s">
        <v>259</v>
      </c>
      <c r="F1244" s="72">
        <v>91</v>
      </c>
      <c r="G1244" s="72">
        <v>0</v>
      </c>
    </row>
    <row r="1245" spans="2:7" x14ac:dyDescent="0.25">
      <c r="B1245" s="71">
        <v>43551</v>
      </c>
      <c r="C1245" t="s">
        <v>25</v>
      </c>
      <c r="D1245" t="s">
        <v>85</v>
      </c>
      <c r="E1245" t="s">
        <v>259</v>
      </c>
      <c r="F1245" s="72">
        <v>143</v>
      </c>
      <c r="G1245" s="72">
        <v>0</v>
      </c>
    </row>
    <row r="1246" spans="2:7" x14ac:dyDescent="0.25">
      <c r="B1246" s="71">
        <v>43551</v>
      </c>
      <c r="C1246" t="s">
        <v>25</v>
      </c>
      <c r="D1246" t="s">
        <v>85</v>
      </c>
      <c r="E1246" t="s">
        <v>259</v>
      </c>
      <c r="F1246" s="72">
        <v>162.5</v>
      </c>
      <c r="G1246" s="72">
        <v>0</v>
      </c>
    </row>
    <row r="1247" spans="2:7" x14ac:dyDescent="0.25">
      <c r="B1247" s="71">
        <v>43551</v>
      </c>
      <c r="C1247" t="s">
        <v>55</v>
      </c>
      <c r="D1247" t="s">
        <v>80</v>
      </c>
      <c r="E1247" t="s">
        <v>259</v>
      </c>
      <c r="F1247" s="72">
        <v>15</v>
      </c>
      <c r="G1247" s="72">
        <v>0</v>
      </c>
    </row>
    <row r="1248" spans="2:7" x14ac:dyDescent="0.25">
      <c r="B1248" s="71">
        <v>43551</v>
      </c>
      <c r="C1248" t="s">
        <v>55</v>
      </c>
      <c r="D1248" t="s">
        <v>86</v>
      </c>
      <c r="E1248" t="s">
        <v>259</v>
      </c>
      <c r="F1248" s="72">
        <v>126.3</v>
      </c>
      <c r="G1248" s="72">
        <v>0</v>
      </c>
    </row>
    <row r="1249" spans="2:7" x14ac:dyDescent="0.25">
      <c r="B1249" s="71">
        <v>43551</v>
      </c>
      <c r="C1249" t="s">
        <v>47</v>
      </c>
      <c r="D1249" t="s">
        <v>85</v>
      </c>
      <c r="E1249" t="s">
        <v>259</v>
      </c>
      <c r="F1249" s="72">
        <v>34.6</v>
      </c>
      <c r="G1249" s="72">
        <v>0</v>
      </c>
    </row>
    <row r="1250" spans="2:7" x14ac:dyDescent="0.25">
      <c r="B1250" s="71">
        <v>43551</v>
      </c>
      <c r="C1250" t="s">
        <v>73</v>
      </c>
      <c r="D1250" t="s">
        <v>80</v>
      </c>
      <c r="E1250" t="s">
        <v>259</v>
      </c>
      <c r="F1250" s="72">
        <v>10.1</v>
      </c>
      <c r="G1250" s="72">
        <v>0</v>
      </c>
    </row>
    <row r="1251" spans="2:7" x14ac:dyDescent="0.25">
      <c r="B1251" s="71">
        <v>43551</v>
      </c>
      <c r="C1251" t="s">
        <v>58</v>
      </c>
      <c r="D1251" t="s">
        <v>85</v>
      </c>
      <c r="E1251" t="s">
        <v>259</v>
      </c>
      <c r="F1251" s="72">
        <v>383.94</v>
      </c>
      <c r="G1251" s="72">
        <v>0</v>
      </c>
    </row>
    <row r="1252" spans="2:7" x14ac:dyDescent="0.25">
      <c r="B1252" s="71">
        <v>43551</v>
      </c>
      <c r="C1252" t="s">
        <v>44</v>
      </c>
      <c r="D1252" t="s">
        <v>83</v>
      </c>
      <c r="E1252" t="s">
        <v>259</v>
      </c>
      <c r="F1252" s="72">
        <v>140.46</v>
      </c>
      <c r="G1252" s="72">
        <v>0</v>
      </c>
    </row>
    <row r="1253" spans="2:7" x14ac:dyDescent="0.25">
      <c r="B1253" s="71">
        <v>43551</v>
      </c>
      <c r="C1253" t="s">
        <v>21</v>
      </c>
      <c r="D1253" t="s">
        <v>80</v>
      </c>
      <c r="E1253" t="s">
        <v>259</v>
      </c>
      <c r="F1253" s="72">
        <v>8</v>
      </c>
      <c r="G1253" s="72">
        <v>0</v>
      </c>
    </row>
    <row r="1254" spans="2:7" x14ac:dyDescent="0.25">
      <c r="B1254" s="71">
        <v>43551</v>
      </c>
      <c r="C1254" t="s">
        <v>21</v>
      </c>
      <c r="D1254" t="s">
        <v>80</v>
      </c>
      <c r="E1254" t="s">
        <v>259</v>
      </c>
      <c r="F1254" s="72">
        <v>16</v>
      </c>
      <c r="G1254" s="72">
        <v>0</v>
      </c>
    </row>
    <row r="1255" spans="2:7" x14ac:dyDescent="0.25">
      <c r="B1255" s="71">
        <v>43551</v>
      </c>
      <c r="C1255" t="s">
        <v>21</v>
      </c>
      <c r="D1255" t="s">
        <v>85</v>
      </c>
      <c r="E1255" t="s">
        <v>259</v>
      </c>
      <c r="F1255" s="72">
        <v>234</v>
      </c>
      <c r="G1255" s="72">
        <v>0</v>
      </c>
    </row>
    <row r="1256" spans="2:7" x14ac:dyDescent="0.25">
      <c r="B1256" s="71">
        <v>43551</v>
      </c>
      <c r="C1256" t="s">
        <v>49</v>
      </c>
      <c r="D1256" t="s">
        <v>88</v>
      </c>
      <c r="E1256" t="s">
        <v>259</v>
      </c>
      <c r="F1256" s="72">
        <v>18</v>
      </c>
      <c r="G1256" s="72">
        <v>0</v>
      </c>
    </row>
    <row r="1257" spans="2:7" x14ac:dyDescent="0.25">
      <c r="B1257" s="71">
        <v>43551</v>
      </c>
      <c r="C1257" t="s">
        <v>49</v>
      </c>
      <c r="D1257" t="s">
        <v>83</v>
      </c>
      <c r="E1257" t="s">
        <v>259</v>
      </c>
      <c r="F1257" s="72">
        <v>70.23</v>
      </c>
      <c r="G1257" s="72">
        <v>0</v>
      </c>
    </row>
    <row r="1258" spans="2:7" x14ac:dyDescent="0.25">
      <c r="B1258" s="71">
        <v>43551</v>
      </c>
      <c r="C1258" t="s">
        <v>49</v>
      </c>
      <c r="D1258" t="s">
        <v>85</v>
      </c>
      <c r="E1258" t="s">
        <v>259</v>
      </c>
      <c r="F1258" s="72">
        <v>1083.51</v>
      </c>
      <c r="G1258" s="72">
        <v>0</v>
      </c>
    </row>
    <row r="1259" spans="2:7" x14ac:dyDescent="0.25">
      <c r="B1259" s="71">
        <v>43551</v>
      </c>
      <c r="C1259" t="s">
        <v>46</v>
      </c>
      <c r="D1259" t="s">
        <v>87</v>
      </c>
      <c r="E1259" t="s">
        <v>259</v>
      </c>
      <c r="F1259" s="72">
        <v>32.65</v>
      </c>
      <c r="G1259" s="72">
        <v>0</v>
      </c>
    </row>
    <row r="1260" spans="2:7" x14ac:dyDescent="0.25">
      <c r="B1260" s="71">
        <v>43551</v>
      </c>
      <c r="C1260" t="s">
        <v>51</v>
      </c>
      <c r="D1260" t="s">
        <v>88</v>
      </c>
      <c r="E1260" t="s">
        <v>259</v>
      </c>
      <c r="F1260" s="72">
        <v>294.31</v>
      </c>
      <c r="G1260" s="72">
        <v>0</v>
      </c>
    </row>
    <row r="1261" spans="2:7" x14ac:dyDescent="0.25">
      <c r="B1261" s="71">
        <v>43551</v>
      </c>
      <c r="C1261" t="s">
        <v>59</v>
      </c>
      <c r="D1261" t="s">
        <v>80</v>
      </c>
      <c r="E1261" t="s">
        <v>259</v>
      </c>
      <c r="F1261" s="72">
        <v>7.33</v>
      </c>
      <c r="G1261" s="72">
        <v>0</v>
      </c>
    </row>
    <row r="1262" spans="2:7" x14ac:dyDescent="0.25">
      <c r="B1262" s="71">
        <v>43551</v>
      </c>
      <c r="C1262" t="s">
        <v>72</v>
      </c>
      <c r="D1262" t="s">
        <v>87</v>
      </c>
      <c r="E1262" t="s">
        <v>259</v>
      </c>
      <c r="F1262" s="72">
        <v>343.33</v>
      </c>
      <c r="G1262" s="72">
        <v>0</v>
      </c>
    </row>
    <row r="1263" spans="2:7" x14ac:dyDescent="0.25">
      <c r="B1263" s="71">
        <v>43551</v>
      </c>
      <c r="C1263" t="s">
        <v>72</v>
      </c>
      <c r="D1263" t="s">
        <v>85</v>
      </c>
      <c r="E1263" t="s">
        <v>259</v>
      </c>
      <c r="F1263" s="72">
        <v>24</v>
      </c>
      <c r="G1263" s="72">
        <v>0</v>
      </c>
    </row>
    <row r="1264" spans="2:7" x14ac:dyDescent="0.25">
      <c r="B1264" s="71">
        <v>43551</v>
      </c>
      <c r="C1264" t="s">
        <v>24</v>
      </c>
      <c r="D1264" t="s">
        <v>85</v>
      </c>
      <c r="E1264" t="s">
        <v>259</v>
      </c>
      <c r="F1264" s="72">
        <v>117</v>
      </c>
      <c r="G1264" s="72">
        <v>0</v>
      </c>
    </row>
    <row r="1265" spans="2:7" x14ac:dyDescent="0.25">
      <c r="B1265" s="71">
        <v>43551</v>
      </c>
      <c r="C1265" t="s">
        <v>24</v>
      </c>
      <c r="D1265" t="s">
        <v>85</v>
      </c>
      <c r="E1265" t="s">
        <v>259</v>
      </c>
      <c r="F1265" s="72">
        <v>143</v>
      </c>
      <c r="G1265" s="72">
        <v>0</v>
      </c>
    </row>
    <row r="1266" spans="2:7" x14ac:dyDescent="0.25">
      <c r="B1266" s="71">
        <v>43551</v>
      </c>
      <c r="C1266" t="s">
        <v>24</v>
      </c>
      <c r="D1266" t="s">
        <v>85</v>
      </c>
      <c r="E1266" t="s">
        <v>259</v>
      </c>
      <c r="F1266" s="72">
        <v>234</v>
      </c>
      <c r="G1266" s="72">
        <v>0</v>
      </c>
    </row>
    <row r="1267" spans="2:7" x14ac:dyDescent="0.25">
      <c r="B1267" s="71">
        <v>43551</v>
      </c>
      <c r="C1267" t="s">
        <v>61</v>
      </c>
      <c r="D1267" t="s">
        <v>85</v>
      </c>
      <c r="E1267" t="s">
        <v>259</v>
      </c>
      <c r="F1267" s="72">
        <v>17.12</v>
      </c>
      <c r="G1267" s="72">
        <v>0</v>
      </c>
    </row>
    <row r="1268" spans="2:7" x14ac:dyDescent="0.25">
      <c r="B1268" s="71">
        <v>43552</v>
      </c>
      <c r="C1268" t="s">
        <v>25</v>
      </c>
      <c r="D1268" t="s">
        <v>88</v>
      </c>
      <c r="E1268" t="s">
        <v>260</v>
      </c>
      <c r="F1268" s="72">
        <v>221.05</v>
      </c>
      <c r="G1268" s="72">
        <v>0</v>
      </c>
    </row>
    <row r="1269" spans="2:7" x14ac:dyDescent="0.25">
      <c r="B1269" s="71">
        <v>43552</v>
      </c>
      <c r="C1269" t="s">
        <v>25</v>
      </c>
      <c r="D1269" t="s">
        <v>85</v>
      </c>
      <c r="E1269" t="s">
        <v>260</v>
      </c>
      <c r="F1269" s="72">
        <v>33.65</v>
      </c>
      <c r="G1269" s="72">
        <v>0</v>
      </c>
    </row>
    <row r="1270" spans="2:7" x14ac:dyDescent="0.25">
      <c r="B1270" s="71">
        <v>43552</v>
      </c>
      <c r="C1270" t="s">
        <v>55</v>
      </c>
      <c r="D1270" t="s">
        <v>86</v>
      </c>
      <c r="E1270" t="s">
        <v>260</v>
      </c>
      <c r="F1270" s="72">
        <v>28.75</v>
      </c>
      <c r="G1270" s="72">
        <v>0</v>
      </c>
    </row>
    <row r="1271" spans="2:7" x14ac:dyDescent="0.25">
      <c r="B1271" s="71">
        <v>43552</v>
      </c>
      <c r="C1271" t="s">
        <v>47</v>
      </c>
      <c r="D1271" t="s">
        <v>86</v>
      </c>
      <c r="E1271" t="s">
        <v>260</v>
      </c>
      <c r="F1271" s="72">
        <v>96.45</v>
      </c>
      <c r="G1271" s="72">
        <v>0</v>
      </c>
    </row>
    <row r="1272" spans="2:7" x14ac:dyDescent="0.25">
      <c r="B1272" s="71">
        <v>43552</v>
      </c>
      <c r="C1272" t="s">
        <v>21</v>
      </c>
      <c r="D1272" t="s">
        <v>80</v>
      </c>
      <c r="E1272" t="s">
        <v>260</v>
      </c>
      <c r="F1272" s="72">
        <v>8</v>
      </c>
      <c r="G1272" s="72">
        <v>0</v>
      </c>
    </row>
    <row r="1273" spans="2:7" x14ac:dyDescent="0.25">
      <c r="B1273" s="71">
        <v>43552</v>
      </c>
      <c r="C1273" t="s">
        <v>21</v>
      </c>
      <c r="D1273" t="s">
        <v>80</v>
      </c>
      <c r="E1273" t="s">
        <v>260</v>
      </c>
      <c r="F1273" s="72">
        <v>16</v>
      </c>
      <c r="G1273" s="72">
        <v>0</v>
      </c>
    </row>
    <row r="1274" spans="2:7" x14ac:dyDescent="0.25">
      <c r="B1274" s="71">
        <v>43552</v>
      </c>
      <c r="C1274" t="s">
        <v>53</v>
      </c>
      <c r="D1274" t="s">
        <v>85</v>
      </c>
      <c r="E1274" t="s">
        <v>260</v>
      </c>
      <c r="F1274" s="72">
        <v>11</v>
      </c>
      <c r="G1274" s="72">
        <v>0</v>
      </c>
    </row>
    <row r="1275" spans="2:7" x14ac:dyDescent="0.25">
      <c r="B1275" s="71">
        <v>43552</v>
      </c>
      <c r="C1275" t="s">
        <v>24</v>
      </c>
      <c r="D1275" t="s">
        <v>80</v>
      </c>
      <c r="E1275" t="s">
        <v>260</v>
      </c>
      <c r="F1275" s="72">
        <v>8</v>
      </c>
      <c r="G1275" s="72">
        <v>0</v>
      </c>
    </row>
    <row r="1276" spans="2:7" x14ac:dyDescent="0.25">
      <c r="B1276" s="71">
        <v>43552</v>
      </c>
      <c r="C1276" t="s">
        <v>24</v>
      </c>
      <c r="D1276" t="s">
        <v>80</v>
      </c>
      <c r="E1276" t="s">
        <v>260</v>
      </c>
      <c r="F1276" s="72">
        <v>32</v>
      </c>
      <c r="G1276" s="72">
        <v>0</v>
      </c>
    </row>
    <row r="1277" spans="2:7" x14ac:dyDescent="0.25">
      <c r="B1277" s="71">
        <v>43553</v>
      </c>
      <c r="C1277" t="s">
        <v>25</v>
      </c>
      <c r="D1277" t="s">
        <v>80</v>
      </c>
      <c r="E1277" t="s">
        <v>261</v>
      </c>
      <c r="F1277" s="72">
        <v>8</v>
      </c>
      <c r="G1277" s="72">
        <v>0</v>
      </c>
    </row>
    <row r="1278" spans="2:7" x14ac:dyDescent="0.25">
      <c r="B1278" s="71">
        <v>43553</v>
      </c>
      <c r="C1278" t="s">
        <v>25</v>
      </c>
      <c r="D1278" t="s">
        <v>80</v>
      </c>
      <c r="E1278" t="s">
        <v>261</v>
      </c>
      <c r="F1278" s="72">
        <v>70</v>
      </c>
      <c r="G1278" s="72">
        <v>0</v>
      </c>
    </row>
    <row r="1279" spans="2:7" x14ac:dyDescent="0.25">
      <c r="B1279" s="71">
        <v>43553</v>
      </c>
      <c r="C1279" t="s">
        <v>25</v>
      </c>
      <c r="D1279" t="s">
        <v>88</v>
      </c>
      <c r="E1279" t="s">
        <v>261</v>
      </c>
      <c r="F1279" s="72">
        <v>10.69</v>
      </c>
      <c r="G1279" s="72">
        <v>0</v>
      </c>
    </row>
    <row r="1280" spans="2:7" x14ac:dyDescent="0.25">
      <c r="B1280" s="71">
        <v>43553</v>
      </c>
      <c r="C1280" t="s">
        <v>25</v>
      </c>
      <c r="D1280" t="s">
        <v>82</v>
      </c>
      <c r="E1280" t="s">
        <v>165</v>
      </c>
      <c r="F1280" s="72">
        <v>8</v>
      </c>
      <c r="G1280" s="72">
        <v>0</v>
      </c>
    </row>
    <row r="1281" spans="2:7" x14ac:dyDescent="0.25">
      <c r="B1281" s="71">
        <v>43553</v>
      </c>
      <c r="C1281" t="s">
        <v>25</v>
      </c>
      <c r="D1281" t="s">
        <v>85</v>
      </c>
      <c r="E1281" t="s">
        <v>261</v>
      </c>
      <c r="F1281" s="72">
        <v>42</v>
      </c>
      <c r="G1281" s="72">
        <v>0</v>
      </c>
    </row>
    <row r="1282" spans="2:7" x14ac:dyDescent="0.25">
      <c r="B1282" s="71">
        <v>43553</v>
      </c>
      <c r="C1282" t="s">
        <v>47</v>
      </c>
      <c r="D1282" t="s">
        <v>80</v>
      </c>
      <c r="E1282" t="s">
        <v>261</v>
      </c>
      <c r="F1282" s="72">
        <v>19.45</v>
      </c>
      <c r="G1282" s="72">
        <v>0</v>
      </c>
    </row>
    <row r="1283" spans="2:7" x14ac:dyDescent="0.25">
      <c r="B1283" s="71">
        <v>43553</v>
      </c>
      <c r="C1283" t="s">
        <v>57</v>
      </c>
      <c r="D1283" t="s">
        <v>85</v>
      </c>
      <c r="E1283" t="s">
        <v>261</v>
      </c>
      <c r="F1283" s="72">
        <v>34</v>
      </c>
      <c r="G1283" s="72">
        <v>0</v>
      </c>
    </row>
    <row r="1284" spans="2:7" x14ac:dyDescent="0.25">
      <c r="B1284" s="71">
        <v>43553</v>
      </c>
      <c r="C1284" t="s">
        <v>21</v>
      </c>
      <c r="D1284" t="s">
        <v>80</v>
      </c>
      <c r="E1284" t="s">
        <v>261</v>
      </c>
      <c r="F1284" s="72">
        <v>8</v>
      </c>
      <c r="G1284" s="72">
        <v>0</v>
      </c>
    </row>
    <row r="1285" spans="2:7" x14ac:dyDescent="0.25">
      <c r="B1285" s="71">
        <v>43553</v>
      </c>
      <c r="C1285" t="s">
        <v>49</v>
      </c>
      <c r="D1285" t="s">
        <v>85</v>
      </c>
      <c r="E1285" t="s">
        <v>261</v>
      </c>
      <c r="F1285" s="72">
        <v>107</v>
      </c>
      <c r="G1285" s="72">
        <v>0</v>
      </c>
    </row>
    <row r="1286" spans="2:7" x14ac:dyDescent="0.25">
      <c r="B1286" s="71">
        <v>43553</v>
      </c>
      <c r="C1286" t="s">
        <v>59</v>
      </c>
      <c r="D1286" t="s">
        <v>80</v>
      </c>
      <c r="E1286" t="s">
        <v>261</v>
      </c>
      <c r="F1286" s="72">
        <v>35</v>
      </c>
      <c r="G1286" s="72">
        <v>0</v>
      </c>
    </row>
    <row r="1287" spans="2:7" x14ac:dyDescent="0.25">
      <c r="B1287" s="71">
        <v>43553</v>
      </c>
      <c r="C1287" t="s">
        <v>54</v>
      </c>
      <c r="D1287" t="s">
        <v>87</v>
      </c>
      <c r="E1287" t="s">
        <v>261</v>
      </c>
      <c r="F1287" s="72">
        <v>120.6</v>
      </c>
      <c r="G1287" s="72">
        <v>0</v>
      </c>
    </row>
    <row r="1288" spans="2:7" x14ac:dyDescent="0.25">
      <c r="B1288" s="71">
        <v>43553</v>
      </c>
      <c r="C1288" t="s">
        <v>24</v>
      </c>
      <c r="D1288" t="s">
        <v>80</v>
      </c>
      <c r="E1288" t="s">
        <v>261</v>
      </c>
      <c r="F1288" s="72">
        <v>8</v>
      </c>
      <c r="G1288" s="72">
        <v>0</v>
      </c>
    </row>
    <row r="1289" spans="2:7" x14ac:dyDescent="0.25">
      <c r="B1289" s="71">
        <v>43553</v>
      </c>
      <c r="C1289" t="s">
        <v>24</v>
      </c>
      <c r="D1289" t="s">
        <v>85</v>
      </c>
      <c r="E1289" t="s">
        <v>261</v>
      </c>
      <c r="F1289" s="72">
        <v>9.1999999999999993</v>
      </c>
      <c r="G1289" s="72">
        <v>0</v>
      </c>
    </row>
    <row r="1290" spans="2:7" x14ac:dyDescent="0.25">
      <c r="B1290" s="71">
        <v>43554</v>
      </c>
      <c r="C1290" t="s">
        <v>25</v>
      </c>
      <c r="D1290" t="s">
        <v>82</v>
      </c>
      <c r="E1290" t="s">
        <v>140</v>
      </c>
      <c r="F1290" s="72">
        <v>2.4</v>
      </c>
      <c r="G1290" s="72">
        <v>0</v>
      </c>
    </row>
    <row r="1291" spans="2:7" x14ac:dyDescent="0.25">
      <c r="B1291" s="71">
        <v>43554</v>
      </c>
      <c r="C1291" t="s">
        <v>25</v>
      </c>
      <c r="D1291" t="s">
        <v>82</v>
      </c>
      <c r="E1291" t="s">
        <v>141</v>
      </c>
      <c r="F1291" s="72">
        <v>1.8</v>
      </c>
      <c r="G1291" s="72">
        <v>0</v>
      </c>
    </row>
    <row r="1292" spans="2:7" x14ac:dyDescent="0.25">
      <c r="B1292" s="71">
        <v>43556</v>
      </c>
      <c r="C1292" t="s">
        <v>25</v>
      </c>
      <c r="D1292" t="s">
        <v>86</v>
      </c>
      <c r="E1292" t="s">
        <v>262</v>
      </c>
      <c r="F1292" s="72">
        <v>18</v>
      </c>
      <c r="G1292" s="72">
        <v>0</v>
      </c>
    </row>
    <row r="1293" spans="2:7" x14ac:dyDescent="0.25">
      <c r="B1293" s="71">
        <v>43556</v>
      </c>
      <c r="C1293" t="s">
        <v>25</v>
      </c>
      <c r="D1293" t="s">
        <v>81</v>
      </c>
      <c r="E1293" t="s">
        <v>262</v>
      </c>
      <c r="F1293" s="72">
        <v>104</v>
      </c>
      <c r="G1293" s="72">
        <v>0</v>
      </c>
    </row>
    <row r="1294" spans="2:7" x14ac:dyDescent="0.25">
      <c r="B1294" s="71">
        <v>43556</v>
      </c>
      <c r="C1294" t="s">
        <v>25</v>
      </c>
      <c r="D1294" t="s">
        <v>82</v>
      </c>
      <c r="E1294" t="s">
        <v>198</v>
      </c>
      <c r="F1294" s="72">
        <v>10</v>
      </c>
      <c r="G1294" s="72">
        <v>0</v>
      </c>
    </row>
    <row r="1295" spans="2:7" x14ac:dyDescent="0.25">
      <c r="B1295" s="71">
        <v>43556</v>
      </c>
      <c r="C1295" t="s">
        <v>25</v>
      </c>
      <c r="D1295" t="s">
        <v>82</v>
      </c>
      <c r="E1295" t="s">
        <v>199</v>
      </c>
      <c r="F1295" s="72">
        <v>2.4</v>
      </c>
      <c r="G1295" s="72">
        <v>0</v>
      </c>
    </row>
    <row r="1296" spans="2:7" x14ac:dyDescent="0.25">
      <c r="B1296" s="71">
        <v>43556</v>
      </c>
      <c r="C1296" t="s">
        <v>25</v>
      </c>
      <c r="D1296" t="s">
        <v>82</v>
      </c>
      <c r="E1296" t="s">
        <v>126</v>
      </c>
      <c r="F1296" s="72">
        <v>9</v>
      </c>
      <c r="G1296" s="72">
        <v>0</v>
      </c>
    </row>
    <row r="1297" spans="2:7" x14ac:dyDescent="0.25">
      <c r="B1297" s="71">
        <v>43556</v>
      </c>
      <c r="C1297" t="s">
        <v>25</v>
      </c>
      <c r="D1297" t="s">
        <v>82</v>
      </c>
      <c r="E1297" t="s">
        <v>218</v>
      </c>
      <c r="F1297" s="72">
        <v>2.7</v>
      </c>
      <c r="G1297" s="72">
        <v>0</v>
      </c>
    </row>
    <row r="1298" spans="2:7" x14ac:dyDescent="0.25">
      <c r="B1298" s="71">
        <v>43556</v>
      </c>
      <c r="C1298" t="s">
        <v>55</v>
      </c>
      <c r="D1298" t="s">
        <v>86</v>
      </c>
      <c r="E1298" t="s">
        <v>262</v>
      </c>
      <c r="F1298" s="72">
        <v>57.94</v>
      </c>
      <c r="G1298" s="72">
        <v>0</v>
      </c>
    </row>
    <row r="1299" spans="2:7" x14ac:dyDescent="0.25">
      <c r="B1299" s="71">
        <v>43556</v>
      </c>
      <c r="C1299" t="s">
        <v>21</v>
      </c>
      <c r="D1299" t="s">
        <v>80</v>
      </c>
      <c r="E1299" t="s">
        <v>262</v>
      </c>
      <c r="F1299" s="72">
        <v>8</v>
      </c>
      <c r="G1299" s="72">
        <v>0</v>
      </c>
    </row>
    <row r="1300" spans="2:7" x14ac:dyDescent="0.25">
      <c r="B1300" s="71">
        <v>43556</v>
      </c>
      <c r="C1300" t="s">
        <v>21</v>
      </c>
      <c r="D1300" t="s">
        <v>80</v>
      </c>
      <c r="E1300" t="s">
        <v>262</v>
      </c>
      <c r="F1300" s="72">
        <v>24</v>
      </c>
      <c r="G1300" s="72">
        <v>0</v>
      </c>
    </row>
    <row r="1301" spans="2:7" x14ac:dyDescent="0.25">
      <c r="B1301" s="71">
        <v>43556</v>
      </c>
      <c r="C1301" t="s">
        <v>21</v>
      </c>
      <c r="D1301" t="s">
        <v>80</v>
      </c>
      <c r="E1301" t="s">
        <v>262</v>
      </c>
      <c r="F1301" s="72">
        <v>32</v>
      </c>
      <c r="G1301" s="72">
        <v>0</v>
      </c>
    </row>
    <row r="1302" spans="2:7" x14ac:dyDescent="0.25">
      <c r="B1302" s="71">
        <v>43556</v>
      </c>
      <c r="C1302" t="s">
        <v>67</v>
      </c>
      <c r="D1302" t="s">
        <v>85</v>
      </c>
      <c r="E1302" t="s">
        <v>262</v>
      </c>
      <c r="F1302" s="72">
        <v>37.479999999999997</v>
      </c>
      <c r="G1302" s="72">
        <v>0</v>
      </c>
    </row>
    <row r="1303" spans="2:7" x14ac:dyDescent="0.25">
      <c r="B1303" s="71">
        <v>43556</v>
      </c>
      <c r="C1303" t="s">
        <v>49</v>
      </c>
      <c r="D1303" t="s">
        <v>80</v>
      </c>
      <c r="E1303" t="s">
        <v>262</v>
      </c>
      <c r="F1303" s="72">
        <v>70</v>
      </c>
      <c r="G1303" s="72">
        <v>0</v>
      </c>
    </row>
    <row r="1304" spans="2:7" x14ac:dyDescent="0.25">
      <c r="B1304" s="71">
        <v>43556</v>
      </c>
      <c r="C1304" t="s">
        <v>49</v>
      </c>
      <c r="D1304" t="s">
        <v>86</v>
      </c>
      <c r="E1304" t="s">
        <v>262</v>
      </c>
      <c r="F1304" s="72">
        <v>27</v>
      </c>
      <c r="G1304" s="72">
        <v>0</v>
      </c>
    </row>
    <row r="1305" spans="2:7" x14ac:dyDescent="0.25">
      <c r="B1305" s="71">
        <v>43556</v>
      </c>
      <c r="C1305" t="s">
        <v>56</v>
      </c>
      <c r="D1305" t="s">
        <v>86</v>
      </c>
      <c r="E1305" t="s">
        <v>262</v>
      </c>
      <c r="F1305" s="72">
        <v>282.70999999999998</v>
      </c>
      <c r="G1305" s="72">
        <v>0</v>
      </c>
    </row>
    <row r="1306" spans="2:7" x14ac:dyDescent="0.25">
      <c r="B1306" s="71">
        <v>43556</v>
      </c>
      <c r="C1306" t="s">
        <v>64</v>
      </c>
      <c r="D1306" t="s">
        <v>80</v>
      </c>
      <c r="E1306" t="s">
        <v>262</v>
      </c>
      <c r="F1306" s="72">
        <v>60.19</v>
      </c>
      <c r="G1306" s="72">
        <v>0</v>
      </c>
    </row>
    <row r="1307" spans="2:7" x14ac:dyDescent="0.25">
      <c r="B1307" s="71">
        <v>43556</v>
      </c>
      <c r="C1307" t="s">
        <v>24</v>
      </c>
      <c r="D1307" t="s">
        <v>80</v>
      </c>
      <c r="E1307" t="s">
        <v>262</v>
      </c>
      <c r="F1307" s="72">
        <v>8</v>
      </c>
      <c r="G1307" s="72">
        <v>0</v>
      </c>
    </row>
    <row r="1308" spans="2:7" x14ac:dyDescent="0.25">
      <c r="B1308" s="71">
        <v>43556</v>
      </c>
      <c r="C1308" t="s">
        <v>24</v>
      </c>
      <c r="D1308" t="s">
        <v>85</v>
      </c>
      <c r="E1308" t="s">
        <v>262</v>
      </c>
      <c r="F1308" s="72">
        <v>91</v>
      </c>
      <c r="G1308" s="72">
        <v>0</v>
      </c>
    </row>
    <row r="1309" spans="2:7" x14ac:dyDescent="0.25">
      <c r="B1309" s="71">
        <v>43557</v>
      </c>
      <c r="C1309" t="s">
        <v>25</v>
      </c>
      <c r="D1309" t="s">
        <v>86</v>
      </c>
      <c r="E1309" t="s">
        <v>263</v>
      </c>
      <c r="F1309" s="72">
        <v>47</v>
      </c>
      <c r="G1309" s="72">
        <v>0</v>
      </c>
    </row>
    <row r="1310" spans="2:7" x14ac:dyDescent="0.25">
      <c r="B1310" s="71">
        <v>43557</v>
      </c>
      <c r="C1310" t="s">
        <v>25</v>
      </c>
      <c r="D1310" t="s">
        <v>85</v>
      </c>
      <c r="E1310" t="s">
        <v>263</v>
      </c>
      <c r="F1310" s="72">
        <v>41.6</v>
      </c>
      <c r="G1310" s="72">
        <v>0</v>
      </c>
    </row>
    <row r="1311" spans="2:7" x14ac:dyDescent="0.25">
      <c r="B1311" s="71">
        <v>43557</v>
      </c>
      <c r="C1311" t="s">
        <v>57</v>
      </c>
      <c r="D1311" t="s">
        <v>85</v>
      </c>
      <c r="E1311" t="s">
        <v>263</v>
      </c>
      <c r="F1311" s="72">
        <v>72</v>
      </c>
      <c r="G1311" s="72">
        <v>0</v>
      </c>
    </row>
    <row r="1312" spans="2:7" x14ac:dyDescent="0.25">
      <c r="B1312" s="71">
        <v>43557</v>
      </c>
      <c r="C1312" t="s">
        <v>48</v>
      </c>
      <c r="D1312" t="s">
        <v>85</v>
      </c>
      <c r="E1312" t="s">
        <v>263</v>
      </c>
      <c r="F1312" s="72">
        <v>37.270000000000003</v>
      </c>
      <c r="G1312" s="72">
        <v>0</v>
      </c>
    </row>
    <row r="1313" spans="2:7" x14ac:dyDescent="0.25">
      <c r="B1313" s="71">
        <v>43557</v>
      </c>
      <c r="C1313" t="s">
        <v>52</v>
      </c>
      <c r="D1313" t="s">
        <v>85</v>
      </c>
      <c r="E1313" t="s">
        <v>263</v>
      </c>
      <c r="F1313" s="72">
        <v>47.1</v>
      </c>
      <c r="G1313" s="72">
        <v>0</v>
      </c>
    </row>
    <row r="1314" spans="2:7" x14ac:dyDescent="0.25">
      <c r="B1314" s="71">
        <v>43557</v>
      </c>
      <c r="C1314" t="s">
        <v>21</v>
      </c>
      <c r="D1314" t="s">
        <v>80</v>
      </c>
      <c r="E1314" t="s">
        <v>263</v>
      </c>
      <c r="F1314" s="72">
        <v>16</v>
      </c>
      <c r="G1314" s="72">
        <v>0</v>
      </c>
    </row>
    <row r="1315" spans="2:7" x14ac:dyDescent="0.25">
      <c r="B1315" s="71">
        <v>43557</v>
      </c>
      <c r="C1315" t="s">
        <v>21</v>
      </c>
      <c r="D1315" t="s">
        <v>80</v>
      </c>
      <c r="E1315" t="s">
        <v>263</v>
      </c>
      <c r="F1315" s="72">
        <v>24</v>
      </c>
      <c r="G1315" s="72">
        <v>0</v>
      </c>
    </row>
    <row r="1316" spans="2:7" x14ac:dyDescent="0.25">
      <c r="B1316" s="71">
        <v>43557</v>
      </c>
      <c r="C1316" t="s">
        <v>21</v>
      </c>
      <c r="D1316" t="s">
        <v>80</v>
      </c>
      <c r="E1316" t="s">
        <v>263</v>
      </c>
      <c r="F1316" s="72">
        <v>48</v>
      </c>
      <c r="G1316" s="72">
        <v>0</v>
      </c>
    </row>
    <row r="1317" spans="2:7" x14ac:dyDescent="0.25">
      <c r="B1317" s="71">
        <v>43557</v>
      </c>
      <c r="C1317" t="s">
        <v>21</v>
      </c>
      <c r="D1317" t="s">
        <v>80</v>
      </c>
      <c r="E1317" t="s">
        <v>263</v>
      </c>
      <c r="F1317" s="72">
        <v>64</v>
      </c>
      <c r="G1317" s="72">
        <v>0</v>
      </c>
    </row>
    <row r="1318" spans="2:7" x14ac:dyDescent="0.25">
      <c r="B1318" s="71">
        <v>43557</v>
      </c>
      <c r="C1318" t="s">
        <v>49</v>
      </c>
      <c r="D1318" t="s">
        <v>85</v>
      </c>
      <c r="E1318" t="s">
        <v>263</v>
      </c>
      <c r="F1318" s="72">
        <v>150</v>
      </c>
      <c r="G1318" s="72">
        <v>0</v>
      </c>
    </row>
    <row r="1319" spans="2:7" x14ac:dyDescent="0.25">
      <c r="B1319" s="71">
        <v>43557</v>
      </c>
      <c r="C1319" t="s">
        <v>46</v>
      </c>
      <c r="D1319" t="s">
        <v>86</v>
      </c>
      <c r="E1319" t="s">
        <v>263</v>
      </c>
      <c r="F1319" s="72">
        <v>35</v>
      </c>
      <c r="G1319" s="72">
        <v>0</v>
      </c>
    </row>
    <row r="1320" spans="2:7" x14ac:dyDescent="0.25">
      <c r="B1320" s="71">
        <v>43557</v>
      </c>
      <c r="C1320" t="s">
        <v>50</v>
      </c>
      <c r="D1320" t="s">
        <v>85</v>
      </c>
      <c r="E1320" t="s">
        <v>263</v>
      </c>
      <c r="F1320" s="72">
        <v>150</v>
      </c>
      <c r="G1320" s="72">
        <v>0</v>
      </c>
    </row>
    <row r="1321" spans="2:7" x14ac:dyDescent="0.25">
      <c r="B1321" s="71">
        <v>43557</v>
      </c>
      <c r="C1321" t="s">
        <v>51</v>
      </c>
      <c r="D1321" t="s">
        <v>85</v>
      </c>
      <c r="E1321" t="s">
        <v>263</v>
      </c>
      <c r="F1321" s="72">
        <v>2100</v>
      </c>
      <c r="G1321" s="72">
        <v>0</v>
      </c>
    </row>
    <row r="1322" spans="2:7" x14ac:dyDescent="0.25">
      <c r="B1322" s="71">
        <v>43557</v>
      </c>
      <c r="C1322" t="s">
        <v>74</v>
      </c>
      <c r="D1322" t="s">
        <v>85</v>
      </c>
      <c r="E1322" t="s">
        <v>263</v>
      </c>
      <c r="F1322" s="72">
        <v>66.900000000000006</v>
      </c>
      <c r="G1322" s="72">
        <v>0</v>
      </c>
    </row>
    <row r="1323" spans="2:7" x14ac:dyDescent="0.25">
      <c r="B1323" s="71">
        <v>43557</v>
      </c>
      <c r="C1323" t="s">
        <v>24</v>
      </c>
      <c r="D1323" t="s">
        <v>80</v>
      </c>
      <c r="E1323" t="s">
        <v>263</v>
      </c>
      <c r="F1323" s="72">
        <v>8</v>
      </c>
      <c r="G1323" s="72">
        <v>0</v>
      </c>
    </row>
    <row r="1324" spans="2:7" x14ac:dyDescent="0.25">
      <c r="B1324" s="71">
        <v>43557</v>
      </c>
      <c r="C1324" t="s">
        <v>24</v>
      </c>
      <c r="D1324" t="s">
        <v>80</v>
      </c>
      <c r="E1324" t="s">
        <v>263</v>
      </c>
      <c r="F1324" s="72">
        <v>16</v>
      </c>
      <c r="G1324" s="72">
        <v>0</v>
      </c>
    </row>
    <row r="1325" spans="2:7" x14ac:dyDescent="0.25">
      <c r="B1325" s="71">
        <v>43558</v>
      </c>
      <c r="C1325" t="s">
        <v>25</v>
      </c>
      <c r="D1325" t="s">
        <v>81</v>
      </c>
      <c r="E1325" t="s">
        <v>264</v>
      </c>
      <c r="F1325" s="72">
        <v>12.55</v>
      </c>
      <c r="G1325" s="72">
        <v>0</v>
      </c>
    </row>
    <row r="1326" spans="2:7" x14ac:dyDescent="0.25">
      <c r="B1326" s="71">
        <v>43558</v>
      </c>
      <c r="C1326" t="s">
        <v>25</v>
      </c>
      <c r="D1326" t="s">
        <v>81</v>
      </c>
      <c r="E1326" t="s">
        <v>264</v>
      </c>
      <c r="F1326" s="72">
        <v>24.2</v>
      </c>
      <c r="G1326" s="72">
        <v>0</v>
      </c>
    </row>
    <row r="1327" spans="2:7" x14ac:dyDescent="0.25">
      <c r="B1327" s="71">
        <v>43558</v>
      </c>
      <c r="C1327" t="s">
        <v>25</v>
      </c>
      <c r="D1327" t="s">
        <v>81</v>
      </c>
      <c r="E1327" t="s">
        <v>264</v>
      </c>
      <c r="F1327" s="72">
        <v>25.99</v>
      </c>
      <c r="G1327" s="72">
        <v>0</v>
      </c>
    </row>
    <row r="1328" spans="2:7" x14ac:dyDescent="0.25">
      <c r="B1328" s="71">
        <v>43558</v>
      </c>
      <c r="C1328" t="s">
        <v>25</v>
      </c>
      <c r="D1328" t="s">
        <v>81</v>
      </c>
      <c r="E1328" t="s">
        <v>264</v>
      </c>
      <c r="F1328" s="72">
        <v>30.95</v>
      </c>
      <c r="G1328" s="72">
        <v>0</v>
      </c>
    </row>
    <row r="1329" spans="2:7" x14ac:dyDescent="0.25">
      <c r="B1329" s="71">
        <v>43558</v>
      </c>
      <c r="C1329" t="s">
        <v>25</v>
      </c>
      <c r="D1329" t="s">
        <v>81</v>
      </c>
      <c r="E1329" t="s">
        <v>264</v>
      </c>
      <c r="F1329" s="72">
        <v>35.950000000000003</v>
      </c>
      <c r="G1329" s="72">
        <v>0</v>
      </c>
    </row>
    <row r="1330" spans="2:7" x14ac:dyDescent="0.25">
      <c r="B1330" s="71">
        <v>43558</v>
      </c>
      <c r="C1330" t="s">
        <v>25</v>
      </c>
      <c r="D1330" t="s">
        <v>81</v>
      </c>
      <c r="E1330" t="s">
        <v>264</v>
      </c>
      <c r="F1330" s="72">
        <v>37.979999999999997</v>
      </c>
      <c r="G1330" s="72">
        <v>0</v>
      </c>
    </row>
    <row r="1331" spans="2:7" x14ac:dyDescent="0.25">
      <c r="B1331" s="71">
        <v>43558</v>
      </c>
      <c r="C1331" t="s">
        <v>25</v>
      </c>
      <c r="D1331" t="s">
        <v>81</v>
      </c>
      <c r="E1331" t="s">
        <v>264</v>
      </c>
      <c r="F1331" s="72">
        <v>40.229999999999997</v>
      </c>
      <c r="G1331" s="72">
        <v>0</v>
      </c>
    </row>
    <row r="1332" spans="2:7" x14ac:dyDescent="0.25">
      <c r="B1332" s="71">
        <v>43558</v>
      </c>
      <c r="C1332" t="s">
        <v>25</v>
      </c>
      <c r="D1332" t="s">
        <v>81</v>
      </c>
      <c r="E1332" t="s">
        <v>264</v>
      </c>
      <c r="F1332" s="72">
        <v>149.80000000000001</v>
      </c>
      <c r="G1332" s="72">
        <v>0</v>
      </c>
    </row>
    <row r="1333" spans="2:7" x14ac:dyDescent="0.25">
      <c r="B1333" s="71">
        <v>43558</v>
      </c>
      <c r="C1333" t="s">
        <v>25</v>
      </c>
      <c r="D1333" t="s">
        <v>88</v>
      </c>
      <c r="E1333" t="s">
        <v>264</v>
      </c>
      <c r="F1333" s="72">
        <v>8.35</v>
      </c>
      <c r="G1333" s="72">
        <v>0</v>
      </c>
    </row>
    <row r="1334" spans="2:7" x14ac:dyDescent="0.25">
      <c r="B1334" s="71">
        <v>43558</v>
      </c>
      <c r="C1334" t="s">
        <v>25</v>
      </c>
      <c r="D1334" t="s">
        <v>88</v>
      </c>
      <c r="E1334" t="s">
        <v>264</v>
      </c>
      <c r="F1334" s="72">
        <v>13.12</v>
      </c>
      <c r="G1334" s="72">
        <v>0</v>
      </c>
    </row>
    <row r="1335" spans="2:7" x14ac:dyDescent="0.25">
      <c r="B1335" s="71">
        <v>43558</v>
      </c>
      <c r="C1335" t="s">
        <v>25</v>
      </c>
      <c r="D1335" t="s">
        <v>88</v>
      </c>
      <c r="E1335" t="s">
        <v>264</v>
      </c>
      <c r="F1335" s="72">
        <v>16</v>
      </c>
      <c r="G1335" s="72">
        <v>0</v>
      </c>
    </row>
    <row r="1336" spans="2:7" x14ac:dyDescent="0.25">
      <c r="B1336" s="71">
        <v>43558</v>
      </c>
      <c r="C1336" t="s">
        <v>25</v>
      </c>
      <c r="D1336" t="s">
        <v>88</v>
      </c>
      <c r="E1336" t="s">
        <v>264</v>
      </c>
      <c r="F1336" s="72">
        <v>27.6</v>
      </c>
      <c r="G1336" s="72">
        <v>0</v>
      </c>
    </row>
    <row r="1337" spans="2:7" x14ac:dyDescent="0.25">
      <c r="B1337" s="71">
        <v>43558</v>
      </c>
      <c r="C1337" t="s">
        <v>25</v>
      </c>
      <c r="D1337" t="s">
        <v>88</v>
      </c>
      <c r="E1337" t="s">
        <v>264</v>
      </c>
      <c r="F1337" s="72">
        <v>31.99</v>
      </c>
      <c r="G1337" s="72">
        <v>0</v>
      </c>
    </row>
    <row r="1338" spans="2:7" x14ac:dyDescent="0.25">
      <c r="B1338" s="71">
        <v>43558</v>
      </c>
      <c r="C1338" t="s">
        <v>25</v>
      </c>
      <c r="D1338" t="s">
        <v>88</v>
      </c>
      <c r="E1338" t="s">
        <v>264</v>
      </c>
      <c r="F1338" s="72">
        <v>62.27</v>
      </c>
      <c r="G1338" s="72">
        <v>0</v>
      </c>
    </row>
    <row r="1339" spans="2:7" x14ac:dyDescent="0.25">
      <c r="B1339" s="71">
        <v>43558</v>
      </c>
      <c r="C1339" t="s">
        <v>25</v>
      </c>
      <c r="D1339" t="s">
        <v>88</v>
      </c>
      <c r="E1339" t="s">
        <v>264</v>
      </c>
      <c r="F1339" s="72">
        <v>65.099999999999994</v>
      </c>
      <c r="G1339" s="72">
        <v>0</v>
      </c>
    </row>
    <row r="1340" spans="2:7" x14ac:dyDescent="0.25">
      <c r="B1340" s="71">
        <v>43558</v>
      </c>
      <c r="C1340" t="s">
        <v>25</v>
      </c>
      <c r="D1340" t="s">
        <v>88</v>
      </c>
      <c r="E1340" t="s">
        <v>264</v>
      </c>
      <c r="F1340" s="72">
        <v>71.84</v>
      </c>
      <c r="G1340" s="72">
        <v>0</v>
      </c>
    </row>
    <row r="1341" spans="2:7" x14ac:dyDescent="0.25">
      <c r="B1341" s="71">
        <v>43558</v>
      </c>
      <c r="C1341" t="s">
        <v>25</v>
      </c>
      <c r="D1341" t="s">
        <v>88</v>
      </c>
      <c r="E1341" t="s">
        <v>264</v>
      </c>
      <c r="F1341" s="72">
        <v>75.97</v>
      </c>
      <c r="G1341" s="72">
        <v>0</v>
      </c>
    </row>
    <row r="1342" spans="2:7" x14ac:dyDescent="0.25">
      <c r="B1342" s="71">
        <v>43558</v>
      </c>
      <c r="C1342" t="s">
        <v>25</v>
      </c>
      <c r="D1342" t="s">
        <v>88</v>
      </c>
      <c r="E1342" t="s">
        <v>264</v>
      </c>
      <c r="F1342" s="72">
        <v>89.56</v>
      </c>
      <c r="G1342" s="72">
        <v>0</v>
      </c>
    </row>
    <row r="1343" spans="2:7" x14ac:dyDescent="0.25">
      <c r="B1343" s="71">
        <v>43558</v>
      </c>
      <c r="C1343" t="s">
        <v>25</v>
      </c>
      <c r="D1343" t="s">
        <v>88</v>
      </c>
      <c r="E1343" t="s">
        <v>264</v>
      </c>
      <c r="F1343" s="72">
        <v>90</v>
      </c>
      <c r="G1343" s="72">
        <v>0</v>
      </c>
    </row>
    <row r="1344" spans="2:7" x14ac:dyDescent="0.25">
      <c r="B1344" s="71">
        <v>43558</v>
      </c>
      <c r="C1344" t="s">
        <v>25</v>
      </c>
      <c r="D1344" t="s">
        <v>88</v>
      </c>
      <c r="E1344" t="s">
        <v>264</v>
      </c>
      <c r="F1344" s="72">
        <v>95</v>
      </c>
      <c r="G1344" s="72">
        <v>0</v>
      </c>
    </row>
    <row r="1345" spans="2:7" x14ac:dyDescent="0.25">
      <c r="B1345" s="71">
        <v>43558</v>
      </c>
      <c r="C1345" t="s">
        <v>25</v>
      </c>
      <c r="D1345" t="s">
        <v>88</v>
      </c>
      <c r="E1345" t="s">
        <v>264</v>
      </c>
      <c r="F1345" s="72">
        <v>98.66</v>
      </c>
      <c r="G1345" s="72">
        <v>0</v>
      </c>
    </row>
    <row r="1346" spans="2:7" x14ac:dyDescent="0.25">
      <c r="B1346" s="71">
        <v>43558</v>
      </c>
      <c r="C1346" t="s">
        <v>25</v>
      </c>
      <c r="D1346" t="s">
        <v>88</v>
      </c>
      <c r="E1346" t="s">
        <v>264</v>
      </c>
      <c r="F1346" s="72">
        <v>200.79</v>
      </c>
      <c r="G1346" s="72">
        <v>0</v>
      </c>
    </row>
    <row r="1347" spans="2:7" x14ac:dyDescent="0.25">
      <c r="B1347" s="71">
        <v>43558</v>
      </c>
      <c r="C1347" t="s">
        <v>25</v>
      </c>
      <c r="D1347" t="s">
        <v>88</v>
      </c>
      <c r="E1347" t="s">
        <v>264</v>
      </c>
      <c r="F1347" s="72">
        <v>237</v>
      </c>
      <c r="G1347" s="72">
        <v>0</v>
      </c>
    </row>
    <row r="1348" spans="2:7" x14ac:dyDescent="0.25">
      <c r="B1348" s="71">
        <v>43558</v>
      </c>
      <c r="C1348" t="s">
        <v>25</v>
      </c>
      <c r="D1348" t="s">
        <v>82</v>
      </c>
      <c r="E1348" t="s">
        <v>173</v>
      </c>
      <c r="F1348" s="72">
        <v>14.35</v>
      </c>
      <c r="G1348" s="72">
        <v>0</v>
      </c>
    </row>
    <row r="1349" spans="2:7" x14ac:dyDescent="0.25">
      <c r="B1349" s="71">
        <v>43558</v>
      </c>
      <c r="C1349" t="s">
        <v>25</v>
      </c>
      <c r="D1349" t="s">
        <v>82</v>
      </c>
      <c r="E1349" t="s">
        <v>154</v>
      </c>
      <c r="F1349" s="72">
        <v>6.4</v>
      </c>
      <c r="G1349" s="72">
        <v>0</v>
      </c>
    </row>
    <row r="1350" spans="2:7" x14ac:dyDescent="0.25">
      <c r="B1350" s="71">
        <v>43558</v>
      </c>
      <c r="C1350" t="s">
        <v>25</v>
      </c>
      <c r="D1350" t="s">
        <v>82</v>
      </c>
      <c r="E1350" t="s">
        <v>165</v>
      </c>
      <c r="F1350" s="72">
        <v>9</v>
      </c>
      <c r="G1350" s="72">
        <v>0</v>
      </c>
    </row>
    <row r="1351" spans="2:7" x14ac:dyDescent="0.25">
      <c r="B1351" s="71">
        <v>43558</v>
      </c>
      <c r="C1351" t="s">
        <v>25</v>
      </c>
      <c r="D1351" t="s">
        <v>82</v>
      </c>
      <c r="E1351" t="s">
        <v>129</v>
      </c>
      <c r="F1351" s="72">
        <v>2.4</v>
      </c>
      <c r="G1351" s="72">
        <v>0</v>
      </c>
    </row>
    <row r="1352" spans="2:7" x14ac:dyDescent="0.25">
      <c r="B1352" s="71">
        <v>43558</v>
      </c>
      <c r="C1352" t="s">
        <v>60</v>
      </c>
      <c r="D1352" t="s">
        <v>85</v>
      </c>
      <c r="E1352" t="s">
        <v>264</v>
      </c>
      <c r="F1352" s="72">
        <v>16</v>
      </c>
      <c r="G1352" s="72">
        <v>0</v>
      </c>
    </row>
    <row r="1353" spans="2:7" x14ac:dyDescent="0.25">
      <c r="B1353" s="71">
        <v>43558</v>
      </c>
      <c r="C1353" t="s">
        <v>48</v>
      </c>
      <c r="D1353" t="s">
        <v>87</v>
      </c>
      <c r="E1353" t="s">
        <v>264</v>
      </c>
      <c r="F1353" s="72">
        <v>484.22</v>
      </c>
      <c r="G1353" s="72">
        <v>0</v>
      </c>
    </row>
    <row r="1354" spans="2:7" x14ac:dyDescent="0.25">
      <c r="B1354" s="71">
        <v>43558</v>
      </c>
      <c r="C1354" t="s">
        <v>52</v>
      </c>
      <c r="D1354" t="s">
        <v>87</v>
      </c>
      <c r="E1354" t="s">
        <v>264</v>
      </c>
      <c r="F1354" s="72">
        <v>43.34</v>
      </c>
      <c r="G1354" s="72">
        <v>0</v>
      </c>
    </row>
    <row r="1355" spans="2:7" x14ac:dyDescent="0.25">
      <c r="B1355" s="71">
        <v>43558</v>
      </c>
      <c r="C1355" t="s">
        <v>52</v>
      </c>
      <c r="D1355" t="s">
        <v>85</v>
      </c>
      <c r="E1355" t="s">
        <v>264</v>
      </c>
      <c r="F1355" s="72">
        <v>145.25</v>
      </c>
      <c r="G1355" s="72">
        <v>0</v>
      </c>
    </row>
    <row r="1356" spans="2:7" x14ac:dyDescent="0.25">
      <c r="B1356" s="71">
        <v>43558</v>
      </c>
      <c r="C1356" t="s">
        <v>58</v>
      </c>
      <c r="D1356" t="s">
        <v>81</v>
      </c>
      <c r="E1356" t="s">
        <v>264</v>
      </c>
      <c r="F1356" s="72">
        <v>20.75</v>
      </c>
      <c r="G1356" s="72">
        <v>0</v>
      </c>
    </row>
    <row r="1357" spans="2:7" x14ac:dyDescent="0.25">
      <c r="B1357" s="71">
        <v>43558</v>
      </c>
      <c r="C1357" t="s">
        <v>21</v>
      </c>
      <c r="D1357" t="s">
        <v>80</v>
      </c>
      <c r="E1357" t="s">
        <v>264</v>
      </c>
      <c r="F1357" s="72">
        <v>8</v>
      </c>
      <c r="G1357" s="72">
        <v>0</v>
      </c>
    </row>
    <row r="1358" spans="2:7" x14ac:dyDescent="0.25">
      <c r="B1358" s="71">
        <v>43558</v>
      </c>
      <c r="C1358" t="s">
        <v>21</v>
      </c>
      <c r="D1358" t="s">
        <v>80</v>
      </c>
      <c r="E1358" t="s">
        <v>264</v>
      </c>
      <c r="F1358" s="72">
        <v>24</v>
      </c>
      <c r="G1358" s="72">
        <v>0</v>
      </c>
    </row>
    <row r="1359" spans="2:7" x14ac:dyDescent="0.25">
      <c r="B1359" s="71">
        <v>43558</v>
      </c>
      <c r="C1359" t="s">
        <v>21</v>
      </c>
      <c r="D1359" t="s">
        <v>80</v>
      </c>
      <c r="E1359" t="s">
        <v>264</v>
      </c>
      <c r="F1359" s="72">
        <v>40</v>
      </c>
      <c r="G1359" s="72">
        <v>0</v>
      </c>
    </row>
    <row r="1360" spans="2:7" x14ac:dyDescent="0.25">
      <c r="B1360" s="71">
        <v>43558</v>
      </c>
      <c r="C1360" t="s">
        <v>21</v>
      </c>
      <c r="D1360" t="s">
        <v>80</v>
      </c>
      <c r="E1360" t="s">
        <v>264</v>
      </c>
      <c r="F1360" s="72">
        <v>48</v>
      </c>
      <c r="G1360" s="72">
        <v>0</v>
      </c>
    </row>
    <row r="1361" spans="2:7" x14ac:dyDescent="0.25">
      <c r="B1361" s="71">
        <v>43558</v>
      </c>
      <c r="C1361" t="s">
        <v>21</v>
      </c>
      <c r="D1361" t="s">
        <v>80</v>
      </c>
      <c r="E1361" t="s">
        <v>264</v>
      </c>
      <c r="F1361" s="72">
        <v>64</v>
      </c>
      <c r="G1361" s="72">
        <v>0</v>
      </c>
    </row>
    <row r="1362" spans="2:7" x14ac:dyDescent="0.25">
      <c r="B1362" s="71">
        <v>43558</v>
      </c>
      <c r="C1362" t="s">
        <v>49</v>
      </c>
      <c r="D1362" t="s">
        <v>81</v>
      </c>
      <c r="E1362" t="s">
        <v>264</v>
      </c>
      <c r="F1362" s="72">
        <v>23.61</v>
      </c>
      <c r="G1362" s="72">
        <v>0</v>
      </c>
    </row>
    <row r="1363" spans="2:7" x14ac:dyDescent="0.25">
      <c r="B1363" s="71">
        <v>43558</v>
      </c>
      <c r="C1363" t="s">
        <v>56</v>
      </c>
      <c r="D1363" t="s">
        <v>86</v>
      </c>
      <c r="E1363" t="s">
        <v>264</v>
      </c>
      <c r="F1363" s="72">
        <v>2544.39</v>
      </c>
      <c r="G1363" s="72">
        <v>0</v>
      </c>
    </row>
    <row r="1364" spans="2:7" x14ac:dyDescent="0.25">
      <c r="B1364" s="71">
        <v>43558</v>
      </c>
      <c r="C1364" t="s">
        <v>51</v>
      </c>
      <c r="D1364" t="s">
        <v>88</v>
      </c>
      <c r="E1364" t="s">
        <v>264</v>
      </c>
      <c r="F1364" s="72">
        <v>36.85</v>
      </c>
      <c r="G1364" s="72">
        <v>0</v>
      </c>
    </row>
    <row r="1365" spans="2:7" x14ac:dyDescent="0.25">
      <c r="B1365" s="71">
        <v>43558</v>
      </c>
      <c r="C1365" t="s">
        <v>70</v>
      </c>
      <c r="D1365" t="s">
        <v>88</v>
      </c>
      <c r="E1365" t="s">
        <v>264</v>
      </c>
      <c r="F1365" s="72">
        <v>74.849999999999994</v>
      </c>
      <c r="G1365" s="72">
        <v>0</v>
      </c>
    </row>
    <row r="1366" spans="2:7" x14ac:dyDescent="0.25">
      <c r="B1366" s="71">
        <v>43558</v>
      </c>
      <c r="C1366" t="s">
        <v>54</v>
      </c>
      <c r="D1366" t="s">
        <v>80</v>
      </c>
      <c r="E1366" t="s">
        <v>264</v>
      </c>
      <c r="F1366" s="72">
        <v>14.75</v>
      </c>
      <c r="G1366" s="72">
        <v>0</v>
      </c>
    </row>
    <row r="1367" spans="2:7" x14ac:dyDescent="0.25">
      <c r="B1367" s="71">
        <v>43558</v>
      </c>
      <c r="C1367" t="s">
        <v>54</v>
      </c>
      <c r="D1367" t="s">
        <v>85</v>
      </c>
      <c r="E1367" t="s">
        <v>264</v>
      </c>
      <c r="F1367" s="72">
        <v>27.1</v>
      </c>
      <c r="G1367" s="72">
        <v>0</v>
      </c>
    </row>
    <row r="1368" spans="2:7" x14ac:dyDescent="0.25">
      <c r="B1368" s="71">
        <v>43558</v>
      </c>
      <c r="C1368" t="s">
        <v>72</v>
      </c>
      <c r="D1368" t="s">
        <v>87</v>
      </c>
      <c r="E1368" t="s">
        <v>264</v>
      </c>
      <c r="F1368" s="72">
        <v>1.03</v>
      </c>
      <c r="G1368" s="72">
        <v>0</v>
      </c>
    </row>
    <row r="1369" spans="2:7" x14ac:dyDescent="0.25">
      <c r="B1369" s="71">
        <v>43558</v>
      </c>
      <c r="C1369" t="s">
        <v>24</v>
      </c>
      <c r="D1369" t="s">
        <v>80</v>
      </c>
      <c r="E1369" t="s">
        <v>264</v>
      </c>
      <c r="F1369" s="72">
        <v>8</v>
      </c>
      <c r="G1369" s="72">
        <v>0</v>
      </c>
    </row>
    <row r="1370" spans="2:7" x14ac:dyDescent="0.25">
      <c r="B1370" s="71">
        <v>43558</v>
      </c>
      <c r="C1370" t="s">
        <v>62</v>
      </c>
      <c r="D1370" t="s">
        <v>81</v>
      </c>
      <c r="E1370" t="s">
        <v>264</v>
      </c>
      <c r="F1370" s="72">
        <v>297.3</v>
      </c>
      <c r="G1370" s="72">
        <v>0</v>
      </c>
    </row>
    <row r="1371" spans="2:7" x14ac:dyDescent="0.25">
      <c r="B1371" s="71">
        <v>43558</v>
      </c>
      <c r="C1371" t="s">
        <v>62</v>
      </c>
      <c r="D1371" t="s">
        <v>88</v>
      </c>
      <c r="E1371" t="s">
        <v>264</v>
      </c>
      <c r="F1371" s="72">
        <v>225.98</v>
      </c>
      <c r="G1371" s="72">
        <v>0</v>
      </c>
    </row>
    <row r="1372" spans="2:7" x14ac:dyDescent="0.25">
      <c r="B1372" s="71">
        <v>43559</v>
      </c>
      <c r="C1372" t="s">
        <v>25</v>
      </c>
      <c r="D1372" t="s">
        <v>86</v>
      </c>
      <c r="E1372" t="s">
        <v>265</v>
      </c>
      <c r="F1372" s="72">
        <v>121.01</v>
      </c>
      <c r="G1372" s="72">
        <v>0</v>
      </c>
    </row>
    <row r="1373" spans="2:7" x14ac:dyDescent="0.25">
      <c r="B1373" s="71">
        <v>43559</v>
      </c>
      <c r="C1373" t="s">
        <v>25</v>
      </c>
      <c r="D1373" t="s">
        <v>82</v>
      </c>
      <c r="E1373" t="s">
        <v>139</v>
      </c>
      <c r="F1373" s="72">
        <v>4.75</v>
      </c>
      <c r="G1373" s="72">
        <v>0</v>
      </c>
    </row>
    <row r="1374" spans="2:7" x14ac:dyDescent="0.25">
      <c r="B1374" s="71">
        <v>43559</v>
      </c>
      <c r="C1374" t="s">
        <v>21</v>
      </c>
      <c r="D1374" t="s">
        <v>80</v>
      </c>
      <c r="E1374" t="s">
        <v>265</v>
      </c>
      <c r="F1374" s="72">
        <v>8</v>
      </c>
      <c r="G1374" s="72">
        <v>0</v>
      </c>
    </row>
    <row r="1375" spans="2:7" x14ac:dyDescent="0.25">
      <c r="B1375" s="71">
        <v>43559</v>
      </c>
      <c r="C1375" t="s">
        <v>21</v>
      </c>
      <c r="D1375" t="s">
        <v>80</v>
      </c>
      <c r="E1375" t="s">
        <v>265</v>
      </c>
      <c r="F1375" s="72">
        <v>16</v>
      </c>
      <c r="G1375" s="72">
        <v>0</v>
      </c>
    </row>
    <row r="1376" spans="2:7" x14ac:dyDescent="0.25">
      <c r="B1376" s="71">
        <v>43559</v>
      </c>
      <c r="C1376" t="s">
        <v>50</v>
      </c>
      <c r="D1376" t="s">
        <v>85</v>
      </c>
      <c r="E1376" t="s">
        <v>265</v>
      </c>
      <c r="F1376" s="72">
        <v>513.4</v>
      </c>
      <c r="G1376" s="72">
        <v>0</v>
      </c>
    </row>
    <row r="1377" spans="2:7" x14ac:dyDescent="0.25">
      <c r="B1377" s="71">
        <v>43559</v>
      </c>
      <c r="C1377" t="s">
        <v>51</v>
      </c>
      <c r="D1377" t="s">
        <v>85</v>
      </c>
      <c r="E1377" t="s">
        <v>265</v>
      </c>
      <c r="F1377" s="72">
        <v>24</v>
      </c>
      <c r="G1377" s="72">
        <v>0</v>
      </c>
    </row>
    <row r="1378" spans="2:7" x14ac:dyDescent="0.25">
      <c r="B1378" s="71">
        <v>43559</v>
      </c>
      <c r="C1378" t="s">
        <v>24</v>
      </c>
      <c r="D1378" t="s">
        <v>80</v>
      </c>
      <c r="E1378" t="s">
        <v>265</v>
      </c>
      <c r="F1378" s="72">
        <v>16</v>
      </c>
      <c r="G1378" s="72">
        <v>0</v>
      </c>
    </row>
    <row r="1379" spans="2:7" x14ac:dyDescent="0.25">
      <c r="B1379" s="71">
        <v>43559</v>
      </c>
      <c r="C1379" t="s">
        <v>24</v>
      </c>
      <c r="D1379" t="s">
        <v>85</v>
      </c>
      <c r="E1379" t="s">
        <v>265</v>
      </c>
      <c r="F1379" s="72">
        <v>221</v>
      </c>
      <c r="G1379" s="72">
        <v>0</v>
      </c>
    </row>
    <row r="1380" spans="2:7" x14ac:dyDescent="0.25">
      <c r="B1380" s="71">
        <v>43560</v>
      </c>
      <c r="C1380" t="s">
        <v>25</v>
      </c>
      <c r="D1380" t="s">
        <v>81</v>
      </c>
      <c r="E1380" t="s">
        <v>266</v>
      </c>
      <c r="F1380" s="72">
        <v>25.98</v>
      </c>
      <c r="G1380" s="72">
        <v>0</v>
      </c>
    </row>
    <row r="1381" spans="2:7" x14ac:dyDescent="0.25">
      <c r="B1381" s="71">
        <v>43560</v>
      </c>
      <c r="C1381" t="s">
        <v>25</v>
      </c>
      <c r="D1381" t="s">
        <v>81</v>
      </c>
      <c r="E1381" t="s">
        <v>266</v>
      </c>
      <c r="F1381" s="72">
        <v>57.27</v>
      </c>
      <c r="G1381" s="72">
        <v>0</v>
      </c>
    </row>
    <row r="1382" spans="2:7" x14ac:dyDescent="0.25">
      <c r="B1382" s="71">
        <v>43560</v>
      </c>
      <c r="C1382" t="s">
        <v>25</v>
      </c>
      <c r="D1382" t="s">
        <v>81</v>
      </c>
      <c r="E1382" t="s">
        <v>266</v>
      </c>
      <c r="F1382" s="72">
        <v>124.33</v>
      </c>
      <c r="G1382" s="72">
        <v>0</v>
      </c>
    </row>
    <row r="1383" spans="2:7" x14ac:dyDescent="0.25">
      <c r="B1383" s="71">
        <v>43560</v>
      </c>
      <c r="C1383" t="s">
        <v>25</v>
      </c>
      <c r="D1383" t="s">
        <v>88</v>
      </c>
      <c r="E1383" t="s">
        <v>266</v>
      </c>
      <c r="F1383" s="72">
        <v>18.95</v>
      </c>
      <c r="G1383" s="72">
        <v>0</v>
      </c>
    </row>
    <row r="1384" spans="2:7" x14ac:dyDescent="0.25">
      <c r="B1384" s="71">
        <v>43560</v>
      </c>
      <c r="C1384" t="s">
        <v>25</v>
      </c>
      <c r="D1384" t="s">
        <v>88</v>
      </c>
      <c r="E1384" t="s">
        <v>266</v>
      </c>
      <c r="F1384" s="72">
        <v>21.95</v>
      </c>
      <c r="G1384" s="72">
        <v>0</v>
      </c>
    </row>
    <row r="1385" spans="2:7" x14ac:dyDescent="0.25">
      <c r="B1385" s="71">
        <v>43560</v>
      </c>
      <c r="C1385" t="s">
        <v>25</v>
      </c>
      <c r="D1385" t="s">
        <v>88</v>
      </c>
      <c r="E1385" t="s">
        <v>266</v>
      </c>
      <c r="F1385" s="72">
        <v>26.08</v>
      </c>
      <c r="G1385" s="72">
        <v>0</v>
      </c>
    </row>
    <row r="1386" spans="2:7" x14ac:dyDescent="0.25">
      <c r="B1386" s="71">
        <v>43560</v>
      </c>
      <c r="C1386" t="s">
        <v>25</v>
      </c>
      <c r="D1386" t="s">
        <v>88</v>
      </c>
      <c r="E1386" t="s">
        <v>266</v>
      </c>
      <c r="F1386" s="72">
        <v>37.159999999999997</v>
      </c>
      <c r="G1386" s="72">
        <v>0</v>
      </c>
    </row>
    <row r="1387" spans="2:7" x14ac:dyDescent="0.25">
      <c r="B1387" s="71">
        <v>43560</v>
      </c>
      <c r="C1387" t="s">
        <v>25</v>
      </c>
      <c r="D1387" t="s">
        <v>88</v>
      </c>
      <c r="E1387" t="s">
        <v>266</v>
      </c>
      <c r="F1387" s="72">
        <v>51.46</v>
      </c>
      <c r="G1387" s="72">
        <v>0</v>
      </c>
    </row>
    <row r="1388" spans="2:7" x14ac:dyDescent="0.25">
      <c r="B1388" s="71">
        <v>43560</v>
      </c>
      <c r="C1388" t="s">
        <v>25</v>
      </c>
      <c r="D1388" t="s">
        <v>88</v>
      </c>
      <c r="E1388" t="s">
        <v>266</v>
      </c>
      <c r="F1388" s="72">
        <v>53.9</v>
      </c>
      <c r="G1388" s="72">
        <v>0</v>
      </c>
    </row>
    <row r="1389" spans="2:7" x14ac:dyDescent="0.25">
      <c r="B1389" s="71">
        <v>43560</v>
      </c>
      <c r="C1389" t="s">
        <v>25</v>
      </c>
      <c r="D1389" t="s">
        <v>88</v>
      </c>
      <c r="E1389" t="s">
        <v>266</v>
      </c>
      <c r="F1389" s="72">
        <v>66.959999999999994</v>
      </c>
      <c r="G1389" s="72">
        <v>0</v>
      </c>
    </row>
    <row r="1390" spans="2:7" x14ac:dyDescent="0.25">
      <c r="B1390" s="71">
        <v>43560</v>
      </c>
      <c r="C1390" t="s">
        <v>25</v>
      </c>
      <c r="D1390" t="s">
        <v>88</v>
      </c>
      <c r="E1390" t="s">
        <v>266</v>
      </c>
      <c r="F1390" s="72">
        <v>152.85</v>
      </c>
      <c r="G1390" s="72">
        <v>0</v>
      </c>
    </row>
    <row r="1391" spans="2:7" x14ac:dyDescent="0.25">
      <c r="B1391" s="71">
        <v>43560</v>
      </c>
      <c r="C1391" t="s">
        <v>60</v>
      </c>
      <c r="D1391" t="s">
        <v>85</v>
      </c>
      <c r="E1391" t="s">
        <v>266</v>
      </c>
      <c r="F1391" s="72">
        <v>187.8</v>
      </c>
      <c r="G1391" s="72">
        <v>0</v>
      </c>
    </row>
    <row r="1392" spans="2:7" x14ac:dyDescent="0.25">
      <c r="B1392" s="71">
        <v>43560</v>
      </c>
      <c r="C1392" t="s">
        <v>52</v>
      </c>
      <c r="D1392" t="s">
        <v>85</v>
      </c>
      <c r="E1392" t="s">
        <v>266</v>
      </c>
      <c r="F1392" s="72">
        <v>33</v>
      </c>
      <c r="G1392" s="72">
        <v>0</v>
      </c>
    </row>
    <row r="1393" spans="2:7" x14ac:dyDescent="0.25">
      <c r="B1393" s="71">
        <v>43560</v>
      </c>
      <c r="C1393" t="s">
        <v>21</v>
      </c>
      <c r="D1393" t="s">
        <v>80</v>
      </c>
      <c r="E1393" t="s">
        <v>266</v>
      </c>
      <c r="F1393" s="72">
        <v>16</v>
      </c>
      <c r="G1393" s="72">
        <v>0</v>
      </c>
    </row>
    <row r="1394" spans="2:7" x14ac:dyDescent="0.25">
      <c r="B1394" s="71">
        <v>43560</v>
      </c>
      <c r="C1394" t="s">
        <v>21</v>
      </c>
      <c r="D1394" t="s">
        <v>80</v>
      </c>
      <c r="E1394" t="s">
        <v>266</v>
      </c>
      <c r="F1394" s="72">
        <v>24</v>
      </c>
      <c r="G1394" s="72">
        <v>0</v>
      </c>
    </row>
    <row r="1395" spans="2:7" x14ac:dyDescent="0.25">
      <c r="B1395" s="71">
        <v>43560</v>
      </c>
      <c r="C1395" t="s">
        <v>21</v>
      </c>
      <c r="D1395" t="s">
        <v>85</v>
      </c>
      <c r="E1395" t="s">
        <v>266</v>
      </c>
      <c r="F1395" s="72">
        <v>84</v>
      </c>
      <c r="G1395" s="72">
        <v>0</v>
      </c>
    </row>
    <row r="1396" spans="2:7" x14ac:dyDescent="0.25">
      <c r="B1396" s="71">
        <v>43560</v>
      </c>
      <c r="C1396" t="s">
        <v>21</v>
      </c>
      <c r="D1396" t="s">
        <v>85</v>
      </c>
      <c r="E1396" t="s">
        <v>266</v>
      </c>
      <c r="F1396" s="72">
        <v>147.9</v>
      </c>
      <c r="G1396" s="72">
        <v>0</v>
      </c>
    </row>
    <row r="1397" spans="2:7" x14ac:dyDescent="0.25">
      <c r="B1397" s="71">
        <v>43560</v>
      </c>
      <c r="C1397" t="s">
        <v>49</v>
      </c>
      <c r="D1397" t="s">
        <v>81</v>
      </c>
      <c r="E1397" t="s">
        <v>266</v>
      </c>
      <c r="F1397" s="72">
        <v>66.59</v>
      </c>
      <c r="G1397" s="72">
        <v>0</v>
      </c>
    </row>
    <row r="1398" spans="2:7" x14ac:dyDescent="0.25">
      <c r="B1398" s="71">
        <v>43560</v>
      </c>
      <c r="C1398" t="s">
        <v>49</v>
      </c>
      <c r="D1398" t="s">
        <v>87</v>
      </c>
      <c r="E1398" t="s">
        <v>266</v>
      </c>
      <c r="F1398" s="72">
        <v>22</v>
      </c>
      <c r="G1398" s="72">
        <v>0</v>
      </c>
    </row>
    <row r="1399" spans="2:7" x14ac:dyDescent="0.25">
      <c r="B1399" s="71">
        <v>43560</v>
      </c>
      <c r="C1399" t="s">
        <v>56</v>
      </c>
      <c r="D1399" t="s">
        <v>81</v>
      </c>
      <c r="E1399" t="s">
        <v>266</v>
      </c>
      <c r="F1399" s="72">
        <v>131.61000000000001</v>
      </c>
      <c r="G1399" s="72">
        <v>0</v>
      </c>
    </row>
    <row r="1400" spans="2:7" x14ac:dyDescent="0.25">
      <c r="B1400" s="71">
        <v>43560</v>
      </c>
      <c r="C1400" t="s">
        <v>51</v>
      </c>
      <c r="D1400" t="s">
        <v>86</v>
      </c>
      <c r="E1400" t="s">
        <v>266</v>
      </c>
      <c r="F1400" s="72">
        <v>112.92</v>
      </c>
      <c r="G1400" s="72">
        <v>0</v>
      </c>
    </row>
    <row r="1401" spans="2:7" x14ac:dyDescent="0.25">
      <c r="B1401" s="71">
        <v>43560</v>
      </c>
      <c r="C1401" t="s">
        <v>51</v>
      </c>
      <c r="D1401" t="s">
        <v>85</v>
      </c>
      <c r="E1401" t="s">
        <v>266</v>
      </c>
      <c r="F1401" s="72">
        <v>24.93</v>
      </c>
      <c r="G1401" s="72">
        <v>0</v>
      </c>
    </row>
    <row r="1402" spans="2:7" x14ac:dyDescent="0.25">
      <c r="B1402" s="71">
        <v>43560</v>
      </c>
      <c r="C1402" t="s">
        <v>59</v>
      </c>
      <c r="D1402" t="s">
        <v>85</v>
      </c>
      <c r="E1402" t="s">
        <v>266</v>
      </c>
      <c r="F1402" s="72">
        <v>25</v>
      </c>
      <c r="G1402" s="72">
        <v>0</v>
      </c>
    </row>
    <row r="1403" spans="2:7" x14ac:dyDescent="0.25">
      <c r="B1403" s="71">
        <v>43560</v>
      </c>
      <c r="C1403" t="s">
        <v>54</v>
      </c>
      <c r="D1403" t="s">
        <v>86</v>
      </c>
      <c r="E1403" t="s">
        <v>266</v>
      </c>
      <c r="F1403" s="72">
        <v>347.34</v>
      </c>
      <c r="G1403" s="72">
        <v>0</v>
      </c>
    </row>
    <row r="1404" spans="2:7" x14ac:dyDescent="0.25">
      <c r="B1404" s="71">
        <v>43560</v>
      </c>
      <c r="C1404" t="s">
        <v>24</v>
      </c>
      <c r="D1404" t="s">
        <v>80</v>
      </c>
      <c r="E1404" t="s">
        <v>266</v>
      </c>
      <c r="F1404" s="72">
        <v>8</v>
      </c>
      <c r="G1404" s="72">
        <v>0</v>
      </c>
    </row>
    <row r="1405" spans="2:7" x14ac:dyDescent="0.25">
      <c r="B1405" s="71">
        <v>43560</v>
      </c>
      <c r="C1405" t="s">
        <v>61</v>
      </c>
      <c r="D1405" t="s">
        <v>88</v>
      </c>
      <c r="E1405" t="s">
        <v>266</v>
      </c>
      <c r="F1405" s="72">
        <v>185.06</v>
      </c>
      <c r="G1405" s="72">
        <v>0</v>
      </c>
    </row>
    <row r="1406" spans="2:7" x14ac:dyDescent="0.25">
      <c r="B1406" s="71">
        <v>43560</v>
      </c>
      <c r="C1406" t="s">
        <v>61</v>
      </c>
      <c r="D1406" t="s">
        <v>85</v>
      </c>
      <c r="E1406" t="s">
        <v>266</v>
      </c>
      <c r="F1406" s="72">
        <v>51.99</v>
      </c>
      <c r="G1406" s="72">
        <v>0</v>
      </c>
    </row>
    <row r="1407" spans="2:7" x14ac:dyDescent="0.25">
      <c r="B1407" s="71">
        <v>43561</v>
      </c>
      <c r="C1407" t="s">
        <v>25</v>
      </c>
      <c r="D1407" t="s">
        <v>80</v>
      </c>
      <c r="E1407" t="s">
        <v>267</v>
      </c>
      <c r="F1407" s="72">
        <v>16</v>
      </c>
      <c r="G1407" s="72">
        <v>0</v>
      </c>
    </row>
    <row r="1408" spans="2:7" x14ac:dyDescent="0.25">
      <c r="B1408" s="71">
        <v>43561</v>
      </c>
      <c r="C1408" t="s">
        <v>25</v>
      </c>
      <c r="D1408" t="s">
        <v>86</v>
      </c>
      <c r="E1408" t="s">
        <v>267</v>
      </c>
      <c r="F1408" s="72">
        <v>155</v>
      </c>
      <c r="G1408" s="72">
        <v>0</v>
      </c>
    </row>
    <row r="1409" spans="2:7" x14ac:dyDescent="0.25">
      <c r="B1409" s="71">
        <v>43561</v>
      </c>
      <c r="C1409" t="s">
        <v>25</v>
      </c>
      <c r="D1409" t="s">
        <v>82</v>
      </c>
      <c r="E1409" t="s">
        <v>169</v>
      </c>
      <c r="F1409" s="72">
        <v>22.5</v>
      </c>
      <c r="G1409" s="72">
        <v>0</v>
      </c>
    </row>
    <row r="1410" spans="2:7" x14ac:dyDescent="0.25">
      <c r="B1410" s="71">
        <v>43561</v>
      </c>
      <c r="C1410" t="s">
        <v>55</v>
      </c>
      <c r="D1410" t="s">
        <v>86</v>
      </c>
      <c r="E1410" t="s">
        <v>267</v>
      </c>
      <c r="F1410" s="72">
        <v>41.95</v>
      </c>
      <c r="G1410" s="72">
        <v>0</v>
      </c>
    </row>
    <row r="1411" spans="2:7" x14ac:dyDescent="0.25">
      <c r="B1411" s="71">
        <v>43561</v>
      </c>
      <c r="C1411" t="s">
        <v>47</v>
      </c>
      <c r="D1411" t="s">
        <v>86</v>
      </c>
      <c r="E1411" t="s">
        <v>267</v>
      </c>
      <c r="F1411" s="72">
        <v>136.80000000000001</v>
      </c>
      <c r="G1411" s="72">
        <v>0</v>
      </c>
    </row>
    <row r="1412" spans="2:7" x14ac:dyDescent="0.25">
      <c r="B1412" s="71">
        <v>43561</v>
      </c>
      <c r="C1412" t="s">
        <v>47</v>
      </c>
      <c r="D1412" t="s">
        <v>85</v>
      </c>
      <c r="E1412" t="s">
        <v>267</v>
      </c>
      <c r="F1412" s="72">
        <v>10</v>
      </c>
      <c r="G1412" s="72">
        <v>0</v>
      </c>
    </row>
    <row r="1413" spans="2:7" x14ac:dyDescent="0.25">
      <c r="B1413" s="71">
        <v>43561</v>
      </c>
      <c r="C1413" t="s">
        <v>48</v>
      </c>
      <c r="D1413" t="s">
        <v>83</v>
      </c>
      <c r="E1413" t="s">
        <v>267</v>
      </c>
      <c r="F1413" s="72">
        <v>87</v>
      </c>
      <c r="G1413" s="72">
        <v>0</v>
      </c>
    </row>
    <row r="1414" spans="2:7" x14ac:dyDescent="0.25">
      <c r="B1414" s="71">
        <v>43561</v>
      </c>
      <c r="C1414" t="s">
        <v>21</v>
      </c>
      <c r="D1414" t="s">
        <v>80</v>
      </c>
      <c r="E1414" t="s">
        <v>267</v>
      </c>
      <c r="F1414" s="72">
        <v>8</v>
      </c>
      <c r="G1414" s="72">
        <v>0</v>
      </c>
    </row>
    <row r="1415" spans="2:7" x14ac:dyDescent="0.25">
      <c r="B1415" s="71">
        <v>43561</v>
      </c>
      <c r="C1415" t="s">
        <v>21</v>
      </c>
      <c r="D1415" t="s">
        <v>80</v>
      </c>
      <c r="E1415" t="s">
        <v>267</v>
      </c>
      <c r="F1415" s="72">
        <v>16</v>
      </c>
      <c r="G1415" s="72">
        <v>0</v>
      </c>
    </row>
    <row r="1416" spans="2:7" x14ac:dyDescent="0.25">
      <c r="B1416" s="71">
        <v>43561</v>
      </c>
      <c r="C1416" t="s">
        <v>21</v>
      </c>
      <c r="D1416" t="s">
        <v>80</v>
      </c>
      <c r="E1416" t="s">
        <v>267</v>
      </c>
      <c r="F1416" s="72">
        <v>24</v>
      </c>
      <c r="G1416" s="72">
        <v>0</v>
      </c>
    </row>
    <row r="1417" spans="2:7" x14ac:dyDescent="0.25">
      <c r="B1417" s="71">
        <v>43561</v>
      </c>
      <c r="C1417" t="s">
        <v>21</v>
      </c>
      <c r="D1417" t="s">
        <v>80</v>
      </c>
      <c r="E1417" t="s">
        <v>267</v>
      </c>
      <c r="F1417" s="72">
        <v>40</v>
      </c>
      <c r="G1417" s="72">
        <v>0</v>
      </c>
    </row>
    <row r="1418" spans="2:7" x14ac:dyDescent="0.25">
      <c r="B1418" s="71">
        <v>43561</v>
      </c>
      <c r="C1418" t="s">
        <v>49</v>
      </c>
      <c r="D1418" t="s">
        <v>85</v>
      </c>
      <c r="E1418" t="s">
        <v>267</v>
      </c>
      <c r="F1418" s="72">
        <v>19.399999999999999</v>
      </c>
      <c r="G1418" s="72">
        <v>0</v>
      </c>
    </row>
    <row r="1419" spans="2:7" x14ac:dyDescent="0.25">
      <c r="B1419" s="71">
        <v>43561</v>
      </c>
      <c r="C1419" t="s">
        <v>51</v>
      </c>
      <c r="D1419" t="s">
        <v>85</v>
      </c>
      <c r="E1419" t="s">
        <v>267</v>
      </c>
      <c r="F1419" s="72">
        <v>53.35</v>
      </c>
      <c r="G1419" s="72">
        <v>0</v>
      </c>
    </row>
    <row r="1420" spans="2:7" x14ac:dyDescent="0.25">
      <c r="B1420" s="71">
        <v>43561</v>
      </c>
      <c r="C1420" t="s">
        <v>24</v>
      </c>
      <c r="D1420" t="s">
        <v>80</v>
      </c>
      <c r="E1420" t="s">
        <v>267</v>
      </c>
      <c r="F1420" s="72">
        <v>8</v>
      </c>
      <c r="G1420" s="72">
        <v>0</v>
      </c>
    </row>
    <row r="1421" spans="2:7" x14ac:dyDescent="0.25">
      <c r="B1421" s="71">
        <v>43563</v>
      </c>
      <c r="C1421" t="s">
        <v>25</v>
      </c>
      <c r="D1421" t="s">
        <v>82</v>
      </c>
      <c r="E1421" t="s">
        <v>123</v>
      </c>
      <c r="F1421" s="72">
        <v>1.8</v>
      </c>
      <c r="G1421" s="72">
        <v>0</v>
      </c>
    </row>
    <row r="1422" spans="2:7" x14ac:dyDescent="0.25">
      <c r="B1422" s="71">
        <v>43563</v>
      </c>
      <c r="C1422" t="s">
        <v>25</v>
      </c>
      <c r="D1422" t="s">
        <v>82</v>
      </c>
      <c r="E1422" t="s">
        <v>221</v>
      </c>
      <c r="F1422" s="72">
        <v>2.4</v>
      </c>
      <c r="G1422" s="72">
        <v>0</v>
      </c>
    </row>
    <row r="1423" spans="2:7" x14ac:dyDescent="0.25">
      <c r="B1423" s="71">
        <v>43563</v>
      </c>
      <c r="C1423" t="s">
        <v>25</v>
      </c>
      <c r="D1423" t="s">
        <v>82</v>
      </c>
      <c r="E1423" t="s">
        <v>151</v>
      </c>
      <c r="F1423" s="72">
        <v>14</v>
      </c>
      <c r="G1423" s="72">
        <v>0</v>
      </c>
    </row>
    <row r="1424" spans="2:7" x14ac:dyDescent="0.25">
      <c r="B1424" s="71">
        <v>43563</v>
      </c>
      <c r="C1424" t="s">
        <v>25</v>
      </c>
      <c r="D1424" t="s">
        <v>82</v>
      </c>
      <c r="E1424" t="s">
        <v>218</v>
      </c>
      <c r="F1424" s="72">
        <v>4.8</v>
      </c>
      <c r="G1424" s="72">
        <v>0</v>
      </c>
    </row>
    <row r="1425" spans="2:7" x14ac:dyDescent="0.25">
      <c r="B1425" s="71">
        <v>43563</v>
      </c>
      <c r="C1425" t="s">
        <v>52</v>
      </c>
      <c r="D1425" t="s">
        <v>85</v>
      </c>
      <c r="E1425" t="s">
        <v>268</v>
      </c>
      <c r="F1425" s="72">
        <v>31.93</v>
      </c>
      <c r="G1425" s="72">
        <v>0</v>
      </c>
    </row>
    <row r="1426" spans="2:7" x14ac:dyDescent="0.25">
      <c r="B1426" s="71">
        <v>43563</v>
      </c>
      <c r="C1426" t="s">
        <v>21</v>
      </c>
      <c r="D1426" t="s">
        <v>80</v>
      </c>
      <c r="E1426" t="s">
        <v>268</v>
      </c>
      <c r="F1426" s="72">
        <v>8</v>
      </c>
      <c r="G1426" s="72">
        <v>0</v>
      </c>
    </row>
    <row r="1427" spans="2:7" x14ac:dyDescent="0.25">
      <c r="B1427" s="71">
        <v>43563</v>
      </c>
      <c r="C1427" t="s">
        <v>49</v>
      </c>
      <c r="D1427" t="s">
        <v>83</v>
      </c>
      <c r="E1427" t="s">
        <v>268</v>
      </c>
      <c r="F1427" s="72">
        <v>919</v>
      </c>
      <c r="G1427" s="72">
        <v>0</v>
      </c>
    </row>
    <row r="1428" spans="2:7" x14ac:dyDescent="0.25">
      <c r="B1428" s="71">
        <v>43563</v>
      </c>
      <c r="C1428" t="s">
        <v>46</v>
      </c>
      <c r="D1428" t="s">
        <v>85</v>
      </c>
      <c r="E1428" t="s">
        <v>268</v>
      </c>
      <c r="F1428" s="72">
        <v>16.3</v>
      </c>
      <c r="G1428" s="72">
        <v>0</v>
      </c>
    </row>
    <row r="1429" spans="2:7" x14ac:dyDescent="0.25">
      <c r="B1429" s="71">
        <v>43564</v>
      </c>
      <c r="C1429" t="s">
        <v>25</v>
      </c>
      <c r="D1429" t="s">
        <v>82</v>
      </c>
      <c r="E1429" t="s">
        <v>138</v>
      </c>
      <c r="F1429" s="72">
        <v>4.5</v>
      </c>
      <c r="G1429" s="72">
        <v>0</v>
      </c>
    </row>
    <row r="1430" spans="2:7" x14ac:dyDescent="0.25">
      <c r="B1430" s="71">
        <v>43564</v>
      </c>
      <c r="C1430" t="s">
        <v>25</v>
      </c>
      <c r="D1430" t="s">
        <v>82</v>
      </c>
      <c r="E1430" t="s">
        <v>269</v>
      </c>
      <c r="F1430" s="72">
        <v>4.75</v>
      </c>
      <c r="G1430" s="72">
        <v>0</v>
      </c>
    </row>
    <row r="1431" spans="2:7" x14ac:dyDescent="0.25">
      <c r="B1431" s="71">
        <v>43564</v>
      </c>
      <c r="C1431" t="s">
        <v>25</v>
      </c>
      <c r="D1431" t="s">
        <v>82</v>
      </c>
      <c r="E1431" t="s">
        <v>170</v>
      </c>
      <c r="F1431" s="72">
        <v>3</v>
      </c>
      <c r="G1431" s="72">
        <v>0</v>
      </c>
    </row>
    <row r="1432" spans="2:7" x14ac:dyDescent="0.25">
      <c r="B1432" s="71">
        <v>43564</v>
      </c>
      <c r="C1432" t="s">
        <v>47</v>
      </c>
      <c r="D1432" t="s">
        <v>86</v>
      </c>
      <c r="E1432" t="s">
        <v>270</v>
      </c>
      <c r="F1432" s="72">
        <v>106.93</v>
      </c>
      <c r="G1432" s="72">
        <v>0</v>
      </c>
    </row>
    <row r="1433" spans="2:7" x14ac:dyDescent="0.25">
      <c r="B1433" s="71">
        <v>43564</v>
      </c>
      <c r="C1433" t="s">
        <v>47</v>
      </c>
      <c r="D1433" t="s">
        <v>85</v>
      </c>
      <c r="E1433" t="s">
        <v>270</v>
      </c>
      <c r="F1433" s="72">
        <v>25</v>
      </c>
      <c r="G1433" s="72">
        <v>0</v>
      </c>
    </row>
    <row r="1434" spans="2:7" x14ac:dyDescent="0.25">
      <c r="B1434" s="71">
        <v>43564</v>
      </c>
      <c r="C1434" t="s">
        <v>60</v>
      </c>
      <c r="D1434" t="s">
        <v>85</v>
      </c>
      <c r="E1434" t="s">
        <v>270</v>
      </c>
      <c r="F1434" s="72">
        <v>41</v>
      </c>
      <c r="G1434" s="72">
        <v>0</v>
      </c>
    </row>
    <row r="1435" spans="2:7" x14ac:dyDescent="0.25">
      <c r="B1435" s="71">
        <v>43564</v>
      </c>
      <c r="C1435" t="s">
        <v>21</v>
      </c>
      <c r="D1435" t="s">
        <v>80</v>
      </c>
      <c r="E1435" t="s">
        <v>270</v>
      </c>
      <c r="F1435" s="72">
        <v>8</v>
      </c>
      <c r="G1435" s="72">
        <v>0</v>
      </c>
    </row>
    <row r="1436" spans="2:7" x14ac:dyDescent="0.25">
      <c r="B1436" s="71">
        <v>43564</v>
      </c>
      <c r="C1436" t="s">
        <v>21</v>
      </c>
      <c r="D1436" t="s">
        <v>80</v>
      </c>
      <c r="E1436" t="s">
        <v>270</v>
      </c>
      <c r="F1436" s="72">
        <v>16</v>
      </c>
      <c r="G1436" s="72">
        <v>0</v>
      </c>
    </row>
    <row r="1437" spans="2:7" x14ac:dyDescent="0.25">
      <c r="B1437" s="71">
        <v>43564</v>
      </c>
      <c r="C1437" t="s">
        <v>51</v>
      </c>
      <c r="D1437" t="s">
        <v>80</v>
      </c>
      <c r="E1437" t="s">
        <v>270</v>
      </c>
      <c r="F1437">
        <v>16</v>
      </c>
      <c r="G1437" s="72">
        <v>0</v>
      </c>
    </row>
    <row r="1438" spans="2:7" x14ac:dyDescent="0.25">
      <c r="B1438" s="71">
        <v>43564</v>
      </c>
      <c r="C1438" t="s">
        <v>24</v>
      </c>
      <c r="D1438" t="s">
        <v>80</v>
      </c>
      <c r="E1438" t="s">
        <v>270</v>
      </c>
      <c r="F1438" s="72">
        <v>8</v>
      </c>
      <c r="G1438" s="72">
        <v>0</v>
      </c>
    </row>
    <row r="1439" spans="2:7" x14ac:dyDescent="0.25">
      <c r="B1439" s="71">
        <v>43565</v>
      </c>
      <c r="C1439" t="s">
        <v>25</v>
      </c>
      <c r="D1439" t="s">
        <v>82</v>
      </c>
      <c r="E1439" t="s">
        <v>173</v>
      </c>
      <c r="F1439" s="72">
        <v>2.1</v>
      </c>
      <c r="G1439" s="72">
        <v>0</v>
      </c>
    </row>
    <row r="1440" spans="2:7" x14ac:dyDescent="0.25">
      <c r="B1440" s="71">
        <v>43565</v>
      </c>
      <c r="C1440" t="s">
        <v>25</v>
      </c>
      <c r="D1440" t="s">
        <v>82</v>
      </c>
      <c r="E1440" t="s">
        <v>221</v>
      </c>
      <c r="F1440" s="72">
        <v>2.4</v>
      </c>
      <c r="G1440" s="72">
        <v>0</v>
      </c>
    </row>
    <row r="1441" spans="2:7" x14ac:dyDescent="0.25">
      <c r="B1441" s="71">
        <v>43565</v>
      </c>
      <c r="C1441" t="s">
        <v>25</v>
      </c>
      <c r="D1441" t="s">
        <v>82</v>
      </c>
      <c r="E1441" t="s">
        <v>159</v>
      </c>
      <c r="F1441" s="72">
        <v>6.85</v>
      </c>
      <c r="G1441" s="72">
        <v>0</v>
      </c>
    </row>
    <row r="1442" spans="2:7" x14ac:dyDescent="0.25">
      <c r="B1442" s="71">
        <v>43565</v>
      </c>
      <c r="C1442" t="s">
        <v>25</v>
      </c>
      <c r="D1442" t="s">
        <v>82</v>
      </c>
      <c r="E1442" t="s">
        <v>192</v>
      </c>
      <c r="F1442" s="72">
        <v>44</v>
      </c>
      <c r="G1442" s="72">
        <v>0</v>
      </c>
    </row>
    <row r="1443" spans="2:7" x14ac:dyDescent="0.25">
      <c r="B1443" s="71">
        <v>43565</v>
      </c>
      <c r="C1443" t="s">
        <v>25</v>
      </c>
      <c r="D1443" t="s">
        <v>103</v>
      </c>
      <c r="E1443" t="s">
        <v>271</v>
      </c>
      <c r="F1443" s="72">
        <v>13.68</v>
      </c>
      <c r="G1443" s="72">
        <v>0</v>
      </c>
    </row>
    <row r="1444" spans="2:7" x14ac:dyDescent="0.25">
      <c r="B1444" s="71">
        <v>43565</v>
      </c>
      <c r="C1444" t="s">
        <v>25</v>
      </c>
      <c r="D1444" t="s">
        <v>103</v>
      </c>
      <c r="E1444" t="s">
        <v>271</v>
      </c>
      <c r="F1444" s="72">
        <v>34.770000000000003</v>
      </c>
      <c r="G1444" s="72">
        <v>0</v>
      </c>
    </row>
    <row r="1445" spans="2:7" x14ac:dyDescent="0.25">
      <c r="B1445" s="71">
        <v>43565</v>
      </c>
      <c r="C1445" t="s">
        <v>25</v>
      </c>
      <c r="D1445" t="s">
        <v>103</v>
      </c>
      <c r="E1445" t="s">
        <v>271</v>
      </c>
      <c r="F1445" s="72">
        <v>69.34</v>
      </c>
      <c r="G1445" s="72">
        <v>0</v>
      </c>
    </row>
    <row r="1446" spans="2:7" x14ac:dyDescent="0.25">
      <c r="B1446" s="71">
        <v>43565</v>
      </c>
      <c r="C1446" t="s">
        <v>25</v>
      </c>
      <c r="D1446" t="s">
        <v>103</v>
      </c>
      <c r="E1446" t="s">
        <v>271</v>
      </c>
      <c r="F1446" s="72">
        <v>70.28</v>
      </c>
      <c r="G1446" s="72">
        <v>0</v>
      </c>
    </row>
    <row r="1447" spans="2:7" x14ac:dyDescent="0.25">
      <c r="B1447" s="71">
        <v>43565</v>
      </c>
      <c r="C1447" t="s">
        <v>25</v>
      </c>
      <c r="D1447" t="s">
        <v>103</v>
      </c>
      <c r="E1447" t="s">
        <v>271</v>
      </c>
      <c r="F1447" s="72">
        <v>81.08</v>
      </c>
      <c r="G1447" s="72">
        <v>0</v>
      </c>
    </row>
    <row r="1448" spans="2:7" x14ac:dyDescent="0.25">
      <c r="B1448" s="71">
        <v>43565</v>
      </c>
      <c r="C1448" t="s">
        <v>25</v>
      </c>
      <c r="D1448" t="s">
        <v>103</v>
      </c>
      <c r="E1448" t="s">
        <v>271</v>
      </c>
      <c r="F1448" s="72">
        <v>83.32</v>
      </c>
      <c r="G1448" s="72">
        <v>0</v>
      </c>
    </row>
    <row r="1449" spans="2:7" x14ac:dyDescent="0.25">
      <c r="B1449" s="71">
        <v>43565</v>
      </c>
      <c r="C1449" t="s">
        <v>55</v>
      </c>
      <c r="D1449" t="s">
        <v>103</v>
      </c>
      <c r="E1449" t="s">
        <v>271</v>
      </c>
      <c r="F1449" s="72">
        <v>2980.22</v>
      </c>
      <c r="G1449" s="72">
        <v>0</v>
      </c>
    </row>
    <row r="1450" spans="2:7" x14ac:dyDescent="0.25">
      <c r="B1450" s="71">
        <v>43565</v>
      </c>
      <c r="C1450" t="s">
        <v>47</v>
      </c>
      <c r="D1450" t="s">
        <v>103</v>
      </c>
      <c r="E1450" t="s">
        <v>271</v>
      </c>
      <c r="F1450" s="72">
        <v>45.01</v>
      </c>
      <c r="G1450" s="72">
        <v>0</v>
      </c>
    </row>
    <row r="1451" spans="2:7" x14ac:dyDescent="0.25">
      <c r="B1451" s="71">
        <v>43565</v>
      </c>
      <c r="C1451" t="s">
        <v>21</v>
      </c>
      <c r="D1451" t="s">
        <v>80</v>
      </c>
      <c r="E1451" t="s">
        <v>272</v>
      </c>
      <c r="F1451" s="72">
        <v>16</v>
      </c>
      <c r="G1451" s="72">
        <v>0</v>
      </c>
    </row>
    <row r="1452" spans="2:7" x14ac:dyDescent="0.25">
      <c r="B1452" s="71">
        <v>43565</v>
      </c>
      <c r="C1452" t="s">
        <v>21</v>
      </c>
      <c r="D1452" t="s">
        <v>103</v>
      </c>
      <c r="E1452" t="s">
        <v>271</v>
      </c>
      <c r="F1452" s="72">
        <v>37.5</v>
      </c>
      <c r="G1452" s="72">
        <v>0</v>
      </c>
    </row>
    <row r="1453" spans="2:7" x14ac:dyDescent="0.25">
      <c r="B1453" s="71">
        <v>43565</v>
      </c>
      <c r="C1453" t="s">
        <v>21</v>
      </c>
      <c r="D1453" t="s">
        <v>103</v>
      </c>
      <c r="E1453" t="s">
        <v>271</v>
      </c>
      <c r="F1453" s="72">
        <v>37.64</v>
      </c>
      <c r="G1453" s="72">
        <v>0</v>
      </c>
    </row>
    <row r="1454" spans="2:7" x14ac:dyDescent="0.25">
      <c r="B1454" s="71">
        <v>43565</v>
      </c>
      <c r="C1454" t="s">
        <v>21</v>
      </c>
      <c r="D1454" t="s">
        <v>103</v>
      </c>
      <c r="E1454" t="s">
        <v>271</v>
      </c>
      <c r="F1454" s="72">
        <v>39.01</v>
      </c>
      <c r="G1454" s="72">
        <v>0</v>
      </c>
    </row>
    <row r="1455" spans="2:7" x14ac:dyDescent="0.25">
      <c r="B1455" s="71">
        <v>43565</v>
      </c>
      <c r="C1455" t="s">
        <v>21</v>
      </c>
      <c r="D1455" t="s">
        <v>103</v>
      </c>
      <c r="E1455" t="s">
        <v>271</v>
      </c>
      <c r="F1455" s="72">
        <v>45.5</v>
      </c>
      <c r="G1455" s="72">
        <v>0</v>
      </c>
    </row>
    <row r="1456" spans="2:7" x14ac:dyDescent="0.25">
      <c r="B1456" s="71">
        <v>43565</v>
      </c>
      <c r="C1456" t="s">
        <v>21</v>
      </c>
      <c r="D1456" t="s">
        <v>103</v>
      </c>
      <c r="E1456" t="s">
        <v>271</v>
      </c>
      <c r="F1456" s="72">
        <v>67.34</v>
      </c>
      <c r="G1456" s="72">
        <v>0</v>
      </c>
    </row>
    <row r="1457" spans="2:7" x14ac:dyDescent="0.25">
      <c r="B1457" s="71">
        <v>43565</v>
      </c>
      <c r="C1457" t="s">
        <v>21</v>
      </c>
      <c r="D1457" t="s">
        <v>103</v>
      </c>
      <c r="E1457" t="s">
        <v>271</v>
      </c>
      <c r="F1457" s="72">
        <v>71.099999999999994</v>
      </c>
      <c r="G1457" s="72">
        <v>0</v>
      </c>
    </row>
    <row r="1458" spans="2:7" x14ac:dyDescent="0.25">
      <c r="B1458" s="71">
        <v>43565</v>
      </c>
      <c r="C1458" t="s">
        <v>21</v>
      </c>
      <c r="D1458" t="s">
        <v>103</v>
      </c>
      <c r="E1458" t="s">
        <v>271</v>
      </c>
      <c r="F1458" s="72">
        <v>81.55</v>
      </c>
      <c r="G1458" s="72">
        <v>0</v>
      </c>
    </row>
    <row r="1459" spans="2:7" x14ac:dyDescent="0.25">
      <c r="B1459" s="71">
        <v>43565</v>
      </c>
      <c r="C1459" t="s">
        <v>21</v>
      </c>
      <c r="D1459" t="s">
        <v>103</v>
      </c>
      <c r="E1459" t="s">
        <v>271</v>
      </c>
      <c r="F1459" s="72">
        <v>85.58</v>
      </c>
      <c r="G1459" s="72">
        <v>0</v>
      </c>
    </row>
    <row r="1460" spans="2:7" x14ac:dyDescent="0.25">
      <c r="B1460" s="71">
        <v>43565</v>
      </c>
      <c r="C1460" t="s">
        <v>21</v>
      </c>
      <c r="D1460" t="s">
        <v>103</v>
      </c>
      <c r="E1460" t="s">
        <v>271</v>
      </c>
      <c r="F1460" s="72">
        <v>93.66</v>
      </c>
      <c r="G1460" s="72">
        <v>0</v>
      </c>
    </row>
    <row r="1461" spans="2:7" x14ac:dyDescent="0.25">
      <c r="B1461" s="71">
        <v>43565</v>
      </c>
      <c r="C1461" t="s">
        <v>21</v>
      </c>
      <c r="D1461" t="s">
        <v>103</v>
      </c>
      <c r="E1461" t="s">
        <v>271</v>
      </c>
      <c r="F1461" s="72">
        <v>135.44</v>
      </c>
      <c r="G1461" s="72">
        <v>0</v>
      </c>
    </row>
    <row r="1462" spans="2:7" x14ac:dyDescent="0.25">
      <c r="B1462" s="71">
        <v>43565</v>
      </c>
      <c r="C1462" t="s">
        <v>21</v>
      </c>
      <c r="D1462" t="s">
        <v>103</v>
      </c>
      <c r="E1462" t="s">
        <v>271</v>
      </c>
      <c r="F1462" s="72">
        <v>152.47999999999999</v>
      </c>
      <c r="G1462" s="72">
        <v>0</v>
      </c>
    </row>
    <row r="1463" spans="2:7" x14ac:dyDescent="0.25">
      <c r="B1463" s="71">
        <v>43565</v>
      </c>
      <c r="C1463" t="s">
        <v>21</v>
      </c>
      <c r="D1463" t="s">
        <v>103</v>
      </c>
      <c r="E1463" t="s">
        <v>271</v>
      </c>
      <c r="F1463" s="72">
        <v>163.58000000000001</v>
      </c>
      <c r="G1463" s="72">
        <v>0</v>
      </c>
    </row>
    <row r="1464" spans="2:7" x14ac:dyDescent="0.25">
      <c r="B1464" s="71">
        <v>43565</v>
      </c>
      <c r="C1464" t="s">
        <v>21</v>
      </c>
      <c r="D1464" t="s">
        <v>103</v>
      </c>
      <c r="E1464" t="s">
        <v>271</v>
      </c>
      <c r="F1464" s="72">
        <v>166.93</v>
      </c>
      <c r="G1464" s="72">
        <v>0</v>
      </c>
    </row>
    <row r="1465" spans="2:7" x14ac:dyDescent="0.25">
      <c r="B1465" s="71">
        <v>43565</v>
      </c>
      <c r="C1465" t="s">
        <v>21</v>
      </c>
      <c r="D1465" t="s">
        <v>103</v>
      </c>
      <c r="E1465" t="s">
        <v>271</v>
      </c>
      <c r="F1465" s="72">
        <v>206.84</v>
      </c>
      <c r="G1465" s="72">
        <v>0</v>
      </c>
    </row>
    <row r="1466" spans="2:7" x14ac:dyDescent="0.25">
      <c r="B1466" s="71">
        <v>43565</v>
      </c>
      <c r="C1466" t="s">
        <v>21</v>
      </c>
      <c r="D1466" t="s">
        <v>103</v>
      </c>
      <c r="E1466" t="s">
        <v>271</v>
      </c>
      <c r="F1466" s="72">
        <v>214.42</v>
      </c>
      <c r="G1466" s="72">
        <v>0</v>
      </c>
    </row>
    <row r="1467" spans="2:7" x14ac:dyDescent="0.25">
      <c r="B1467" s="71">
        <v>43565</v>
      </c>
      <c r="C1467" t="s">
        <v>21</v>
      </c>
      <c r="D1467" t="s">
        <v>103</v>
      </c>
      <c r="E1467" t="s">
        <v>271</v>
      </c>
      <c r="F1467" s="72">
        <v>226.17</v>
      </c>
      <c r="G1467" s="72">
        <v>0</v>
      </c>
    </row>
    <row r="1468" spans="2:7" x14ac:dyDescent="0.25">
      <c r="B1468" s="71">
        <v>43565</v>
      </c>
      <c r="C1468" t="s">
        <v>21</v>
      </c>
      <c r="D1468" t="s">
        <v>103</v>
      </c>
      <c r="E1468" t="s">
        <v>271</v>
      </c>
      <c r="F1468" s="72">
        <v>229.69</v>
      </c>
      <c r="G1468" s="72">
        <v>0</v>
      </c>
    </row>
    <row r="1469" spans="2:7" x14ac:dyDescent="0.25">
      <c r="B1469" s="71">
        <v>43565</v>
      </c>
      <c r="C1469" t="s">
        <v>21</v>
      </c>
      <c r="D1469" t="s">
        <v>103</v>
      </c>
      <c r="E1469" t="s">
        <v>271</v>
      </c>
      <c r="F1469" s="72">
        <v>247.25</v>
      </c>
      <c r="G1469" s="72">
        <v>0</v>
      </c>
    </row>
    <row r="1470" spans="2:7" x14ac:dyDescent="0.25">
      <c r="B1470" s="71">
        <v>43565</v>
      </c>
      <c r="C1470" t="s">
        <v>21</v>
      </c>
      <c r="D1470" t="s">
        <v>103</v>
      </c>
      <c r="E1470" t="s">
        <v>271</v>
      </c>
      <c r="F1470" s="72">
        <v>277.35000000000002</v>
      </c>
      <c r="G1470" s="72">
        <v>0</v>
      </c>
    </row>
    <row r="1471" spans="2:7" x14ac:dyDescent="0.25">
      <c r="B1471" s="71">
        <v>43565</v>
      </c>
      <c r="C1471" t="s">
        <v>21</v>
      </c>
      <c r="D1471" t="s">
        <v>103</v>
      </c>
      <c r="E1471" t="s">
        <v>271</v>
      </c>
      <c r="F1471" s="72">
        <v>298.99</v>
      </c>
      <c r="G1471" s="72">
        <v>0</v>
      </c>
    </row>
    <row r="1472" spans="2:7" x14ac:dyDescent="0.25">
      <c r="B1472" s="71">
        <v>43565</v>
      </c>
      <c r="C1472" t="s">
        <v>21</v>
      </c>
      <c r="D1472" t="s">
        <v>103</v>
      </c>
      <c r="E1472" t="s">
        <v>271</v>
      </c>
      <c r="F1472" s="72">
        <v>322.91000000000003</v>
      </c>
      <c r="G1472" s="72">
        <v>0</v>
      </c>
    </row>
    <row r="1473" spans="2:7" x14ac:dyDescent="0.25">
      <c r="B1473" s="71">
        <v>43565</v>
      </c>
      <c r="C1473" t="s">
        <v>21</v>
      </c>
      <c r="D1473" t="s">
        <v>103</v>
      </c>
      <c r="E1473" t="s">
        <v>271</v>
      </c>
      <c r="F1473" s="72">
        <v>349.69</v>
      </c>
      <c r="G1473" s="72">
        <v>0</v>
      </c>
    </row>
    <row r="1474" spans="2:7" x14ac:dyDescent="0.25">
      <c r="B1474" s="71">
        <v>43565</v>
      </c>
      <c r="C1474" t="s">
        <v>21</v>
      </c>
      <c r="D1474" t="s">
        <v>103</v>
      </c>
      <c r="E1474" t="s">
        <v>271</v>
      </c>
      <c r="F1474" s="72">
        <v>409.61</v>
      </c>
      <c r="G1474" s="72">
        <v>0</v>
      </c>
    </row>
    <row r="1475" spans="2:7" x14ac:dyDescent="0.25">
      <c r="B1475" s="71">
        <v>43565</v>
      </c>
      <c r="C1475" t="s">
        <v>21</v>
      </c>
      <c r="D1475" t="s">
        <v>103</v>
      </c>
      <c r="E1475" t="s">
        <v>271</v>
      </c>
      <c r="F1475" s="72">
        <v>414.01</v>
      </c>
      <c r="G1475" s="72">
        <v>0</v>
      </c>
    </row>
    <row r="1476" spans="2:7" x14ac:dyDescent="0.25">
      <c r="B1476" s="71">
        <v>43565</v>
      </c>
      <c r="C1476" t="s">
        <v>21</v>
      </c>
      <c r="D1476" t="s">
        <v>103</v>
      </c>
      <c r="E1476" t="s">
        <v>271</v>
      </c>
      <c r="F1476" s="72">
        <v>443.45</v>
      </c>
      <c r="G1476" s="72">
        <v>0</v>
      </c>
    </row>
    <row r="1477" spans="2:7" x14ac:dyDescent="0.25">
      <c r="B1477" s="71">
        <v>43565</v>
      </c>
      <c r="C1477" t="s">
        <v>21</v>
      </c>
      <c r="D1477" t="s">
        <v>103</v>
      </c>
      <c r="E1477" t="s">
        <v>271</v>
      </c>
      <c r="F1477" s="72">
        <v>454.53</v>
      </c>
      <c r="G1477" s="72">
        <v>0</v>
      </c>
    </row>
    <row r="1478" spans="2:7" x14ac:dyDescent="0.25">
      <c r="B1478" s="71">
        <v>43565</v>
      </c>
      <c r="C1478" t="s">
        <v>21</v>
      </c>
      <c r="D1478" t="s">
        <v>103</v>
      </c>
      <c r="E1478" t="s">
        <v>271</v>
      </c>
      <c r="F1478" s="72">
        <v>484.74</v>
      </c>
      <c r="G1478" s="72">
        <v>0</v>
      </c>
    </row>
    <row r="1479" spans="2:7" x14ac:dyDescent="0.25">
      <c r="B1479" s="71">
        <v>43565</v>
      </c>
      <c r="C1479" t="s">
        <v>21</v>
      </c>
      <c r="D1479" t="s">
        <v>103</v>
      </c>
      <c r="E1479" t="s">
        <v>271</v>
      </c>
      <c r="F1479" s="72">
        <v>557.19000000000005</v>
      </c>
      <c r="G1479" s="72">
        <v>0</v>
      </c>
    </row>
    <row r="1480" spans="2:7" x14ac:dyDescent="0.25">
      <c r="B1480" s="71">
        <v>43565</v>
      </c>
      <c r="C1480" t="s">
        <v>21</v>
      </c>
      <c r="D1480" t="s">
        <v>103</v>
      </c>
      <c r="E1480" t="s">
        <v>271</v>
      </c>
      <c r="F1480" s="72">
        <v>560.6</v>
      </c>
      <c r="G1480" s="72">
        <v>0</v>
      </c>
    </row>
    <row r="1481" spans="2:7" x14ac:dyDescent="0.25">
      <c r="B1481" s="71">
        <v>43565</v>
      </c>
      <c r="C1481" t="s">
        <v>21</v>
      </c>
      <c r="D1481" t="s">
        <v>103</v>
      </c>
      <c r="E1481" t="s">
        <v>271</v>
      </c>
      <c r="F1481" s="72">
        <v>684.66</v>
      </c>
      <c r="G1481" s="72">
        <v>0</v>
      </c>
    </row>
    <row r="1482" spans="2:7" x14ac:dyDescent="0.25">
      <c r="B1482" s="71">
        <v>43565</v>
      </c>
      <c r="C1482" t="s">
        <v>21</v>
      </c>
      <c r="D1482" t="s">
        <v>103</v>
      </c>
      <c r="E1482" t="s">
        <v>271</v>
      </c>
      <c r="F1482" s="72">
        <v>743.95</v>
      </c>
      <c r="G1482" s="72">
        <v>0</v>
      </c>
    </row>
    <row r="1483" spans="2:7" x14ac:dyDescent="0.25">
      <c r="B1483" s="71">
        <v>43565</v>
      </c>
      <c r="C1483" t="s">
        <v>21</v>
      </c>
      <c r="D1483" t="s">
        <v>103</v>
      </c>
      <c r="E1483" t="s">
        <v>271</v>
      </c>
      <c r="F1483" s="72">
        <v>745.21</v>
      </c>
      <c r="G1483" s="72">
        <v>0</v>
      </c>
    </row>
    <row r="1484" spans="2:7" x14ac:dyDescent="0.25">
      <c r="B1484" s="71">
        <v>43565</v>
      </c>
      <c r="C1484" t="s">
        <v>67</v>
      </c>
      <c r="D1484" t="s">
        <v>103</v>
      </c>
      <c r="E1484" t="s">
        <v>271</v>
      </c>
      <c r="F1484" s="72">
        <v>94.12</v>
      </c>
      <c r="G1484" s="72">
        <v>0</v>
      </c>
    </row>
    <row r="1485" spans="2:7" x14ac:dyDescent="0.25">
      <c r="B1485" s="71">
        <v>43565</v>
      </c>
      <c r="C1485" t="s">
        <v>49</v>
      </c>
      <c r="D1485" t="s">
        <v>103</v>
      </c>
      <c r="E1485" t="s">
        <v>271</v>
      </c>
      <c r="F1485" s="72">
        <v>767.82</v>
      </c>
      <c r="G1485" s="72">
        <v>0</v>
      </c>
    </row>
    <row r="1486" spans="2:7" x14ac:dyDescent="0.25">
      <c r="B1486" s="71">
        <v>43565</v>
      </c>
      <c r="C1486" t="s">
        <v>56</v>
      </c>
      <c r="D1486" t="s">
        <v>103</v>
      </c>
      <c r="E1486" t="s">
        <v>271</v>
      </c>
      <c r="F1486" s="72">
        <v>147.93</v>
      </c>
      <c r="G1486" s="72">
        <v>0</v>
      </c>
    </row>
    <row r="1487" spans="2:7" x14ac:dyDescent="0.25">
      <c r="B1487" s="71">
        <v>43565</v>
      </c>
      <c r="C1487" t="s">
        <v>50</v>
      </c>
      <c r="D1487" t="s">
        <v>103</v>
      </c>
      <c r="E1487" t="s">
        <v>271</v>
      </c>
      <c r="F1487" s="72">
        <v>519.46</v>
      </c>
      <c r="G1487" s="72">
        <v>0</v>
      </c>
    </row>
    <row r="1488" spans="2:7" x14ac:dyDescent="0.25">
      <c r="B1488" s="71">
        <v>43565</v>
      </c>
      <c r="C1488" t="s">
        <v>51</v>
      </c>
      <c r="D1488" t="s">
        <v>80</v>
      </c>
      <c r="E1488" t="s">
        <v>272</v>
      </c>
      <c r="F1488" s="72">
        <v>45.13</v>
      </c>
      <c r="G1488" s="72">
        <v>0</v>
      </c>
    </row>
    <row r="1489" spans="2:7" x14ac:dyDescent="0.25">
      <c r="B1489" s="71">
        <v>43565</v>
      </c>
      <c r="C1489" t="s">
        <v>51</v>
      </c>
      <c r="D1489" t="s">
        <v>103</v>
      </c>
      <c r="E1489" t="s">
        <v>271</v>
      </c>
      <c r="F1489" s="72">
        <v>140</v>
      </c>
      <c r="G1489" s="72">
        <v>0</v>
      </c>
    </row>
    <row r="1490" spans="2:7" x14ac:dyDescent="0.25">
      <c r="B1490" s="71">
        <v>43565</v>
      </c>
      <c r="C1490" t="s">
        <v>59</v>
      </c>
      <c r="D1490" t="s">
        <v>80</v>
      </c>
      <c r="E1490" t="s">
        <v>272</v>
      </c>
      <c r="F1490" s="72">
        <v>20</v>
      </c>
      <c r="G1490" s="72">
        <v>0</v>
      </c>
    </row>
    <row r="1491" spans="2:7" x14ac:dyDescent="0.25">
      <c r="B1491" s="71">
        <v>43565</v>
      </c>
      <c r="C1491" t="s">
        <v>24</v>
      </c>
      <c r="D1491" t="s">
        <v>80</v>
      </c>
      <c r="E1491" t="s">
        <v>272</v>
      </c>
      <c r="F1491" s="72">
        <v>8</v>
      </c>
      <c r="G1491" s="72">
        <v>0</v>
      </c>
    </row>
    <row r="1492" spans="2:7" x14ac:dyDescent="0.25">
      <c r="B1492" s="71">
        <v>43565</v>
      </c>
      <c r="C1492" t="s">
        <v>24</v>
      </c>
      <c r="D1492" t="s">
        <v>103</v>
      </c>
      <c r="E1492" t="s">
        <v>271</v>
      </c>
      <c r="F1492" s="72">
        <v>13.79</v>
      </c>
      <c r="G1492" s="72">
        <v>0</v>
      </c>
    </row>
    <row r="1493" spans="2:7" x14ac:dyDescent="0.25">
      <c r="B1493" s="71">
        <v>43565</v>
      </c>
      <c r="C1493" t="s">
        <v>24</v>
      </c>
      <c r="D1493" t="s">
        <v>103</v>
      </c>
      <c r="E1493" t="s">
        <v>271</v>
      </c>
      <c r="F1493" s="72">
        <v>21.74</v>
      </c>
      <c r="G1493" s="72">
        <v>0</v>
      </c>
    </row>
    <row r="1494" spans="2:7" x14ac:dyDescent="0.25">
      <c r="B1494" s="71">
        <v>43565</v>
      </c>
      <c r="C1494" t="s">
        <v>24</v>
      </c>
      <c r="D1494" t="s">
        <v>103</v>
      </c>
      <c r="E1494" t="s">
        <v>271</v>
      </c>
      <c r="F1494" s="72">
        <v>21.76</v>
      </c>
      <c r="G1494" s="72">
        <v>0</v>
      </c>
    </row>
    <row r="1495" spans="2:7" x14ac:dyDescent="0.25">
      <c r="B1495" s="71">
        <v>43565</v>
      </c>
      <c r="C1495" t="s">
        <v>24</v>
      </c>
      <c r="D1495" t="s">
        <v>103</v>
      </c>
      <c r="E1495" t="s">
        <v>271</v>
      </c>
      <c r="F1495" s="72">
        <v>26.35</v>
      </c>
      <c r="G1495" s="72">
        <v>0</v>
      </c>
    </row>
    <row r="1496" spans="2:7" x14ac:dyDescent="0.25">
      <c r="B1496" s="71">
        <v>43565</v>
      </c>
      <c r="C1496" t="s">
        <v>24</v>
      </c>
      <c r="D1496" t="s">
        <v>103</v>
      </c>
      <c r="E1496" t="s">
        <v>271</v>
      </c>
      <c r="F1496" s="72">
        <v>30.16</v>
      </c>
      <c r="G1496" s="72">
        <v>0</v>
      </c>
    </row>
    <row r="1497" spans="2:7" x14ac:dyDescent="0.25">
      <c r="B1497" s="71">
        <v>43565</v>
      </c>
      <c r="C1497" t="s">
        <v>24</v>
      </c>
      <c r="D1497" t="s">
        <v>103</v>
      </c>
      <c r="E1497" t="s">
        <v>271</v>
      </c>
      <c r="F1497" s="72">
        <v>31.11</v>
      </c>
      <c r="G1497" s="72">
        <v>0</v>
      </c>
    </row>
    <row r="1498" spans="2:7" x14ac:dyDescent="0.25">
      <c r="B1498" s="71">
        <v>43565</v>
      </c>
      <c r="C1498" t="s">
        <v>24</v>
      </c>
      <c r="D1498" t="s">
        <v>103</v>
      </c>
      <c r="E1498" t="s">
        <v>271</v>
      </c>
      <c r="F1498" s="72">
        <v>45.54</v>
      </c>
      <c r="G1498" s="72">
        <v>0</v>
      </c>
    </row>
    <row r="1499" spans="2:7" x14ac:dyDescent="0.25">
      <c r="B1499" s="71">
        <v>43565</v>
      </c>
      <c r="C1499" t="s">
        <v>24</v>
      </c>
      <c r="D1499" t="s">
        <v>103</v>
      </c>
      <c r="E1499" t="s">
        <v>271</v>
      </c>
      <c r="F1499" s="72">
        <v>64.510000000000005</v>
      </c>
      <c r="G1499" s="72">
        <v>0</v>
      </c>
    </row>
    <row r="1500" spans="2:7" x14ac:dyDescent="0.25">
      <c r="B1500" s="71">
        <v>43565</v>
      </c>
      <c r="C1500" t="s">
        <v>24</v>
      </c>
      <c r="D1500" t="s">
        <v>103</v>
      </c>
      <c r="E1500" t="s">
        <v>271</v>
      </c>
      <c r="F1500" s="72">
        <v>64.92</v>
      </c>
      <c r="G1500" s="72">
        <v>0</v>
      </c>
    </row>
    <row r="1501" spans="2:7" x14ac:dyDescent="0.25">
      <c r="B1501" s="71">
        <v>43565</v>
      </c>
      <c r="C1501" t="s">
        <v>24</v>
      </c>
      <c r="D1501" t="s">
        <v>103</v>
      </c>
      <c r="E1501" t="s">
        <v>271</v>
      </c>
      <c r="F1501" s="72">
        <v>69.680000000000007</v>
      </c>
      <c r="G1501" s="72">
        <v>0</v>
      </c>
    </row>
    <row r="1502" spans="2:7" x14ac:dyDescent="0.25">
      <c r="B1502" s="71">
        <v>43565</v>
      </c>
      <c r="C1502" t="s">
        <v>24</v>
      </c>
      <c r="D1502" t="s">
        <v>103</v>
      </c>
      <c r="E1502" t="s">
        <v>271</v>
      </c>
      <c r="F1502" s="72">
        <v>77.55</v>
      </c>
      <c r="G1502" s="72">
        <v>0</v>
      </c>
    </row>
    <row r="1503" spans="2:7" x14ac:dyDescent="0.25">
      <c r="B1503" s="71">
        <v>43565</v>
      </c>
      <c r="C1503" t="s">
        <v>24</v>
      </c>
      <c r="D1503" t="s">
        <v>103</v>
      </c>
      <c r="E1503" t="s">
        <v>271</v>
      </c>
      <c r="F1503" s="72">
        <v>98.4</v>
      </c>
      <c r="G1503" s="72">
        <v>0</v>
      </c>
    </row>
    <row r="1504" spans="2:7" x14ac:dyDescent="0.25">
      <c r="B1504" s="71">
        <v>43565</v>
      </c>
      <c r="C1504" t="s">
        <v>24</v>
      </c>
      <c r="D1504" t="s">
        <v>103</v>
      </c>
      <c r="E1504" t="s">
        <v>271</v>
      </c>
      <c r="F1504" s="72">
        <v>123.33</v>
      </c>
      <c r="G1504" s="72">
        <v>0</v>
      </c>
    </row>
    <row r="1505" spans="2:7" x14ac:dyDescent="0.25">
      <c r="B1505" s="71">
        <v>43565</v>
      </c>
      <c r="C1505" t="s">
        <v>61</v>
      </c>
      <c r="D1505" t="s">
        <v>86</v>
      </c>
      <c r="E1505" t="s">
        <v>272</v>
      </c>
      <c r="F1505" s="72">
        <v>68.41</v>
      </c>
      <c r="G1505" s="72">
        <v>0</v>
      </c>
    </row>
    <row r="1506" spans="2:7" x14ac:dyDescent="0.25">
      <c r="B1506" s="71">
        <v>43565</v>
      </c>
      <c r="C1506" t="s">
        <v>62</v>
      </c>
      <c r="D1506" t="s">
        <v>103</v>
      </c>
      <c r="E1506" t="s">
        <v>271</v>
      </c>
      <c r="F1506" s="72">
        <v>27.2</v>
      </c>
      <c r="G1506" s="72">
        <v>0</v>
      </c>
    </row>
    <row r="1507" spans="2:7" x14ac:dyDescent="0.25">
      <c r="B1507" s="71">
        <v>43566</v>
      </c>
      <c r="C1507" t="s">
        <v>25</v>
      </c>
      <c r="D1507" t="s">
        <v>81</v>
      </c>
      <c r="E1507" t="s">
        <v>273</v>
      </c>
      <c r="F1507" s="72">
        <v>14.03</v>
      </c>
      <c r="G1507" s="72">
        <v>0</v>
      </c>
    </row>
    <row r="1508" spans="2:7" x14ac:dyDescent="0.25">
      <c r="B1508" s="71">
        <v>43566</v>
      </c>
      <c r="C1508" t="s">
        <v>25</v>
      </c>
      <c r="D1508" t="s">
        <v>81</v>
      </c>
      <c r="E1508" t="s">
        <v>273</v>
      </c>
      <c r="F1508" s="72">
        <v>23.99</v>
      </c>
      <c r="G1508" s="72">
        <v>0</v>
      </c>
    </row>
    <row r="1509" spans="2:7" x14ac:dyDescent="0.25">
      <c r="B1509" s="71">
        <v>43566</v>
      </c>
      <c r="C1509" t="s">
        <v>25</v>
      </c>
      <c r="D1509" t="s">
        <v>88</v>
      </c>
      <c r="E1509" t="s">
        <v>273</v>
      </c>
      <c r="F1509" s="72">
        <v>13.38</v>
      </c>
      <c r="G1509" s="72">
        <v>0</v>
      </c>
    </row>
    <row r="1510" spans="2:7" x14ac:dyDescent="0.25">
      <c r="B1510" s="71">
        <v>43566</v>
      </c>
      <c r="C1510" t="s">
        <v>25</v>
      </c>
      <c r="D1510" t="s">
        <v>88</v>
      </c>
      <c r="E1510" t="s">
        <v>273</v>
      </c>
      <c r="F1510" s="72">
        <v>17.02</v>
      </c>
      <c r="G1510" s="72">
        <v>0</v>
      </c>
    </row>
    <row r="1511" spans="2:7" x14ac:dyDescent="0.25">
      <c r="B1511" s="71">
        <v>43566</v>
      </c>
      <c r="C1511" t="s">
        <v>25</v>
      </c>
      <c r="D1511" t="s">
        <v>88</v>
      </c>
      <c r="E1511" t="s">
        <v>273</v>
      </c>
      <c r="F1511" s="72">
        <v>29.98</v>
      </c>
      <c r="G1511" s="72">
        <v>0</v>
      </c>
    </row>
    <row r="1512" spans="2:7" x14ac:dyDescent="0.25">
      <c r="B1512" s="71">
        <v>43566</v>
      </c>
      <c r="C1512" t="s">
        <v>25</v>
      </c>
      <c r="D1512" t="s">
        <v>88</v>
      </c>
      <c r="E1512" t="s">
        <v>273</v>
      </c>
      <c r="F1512" s="72">
        <v>33</v>
      </c>
      <c r="G1512" s="72">
        <v>0</v>
      </c>
    </row>
    <row r="1513" spans="2:7" x14ac:dyDescent="0.25">
      <c r="B1513" s="71">
        <v>43566</v>
      </c>
      <c r="C1513" t="s">
        <v>25</v>
      </c>
      <c r="D1513" t="s">
        <v>88</v>
      </c>
      <c r="E1513" t="s">
        <v>273</v>
      </c>
      <c r="F1513" s="72">
        <v>67.16</v>
      </c>
      <c r="G1513" s="72">
        <v>0</v>
      </c>
    </row>
    <row r="1514" spans="2:7" x14ac:dyDescent="0.25">
      <c r="B1514" s="71">
        <v>43566</v>
      </c>
      <c r="C1514" t="s">
        <v>25</v>
      </c>
      <c r="D1514" t="s">
        <v>88</v>
      </c>
      <c r="E1514" t="s">
        <v>273</v>
      </c>
      <c r="F1514" s="72">
        <v>103.25</v>
      </c>
      <c r="G1514" s="72">
        <v>0</v>
      </c>
    </row>
    <row r="1515" spans="2:7" x14ac:dyDescent="0.25">
      <c r="B1515" s="71">
        <v>43566</v>
      </c>
      <c r="C1515" t="s">
        <v>25</v>
      </c>
      <c r="D1515" t="s">
        <v>82</v>
      </c>
      <c r="E1515" t="s">
        <v>274</v>
      </c>
      <c r="F1515" s="72">
        <v>1.8</v>
      </c>
      <c r="G1515" s="72">
        <v>0</v>
      </c>
    </row>
    <row r="1516" spans="2:7" x14ac:dyDescent="0.25">
      <c r="B1516" s="71">
        <v>43566</v>
      </c>
      <c r="C1516" t="s">
        <v>25</v>
      </c>
      <c r="D1516" t="s">
        <v>82</v>
      </c>
      <c r="E1516" t="s">
        <v>248</v>
      </c>
      <c r="F1516" s="72">
        <v>2.1</v>
      </c>
      <c r="G1516" s="72">
        <v>0</v>
      </c>
    </row>
    <row r="1517" spans="2:7" x14ac:dyDescent="0.25">
      <c r="B1517" s="71">
        <v>43566</v>
      </c>
      <c r="C1517" t="s">
        <v>55</v>
      </c>
      <c r="D1517" t="s">
        <v>88</v>
      </c>
      <c r="E1517" t="s">
        <v>273</v>
      </c>
      <c r="F1517" s="72">
        <v>400.7</v>
      </c>
      <c r="G1517" s="72">
        <v>0</v>
      </c>
    </row>
    <row r="1518" spans="2:7" x14ac:dyDescent="0.25">
      <c r="B1518" s="71">
        <v>43566</v>
      </c>
      <c r="C1518" t="s">
        <v>48</v>
      </c>
      <c r="D1518" t="s">
        <v>81</v>
      </c>
      <c r="E1518" t="s">
        <v>273</v>
      </c>
      <c r="F1518" s="72">
        <v>52.95</v>
      </c>
      <c r="G1518" s="72">
        <v>0</v>
      </c>
    </row>
    <row r="1519" spans="2:7" x14ac:dyDescent="0.25">
      <c r="B1519" s="71">
        <v>43566</v>
      </c>
      <c r="C1519" t="s">
        <v>21</v>
      </c>
      <c r="D1519" t="s">
        <v>80</v>
      </c>
      <c r="E1519" t="s">
        <v>273</v>
      </c>
      <c r="F1519" s="72">
        <v>8</v>
      </c>
      <c r="G1519" s="72">
        <v>0</v>
      </c>
    </row>
    <row r="1520" spans="2:7" x14ac:dyDescent="0.25">
      <c r="B1520" s="71">
        <v>43566</v>
      </c>
      <c r="C1520" t="s">
        <v>67</v>
      </c>
      <c r="D1520" t="s">
        <v>80</v>
      </c>
      <c r="E1520" t="s">
        <v>273</v>
      </c>
      <c r="F1520" s="72">
        <v>10</v>
      </c>
      <c r="G1520" s="72">
        <v>0</v>
      </c>
    </row>
    <row r="1521" spans="2:7" x14ac:dyDescent="0.25">
      <c r="B1521" s="71">
        <v>43566</v>
      </c>
      <c r="C1521" t="s">
        <v>67</v>
      </c>
      <c r="D1521" t="s">
        <v>85</v>
      </c>
      <c r="E1521" t="s">
        <v>273</v>
      </c>
      <c r="F1521" s="72">
        <v>21.4</v>
      </c>
      <c r="G1521" s="72">
        <v>0</v>
      </c>
    </row>
    <row r="1522" spans="2:7" x14ac:dyDescent="0.25">
      <c r="B1522" s="71">
        <v>43566</v>
      </c>
      <c r="C1522" t="s">
        <v>49</v>
      </c>
      <c r="D1522" t="s">
        <v>81</v>
      </c>
      <c r="E1522" t="s">
        <v>273</v>
      </c>
      <c r="F1522" s="72">
        <v>136.85</v>
      </c>
      <c r="G1522" s="72">
        <v>0</v>
      </c>
    </row>
    <row r="1523" spans="2:7" x14ac:dyDescent="0.25">
      <c r="B1523" s="71">
        <v>43566</v>
      </c>
      <c r="C1523" t="s">
        <v>49</v>
      </c>
      <c r="D1523" t="s">
        <v>88</v>
      </c>
      <c r="E1523" t="s">
        <v>273</v>
      </c>
      <c r="F1523" s="72">
        <v>18</v>
      </c>
      <c r="G1523" s="72">
        <v>0</v>
      </c>
    </row>
    <row r="1524" spans="2:7" x14ac:dyDescent="0.25">
      <c r="B1524" s="71">
        <v>43566</v>
      </c>
      <c r="C1524" t="s">
        <v>51</v>
      </c>
      <c r="D1524" t="s">
        <v>84</v>
      </c>
      <c r="E1524" t="s">
        <v>273</v>
      </c>
      <c r="F1524" s="72">
        <v>63.57</v>
      </c>
      <c r="G1524" s="72">
        <v>0</v>
      </c>
    </row>
    <row r="1525" spans="2:7" x14ac:dyDescent="0.25">
      <c r="B1525" s="71">
        <v>43566</v>
      </c>
      <c r="C1525" t="s">
        <v>51</v>
      </c>
      <c r="D1525" t="s">
        <v>85</v>
      </c>
      <c r="E1525" t="s">
        <v>273</v>
      </c>
      <c r="F1525" s="72">
        <v>10.58</v>
      </c>
      <c r="G1525" s="72">
        <v>0</v>
      </c>
    </row>
    <row r="1526" spans="2:7" x14ac:dyDescent="0.25">
      <c r="B1526" s="71">
        <v>43566</v>
      </c>
      <c r="C1526" t="s">
        <v>64</v>
      </c>
      <c r="D1526" t="s">
        <v>80</v>
      </c>
      <c r="E1526" t="s">
        <v>273</v>
      </c>
      <c r="F1526" s="72">
        <v>32.96</v>
      </c>
      <c r="G1526" s="72">
        <v>0</v>
      </c>
    </row>
    <row r="1527" spans="2:7" x14ac:dyDescent="0.25">
      <c r="B1527" s="71">
        <v>43566</v>
      </c>
      <c r="C1527" t="s">
        <v>61</v>
      </c>
      <c r="D1527" t="s">
        <v>81</v>
      </c>
      <c r="E1527" t="s">
        <v>273</v>
      </c>
      <c r="F1527" s="72">
        <v>94.21</v>
      </c>
      <c r="G1527" s="72">
        <v>0</v>
      </c>
    </row>
    <row r="1528" spans="2:7" x14ac:dyDescent="0.25">
      <c r="B1528" s="71">
        <v>43567</v>
      </c>
      <c r="C1528" t="s">
        <v>25</v>
      </c>
      <c r="D1528" t="s">
        <v>88</v>
      </c>
      <c r="E1528" t="s">
        <v>275</v>
      </c>
      <c r="F1528" s="72">
        <v>25</v>
      </c>
      <c r="G1528" s="72">
        <v>0</v>
      </c>
    </row>
    <row r="1529" spans="2:7" x14ac:dyDescent="0.25">
      <c r="B1529" s="71">
        <v>43567</v>
      </c>
      <c r="C1529" t="s">
        <v>25</v>
      </c>
      <c r="D1529" t="s">
        <v>88</v>
      </c>
      <c r="E1529" t="s">
        <v>275</v>
      </c>
      <c r="F1529" s="72">
        <v>34.76</v>
      </c>
      <c r="G1529" s="72">
        <v>0</v>
      </c>
    </row>
    <row r="1530" spans="2:7" x14ac:dyDescent="0.25">
      <c r="B1530" s="71">
        <v>43567</v>
      </c>
      <c r="C1530" t="s">
        <v>25</v>
      </c>
      <c r="D1530" t="s">
        <v>87</v>
      </c>
      <c r="E1530" t="s">
        <v>275</v>
      </c>
      <c r="F1530" s="72">
        <v>35</v>
      </c>
      <c r="G1530" s="72">
        <v>0</v>
      </c>
    </row>
    <row r="1531" spans="2:7" x14ac:dyDescent="0.25">
      <c r="B1531" s="71">
        <v>43567</v>
      </c>
      <c r="C1531" t="s">
        <v>25</v>
      </c>
      <c r="D1531" t="s">
        <v>82</v>
      </c>
      <c r="E1531" t="s">
        <v>208</v>
      </c>
      <c r="F1531" s="72">
        <v>14.35</v>
      </c>
      <c r="G1531" s="72">
        <v>0</v>
      </c>
    </row>
    <row r="1532" spans="2:7" x14ac:dyDescent="0.25">
      <c r="B1532" s="71">
        <v>43567</v>
      </c>
      <c r="C1532" t="s">
        <v>25</v>
      </c>
      <c r="D1532" t="s">
        <v>82</v>
      </c>
      <c r="E1532" t="s">
        <v>221</v>
      </c>
      <c r="F1532" s="72">
        <v>2.4</v>
      </c>
      <c r="G1532" s="72">
        <v>0</v>
      </c>
    </row>
    <row r="1533" spans="2:7" x14ac:dyDescent="0.25">
      <c r="B1533" s="71">
        <v>43567</v>
      </c>
      <c r="C1533" t="s">
        <v>25</v>
      </c>
      <c r="D1533" t="s">
        <v>82</v>
      </c>
      <c r="E1533" t="s">
        <v>276</v>
      </c>
      <c r="F1533" s="72">
        <v>14.35</v>
      </c>
      <c r="G1533" s="72">
        <v>0</v>
      </c>
    </row>
    <row r="1534" spans="2:7" x14ac:dyDescent="0.25">
      <c r="B1534" s="71">
        <v>43567</v>
      </c>
      <c r="C1534" t="s">
        <v>47</v>
      </c>
      <c r="D1534" t="s">
        <v>85</v>
      </c>
      <c r="E1534" t="s">
        <v>275</v>
      </c>
      <c r="F1534" s="72">
        <v>25</v>
      </c>
      <c r="G1534" s="72">
        <v>0</v>
      </c>
    </row>
    <row r="1535" spans="2:7" x14ac:dyDescent="0.25">
      <c r="B1535" s="71">
        <v>43567</v>
      </c>
      <c r="C1535" t="s">
        <v>48</v>
      </c>
      <c r="D1535" t="s">
        <v>81</v>
      </c>
      <c r="E1535" t="s">
        <v>275</v>
      </c>
      <c r="F1535" s="72">
        <v>8.5</v>
      </c>
      <c r="G1535" s="72">
        <v>0</v>
      </c>
    </row>
    <row r="1536" spans="2:7" x14ac:dyDescent="0.25">
      <c r="B1536" s="71">
        <v>43567</v>
      </c>
      <c r="C1536" t="s">
        <v>44</v>
      </c>
      <c r="D1536" t="s">
        <v>86</v>
      </c>
      <c r="E1536" t="s">
        <v>275</v>
      </c>
      <c r="F1536" s="72">
        <v>500</v>
      </c>
      <c r="G1536" s="72">
        <v>0</v>
      </c>
    </row>
    <row r="1537" spans="2:7" x14ac:dyDescent="0.25">
      <c r="B1537" s="71">
        <v>43567</v>
      </c>
      <c r="C1537" t="s">
        <v>44</v>
      </c>
      <c r="D1537" t="s">
        <v>81</v>
      </c>
      <c r="E1537" t="s">
        <v>275</v>
      </c>
      <c r="F1537" s="72">
        <v>3.5</v>
      </c>
      <c r="G1537" s="72">
        <v>0</v>
      </c>
    </row>
    <row r="1538" spans="2:7" x14ac:dyDescent="0.25">
      <c r="B1538" s="71">
        <v>43567</v>
      </c>
      <c r="C1538" t="s">
        <v>21</v>
      </c>
      <c r="D1538" t="s">
        <v>80</v>
      </c>
      <c r="E1538" t="s">
        <v>275</v>
      </c>
      <c r="F1538" s="72">
        <v>8</v>
      </c>
      <c r="G1538" s="72">
        <v>0</v>
      </c>
    </row>
    <row r="1539" spans="2:7" x14ac:dyDescent="0.25">
      <c r="B1539" s="71">
        <v>43567</v>
      </c>
      <c r="C1539" t="s">
        <v>21</v>
      </c>
      <c r="D1539" t="s">
        <v>80</v>
      </c>
      <c r="E1539" t="s">
        <v>275</v>
      </c>
      <c r="F1539" s="72">
        <v>16</v>
      </c>
      <c r="G1539" s="72">
        <v>0</v>
      </c>
    </row>
    <row r="1540" spans="2:7" x14ac:dyDescent="0.25">
      <c r="B1540" s="71">
        <v>43567</v>
      </c>
      <c r="C1540" t="s">
        <v>21</v>
      </c>
      <c r="D1540" t="s">
        <v>85</v>
      </c>
      <c r="E1540" t="s">
        <v>275</v>
      </c>
      <c r="F1540" s="72">
        <v>234</v>
      </c>
      <c r="G1540" s="72">
        <v>0</v>
      </c>
    </row>
    <row r="1541" spans="2:7" x14ac:dyDescent="0.25">
      <c r="B1541" s="71">
        <v>43567</v>
      </c>
      <c r="C1541" t="s">
        <v>49</v>
      </c>
      <c r="D1541" t="s">
        <v>81</v>
      </c>
      <c r="E1541" t="s">
        <v>275</v>
      </c>
      <c r="F1541" s="72">
        <v>46.28</v>
      </c>
      <c r="G1541" s="72">
        <v>0</v>
      </c>
    </row>
    <row r="1542" spans="2:7" x14ac:dyDescent="0.25">
      <c r="B1542" s="71">
        <v>43567</v>
      </c>
      <c r="C1542" t="s">
        <v>53</v>
      </c>
      <c r="D1542" t="s">
        <v>85</v>
      </c>
      <c r="E1542" t="s">
        <v>275</v>
      </c>
      <c r="F1542" s="72">
        <v>9.6</v>
      </c>
      <c r="G1542" s="72">
        <v>0</v>
      </c>
    </row>
    <row r="1543" spans="2:7" x14ac:dyDescent="0.25">
      <c r="B1543" s="71">
        <v>43567</v>
      </c>
      <c r="C1543" t="s">
        <v>24</v>
      </c>
      <c r="D1543" t="s">
        <v>80</v>
      </c>
      <c r="E1543" t="s">
        <v>275</v>
      </c>
      <c r="F1543" s="72">
        <v>8</v>
      </c>
      <c r="G1543" s="72">
        <v>0</v>
      </c>
    </row>
    <row r="1544" spans="2:7" x14ac:dyDescent="0.25">
      <c r="B1544" s="71">
        <v>43567</v>
      </c>
      <c r="C1544" t="s">
        <v>24</v>
      </c>
      <c r="D1544" t="s">
        <v>85</v>
      </c>
      <c r="E1544" t="s">
        <v>275</v>
      </c>
      <c r="F1544" s="72">
        <v>182</v>
      </c>
      <c r="G1544" s="72">
        <v>0</v>
      </c>
    </row>
    <row r="1545" spans="2:7" x14ac:dyDescent="0.25">
      <c r="B1545" s="71">
        <v>43567</v>
      </c>
      <c r="C1545" t="s">
        <v>24</v>
      </c>
      <c r="D1545" t="s">
        <v>85</v>
      </c>
      <c r="E1545" t="s">
        <v>275</v>
      </c>
      <c r="F1545" s="72">
        <v>338</v>
      </c>
      <c r="G1545" s="72">
        <v>0</v>
      </c>
    </row>
    <row r="1546" spans="2:7" x14ac:dyDescent="0.25">
      <c r="B1546" s="71">
        <v>43568</v>
      </c>
      <c r="C1546" t="s">
        <v>47</v>
      </c>
      <c r="D1546" t="s">
        <v>87</v>
      </c>
      <c r="E1546" t="s">
        <v>277</v>
      </c>
      <c r="F1546" s="72">
        <v>0</v>
      </c>
      <c r="G1546" s="72">
        <v>25</v>
      </c>
    </row>
    <row r="1547" spans="2:7" x14ac:dyDescent="0.25">
      <c r="B1547" s="71">
        <v>43570</v>
      </c>
      <c r="C1547" t="s">
        <v>25</v>
      </c>
      <c r="D1547" t="s">
        <v>82</v>
      </c>
      <c r="E1547" t="s">
        <v>218</v>
      </c>
      <c r="F1547" s="72">
        <v>2.25</v>
      </c>
      <c r="G1547" s="72">
        <v>0</v>
      </c>
    </row>
    <row r="1548" spans="2:7" x14ac:dyDescent="0.25">
      <c r="B1548" s="71">
        <v>43570</v>
      </c>
      <c r="C1548" t="s">
        <v>25</v>
      </c>
      <c r="D1548" t="s">
        <v>82</v>
      </c>
      <c r="E1548" t="s">
        <v>200</v>
      </c>
      <c r="F1548" s="72">
        <v>6.85</v>
      </c>
      <c r="G1548" s="72">
        <v>0</v>
      </c>
    </row>
    <row r="1549" spans="2:7" x14ac:dyDescent="0.25">
      <c r="B1549" s="71">
        <v>43570</v>
      </c>
      <c r="C1549" t="s">
        <v>25</v>
      </c>
      <c r="D1549" t="s">
        <v>85</v>
      </c>
      <c r="E1549" t="s">
        <v>278</v>
      </c>
      <c r="F1549" s="72">
        <v>5</v>
      </c>
      <c r="G1549" s="72">
        <v>0</v>
      </c>
    </row>
    <row r="1550" spans="2:7" x14ac:dyDescent="0.25">
      <c r="B1550" s="71">
        <v>43570</v>
      </c>
      <c r="C1550" t="s">
        <v>25</v>
      </c>
      <c r="D1550" t="s">
        <v>85</v>
      </c>
      <c r="E1550" t="s">
        <v>278</v>
      </c>
      <c r="F1550" s="72">
        <v>44.4</v>
      </c>
      <c r="G1550" s="72">
        <v>0</v>
      </c>
    </row>
    <row r="1551" spans="2:7" x14ac:dyDescent="0.25">
      <c r="B1551" s="71">
        <v>43570</v>
      </c>
      <c r="C1551" t="s">
        <v>21</v>
      </c>
      <c r="D1551" t="s">
        <v>80</v>
      </c>
      <c r="E1551" t="s">
        <v>278</v>
      </c>
      <c r="F1551" s="72">
        <v>8</v>
      </c>
      <c r="G1551" s="72">
        <v>0</v>
      </c>
    </row>
    <row r="1552" spans="2:7" x14ac:dyDescent="0.25">
      <c r="B1552" s="71">
        <v>43570</v>
      </c>
      <c r="C1552" t="s">
        <v>21</v>
      </c>
      <c r="D1552" t="s">
        <v>80</v>
      </c>
      <c r="E1552" t="s">
        <v>278</v>
      </c>
      <c r="F1552" s="72">
        <v>16</v>
      </c>
      <c r="G1552" s="72">
        <v>0</v>
      </c>
    </row>
    <row r="1553" spans="2:7" x14ac:dyDescent="0.25">
      <c r="B1553" s="71">
        <v>43570</v>
      </c>
      <c r="C1553" t="s">
        <v>21</v>
      </c>
      <c r="D1553" t="s">
        <v>80</v>
      </c>
      <c r="E1553" t="s">
        <v>278</v>
      </c>
      <c r="F1553" s="72">
        <v>24</v>
      </c>
      <c r="G1553" s="72">
        <v>0</v>
      </c>
    </row>
    <row r="1554" spans="2:7" x14ac:dyDescent="0.25">
      <c r="B1554" s="71">
        <v>43570</v>
      </c>
      <c r="C1554" t="s">
        <v>21</v>
      </c>
      <c r="D1554" t="s">
        <v>80</v>
      </c>
      <c r="E1554" t="s">
        <v>278</v>
      </c>
      <c r="F1554" s="72">
        <v>40</v>
      </c>
      <c r="G1554" s="72">
        <v>0</v>
      </c>
    </row>
    <row r="1555" spans="2:7" x14ac:dyDescent="0.25">
      <c r="B1555" s="71">
        <v>43570</v>
      </c>
      <c r="C1555" t="s">
        <v>67</v>
      </c>
      <c r="D1555" t="s">
        <v>80</v>
      </c>
      <c r="E1555" t="s">
        <v>278</v>
      </c>
      <c r="F1555" s="72">
        <v>12.48</v>
      </c>
      <c r="G1555" s="72">
        <v>0</v>
      </c>
    </row>
    <row r="1556" spans="2:7" x14ac:dyDescent="0.25">
      <c r="B1556" s="71">
        <v>43570</v>
      </c>
      <c r="C1556" t="s">
        <v>51</v>
      </c>
      <c r="D1556" t="s">
        <v>85</v>
      </c>
      <c r="E1556" t="s">
        <v>278</v>
      </c>
      <c r="F1556" s="72">
        <v>9.67</v>
      </c>
      <c r="G1556" s="72">
        <v>0</v>
      </c>
    </row>
    <row r="1557" spans="2:7" x14ac:dyDescent="0.25">
      <c r="B1557" s="71">
        <v>43570</v>
      </c>
      <c r="C1557" t="s">
        <v>74</v>
      </c>
      <c r="D1557" t="s">
        <v>85</v>
      </c>
      <c r="E1557" t="s">
        <v>278</v>
      </c>
      <c r="F1557" s="72">
        <v>32.549999999999997</v>
      </c>
      <c r="G1557" s="72">
        <v>0</v>
      </c>
    </row>
    <row r="1558" spans="2:7" x14ac:dyDescent="0.25">
      <c r="B1558" s="71">
        <v>43570</v>
      </c>
      <c r="C1558" t="s">
        <v>24</v>
      </c>
      <c r="D1558" t="s">
        <v>80</v>
      </c>
      <c r="E1558" t="s">
        <v>278</v>
      </c>
      <c r="F1558" s="72">
        <v>8</v>
      </c>
      <c r="G1558" s="72">
        <v>0</v>
      </c>
    </row>
    <row r="1559" spans="2:7" x14ac:dyDescent="0.25">
      <c r="B1559" s="71">
        <v>43570</v>
      </c>
      <c r="C1559" t="s">
        <v>61</v>
      </c>
      <c r="D1559" t="s">
        <v>86</v>
      </c>
      <c r="E1559" t="s">
        <v>278</v>
      </c>
      <c r="F1559" s="72">
        <v>20.25</v>
      </c>
      <c r="G1559" s="72">
        <v>0</v>
      </c>
    </row>
    <row r="1560" spans="2:7" x14ac:dyDescent="0.25">
      <c r="B1560" s="71">
        <v>43570</v>
      </c>
      <c r="C1560" t="s">
        <v>61</v>
      </c>
      <c r="D1560" t="s">
        <v>85</v>
      </c>
      <c r="E1560" t="s">
        <v>278</v>
      </c>
      <c r="F1560" s="72">
        <v>26.13</v>
      </c>
      <c r="G1560" s="72">
        <v>0</v>
      </c>
    </row>
    <row r="1561" spans="2:7" x14ac:dyDescent="0.25">
      <c r="B1561" s="71">
        <v>43570</v>
      </c>
      <c r="C1561" t="s">
        <v>62</v>
      </c>
      <c r="D1561" t="s">
        <v>86</v>
      </c>
      <c r="E1561" t="s">
        <v>278</v>
      </c>
      <c r="F1561" s="72">
        <v>59.38</v>
      </c>
      <c r="G1561" s="72">
        <v>0</v>
      </c>
    </row>
    <row r="1562" spans="2:7" x14ac:dyDescent="0.25">
      <c r="B1562" s="71">
        <v>43571</v>
      </c>
      <c r="C1562" t="s">
        <v>25</v>
      </c>
      <c r="D1562" t="s">
        <v>86</v>
      </c>
      <c r="E1562" t="s">
        <v>279</v>
      </c>
      <c r="F1562" s="72">
        <v>24.25</v>
      </c>
      <c r="G1562" s="72">
        <v>0</v>
      </c>
    </row>
    <row r="1563" spans="2:7" x14ac:dyDescent="0.25">
      <c r="B1563" s="71">
        <v>43571</v>
      </c>
      <c r="C1563" t="s">
        <v>25</v>
      </c>
      <c r="D1563" t="s">
        <v>86</v>
      </c>
      <c r="E1563" t="s">
        <v>279</v>
      </c>
      <c r="F1563" s="72">
        <v>52.5</v>
      </c>
      <c r="G1563" s="72">
        <v>0</v>
      </c>
    </row>
    <row r="1564" spans="2:7" x14ac:dyDescent="0.25">
      <c r="B1564" s="71">
        <v>43571</v>
      </c>
      <c r="C1564" t="s">
        <v>25</v>
      </c>
      <c r="D1564" t="s">
        <v>81</v>
      </c>
      <c r="E1564" t="s">
        <v>279</v>
      </c>
      <c r="F1564" s="72">
        <v>88</v>
      </c>
      <c r="G1564" s="72">
        <v>0</v>
      </c>
    </row>
    <row r="1565" spans="2:7" x14ac:dyDescent="0.25">
      <c r="B1565" s="71">
        <v>43571</v>
      </c>
      <c r="C1565" t="s">
        <v>25</v>
      </c>
      <c r="D1565" t="s">
        <v>82</v>
      </c>
      <c r="E1565" t="s">
        <v>195</v>
      </c>
      <c r="F1565" s="72">
        <v>7.35</v>
      </c>
      <c r="G1565" s="72">
        <v>0</v>
      </c>
    </row>
    <row r="1566" spans="2:7" x14ac:dyDescent="0.25">
      <c r="B1566" s="71">
        <v>43571</v>
      </c>
      <c r="C1566" t="s">
        <v>25</v>
      </c>
      <c r="D1566" t="s">
        <v>82</v>
      </c>
      <c r="E1566" t="s">
        <v>218</v>
      </c>
      <c r="F1566" s="72">
        <v>2.25</v>
      </c>
      <c r="G1566" s="72">
        <v>0</v>
      </c>
    </row>
    <row r="1567" spans="2:7" x14ac:dyDescent="0.25">
      <c r="B1567" s="71">
        <v>43571</v>
      </c>
      <c r="C1567" t="s">
        <v>25</v>
      </c>
      <c r="D1567" t="s">
        <v>82</v>
      </c>
      <c r="E1567" t="s">
        <v>180</v>
      </c>
      <c r="F1567" s="72">
        <v>2.9</v>
      </c>
      <c r="G1567" s="72">
        <v>0</v>
      </c>
    </row>
    <row r="1568" spans="2:7" x14ac:dyDescent="0.25">
      <c r="B1568" s="71">
        <v>43571</v>
      </c>
      <c r="C1568" t="s">
        <v>25</v>
      </c>
      <c r="D1568" t="s">
        <v>85</v>
      </c>
      <c r="E1568" t="s">
        <v>279</v>
      </c>
      <c r="F1568" s="72">
        <v>12</v>
      </c>
      <c r="G1568" s="72">
        <v>0</v>
      </c>
    </row>
    <row r="1569" spans="2:7" x14ac:dyDescent="0.25">
      <c r="B1569" s="71">
        <v>43571</v>
      </c>
      <c r="C1569" t="s">
        <v>55</v>
      </c>
      <c r="D1569" t="s">
        <v>104</v>
      </c>
      <c r="E1569" t="s">
        <v>280</v>
      </c>
      <c r="F1569" s="72">
        <v>61.81</v>
      </c>
      <c r="G1569" s="72">
        <v>0</v>
      </c>
    </row>
    <row r="1570" spans="2:7" x14ac:dyDescent="0.25">
      <c r="B1570" s="71">
        <v>43571</v>
      </c>
      <c r="C1570" t="s">
        <v>47</v>
      </c>
      <c r="D1570" t="s">
        <v>80</v>
      </c>
      <c r="E1570" t="s">
        <v>279</v>
      </c>
      <c r="F1570" s="72">
        <v>10</v>
      </c>
      <c r="G1570" s="72">
        <v>0</v>
      </c>
    </row>
    <row r="1571" spans="2:7" x14ac:dyDescent="0.25">
      <c r="B1571" s="71">
        <v>43571</v>
      </c>
      <c r="C1571" t="s">
        <v>47</v>
      </c>
      <c r="D1571" t="s">
        <v>85</v>
      </c>
      <c r="E1571" t="s">
        <v>279</v>
      </c>
      <c r="F1571" s="72">
        <v>4.5999999999999996</v>
      </c>
      <c r="G1571" s="72">
        <v>0</v>
      </c>
    </row>
    <row r="1572" spans="2:7" x14ac:dyDescent="0.25">
      <c r="B1572" s="71">
        <v>43571</v>
      </c>
      <c r="C1572" t="s">
        <v>57</v>
      </c>
      <c r="D1572" t="s">
        <v>85</v>
      </c>
      <c r="E1572" t="s">
        <v>279</v>
      </c>
      <c r="F1572" s="72">
        <v>138.07</v>
      </c>
      <c r="G1572" s="72">
        <v>0</v>
      </c>
    </row>
    <row r="1573" spans="2:7" x14ac:dyDescent="0.25">
      <c r="B1573" s="71">
        <v>43571</v>
      </c>
      <c r="C1573" t="s">
        <v>21</v>
      </c>
      <c r="D1573" t="s">
        <v>80</v>
      </c>
      <c r="E1573" t="s">
        <v>279</v>
      </c>
      <c r="F1573" s="72">
        <v>8</v>
      </c>
      <c r="G1573" s="72">
        <v>0</v>
      </c>
    </row>
    <row r="1574" spans="2:7" x14ac:dyDescent="0.25">
      <c r="B1574" s="71">
        <v>43571</v>
      </c>
      <c r="C1574" t="s">
        <v>21</v>
      </c>
      <c r="D1574" t="s">
        <v>80</v>
      </c>
      <c r="E1574" t="s">
        <v>279</v>
      </c>
      <c r="F1574" s="72">
        <v>16</v>
      </c>
      <c r="G1574" s="72">
        <v>0</v>
      </c>
    </row>
    <row r="1575" spans="2:7" x14ac:dyDescent="0.25">
      <c r="B1575" s="71">
        <v>43571</v>
      </c>
      <c r="C1575" t="s">
        <v>21</v>
      </c>
      <c r="D1575" t="s">
        <v>80</v>
      </c>
      <c r="E1575" t="s">
        <v>279</v>
      </c>
      <c r="F1575" s="72">
        <v>24</v>
      </c>
      <c r="G1575" s="72">
        <v>0</v>
      </c>
    </row>
    <row r="1576" spans="2:7" x14ac:dyDescent="0.25">
      <c r="B1576" s="71">
        <v>43571</v>
      </c>
      <c r="C1576" t="s">
        <v>21</v>
      </c>
      <c r="D1576" t="s">
        <v>80</v>
      </c>
      <c r="E1576" t="s">
        <v>279</v>
      </c>
      <c r="F1576" s="72">
        <v>32</v>
      </c>
      <c r="G1576" s="72">
        <v>0</v>
      </c>
    </row>
    <row r="1577" spans="2:7" x14ac:dyDescent="0.25">
      <c r="B1577" s="71">
        <v>43571</v>
      </c>
      <c r="C1577" t="s">
        <v>21</v>
      </c>
      <c r="D1577" t="s">
        <v>80</v>
      </c>
      <c r="E1577" t="s">
        <v>279</v>
      </c>
      <c r="F1577" s="72">
        <v>40</v>
      </c>
      <c r="G1577" s="72">
        <v>0</v>
      </c>
    </row>
    <row r="1578" spans="2:7" x14ac:dyDescent="0.25">
      <c r="B1578" s="71">
        <v>43571</v>
      </c>
      <c r="C1578" t="s">
        <v>21</v>
      </c>
      <c r="D1578" t="s">
        <v>80</v>
      </c>
      <c r="E1578" t="s">
        <v>279</v>
      </c>
      <c r="F1578" s="72">
        <v>56</v>
      </c>
      <c r="G1578" s="72">
        <v>0</v>
      </c>
    </row>
    <row r="1579" spans="2:7" x14ac:dyDescent="0.25">
      <c r="B1579" s="71">
        <v>43571</v>
      </c>
      <c r="C1579" t="s">
        <v>21</v>
      </c>
      <c r="D1579" t="s">
        <v>104</v>
      </c>
      <c r="E1579" t="s">
        <v>280</v>
      </c>
      <c r="F1579" s="72">
        <v>20.72</v>
      </c>
      <c r="G1579" s="72">
        <v>0</v>
      </c>
    </row>
    <row r="1580" spans="2:7" x14ac:dyDescent="0.25">
      <c r="B1580" s="71">
        <v>43571</v>
      </c>
      <c r="C1580" t="s">
        <v>21</v>
      </c>
      <c r="D1580" t="s">
        <v>104</v>
      </c>
      <c r="E1580" t="s">
        <v>280</v>
      </c>
      <c r="F1580" s="72">
        <v>59.78</v>
      </c>
      <c r="G1580" s="72">
        <v>0</v>
      </c>
    </row>
    <row r="1581" spans="2:7" x14ac:dyDescent="0.25">
      <c r="B1581" s="71">
        <v>43571</v>
      </c>
      <c r="C1581" t="s">
        <v>49</v>
      </c>
      <c r="D1581" t="s">
        <v>80</v>
      </c>
      <c r="E1581" t="s">
        <v>279</v>
      </c>
      <c r="F1581" s="72">
        <v>522.97</v>
      </c>
      <c r="G1581" s="72">
        <v>0</v>
      </c>
    </row>
    <row r="1582" spans="2:7" x14ac:dyDescent="0.25">
      <c r="B1582" s="71">
        <v>43571</v>
      </c>
      <c r="C1582" t="s">
        <v>69</v>
      </c>
      <c r="D1582" t="s">
        <v>86</v>
      </c>
      <c r="E1582" t="s">
        <v>279</v>
      </c>
      <c r="F1582" s="72">
        <v>1076.46</v>
      </c>
      <c r="G1582" s="72">
        <v>0</v>
      </c>
    </row>
    <row r="1583" spans="2:7" x14ac:dyDescent="0.25">
      <c r="B1583" s="71">
        <v>43571</v>
      </c>
      <c r="C1583" t="s">
        <v>24</v>
      </c>
      <c r="D1583" t="s">
        <v>80</v>
      </c>
      <c r="E1583" t="s">
        <v>279</v>
      </c>
      <c r="F1583" s="72">
        <v>8</v>
      </c>
      <c r="G1583" s="72">
        <v>0</v>
      </c>
    </row>
    <row r="1584" spans="2:7" x14ac:dyDescent="0.25">
      <c r="B1584" s="71">
        <v>43571</v>
      </c>
      <c r="C1584" t="s">
        <v>24</v>
      </c>
      <c r="D1584" t="s">
        <v>80</v>
      </c>
      <c r="E1584" t="s">
        <v>279</v>
      </c>
      <c r="F1584" s="72">
        <v>16</v>
      </c>
      <c r="G1584" s="72">
        <v>0</v>
      </c>
    </row>
    <row r="1585" spans="2:7" x14ac:dyDescent="0.25">
      <c r="B1585" s="71">
        <v>43572</v>
      </c>
      <c r="C1585" t="s">
        <v>25</v>
      </c>
      <c r="D1585" t="s">
        <v>86</v>
      </c>
      <c r="E1585" t="s">
        <v>281</v>
      </c>
      <c r="F1585" s="72">
        <v>24.08</v>
      </c>
      <c r="G1585" s="72">
        <v>0</v>
      </c>
    </row>
    <row r="1586" spans="2:7" x14ac:dyDescent="0.25">
      <c r="B1586" s="71">
        <v>43572</v>
      </c>
      <c r="C1586" t="s">
        <v>25</v>
      </c>
      <c r="D1586" t="s">
        <v>81</v>
      </c>
      <c r="E1586" t="s">
        <v>281</v>
      </c>
      <c r="F1586" s="72">
        <v>61.6</v>
      </c>
      <c r="G1586" s="72">
        <v>0</v>
      </c>
    </row>
    <row r="1587" spans="2:7" x14ac:dyDescent="0.25">
      <c r="B1587" s="71">
        <v>43572</v>
      </c>
      <c r="C1587" t="s">
        <v>25</v>
      </c>
      <c r="D1587" t="s">
        <v>88</v>
      </c>
      <c r="E1587" t="s">
        <v>281</v>
      </c>
      <c r="F1587" s="72">
        <v>29.65</v>
      </c>
      <c r="G1587" s="72">
        <v>0</v>
      </c>
    </row>
    <row r="1588" spans="2:7" x14ac:dyDescent="0.25">
      <c r="B1588" s="71">
        <v>43572</v>
      </c>
      <c r="C1588" t="s">
        <v>25</v>
      </c>
      <c r="D1588" t="s">
        <v>88</v>
      </c>
      <c r="E1588" t="s">
        <v>281</v>
      </c>
      <c r="F1588" s="72">
        <v>31.72</v>
      </c>
      <c r="G1588" s="72">
        <v>0</v>
      </c>
    </row>
    <row r="1589" spans="2:7" x14ac:dyDescent="0.25">
      <c r="B1589" s="71">
        <v>43572</v>
      </c>
      <c r="C1589" t="s">
        <v>25</v>
      </c>
      <c r="D1589" t="s">
        <v>82</v>
      </c>
      <c r="E1589" t="s">
        <v>123</v>
      </c>
      <c r="F1589" s="72">
        <v>16.95</v>
      </c>
      <c r="G1589" s="72">
        <v>0</v>
      </c>
    </row>
    <row r="1590" spans="2:7" x14ac:dyDescent="0.25">
      <c r="B1590" s="71">
        <v>43572</v>
      </c>
      <c r="C1590" t="s">
        <v>25</v>
      </c>
      <c r="D1590" t="s">
        <v>85</v>
      </c>
      <c r="E1590" t="s">
        <v>281</v>
      </c>
      <c r="F1590" s="72">
        <v>12</v>
      </c>
      <c r="G1590" s="72">
        <v>0</v>
      </c>
    </row>
    <row r="1591" spans="2:7" x14ac:dyDescent="0.25">
      <c r="B1591" s="71">
        <v>43572</v>
      </c>
      <c r="C1591" t="s">
        <v>21</v>
      </c>
      <c r="D1591" t="s">
        <v>80</v>
      </c>
      <c r="E1591" t="s">
        <v>281</v>
      </c>
      <c r="F1591" s="72">
        <v>8</v>
      </c>
      <c r="G1591" s="72">
        <v>0</v>
      </c>
    </row>
    <row r="1592" spans="2:7" x14ac:dyDescent="0.25">
      <c r="B1592" s="71">
        <v>43572</v>
      </c>
      <c r="C1592" t="s">
        <v>21</v>
      </c>
      <c r="D1592" t="s">
        <v>80</v>
      </c>
      <c r="E1592" t="s">
        <v>281</v>
      </c>
      <c r="F1592" s="72">
        <v>16</v>
      </c>
      <c r="G1592" s="72">
        <v>0</v>
      </c>
    </row>
    <row r="1593" spans="2:7" x14ac:dyDescent="0.25">
      <c r="B1593" s="71">
        <v>43572</v>
      </c>
      <c r="C1593" t="s">
        <v>21</v>
      </c>
      <c r="D1593" t="s">
        <v>80</v>
      </c>
      <c r="E1593" t="s">
        <v>281</v>
      </c>
      <c r="F1593" s="72">
        <v>24</v>
      </c>
      <c r="G1593" s="72">
        <v>0</v>
      </c>
    </row>
    <row r="1594" spans="2:7" x14ac:dyDescent="0.25">
      <c r="B1594" s="71">
        <v>43572</v>
      </c>
      <c r="C1594" t="s">
        <v>21</v>
      </c>
      <c r="D1594" t="s">
        <v>80</v>
      </c>
      <c r="E1594" t="s">
        <v>281</v>
      </c>
      <c r="F1594" s="72">
        <v>40</v>
      </c>
      <c r="G1594" s="72">
        <v>0</v>
      </c>
    </row>
    <row r="1595" spans="2:7" x14ac:dyDescent="0.25">
      <c r="B1595" s="71">
        <v>43572</v>
      </c>
      <c r="C1595" t="s">
        <v>21</v>
      </c>
      <c r="D1595" t="s">
        <v>80</v>
      </c>
      <c r="E1595" t="s">
        <v>281</v>
      </c>
      <c r="F1595" s="72">
        <v>48</v>
      </c>
      <c r="G1595" s="72">
        <v>0</v>
      </c>
    </row>
    <row r="1596" spans="2:7" x14ac:dyDescent="0.25">
      <c r="B1596" s="71">
        <v>43572</v>
      </c>
      <c r="C1596" t="s">
        <v>21</v>
      </c>
      <c r="D1596" t="s">
        <v>80</v>
      </c>
      <c r="E1596" t="s">
        <v>281</v>
      </c>
      <c r="F1596" s="72">
        <v>56</v>
      </c>
      <c r="G1596" s="72">
        <v>0</v>
      </c>
    </row>
    <row r="1597" spans="2:7" x14ac:dyDescent="0.25">
      <c r="B1597" s="71">
        <v>43572</v>
      </c>
      <c r="C1597" t="s">
        <v>67</v>
      </c>
      <c r="D1597" t="s">
        <v>86</v>
      </c>
      <c r="E1597" t="s">
        <v>281</v>
      </c>
      <c r="F1597" s="72">
        <v>2550</v>
      </c>
      <c r="G1597" s="72">
        <v>0</v>
      </c>
    </row>
    <row r="1598" spans="2:7" x14ac:dyDescent="0.25">
      <c r="B1598" s="71">
        <v>43572</v>
      </c>
      <c r="C1598" t="s">
        <v>59</v>
      </c>
      <c r="D1598" t="s">
        <v>85</v>
      </c>
      <c r="E1598" t="s">
        <v>281</v>
      </c>
      <c r="F1598" s="72">
        <v>1451.8</v>
      </c>
      <c r="G1598" s="72">
        <v>0</v>
      </c>
    </row>
    <row r="1599" spans="2:7" x14ac:dyDescent="0.25">
      <c r="B1599" s="71">
        <v>43572</v>
      </c>
      <c r="C1599" t="s">
        <v>24</v>
      </c>
      <c r="D1599" t="s">
        <v>80</v>
      </c>
      <c r="E1599" t="s">
        <v>281</v>
      </c>
      <c r="F1599" s="72">
        <v>8</v>
      </c>
      <c r="G1599" s="72">
        <v>0</v>
      </c>
    </row>
    <row r="1600" spans="2:7" x14ac:dyDescent="0.25">
      <c r="B1600" s="71">
        <v>43572</v>
      </c>
      <c r="C1600" t="s">
        <v>62</v>
      </c>
      <c r="D1600" t="s">
        <v>85</v>
      </c>
      <c r="E1600" t="s">
        <v>281</v>
      </c>
      <c r="F1600" s="72">
        <v>19.420000000000002</v>
      </c>
      <c r="G1600" s="72">
        <v>0</v>
      </c>
    </row>
    <row r="1601" spans="2:7" x14ac:dyDescent="0.25">
      <c r="B1601" s="71">
        <v>43573</v>
      </c>
      <c r="C1601" t="s">
        <v>25</v>
      </c>
      <c r="D1601" t="s">
        <v>81</v>
      </c>
      <c r="E1601" t="s">
        <v>282</v>
      </c>
      <c r="F1601" s="72">
        <v>9.99</v>
      </c>
      <c r="G1601" s="72">
        <v>0</v>
      </c>
    </row>
    <row r="1602" spans="2:7" x14ac:dyDescent="0.25">
      <c r="B1602" s="71">
        <v>43573</v>
      </c>
      <c r="C1602" t="s">
        <v>25</v>
      </c>
      <c r="D1602" t="s">
        <v>88</v>
      </c>
      <c r="E1602" t="s">
        <v>282</v>
      </c>
      <c r="F1602" s="72">
        <v>27.81</v>
      </c>
      <c r="G1602" s="72">
        <v>0</v>
      </c>
    </row>
    <row r="1603" spans="2:7" x14ac:dyDescent="0.25">
      <c r="B1603" s="71">
        <v>43573</v>
      </c>
      <c r="C1603" t="s">
        <v>25</v>
      </c>
      <c r="D1603" t="s">
        <v>88</v>
      </c>
      <c r="E1603" t="s">
        <v>282</v>
      </c>
      <c r="F1603" s="72">
        <v>42.45</v>
      </c>
      <c r="G1603" s="72">
        <v>0</v>
      </c>
    </row>
    <row r="1604" spans="2:7" x14ac:dyDescent="0.25">
      <c r="B1604" s="71">
        <v>43573</v>
      </c>
      <c r="C1604" t="s">
        <v>52</v>
      </c>
      <c r="D1604" t="s">
        <v>87</v>
      </c>
      <c r="E1604" t="s">
        <v>282</v>
      </c>
      <c r="F1604" s="72">
        <v>160.51</v>
      </c>
      <c r="G1604" s="72">
        <v>0</v>
      </c>
    </row>
    <row r="1605" spans="2:7" x14ac:dyDescent="0.25">
      <c r="B1605" s="71">
        <v>43573</v>
      </c>
      <c r="C1605" t="s">
        <v>21</v>
      </c>
      <c r="D1605" t="s">
        <v>80</v>
      </c>
      <c r="E1605" t="s">
        <v>282</v>
      </c>
      <c r="F1605" s="72">
        <v>8</v>
      </c>
      <c r="G1605" s="72">
        <v>0</v>
      </c>
    </row>
    <row r="1606" spans="2:7" x14ac:dyDescent="0.25">
      <c r="B1606" s="71">
        <v>43573</v>
      </c>
      <c r="C1606" t="s">
        <v>21</v>
      </c>
      <c r="D1606" t="s">
        <v>80</v>
      </c>
      <c r="E1606" t="s">
        <v>282</v>
      </c>
      <c r="F1606" s="72">
        <v>16</v>
      </c>
      <c r="G1606" s="72">
        <v>0</v>
      </c>
    </row>
    <row r="1607" spans="2:7" x14ac:dyDescent="0.25">
      <c r="B1607" s="71">
        <v>43573</v>
      </c>
      <c r="C1607" t="s">
        <v>21</v>
      </c>
      <c r="D1607" t="s">
        <v>80</v>
      </c>
      <c r="E1607" t="s">
        <v>282</v>
      </c>
      <c r="F1607" s="72">
        <v>24</v>
      </c>
      <c r="G1607" s="72">
        <v>0</v>
      </c>
    </row>
    <row r="1608" spans="2:7" x14ac:dyDescent="0.25">
      <c r="B1608" s="71">
        <v>43573</v>
      </c>
      <c r="C1608" t="s">
        <v>21</v>
      </c>
      <c r="D1608" t="s">
        <v>80</v>
      </c>
      <c r="E1608" t="s">
        <v>282</v>
      </c>
      <c r="F1608" s="72">
        <v>32</v>
      </c>
      <c r="G1608" s="72">
        <v>0</v>
      </c>
    </row>
    <row r="1609" spans="2:7" x14ac:dyDescent="0.25">
      <c r="B1609" s="71">
        <v>43573</v>
      </c>
      <c r="C1609" t="s">
        <v>21</v>
      </c>
      <c r="D1609" t="s">
        <v>80</v>
      </c>
      <c r="E1609" t="s">
        <v>282</v>
      </c>
      <c r="F1609" s="72">
        <v>48</v>
      </c>
      <c r="G1609" s="72">
        <v>0</v>
      </c>
    </row>
    <row r="1610" spans="2:7" x14ac:dyDescent="0.25">
      <c r="B1610" s="71">
        <v>43573</v>
      </c>
      <c r="C1610" t="s">
        <v>46</v>
      </c>
      <c r="D1610" t="s">
        <v>86</v>
      </c>
      <c r="E1610" t="s">
        <v>282</v>
      </c>
      <c r="F1610" s="72">
        <v>68</v>
      </c>
      <c r="G1610" s="72">
        <v>0</v>
      </c>
    </row>
    <row r="1611" spans="2:7" x14ac:dyDescent="0.25">
      <c r="B1611" s="71">
        <v>43573</v>
      </c>
      <c r="C1611" t="s">
        <v>62</v>
      </c>
      <c r="D1611" t="s">
        <v>87</v>
      </c>
      <c r="E1611" t="s">
        <v>282</v>
      </c>
      <c r="F1611" s="72">
        <v>297.27999999999997</v>
      </c>
      <c r="G1611" s="72">
        <v>0</v>
      </c>
    </row>
    <row r="1612" spans="2:7" x14ac:dyDescent="0.25">
      <c r="B1612" s="71">
        <v>43577</v>
      </c>
      <c r="C1612" t="s">
        <v>25</v>
      </c>
      <c r="D1612" t="s">
        <v>80</v>
      </c>
      <c r="E1612" t="s">
        <v>283</v>
      </c>
      <c r="F1612" s="72">
        <v>8</v>
      </c>
      <c r="G1612" s="72">
        <v>0</v>
      </c>
    </row>
    <row r="1613" spans="2:7" x14ac:dyDescent="0.25">
      <c r="B1613" s="71">
        <v>43577</v>
      </c>
      <c r="C1613" t="s">
        <v>25</v>
      </c>
      <c r="D1613" t="s">
        <v>80</v>
      </c>
      <c r="E1613" t="s">
        <v>283</v>
      </c>
      <c r="F1613" s="72">
        <v>56.66</v>
      </c>
      <c r="G1613" s="72">
        <v>0</v>
      </c>
    </row>
    <row r="1614" spans="2:7" x14ac:dyDescent="0.25">
      <c r="B1614" s="71">
        <v>43577</v>
      </c>
      <c r="C1614" t="s">
        <v>25</v>
      </c>
      <c r="D1614" t="s">
        <v>82</v>
      </c>
      <c r="E1614" t="s">
        <v>213</v>
      </c>
      <c r="F1614" s="72">
        <v>16.399999999999999</v>
      </c>
      <c r="G1614" s="72">
        <v>0</v>
      </c>
    </row>
    <row r="1615" spans="2:7" x14ac:dyDescent="0.25">
      <c r="B1615" s="71">
        <v>43577</v>
      </c>
      <c r="C1615" t="s">
        <v>25</v>
      </c>
      <c r="D1615" t="s">
        <v>82</v>
      </c>
      <c r="E1615" t="s">
        <v>196</v>
      </c>
      <c r="F1615" s="72">
        <v>26</v>
      </c>
      <c r="G1615" s="72">
        <v>0</v>
      </c>
    </row>
    <row r="1616" spans="2:7" x14ac:dyDescent="0.25">
      <c r="B1616" s="71">
        <v>43577</v>
      </c>
      <c r="C1616" t="s">
        <v>25</v>
      </c>
      <c r="D1616" t="s">
        <v>83</v>
      </c>
      <c r="E1616" t="s">
        <v>283</v>
      </c>
      <c r="F1616" s="72">
        <v>163.91</v>
      </c>
      <c r="G1616" s="72">
        <v>0</v>
      </c>
    </row>
    <row r="1617" spans="2:7" x14ac:dyDescent="0.25">
      <c r="B1617" s="71">
        <v>43577</v>
      </c>
      <c r="C1617" t="s">
        <v>25</v>
      </c>
      <c r="D1617" t="s">
        <v>85</v>
      </c>
      <c r="E1617" t="s">
        <v>283</v>
      </c>
      <c r="F1617" s="72">
        <v>172</v>
      </c>
      <c r="G1617" s="72">
        <v>0</v>
      </c>
    </row>
    <row r="1618" spans="2:7" x14ac:dyDescent="0.25">
      <c r="B1618" s="71">
        <v>43577</v>
      </c>
      <c r="C1618" t="s">
        <v>55</v>
      </c>
      <c r="D1618" t="s">
        <v>80</v>
      </c>
      <c r="E1618" t="s">
        <v>283</v>
      </c>
      <c r="F1618" s="72">
        <v>129.9</v>
      </c>
      <c r="G1618" s="72">
        <v>0</v>
      </c>
    </row>
    <row r="1619" spans="2:7" x14ac:dyDescent="0.25">
      <c r="B1619" s="71">
        <v>43577</v>
      </c>
      <c r="C1619" t="s">
        <v>55</v>
      </c>
      <c r="D1619" t="s">
        <v>86</v>
      </c>
      <c r="E1619" t="s">
        <v>283</v>
      </c>
      <c r="F1619" s="72">
        <v>40.74</v>
      </c>
      <c r="G1619" s="72">
        <v>0</v>
      </c>
    </row>
    <row r="1620" spans="2:7" x14ac:dyDescent="0.25">
      <c r="B1620" s="71">
        <v>43577</v>
      </c>
      <c r="C1620" t="s">
        <v>47</v>
      </c>
      <c r="D1620" t="s">
        <v>85</v>
      </c>
      <c r="E1620" t="s">
        <v>283</v>
      </c>
      <c r="F1620" s="72">
        <v>22.3</v>
      </c>
      <c r="G1620" s="72">
        <v>0</v>
      </c>
    </row>
    <row r="1621" spans="2:7" x14ac:dyDescent="0.25">
      <c r="B1621" s="71">
        <v>43577</v>
      </c>
      <c r="C1621" t="s">
        <v>60</v>
      </c>
      <c r="D1621" t="s">
        <v>83</v>
      </c>
      <c r="E1621" t="s">
        <v>283</v>
      </c>
      <c r="F1621" s="72">
        <v>888.12</v>
      </c>
      <c r="G1621" s="72">
        <v>0</v>
      </c>
    </row>
    <row r="1622" spans="2:7" x14ac:dyDescent="0.25">
      <c r="B1622" s="71">
        <v>43577</v>
      </c>
      <c r="C1622" t="s">
        <v>60</v>
      </c>
      <c r="D1622" t="s">
        <v>85</v>
      </c>
      <c r="E1622" t="s">
        <v>283</v>
      </c>
      <c r="F1622" s="72">
        <v>1418.66</v>
      </c>
      <c r="G1622" s="72">
        <v>0</v>
      </c>
    </row>
    <row r="1623" spans="2:7" x14ac:dyDescent="0.25">
      <c r="B1623" s="71">
        <v>43577</v>
      </c>
      <c r="C1623" t="s">
        <v>57</v>
      </c>
      <c r="D1623" t="s">
        <v>85</v>
      </c>
      <c r="E1623" t="s">
        <v>283</v>
      </c>
      <c r="F1623" s="72">
        <v>117.7</v>
      </c>
      <c r="G1623" s="72">
        <v>0</v>
      </c>
    </row>
    <row r="1624" spans="2:7" x14ac:dyDescent="0.25">
      <c r="B1624" s="71">
        <v>43577</v>
      </c>
      <c r="C1624" t="s">
        <v>48</v>
      </c>
      <c r="D1624" t="s">
        <v>85</v>
      </c>
      <c r="E1624" t="s">
        <v>283</v>
      </c>
      <c r="F1624" s="72">
        <v>94.85</v>
      </c>
      <c r="G1624" s="72">
        <v>0</v>
      </c>
    </row>
    <row r="1625" spans="2:7" x14ac:dyDescent="0.25">
      <c r="B1625" s="71">
        <v>43577</v>
      </c>
      <c r="C1625" t="s">
        <v>58</v>
      </c>
      <c r="D1625" t="s">
        <v>85</v>
      </c>
      <c r="E1625" t="s">
        <v>283</v>
      </c>
      <c r="F1625" s="72">
        <v>7.28</v>
      </c>
      <c r="G1625" s="72">
        <v>0</v>
      </c>
    </row>
    <row r="1626" spans="2:7" x14ac:dyDescent="0.25">
      <c r="B1626" s="71">
        <v>43577</v>
      </c>
      <c r="C1626" t="s">
        <v>44</v>
      </c>
      <c r="D1626" t="s">
        <v>85</v>
      </c>
      <c r="E1626" t="s">
        <v>283</v>
      </c>
      <c r="F1626" s="72">
        <v>40.4</v>
      </c>
      <c r="G1626" s="72">
        <v>0</v>
      </c>
    </row>
    <row r="1627" spans="2:7" x14ac:dyDescent="0.25">
      <c r="B1627" s="71">
        <v>43577</v>
      </c>
      <c r="C1627" t="s">
        <v>21</v>
      </c>
      <c r="D1627" t="s">
        <v>80</v>
      </c>
      <c r="E1627" t="s">
        <v>283</v>
      </c>
      <c r="F1627" s="72">
        <v>8</v>
      </c>
      <c r="G1627" s="72">
        <v>0</v>
      </c>
    </row>
    <row r="1628" spans="2:7" x14ac:dyDescent="0.25">
      <c r="B1628" s="71">
        <v>43577</v>
      </c>
      <c r="C1628" t="s">
        <v>21</v>
      </c>
      <c r="D1628" t="s">
        <v>80</v>
      </c>
      <c r="E1628" t="s">
        <v>283</v>
      </c>
      <c r="F1628" s="72">
        <v>16</v>
      </c>
      <c r="G1628" s="72">
        <v>0</v>
      </c>
    </row>
    <row r="1629" spans="2:7" x14ac:dyDescent="0.25">
      <c r="B1629" s="71">
        <v>43577</v>
      </c>
      <c r="C1629" t="s">
        <v>21</v>
      </c>
      <c r="D1629" t="s">
        <v>80</v>
      </c>
      <c r="E1629" t="s">
        <v>283</v>
      </c>
      <c r="F1629" s="72">
        <v>24</v>
      </c>
      <c r="G1629" s="72">
        <v>0</v>
      </c>
    </row>
    <row r="1630" spans="2:7" x14ac:dyDescent="0.25">
      <c r="B1630" s="71">
        <v>43577</v>
      </c>
      <c r="C1630" t="s">
        <v>67</v>
      </c>
      <c r="D1630" t="s">
        <v>83</v>
      </c>
      <c r="E1630" t="s">
        <v>283</v>
      </c>
      <c r="F1630" s="72">
        <v>200.88</v>
      </c>
      <c r="G1630" s="72">
        <v>0</v>
      </c>
    </row>
    <row r="1631" spans="2:7" x14ac:dyDescent="0.25">
      <c r="B1631" s="71">
        <v>43577</v>
      </c>
      <c r="C1631" t="s">
        <v>67</v>
      </c>
      <c r="D1631" t="s">
        <v>85</v>
      </c>
      <c r="E1631" t="s">
        <v>283</v>
      </c>
      <c r="F1631" s="72">
        <v>418.1</v>
      </c>
      <c r="G1631" s="72">
        <v>0</v>
      </c>
    </row>
    <row r="1632" spans="2:7" x14ac:dyDescent="0.25">
      <c r="B1632" s="71">
        <v>43577</v>
      </c>
      <c r="C1632" t="s">
        <v>49</v>
      </c>
      <c r="D1632" t="s">
        <v>85</v>
      </c>
      <c r="E1632" t="s">
        <v>283</v>
      </c>
      <c r="F1632" s="72">
        <v>1322.7</v>
      </c>
      <c r="G1632" s="72">
        <v>0</v>
      </c>
    </row>
    <row r="1633" spans="2:7" x14ac:dyDescent="0.25">
      <c r="B1633" s="71">
        <v>43577</v>
      </c>
      <c r="C1633" t="s">
        <v>46</v>
      </c>
      <c r="D1633" t="s">
        <v>83</v>
      </c>
      <c r="E1633" t="s">
        <v>283</v>
      </c>
      <c r="F1633" s="72">
        <v>393.11</v>
      </c>
      <c r="G1633" s="72">
        <v>0</v>
      </c>
    </row>
    <row r="1634" spans="2:7" x14ac:dyDescent="0.25">
      <c r="B1634" s="71">
        <v>43577</v>
      </c>
      <c r="C1634" t="s">
        <v>46</v>
      </c>
      <c r="D1634" t="s">
        <v>85</v>
      </c>
      <c r="E1634" t="s">
        <v>283</v>
      </c>
      <c r="F1634" s="72">
        <v>662.4</v>
      </c>
      <c r="G1634" s="72">
        <v>0</v>
      </c>
    </row>
    <row r="1635" spans="2:7" x14ac:dyDescent="0.25">
      <c r="B1635" s="71">
        <v>43577</v>
      </c>
      <c r="C1635" t="s">
        <v>50</v>
      </c>
      <c r="D1635" t="s">
        <v>87</v>
      </c>
      <c r="E1635" t="s">
        <v>283</v>
      </c>
      <c r="F1635" s="72">
        <v>0</v>
      </c>
      <c r="G1635" s="72">
        <v>24</v>
      </c>
    </row>
    <row r="1636" spans="2:7" x14ac:dyDescent="0.25">
      <c r="B1636" s="71">
        <v>43577</v>
      </c>
      <c r="C1636" t="s">
        <v>51</v>
      </c>
      <c r="D1636" t="s">
        <v>80</v>
      </c>
      <c r="E1636" t="s">
        <v>283</v>
      </c>
      <c r="F1636" s="72">
        <v>20</v>
      </c>
      <c r="G1636" s="72">
        <v>0</v>
      </c>
    </row>
    <row r="1637" spans="2:7" x14ac:dyDescent="0.25">
      <c r="B1637" s="71">
        <v>43577</v>
      </c>
      <c r="C1637" t="s">
        <v>66</v>
      </c>
      <c r="D1637" t="s">
        <v>85</v>
      </c>
      <c r="E1637" t="s">
        <v>283</v>
      </c>
      <c r="F1637" s="72">
        <v>44.4</v>
      </c>
      <c r="G1637" s="72">
        <v>0</v>
      </c>
    </row>
    <row r="1638" spans="2:7" x14ac:dyDescent="0.25">
      <c r="B1638" s="71">
        <v>43577</v>
      </c>
      <c r="C1638" t="s">
        <v>24</v>
      </c>
      <c r="D1638" t="s">
        <v>80</v>
      </c>
      <c r="E1638" t="s">
        <v>283</v>
      </c>
      <c r="F1638" s="72">
        <v>8</v>
      </c>
      <c r="G1638" s="72">
        <v>0</v>
      </c>
    </row>
    <row r="1639" spans="2:7" x14ac:dyDescent="0.25">
      <c r="B1639" s="71">
        <v>43578</v>
      </c>
      <c r="C1639" t="s">
        <v>25</v>
      </c>
      <c r="D1639" t="s">
        <v>88</v>
      </c>
      <c r="E1639" t="s">
        <v>284</v>
      </c>
      <c r="F1639" s="72">
        <v>41.14</v>
      </c>
      <c r="G1639" s="72">
        <v>0</v>
      </c>
    </row>
    <row r="1640" spans="2:7" x14ac:dyDescent="0.25">
      <c r="B1640" s="71">
        <v>43578</v>
      </c>
      <c r="C1640" t="s">
        <v>25</v>
      </c>
      <c r="D1640" t="s">
        <v>88</v>
      </c>
      <c r="E1640" t="s">
        <v>284</v>
      </c>
      <c r="F1640" s="72">
        <v>42.45</v>
      </c>
      <c r="G1640" s="72">
        <v>0</v>
      </c>
    </row>
    <row r="1641" spans="2:7" x14ac:dyDescent="0.25">
      <c r="B1641" s="71">
        <v>43578</v>
      </c>
      <c r="C1641" t="s">
        <v>25</v>
      </c>
      <c r="D1641" t="s">
        <v>88</v>
      </c>
      <c r="E1641" t="s">
        <v>284</v>
      </c>
      <c r="F1641" s="72">
        <v>52.02</v>
      </c>
      <c r="G1641" s="72">
        <v>0</v>
      </c>
    </row>
    <row r="1642" spans="2:7" x14ac:dyDescent="0.25">
      <c r="B1642" s="71">
        <v>43578</v>
      </c>
      <c r="C1642" t="s">
        <v>25</v>
      </c>
      <c r="D1642" t="s">
        <v>88</v>
      </c>
      <c r="E1642" t="s">
        <v>284</v>
      </c>
      <c r="F1642" s="72">
        <v>73.5</v>
      </c>
      <c r="G1642" s="72">
        <v>0</v>
      </c>
    </row>
    <row r="1643" spans="2:7" x14ac:dyDescent="0.25">
      <c r="B1643" s="71">
        <v>43578</v>
      </c>
      <c r="C1643" t="s">
        <v>25</v>
      </c>
      <c r="D1643" t="s">
        <v>88</v>
      </c>
      <c r="E1643" t="s">
        <v>284</v>
      </c>
      <c r="F1643" s="72">
        <v>81.03</v>
      </c>
      <c r="G1643" s="72">
        <v>0</v>
      </c>
    </row>
    <row r="1644" spans="2:7" x14ac:dyDescent="0.25">
      <c r="B1644" s="71">
        <v>43578</v>
      </c>
      <c r="C1644" t="s">
        <v>25</v>
      </c>
      <c r="D1644" t="s">
        <v>82</v>
      </c>
      <c r="E1644" t="s">
        <v>196</v>
      </c>
      <c r="F1644" s="72">
        <v>26</v>
      </c>
      <c r="G1644" s="72">
        <v>0</v>
      </c>
    </row>
    <row r="1645" spans="2:7" x14ac:dyDescent="0.25">
      <c r="B1645" s="71">
        <v>43578</v>
      </c>
      <c r="C1645" t="s">
        <v>25</v>
      </c>
      <c r="D1645" t="s">
        <v>82</v>
      </c>
      <c r="E1645" t="s">
        <v>285</v>
      </c>
      <c r="F1645" s="72">
        <v>2.4</v>
      </c>
      <c r="G1645" s="72">
        <v>0</v>
      </c>
    </row>
    <row r="1646" spans="2:7" x14ac:dyDescent="0.25">
      <c r="B1646" s="71">
        <v>43578</v>
      </c>
      <c r="C1646" t="s">
        <v>25</v>
      </c>
      <c r="D1646" t="s">
        <v>82</v>
      </c>
      <c r="E1646" t="s">
        <v>182</v>
      </c>
      <c r="F1646" s="72">
        <v>3.7</v>
      </c>
      <c r="G1646" s="72">
        <v>0</v>
      </c>
    </row>
    <row r="1647" spans="2:7" x14ac:dyDescent="0.25">
      <c r="B1647" s="71">
        <v>43578</v>
      </c>
      <c r="C1647" t="s">
        <v>25</v>
      </c>
      <c r="D1647" t="s">
        <v>82</v>
      </c>
      <c r="E1647" t="s">
        <v>203</v>
      </c>
      <c r="F1647" s="72">
        <v>1.8</v>
      </c>
      <c r="G1647" s="72">
        <v>0</v>
      </c>
    </row>
    <row r="1648" spans="2:7" x14ac:dyDescent="0.25">
      <c r="B1648" s="71">
        <v>43578</v>
      </c>
      <c r="C1648" t="s">
        <v>25</v>
      </c>
      <c r="D1648" t="s">
        <v>82</v>
      </c>
      <c r="E1648" t="s">
        <v>156</v>
      </c>
      <c r="F1648" s="72">
        <v>3</v>
      </c>
      <c r="G1648" s="72">
        <v>0</v>
      </c>
    </row>
    <row r="1649" spans="2:7" x14ac:dyDescent="0.25">
      <c r="B1649" s="71">
        <v>43578</v>
      </c>
      <c r="C1649" t="s">
        <v>25</v>
      </c>
      <c r="D1649" t="s">
        <v>82</v>
      </c>
      <c r="E1649" t="s">
        <v>248</v>
      </c>
      <c r="F1649" s="72">
        <v>3.7</v>
      </c>
      <c r="G1649" s="72">
        <v>0</v>
      </c>
    </row>
    <row r="1650" spans="2:7" x14ac:dyDescent="0.25">
      <c r="B1650" s="71">
        <v>43578</v>
      </c>
      <c r="C1650" t="s">
        <v>25</v>
      </c>
      <c r="D1650" t="s">
        <v>82</v>
      </c>
      <c r="E1650" t="s">
        <v>134</v>
      </c>
      <c r="F1650" s="72">
        <v>2.4</v>
      </c>
      <c r="G1650" s="72">
        <v>0</v>
      </c>
    </row>
    <row r="1651" spans="2:7" x14ac:dyDescent="0.25">
      <c r="B1651" s="71">
        <v>43578</v>
      </c>
      <c r="C1651" t="s">
        <v>45</v>
      </c>
      <c r="D1651" t="s">
        <v>81</v>
      </c>
      <c r="E1651" t="s">
        <v>284</v>
      </c>
      <c r="F1651" s="72">
        <v>73.75</v>
      </c>
      <c r="G1651" s="72">
        <v>0</v>
      </c>
    </row>
    <row r="1652" spans="2:7" x14ac:dyDescent="0.25">
      <c r="B1652" s="71">
        <v>43578</v>
      </c>
      <c r="C1652" t="s">
        <v>21</v>
      </c>
      <c r="D1652" t="s">
        <v>80</v>
      </c>
      <c r="E1652" t="s">
        <v>284</v>
      </c>
      <c r="F1652" s="72">
        <v>16</v>
      </c>
      <c r="G1652" s="72">
        <v>0</v>
      </c>
    </row>
    <row r="1653" spans="2:7" x14ac:dyDescent="0.25">
      <c r="B1653" s="71">
        <v>43578</v>
      </c>
      <c r="C1653" t="s">
        <v>21</v>
      </c>
      <c r="D1653" t="s">
        <v>80</v>
      </c>
      <c r="E1653" t="s">
        <v>284</v>
      </c>
      <c r="F1653" s="72">
        <v>32</v>
      </c>
      <c r="G1653" s="72">
        <v>0</v>
      </c>
    </row>
    <row r="1654" spans="2:7" x14ac:dyDescent="0.25">
      <c r="B1654" s="71">
        <v>43578</v>
      </c>
      <c r="C1654" t="s">
        <v>21</v>
      </c>
      <c r="D1654" t="s">
        <v>80</v>
      </c>
      <c r="E1654" t="s">
        <v>284</v>
      </c>
      <c r="F1654" s="72">
        <v>48</v>
      </c>
      <c r="G1654" s="72">
        <v>0</v>
      </c>
    </row>
    <row r="1655" spans="2:7" x14ac:dyDescent="0.25">
      <c r="B1655" s="71">
        <v>43578</v>
      </c>
      <c r="C1655" t="s">
        <v>49</v>
      </c>
      <c r="D1655" t="s">
        <v>86</v>
      </c>
      <c r="E1655" t="s">
        <v>284</v>
      </c>
      <c r="F1655" s="72">
        <v>15.95</v>
      </c>
      <c r="G1655" s="72">
        <v>0</v>
      </c>
    </row>
    <row r="1656" spans="2:7" x14ac:dyDescent="0.25">
      <c r="B1656" s="71">
        <v>43578</v>
      </c>
      <c r="C1656" t="s">
        <v>49</v>
      </c>
      <c r="D1656" t="s">
        <v>88</v>
      </c>
      <c r="E1656" t="s">
        <v>284</v>
      </c>
      <c r="F1656" s="72">
        <v>23.19</v>
      </c>
      <c r="G1656" s="72">
        <v>0</v>
      </c>
    </row>
    <row r="1657" spans="2:7" x14ac:dyDescent="0.25">
      <c r="B1657" s="71">
        <v>43578</v>
      </c>
      <c r="C1657" t="s">
        <v>51</v>
      </c>
      <c r="D1657" t="s">
        <v>85</v>
      </c>
      <c r="E1657" t="s">
        <v>284</v>
      </c>
      <c r="F1657" s="72">
        <v>7.62</v>
      </c>
      <c r="G1657" s="72">
        <v>0</v>
      </c>
    </row>
    <row r="1658" spans="2:7" x14ac:dyDescent="0.25">
      <c r="B1658" s="71">
        <v>43578</v>
      </c>
      <c r="C1658" t="s">
        <v>53</v>
      </c>
      <c r="D1658" t="s">
        <v>81</v>
      </c>
      <c r="E1658" t="s">
        <v>284</v>
      </c>
      <c r="F1658" s="72">
        <v>70.09</v>
      </c>
      <c r="G1658" s="72">
        <v>0</v>
      </c>
    </row>
    <row r="1659" spans="2:7" x14ac:dyDescent="0.25">
      <c r="B1659" s="71">
        <v>43578</v>
      </c>
      <c r="C1659" t="s">
        <v>70</v>
      </c>
      <c r="D1659" t="s">
        <v>88</v>
      </c>
      <c r="E1659" t="s">
        <v>284</v>
      </c>
      <c r="F1659" s="72">
        <v>70.42</v>
      </c>
      <c r="G1659" s="72">
        <v>0</v>
      </c>
    </row>
    <row r="1660" spans="2:7" x14ac:dyDescent="0.25">
      <c r="B1660" s="71">
        <v>43578</v>
      </c>
      <c r="C1660" t="s">
        <v>54</v>
      </c>
      <c r="D1660" t="s">
        <v>85</v>
      </c>
      <c r="E1660" t="s">
        <v>284</v>
      </c>
      <c r="F1660" s="72">
        <v>42</v>
      </c>
      <c r="G1660" s="72">
        <v>0</v>
      </c>
    </row>
    <row r="1661" spans="2:7" x14ac:dyDescent="0.25">
      <c r="B1661" s="71">
        <v>43579</v>
      </c>
      <c r="C1661" t="s">
        <v>25</v>
      </c>
      <c r="D1661" t="s">
        <v>82</v>
      </c>
      <c r="E1661" t="s">
        <v>123</v>
      </c>
      <c r="F1661" s="72">
        <v>7.35</v>
      </c>
      <c r="G1661" s="72">
        <v>0</v>
      </c>
    </row>
    <row r="1662" spans="2:7" x14ac:dyDescent="0.25">
      <c r="B1662" s="71">
        <v>43579</v>
      </c>
      <c r="C1662" t="s">
        <v>25</v>
      </c>
      <c r="D1662" t="s">
        <v>82</v>
      </c>
      <c r="E1662" t="s">
        <v>218</v>
      </c>
      <c r="F1662" s="72">
        <v>9.1999999999999993</v>
      </c>
      <c r="G1662" s="72">
        <v>0</v>
      </c>
    </row>
    <row r="1663" spans="2:7" x14ac:dyDescent="0.25">
      <c r="B1663" s="71">
        <v>43579</v>
      </c>
      <c r="C1663" t="s">
        <v>25</v>
      </c>
      <c r="D1663" t="s">
        <v>85</v>
      </c>
      <c r="E1663" t="s">
        <v>286</v>
      </c>
      <c r="F1663" s="72">
        <v>12</v>
      </c>
      <c r="G1663" s="72">
        <v>0</v>
      </c>
    </row>
    <row r="1664" spans="2:7" x14ac:dyDescent="0.25">
      <c r="B1664" s="71">
        <v>43579</v>
      </c>
      <c r="C1664" t="s">
        <v>47</v>
      </c>
      <c r="D1664" t="s">
        <v>86</v>
      </c>
      <c r="E1664" t="s">
        <v>286</v>
      </c>
      <c r="F1664" s="72">
        <v>91.91</v>
      </c>
      <c r="G1664" s="72">
        <v>0</v>
      </c>
    </row>
    <row r="1665" spans="2:7" x14ac:dyDescent="0.25">
      <c r="B1665" s="71">
        <v>43579</v>
      </c>
      <c r="C1665" t="s">
        <v>60</v>
      </c>
      <c r="D1665" t="s">
        <v>83</v>
      </c>
      <c r="E1665" t="s">
        <v>286</v>
      </c>
      <c r="F1665" s="72">
        <v>228</v>
      </c>
      <c r="G1665" s="72">
        <v>0</v>
      </c>
    </row>
    <row r="1666" spans="2:7" x14ac:dyDescent="0.25">
      <c r="B1666" s="71">
        <v>43579</v>
      </c>
      <c r="C1666" t="s">
        <v>44</v>
      </c>
      <c r="D1666" t="s">
        <v>83</v>
      </c>
      <c r="E1666" t="s">
        <v>286</v>
      </c>
      <c r="F1666" s="72">
        <v>139.03</v>
      </c>
      <c r="G1666" s="72">
        <v>0</v>
      </c>
    </row>
    <row r="1667" spans="2:7" x14ac:dyDescent="0.25">
      <c r="B1667" s="71">
        <v>43579</v>
      </c>
      <c r="C1667" t="s">
        <v>21</v>
      </c>
      <c r="D1667" t="s">
        <v>80</v>
      </c>
      <c r="E1667" t="s">
        <v>286</v>
      </c>
      <c r="F1667" s="72">
        <v>8</v>
      </c>
      <c r="G1667" s="72">
        <v>0</v>
      </c>
    </row>
    <row r="1668" spans="2:7" x14ac:dyDescent="0.25">
      <c r="B1668" s="71">
        <v>43579</v>
      </c>
      <c r="C1668" t="s">
        <v>21</v>
      </c>
      <c r="D1668" t="s">
        <v>80</v>
      </c>
      <c r="E1668" t="s">
        <v>286</v>
      </c>
      <c r="F1668" s="72">
        <v>16</v>
      </c>
      <c r="G1668" s="72">
        <v>0</v>
      </c>
    </row>
    <row r="1669" spans="2:7" x14ac:dyDescent="0.25">
      <c r="B1669" s="71">
        <v>43579</v>
      </c>
      <c r="C1669" t="s">
        <v>21</v>
      </c>
      <c r="D1669" t="s">
        <v>80</v>
      </c>
      <c r="E1669" t="s">
        <v>286</v>
      </c>
      <c r="F1669" s="72">
        <v>32</v>
      </c>
      <c r="G1669" s="72">
        <v>0</v>
      </c>
    </row>
    <row r="1670" spans="2:7" x14ac:dyDescent="0.25">
      <c r="B1670" s="71">
        <v>43579</v>
      </c>
      <c r="C1670" t="s">
        <v>21</v>
      </c>
      <c r="D1670" t="s">
        <v>80</v>
      </c>
      <c r="E1670" t="s">
        <v>286</v>
      </c>
      <c r="F1670" s="72">
        <v>56</v>
      </c>
      <c r="G1670" s="72">
        <v>0</v>
      </c>
    </row>
    <row r="1671" spans="2:7" x14ac:dyDescent="0.25">
      <c r="B1671" s="71">
        <v>43579</v>
      </c>
      <c r="C1671" t="s">
        <v>21</v>
      </c>
      <c r="D1671" t="s">
        <v>80</v>
      </c>
      <c r="E1671" t="s">
        <v>286</v>
      </c>
      <c r="F1671" s="72">
        <v>104</v>
      </c>
      <c r="G1671" s="72">
        <v>0</v>
      </c>
    </row>
    <row r="1672" spans="2:7" x14ac:dyDescent="0.25">
      <c r="B1672" s="71">
        <v>43579</v>
      </c>
      <c r="C1672" t="s">
        <v>59</v>
      </c>
      <c r="D1672" t="s">
        <v>85</v>
      </c>
      <c r="E1672" t="s">
        <v>286</v>
      </c>
      <c r="F1672" s="72">
        <v>56</v>
      </c>
      <c r="G1672" s="72">
        <v>0</v>
      </c>
    </row>
    <row r="1673" spans="2:7" x14ac:dyDescent="0.25">
      <c r="B1673" s="71">
        <v>43579</v>
      </c>
      <c r="C1673" t="s">
        <v>24</v>
      </c>
      <c r="D1673" t="s">
        <v>80</v>
      </c>
      <c r="E1673" t="s">
        <v>286</v>
      </c>
      <c r="F1673" s="72">
        <v>16</v>
      </c>
      <c r="G1673" s="72">
        <v>0</v>
      </c>
    </row>
    <row r="1674" spans="2:7" x14ac:dyDescent="0.25">
      <c r="B1674" s="71">
        <v>43579</v>
      </c>
      <c r="C1674" t="s">
        <v>61</v>
      </c>
      <c r="D1674" t="s">
        <v>80</v>
      </c>
      <c r="E1674" t="s">
        <v>286</v>
      </c>
      <c r="F1674" s="72">
        <v>22.1</v>
      </c>
      <c r="G1674" s="72">
        <v>0</v>
      </c>
    </row>
    <row r="1675" spans="2:7" x14ac:dyDescent="0.25">
      <c r="B1675" s="71">
        <v>43580</v>
      </c>
      <c r="C1675" t="s">
        <v>25</v>
      </c>
      <c r="D1675" t="s">
        <v>88</v>
      </c>
      <c r="E1675" t="s">
        <v>287</v>
      </c>
      <c r="F1675" s="72">
        <v>29.5</v>
      </c>
      <c r="G1675" s="72">
        <v>0</v>
      </c>
    </row>
    <row r="1676" spans="2:7" x14ac:dyDescent="0.25">
      <c r="B1676" s="71">
        <v>43580</v>
      </c>
      <c r="C1676" t="s">
        <v>25</v>
      </c>
      <c r="D1676" t="s">
        <v>88</v>
      </c>
      <c r="E1676" t="s">
        <v>287</v>
      </c>
      <c r="F1676" s="72">
        <v>36.659999999999997</v>
      </c>
      <c r="G1676" s="72">
        <v>0</v>
      </c>
    </row>
    <row r="1677" spans="2:7" x14ac:dyDescent="0.25">
      <c r="B1677" s="71">
        <v>43580</v>
      </c>
      <c r="C1677" t="s">
        <v>25</v>
      </c>
      <c r="D1677" t="s">
        <v>82</v>
      </c>
      <c r="E1677" t="s">
        <v>179</v>
      </c>
      <c r="F1677" s="72">
        <v>4.5</v>
      </c>
      <c r="G1677" s="72">
        <v>0</v>
      </c>
    </row>
    <row r="1678" spans="2:7" x14ac:dyDescent="0.25">
      <c r="B1678" s="71">
        <v>43580</v>
      </c>
      <c r="C1678" t="s">
        <v>25</v>
      </c>
      <c r="D1678" t="s">
        <v>82</v>
      </c>
      <c r="E1678" t="s">
        <v>174</v>
      </c>
      <c r="F1678" s="72">
        <v>2.7</v>
      </c>
      <c r="G1678" s="72">
        <v>0</v>
      </c>
    </row>
    <row r="1679" spans="2:7" x14ac:dyDescent="0.25">
      <c r="B1679" s="71">
        <v>43580</v>
      </c>
      <c r="C1679" t="s">
        <v>25</v>
      </c>
      <c r="D1679" t="s">
        <v>82</v>
      </c>
      <c r="E1679" t="s">
        <v>208</v>
      </c>
      <c r="F1679" s="72">
        <v>16.399999999999999</v>
      </c>
      <c r="G1679" s="72">
        <v>0</v>
      </c>
    </row>
    <row r="1680" spans="2:7" x14ac:dyDescent="0.25">
      <c r="B1680" s="71">
        <v>43580</v>
      </c>
      <c r="C1680" t="s">
        <v>25</v>
      </c>
      <c r="D1680" t="s">
        <v>82</v>
      </c>
      <c r="E1680" t="s">
        <v>136</v>
      </c>
      <c r="F1680" s="72">
        <v>2.4</v>
      </c>
      <c r="G1680" s="72">
        <v>0</v>
      </c>
    </row>
    <row r="1681" spans="2:7" x14ac:dyDescent="0.25">
      <c r="B1681" s="71">
        <v>43580</v>
      </c>
      <c r="C1681" t="s">
        <v>25</v>
      </c>
      <c r="D1681" t="s">
        <v>82</v>
      </c>
      <c r="E1681" t="s">
        <v>214</v>
      </c>
      <c r="F1681" s="72">
        <v>50</v>
      </c>
      <c r="G1681" s="72">
        <v>0</v>
      </c>
    </row>
    <row r="1682" spans="2:7" x14ac:dyDescent="0.25">
      <c r="B1682" s="71">
        <v>43580</v>
      </c>
      <c r="C1682" t="s">
        <v>25</v>
      </c>
      <c r="D1682" t="s">
        <v>82</v>
      </c>
      <c r="E1682" t="s">
        <v>165</v>
      </c>
      <c r="F1682" s="72">
        <v>8</v>
      </c>
      <c r="G1682" s="72">
        <v>0</v>
      </c>
    </row>
    <row r="1683" spans="2:7" x14ac:dyDescent="0.25">
      <c r="B1683" s="71">
        <v>43580</v>
      </c>
      <c r="C1683" t="s">
        <v>25</v>
      </c>
      <c r="D1683" t="s">
        <v>82</v>
      </c>
      <c r="E1683" t="s">
        <v>218</v>
      </c>
      <c r="F1683" s="72">
        <v>2.7</v>
      </c>
      <c r="G1683" s="72">
        <v>0</v>
      </c>
    </row>
    <row r="1684" spans="2:7" x14ac:dyDescent="0.25">
      <c r="B1684" s="71">
        <v>43580</v>
      </c>
      <c r="C1684" t="s">
        <v>25</v>
      </c>
      <c r="D1684" t="s">
        <v>82</v>
      </c>
      <c r="E1684" t="s">
        <v>238</v>
      </c>
      <c r="F1684" s="72">
        <v>8.4</v>
      </c>
      <c r="G1684" s="72">
        <v>0</v>
      </c>
    </row>
    <row r="1685" spans="2:7" x14ac:dyDescent="0.25">
      <c r="B1685" s="71">
        <v>43580</v>
      </c>
      <c r="C1685" t="s">
        <v>25</v>
      </c>
      <c r="D1685" t="s">
        <v>105</v>
      </c>
      <c r="E1685" t="s">
        <v>288</v>
      </c>
      <c r="F1685" s="72">
        <v>30.08</v>
      </c>
      <c r="G1685" s="72">
        <v>0</v>
      </c>
    </row>
    <row r="1686" spans="2:7" x14ac:dyDescent="0.25">
      <c r="B1686" s="71">
        <v>43580</v>
      </c>
      <c r="C1686" t="s">
        <v>25</v>
      </c>
      <c r="D1686" t="s">
        <v>105</v>
      </c>
      <c r="E1686" t="s">
        <v>288</v>
      </c>
      <c r="F1686" s="72">
        <v>38.03</v>
      </c>
      <c r="G1686" s="72">
        <v>0</v>
      </c>
    </row>
    <row r="1687" spans="2:7" x14ac:dyDescent="0.25">
      <c r="B1687" s="71">
        <v>43580</v>
      </c>
      <c r="C1687" t="s">
        <v>25</v>
      </c>
      <c r="D1687" t="s">
        <v>105</v>
      </c>
      <c r="E1687" t="s">
        <v>288</v>
      </c>
      <c r="F1687" s="72">
        <v>47.78</v>
      </c>
      <c r="G1687" s="72">
        <v>0</v>
      </c>
    </row>
    <row r="1688" spans="2:7" x14ac:dyDescent="0.25">
      <c r="B1688" s="71">
        <v>43580</v>
      </c>
      <c r="C1688" t="s">
        <v>25</v>
      </c>
      <c r="D1688" t="s">
        <v>105</v>
      </c>
      <c r="E1688" t="s">
        <v>288</v>
      </c>
      <c r="F1688" s="72">
        <v>88.18</v>
      </c>
      <c r="G1688" s="72">
        <v>0</v>
      </c>
    </row>
    <row r="1689" spans="2:7" x14ac:dyDescent="0.25">
      <c r="B1689" s="71">
        <v>43580</v>
      </c>
      <c r="C1689" t="s">
        <v>25</v>
      </c>
      <c r="D1689" t="s">
        <v>105</v>
      </c>
      <c r="E1689" t="s">
        <v>288</v>
      </c>
      <c r="F1689" s="72">
        <v>138.09</v>
      </c>
      <c r="G1689" s="72">
        <v>0</v>
      </c>
    </row>
    <row r="1690" spans="2:7" x14ac:dyDescent="0.25">
      <c r="B1690" s="71">
        <v>43580</v>
      </c>
      <c r="C1690" t="s">
        <v>55</v>
      </c>
      <c r="D1690" t="s">
        <v>80</v>
      </c>
      <c r="E1690" t="s">
        <v>287</v>
      </c>
      <c r="F1690" s="72">
        <v>129.9</v>
      </c>
      <c r="G1690" s="72">
        <v>0</v>
      </c>
    </row>
    <row r="1691" spans="2:7" x14ac:dyDescent="0.25">
      <c r="B1691" s="71">
        <v>43580</v>
      </c>
      <c r="C1691" t="s">
        <v>55</v>
      </c>
      <c r="D1691" t="s">
        <v>105</v>
      </c>
      <c r="E1691" t="s">
        <v>288</v>
      </c>
      <c r="F1691" s="72">
        <v>1738.68</v>
      </c>
      <c r="G1691" s="72">
        <v>0</v>
      </c>
    </row>
    <row r="1692" spans="2:7" x14ac:dyDescent="0.25">
      <c r="B1692" s="71">
        <v>43580</v>
      </c>
      <c r="C1692" t="s">
        <v>57</v>
      </c>
      <c r="D1692" t="s">
        <v>85</v>
      </c>
      <c r="E1692" t="s">
        <v>287</v>
      </c>
      <c r="F1692" s="72">
        <v>44.22</v>
      </c>
      <c r="G1692" s="72">
        <v>0</v>
      </c>
    </row>
    <row r="1693" spans="2:7" x14ac:dyDescent="0.25">
      <c r="B1693" s="71">
        <v>43580</v>
      </c>
      <c r="C1693" t="s">
        <v>48</v>
      </c>
      <c r="D1693" t="s">
        <v>88</v>
      </c>
      <c r="E1693" t="s">
        <v>287</v>
      </c>
      <c r="F1693" s="72">
        <v>17</v>
      </c>
      <c r="G1693" s="72">
        <v>0</v>
      </c>
    </row>
    <row r="1694" spans="2:7" x14ac:dyDescent="0.25">
      <c r="B1694" s="71">
        <v>43580</v>
      </c>
      <c r="C1694" t="s">
        <v>48</v>
      </c>
      <c r="D1694" t="s">
        <v>87</v>
      </c>
      <c r="E1694" t="s">
        <v>287</v>
      </c>
      <c r="F1694" s="72">
        <v>398.73</v>
      </c>
      <c r="G1694" s="72">
        <v>0</v>
      </c>
    </row>
    <row r="1695" spans="2:7" x14ac:dyDescent="0.25">
      <c r="B1695" s="71">
        <v>43580</v>
      </c>
      <c r="C1695" t="s">
        <v>21</v>
      </c>
      <c r="D1695" t="s">
        <v>80</v>
      </c>
      <c r="E1695" t="s">
        <v>287</v>
      </c>
      <c r="F1695" s="72">
        <v>8</v>
      </c>
      <c r="G1695" s="72">
        <v>0</v>
      </c>
    </row>
    <row r="1696" spans="2:7" x14ac:dyDescent="0.25">
      <c r="B1696" s="71">
        <v>43580</v>
      </c>
      <c r="C1696" t="s">
        <v>21</v>
      </c>
      <c r="D1696" t="s">
        <v>80</v>
      </c>
      <c r="E1696" t="s">
        <v>287</v>
      </c>
      <c r="F1696" s="72">
        <v>16</v>
      </c>
      <c r="G1696" s="72">
        <v>0</v>
      </c>
    </row>
    <row r="1697" spans="2:7" x14ac:dyDescent="0.25">
      <c r="B1697" s="71">
        <v>43580</v>
      </c>
      <c r="C1697" t="s">
        <v>21</v>
      </c>
      <c r="D1697" t="s">
        <v>80</v>
      </c>
      <c r="E1697" t="s">
        <v>287</v>
      </c>
      <c r="F1697" s="72">
        <v>32</v>
      </c>
      <c r="G1697" s="72">
        <v>0</v>
      </c>
    </row>
    <row r="1698" spans="2:7" x14ac:dyDescent="0.25">
      <c r="B1698" s="71">
        <v>43580</v>
      </c>
      <c r="C1698" t="s">
        <v>21</v>
      </c>
      <c r="D1698" t="s">
        <v>80</v>
      </c>
      <c r="E1698" t="s">
        <v>287</v>
      </c>
      <c r="F1698" s="72">
        <v>48</v>
      </c>
      <c r="G1698" s="72">
        <v>0</v>
      </c>
    </row>
    <row r="1699" spans="2:7" x14ac:dyDescent="0.25">
      <c r="B1699" s="71">
        <v>43580</v>
      </c>
      <c r="C1699" t="s">
        <v>21</v>
      </c>
      <c r="D1699" t="s">
        <v>105</v>
      </c>
      <c r="E1699" t="s">
        <v>288</v>
      </c>
      <c r="F1699" s="72">
        <v>7.42</v>
      </c>
      <c r="G1699" s="72">
        <v>0</v>
      </c>
    </row>
    <row r="1700" spans="2:7" x14ac:dyDescent="0.25">
      <c r="B1700" s="71">
        <v>43580</v>
      </c>
      <c r="C1700" t="s">
        <v>21</v>
      </c>
      <c r="D1700" t="s">
        <v>105</v>
      </c>
      <c r="E1700" t="s">
        <v>288</v>
      </c>
      <c r="F1700" s="72">
        <v>13.32</v>
      </c>
      <c r="G1700" s="72">
        <v>0</v>
      </c>
    </row>
    <row r="1701" spans="2:7" x14ac:dyDescent="0.25">
      <c r="B1701" s="71">
        <v>43580</v>
      </c>
      <c r="C1701" t="s">
        <v>21</v>
      </c>
      <c r="D1701" t="s">
        <v>105</v>
      </c>
      <c r="E1701" t="s">
        <v>288</v>
      </c>
      <c r="F1701" s="72">
        <v>13.77</v>
      </c>
      <c r="G1701" s="72">
        <v>0</v>
      </c>
    </row>
    <row r="1702" spans="2:7" x14ac:dyDescent="0.25">
      <c r="B1702" s="71">
        <v>43580</v>
      </c>
      <c r="C1702" t="s">
        <v>21</v>
      </c>
      <c r="D1702" t="s">
        <v>105</v>
      </c>
      <c r="E1702" t="s">
        <v>288</v>
      </c>
      <c r="F1702" s="72">
        <v>20.239999999999998</v>
      </c>
      <c r="G1702" s="72">
        <v>0</v>
      </c>
    </row>
    <row r="1703" spans="2:7" x14ac:dyDescent="0.25">
      <c r="B1703" s="71">
        <v>43580</v>
      </c>
      <c r="C1703" t="s">
        <v>21</v>
      </c>
      <c r="D1703" t="s">
        <v>105</v>
      </c>
      <c r="E1703" t="s">
        <v>288</v>
      </c>
      <c r="F1703" s="72">
        <v>23.39</v>
      </c>
      <c r="G1703" s="72">
        <v>0</v>
      </c>
    </row>
    <row r="1704" spans="2:7" x14ac:dyDescent="0.25">
      <c r="B1704" s="71">
        <v>43580</v>
      </c>
      <c r="C1704" t="s">
        <v>21</v>
      </c>
      <c r="D1704" t="s">
        <v>105</v>
      </c>
      <c r="E1704" t="s">
        <v>288</v>
      </c>
      <c r="F1704" s="72">
        <v>45.98</v>
      </c>
      <c r="G1704" s="72">
        <v>0</v>
      </c>
    </row>
    <row r="1705" spans="2:7" x14ac:dyDescent="0.25">
      <c r="B1705" s="71">
        <v>43580</v>
      </c>
      <c r="C1705" t="s">
        <v>21</v>
      </c>
      <c r="D1705" t="s">
        <v>105</v>
      </c>
      <c r="E1705" t="s">
        <v>288</v>
      </c>
      <c r="F1705" s="72">
        <v>50.11</v>
      </c>
      <c r="G1705" s="72">
        <v>0</v>
      </c>
    </row>
    <row r="1706" spans="2:7" x14ac:dyDescent="0.25">
      <c r="B1706" s="71">
        <v>43580</v>
      </c>
      <c r="C1706" t="s">
        <v>21</v>
      </c>
      <c r="D1706" t="s">
        <v>105</v>
      </c>
      <c r="E1706" t="s">
        <v>288</v>
      </c>
      <c r="F1706" s="72">
        <v>56.89</v>
      </c>
      <c r="G1706" s="72">
        <v>0</v>
      </c>
    </row>
    <row r="1707" spans="2:7" x14ac:dyDescent="0.25">
      <c r="B1707" s="71">
        <v>43580</v>
      </c>
      <c r="C1707" t="s">
        <v>21</v>
      </c>
      <c r="D1707" t="s">
        <v>105</v>
      </c>
      <c r="E1707" t="s">
        <v>288</v>
      </c>
      <c r="F1707" s="72">
        <v>59.35</v>
      </c>
      <c r="G1707" s="72">
        <v>0</v>
      </c>
    </row>
    <row r="1708" spans="2:7" x14ac:dyDescent="0.25">
      <c r="B1708" s="71">
        <v>43580</v>
      </c>
      <c r="C1708" t="s">
        <v>21</v>
      </c>
      <c r="D1708" t="s">
        <v>105</v>
      </c>
      <c r="E1708" t="s">
        <v>288</v>
      </c>
      <c r="F1708" s="72">
        <v>63.22</v>
      </c>
      <c r="G1708" s="72">
        <v>0</v>
      </c>
    </row>
    <row r="1709" spans="2:7" x14ac:dyDescent="0.25">
      <c r="B1709" s="71">
        <v>43580</v>
      </c>
      <c r="C1709" t="s">
        <v>21</v>
      </c>
      <c r="D1709" t="s">
        <v>105</v>
      </c>
      <c r="E1709" t="s">
        <v>288</v>
      </c>
      <c r="F1709" s="72">
        <v>72.31</v>
      </c>
      <c r="G1709" s="72">
        <v>0</v>
      </c>
    </row>
    <row r="1710" spans="2:7" x14ac:dyDescent="0.25">
      <c r="B1710" s="71">
        <v>43580</v>
      </c>
      <c r="C1710" t="s">
        <v>21</v>
      </c>
      <c r="D1710" t="s">
        <v>105</v>
      </c>
      <c r="E1710" t="s">
        <v>288</v>
      </c>
      <c r="F1710" s="72">
        <v>80.13</v>
      </c>
      <c r="G1710" s="72">
        <v>0</v>
      </c>
    </row>
    <row r="1711" spans="2:7" x14ac:dyDescent="0.25">
      <c r="B1711" s="71">
        <v>43580</v>
      </c>
      <c r="C1711" t="s">
        <v>21</v>
      </c>
      <c r="D1711" t="s">
        <v>105</v>
      </c>
      <c r="E1711" t="s">
        <v>288</v>
      </c>
      <c r="F1711" s="72">
        <v>82.01</v>
      </c>
      <c r="G1711" s="72">
        <v>0</v>
      </c>
    </row>
    <row r="1712" spans="2:7" x14ac:dyDescent="0.25">
      <c r="B1712" s="71">
        <v>43580</v>
      </c>
      <c r="C1712" t="s">
        <v>21</v>
      </c>
      <c r="D1712" t="s">
        <v>105</v>
      </c>
      <c r="E1712" t="s">
        <v>288</v>
      </c>
      <c r="F1712" s="72">
        <v>83.16</v>
      </c>
      <c r="G1712" s="72">
        <v>0</v>
      </c>
    </row>
    <row r="1713" spans="2:7" x14ac:dyDescent="0.25">
      <c r="B1713" s="71">
        <v>43580</v>
      </c>
      <c r="C1713" t="s">
        <v>21</v>
      </c>
      <c r="D1713" t="s">
        <v>105</v>
      </c>
      <c r="E1713" t="s">
        <v>288</v>
      </c>
      <c r="F1713" s="72">
        <v>112.93</v>
      </c>
      <c r="G1713" s="72">
        <v>0</v>
      </c>
    </row>
    <row r="1714" spans="2:7" x14ac:dyDescent="0.25">
      <c r="B1714" s="71">
        <v>43580</v>
      </c>
      <c r="C1714" t="s">
        <v>21</v>
      </c>
      <c r="D1714" t="s">
        <v>105</v>
      </c>
      <c r="E1714" t="s">
        <v>288</v>
      </c>
      <c r="F1714" s="72">
        <v>138.5</v>
      </c>
      <c r="G1714" s="72">
        <v>0</v>
      </c>
    </row>
    <row r="1715" spans="2:7" x14ac:dyDescent="0.25">
      <c r="B1715" s="71">
        <v>43580</v>
      </c>
      <c r="C1715" t="s">
        <v>21</v>
      </c>
      <c r="D1715" t="s">
        <v>105</v>
      </c>
      <c r="E1715" t="s">
        <v>288</v>
      </c>
      <c r="F1715" s="72">
        <v>149.43</v>
      </c>
      <c r="G1715" s="72">
        <v>0</v>
      </c>
    </row>
    <row r="1716" spans="2:7" x14ac:dyDescent="0.25">
      <c r="B1716" s="71">
        <v>43580</v>
      </c>
      <c r="C1716" t="s">
        <v>21</v>
      </c>
      <c r="D1716" t="s">
        <v>105</v>
      </c>
      <c r="E1716" t="s">
        <v>288</v>
      </c>
      <c r="F1716" s="72">
        <v>168.11</v>
      </c>
      <c r="G1716" s="72">
        <v>0</v>
      </c>
    </row>
    <row r="1717" spans="2:7" x14ac:dyDescent="0.25">
      <c r="B1717" s="71">
        <v>43580</v>
      </c>
      <c r="C1717" t="s">
        <v>21</v>
      </c>
      <c r="D1717" t="s">
        <v>105</v>
      </c>
      <c r="E1717" t="s">
        <v>288</v>
      </c>
      <c r="F1717" s="72">
        <v>204.36</v>
      </c>
      <c r="G1717" s="72">
        <v>0</v>
      </c>
    </row>
    <row r="1718" spans="2:7" x14ac:dyDescent="0.25">
      <c r="B1718" s="71">
        <v>43580</v>
      </c>
      <c r="C1718" t="s">
        <v>21</v>
      </c>
      <c r="D1718" t="s">
        <v>105</v>
      </c>
      <c r="E1718" t="s">
        <v>288</v>
      </c>
      <c r="F1718" s="72">
        <v>233.45</v>
      </c>
      <c r="G1718" s="72">
        <v>0</v>
      </c>
    </row>
    <row r="1719" spans="2:7" x14ac:dyDescent="0.25">
      <c r="B1719" s="71">
        <v>43580</v>
      </c>
      <c r="C1719" t="s">
        <v>21</v>
      </c>
      <c r="D1719" t="s">
        <v>105</v>
      </c>
      <c r="E1719" t="s">
        <v>288</v>
      </c>
      <c r="F1719" s="72">
        <v>290.17</v>
      </c>
      <c r="G1719" s="72">
        <v>0</v>
      </c>
    </row>
    <row r="1720" spans="2:7" x14ac:dyDescent="0.25">
      <c r="B1720" s="71">
        <v>43580</v>
      </c>
      <c r="C1720" t="s">
        <v>21</v>
      </c>
      <c r="D1720" t="s">
        <v>105</v>
      </c>
      <c r="E1720" t="s">
        <v>288</v>
      </c>
      <c r="F1720" s="72">
        <v>321.02999999999997</v>
      </c>
      <c r="G1720" s="72">
        <v>0</v>
      </c>
    </row>
    <row r="1721" spans="2:7" x14ac:dyDescent="0.25">
      <c r="B1721" s="71">
        <v>43580</v>
      </c>
      <c r="C1721" t="s">
        <v>21</v>
      </c>
      <c r="D1721" t="s">
        <v>105</v>
      </c>
      <c r="E1721" t="s">
        <v>288</v>
      </c>
      <c r="F1721" s="72">
        <v>330.37</v>
      </c>
      <c r="G1721" s="72">
        <v>0</v>
      </c>
    </row>
    <row r="1722" spans="2:7" x14ac:dyDescent="0.25">
      <c r="B1722" s="71">
        <v>43580</v>
      </c>
      <c r="C1722" t="s">
        <v>21</v>
      </c>
      <c r="D1722" t="s">
        <v>105</v>
      </c>
      <c r="E1722" t="s">
        <v>288</v>
      </c>
      <c r="F1722" s="72">
        <v>379.26</v>
      </c>
      <c r="G1722" s="72">
        <v>0</v>
      </c>
    </row>
    <row r="1723" spans="2:7" x14ac:dyDescent="0.25">
      <c r="B1723" s="71">
        <v>43580</v>
      </c>
      <c r="C1723" t="s">
        <v>21</v>
      </c>
      <c r="D1723" t="s">
        <v>105</v>
      </c>
      <c r="E1723" t="s">
        <v>288</v>
      </c>
      <c r="F1723" s="72">
        <v>384.42</v>
      </c>
      <c r="G1723" s="72">
        <v>0</v>
      </c>
    </row>
    <row r="1724" spans="2:7" x14ac:dyDescent="0.25">
      <c r="B1724" s="71">
        <v>43580</v>
      </c>
      <c r="C1724" t="s">
        <v>21</v>
      </c>
      <c r="D1724" t="s">
        <v>105</v>
      </c>
      <c r="E1724" t="s">
        <v>288</v>
      </c>
      <c r="F1724" s="72">
        <v>391.03</v>
      </c>
      <c r="G1724" s="72">
        <v>0</v>
      </c>
    </row>
    <row r="1725" spans="2:7" x14ac:dyDescent="0.25">
      <c r="B1725" s="71">
        <v>43580</v>
      </c>
      <c r="C1725" t="s">
        <v>21</v>
      </c>
      <c r="D1725" t="s">
        <v>105</v>
      </c>
      <c r="E1725" t="s">
        <v>288</v>
      </c>
      <c r="F1725" s="72">
        <v>396.19</v>
      </c>
      <c r="G1725" s="72">
        <v>0</v>
      </c>
    </row>
    <row r="1726" spans="2:7" x14ac:dyDescent="0.25">
      <c r="B1726" s="71">
        <v>43580</v>
      </c>
      <c r="C1726" t="s">
        <v>21</v>
      </c>
      <c r="D1726" t="s">
        <v>105</v>
      </c>
      <c r="E1726" t="s">
        <v>288</v>
      </c>
      <c r="F1726" s="72">
        <v>427.96</v>
      </c>
      <c r="G1726" s="72">
        <v>0</v>
      </c>
    </row>
    <row r="1727" spans="2:7" x14ac:dyDescent="0.25">
      <c r="B1727" s="71">
        <v>43580</v>
      </c>
      <c r="C1727" t="s">
        <v>21</v>
      </c>
      <c r="D1727" t="s">
        <v>105</v>
      </c>
      <c r="E1727" t="s">
        <v>288</v>
      </c>
      <c r="F1727" s="72">
        <v>430.92</v>
      </c>
      <c r="G1727" s="72">
        <v>0</v>
      </c>
    </row>
    <row r="1728" spans="2:7" x14ac:dyDescent="0.25">
      <c r="B1728" s="71">
        <v>43580</v>
      </c>
      <c r="C1728" t="s">
        <v>21</v>
      </c>
      <c r="D1728" t="s">
        <v>105</v>
      </c>
      <c r="E1728" t="s">
        <v>288</v>
      </c>
      <c r="F1728" s="72">
        <v>486.85</v>
      </c>
      <c r="G1728" s="72">
        <v>0</v>
      </c>
    </row>
    <row r="1729" spans="2:7" x14ac:dyDescent="0.25">
      <c r="B1729" s="71">
        <v>43580</v>
      </c>
      <c r="C1729" t="s">
        <v>21</v>
      </c>
      <c r="D1729" t="s">
        <v>105</v>
      </c>
      <c r="E1729" t="s">
        <v>288</v>
      </c>
      <c r="F1729" s="72">
        <v>504.84</v>
      </c>
      <c r="G1729" s="72">
        <v>0</v>
      </c>
    </row>
    <row r="1730" spans="2:7" x14ac:dyDescent="0.25">
      <c r="B1730" s="71">
        <v>43580</v>
      </c>
      <c r="C1730" t="s">
        <v>21</v>
      </c>
      <c r="D1730" t="s">
        <v>105</v>
      </c>
      <c r="E1730" t="s">
        <v>288</v>
      </c>
      <c r="F1730" s="72">
        <v>539.51</v>
      </c>
      <c r="G1730" s="72">
        <v>0</v>
      </c>
    </row>
    <row r="1731" spans="2:7" x14ac:dyDescent="0.25">
      <c r="B1731" s="71">
        <v>43580</v>
      </c>
      <c r="C1731" t="s">
        <v>21</v>
      </c>
      <c r="D1731" t="s">
        <v>105</v>
      </c>
      <c r="E1731" t="s">
        <v>288</v>
      </c>
      <c r="F1731" s="72">
        <v>618.82000000000005</v>
      </c>
      <c r="G1731" s="72">
        <v>0</v>
      </c>
    </row>
    <row r="1732" spans="2:7" x14ac:dyDescent="0.25">
      <c r="B1732" s="71">
        <v>43580</v>
      </c>
      <c r="C1732" t="s">
        <v>21</v>
      </c>
      <c r="D1732" t="s">
        <v>105</v>
      </c>
      <c r="E1732" t="s">
        <v>288</v>
      </c>
      <c r="F1732" s="72">
        <v>644.11</v>
      </c>
      <c r="G1732" s="72">
        <v>0</v>
      </c>
    </row>
    <row r="1733" spans="2:7" x14ac:dyDescent="0.25">
      <c r="B1733" s="71">
        <v>43580</v>
      </c>
      <c r="C1733" t="s">
        <v>67</v>
      </c>
      <c r="D1733" t="s">
        <v>85</v>
      </c>
      <c r="E1733" t="s">
        <v>287</v>
      </c>
      <c r="F1733" s="72">
        <v>26.2</v>
      </c>
      <c r="G1733" s="72">
        <v>0</v>
      </c>
    </row>
    <row r="1734" spans="2:7" x14ac:dyDescent="0.25">
      <c r="B1734" s="71">
        <v>43580</v>
      </c>
      <c r="C1734" t="s">
        <v>49</v>
      </c>
      <c r="D1734" t="s">
        <v>105</v>
      </c>
      <c r="E1734" t="s">
        <v>288</v>
      </c>
      <c r="F1734" s="72">
        <v>10767.85</v>
      </c>
      <c r="G1734" s="72">
        <v>0</v>
      </c>
    </row>
    <row r="1735" spans="2:7" x14ac:dyDescent="0.25">
      <c r="B1735" s="71">
        <v>43580</v>
      </c>
      <c r="C1735" t="s">
        <v>56</v>
      </c>
      <c r="D1735" t="s">
        <v>105</v>
      </c>
      <c r="E1735" t="s">
        <v>288</v>
      </c>
      <c r="F1735" s="72">
        <v>49.9</v>
      </c>
      <c r="G1735" s="72">
        <v>0</v>
      </c>
    </row>
    <row r="1736" spans="2:7" x14ac:dyDescent="0.25">
      <c r="B1736" s="71">
        <v>43580</v>
      </c>
      <c r="C1736" t="s">
        <v>50</v>
      </c>
      <c r="D1736" t="s">
        <v>105</v>
      </c>
      <c r="E1736" t="s">
        <v>288</v>
      </c>
      <c r="F1736" s="72">
        <v>537.95000000000005</v>
      </c>
      <c r="G1736" s="72">
        <v>0</v>
      </c>
    </row>
    <row r="1737" spans="2:7" x14ac:dyDescent="0.25">
      <c r="B1737" s="71">
        <v>43580</v>
      </c>
      <c r="C1737" t="s">
        <v>51</v>
      </c>
      <c r="D1737" t="s">
        <v>105</v>
      </c>
      <c r="E1737" t="s">
        <v>288</v>
      </c>
      <c r="F1737" s="72">
        <v>2256.5</v>
      </c>
      <c r="G1737" s="72">
        <v>0</v>
      </c>
    </row>
    <row r="1738" spans="2:7" x14ac:dyDescent="0.25">
      <c r="B1738" s="71">
        <v>43580</v>
      </c>
      <c r="C1738" t="s">
        <v>53</v>
      </c>
      <c r="D1738" t="s">
        <v>105</v>
      </c>
      <c r="E1738" t="s">
        <v>288</v>
      </c>
      <c r="F1738" s="72">
        <v>518.6</v>
      </c>
      <c r="G1738" s="72">
        <v>0</v>
      </c>
    </row>
    <row r="1739" spans="2:7" x14ac:dyDescent="0.25">
      <c r="B1739" s="71">
        <v>43580</v>
      </c>
      <c r="C1739" t="s">
        <v>59</v>
      </c>
      <c r="D1739" t="s">
        <v>105</v>
      </c>
      <c r="E1739" t="s">
        <v>288</v>
      </c>
      <c r="F1739" s="72">
        <v>13.02</v>
      </c>
      <c r="G1739" s="72">
        <v>0</v>
      </c>
    </row>
    <row r="1740" spans="2:7" x14ac:dyDescent="0.25">
      <c r="B1740" s="71">
        <v>43580</v>
      </c>
      <c r="C1740" t="s">
        <v>54</v>
      </c>
      <c r="D1740" t="s">
        <v>105</v>
      </c>
      <c r="E1740" t="s">
        <v>288</v>
      </c>
      <c r="F1740" s="72">
        <v>181.36</v>
      </c>
      <c r="G1740" s="72">
        <v>0</v>
      </c>
    </row>
    <row r="1741" spans="2:7" x14ac:dyDescent="0.25">
      <c r="B1741" s="71">
        <v>43580</v>
      </c>
      <c r="C1741" t="s">
        <v>72</v>
      </c>
      <c r="D1741" t="s">
        <v>87</v>
      </c>
      <c r="E1741" t="s">
        <v>287</v>
      </c>
      <c r="F1741" s="72">
        <v>393.28</v>
      </c>
      <c r="G1741" s="72">
        <v>0</v>
      </c>
    </row>
    <row r="1742" spans="2:7" x14ac:dyDescent="0.25">
      <c r="B1742" s="71">
        <v>43580</v>
      </c>
      <c r="C1742" t="s">
        <v>24</v>
      </c>
      <c r="D1742" t="s">
        <v>80</v>
      </c>
      <c r="E1742" t="s">
        <v>287</v>
      </c>
      <c r="F1742" s="72">
        <v>8</v>
      </c>
      <c r="G1742" s="72">
        <v>0</v>
      </c>
    </row>
    <row r="1743" spans="2:7" x14ac:dyDescent="0.25">
      <c r="B1743" s="71">
        <v>43580</v>
      </c>
      <c r="C1743" t="s">
        <v>24</v>
      </c>
      <c r="D1743" t="s">
        <v>80</v>
      </c>
      <c r="E1743" t="s">
        <v>287</v>
      </c>
      <c r="F1743" s="72">
        <v>32</v>
      </c>
      <c r="G1743" s="72">
        <v>0</v>
      </c>
    </row>
    <row r="1744" spans="2:7" x14ac:dyDescent="0.25">
      <c r="B1744" s="71">
        <v>43580</v>
      </c>
      <c r="C1744" t="s">
        <v>24</v>
      </c>
      <c r="D1744" t="s">
        <v>105</v>
      </c>
      <c r="E1744" t="s">
        <v>288</v>
      </c>
      <c r="F1744" s="72">
        <v>9.89</v>
      </c>
      <c r="G1744" s="72">
        <v>0</v>
      </c>
    </row>
    <row r="1745" spans="2:7" x14ac:dyDescent="0.25">
      <c r="B1745" s="71">
        <v>43580</v>
      </c>
      <c r="C1745" t="s">
        <v>24</v>
      </c>
      <c r="D1745" t="s">
        <v>105</v>
      </c>
      <c r="E1745" t="s">
        <v>288</v>
      </c>
      <c r="F1745" s="72">
        <v>16.88</v>
      </c>
      <c r="G1745" s="72">
        <v>0</v>
      </c>
    </row>
    <row r="1746" spans="2:7" x14ac:dyDescent="0.25">
      <c r="B1746" s="71">
        <v>43580</v>
      </c>
      <c r="C1746" t="s">
        <v>24</v>
      </c>
      <c r="D1746" t="s">
        <v>105</v>
      </c>
      <c r="E1746" t="s">
        <v>288</v>
      </c>
      <c r="F1746" s="72">
        <v>21.92</v>
      </c>
      <c r="G1746" s="72">
        <v>0</v>
      </c>
    </row>
    <row r="1747" spans="2:7" x14ac:dyDescent="0.25">
      <c r="B1747" s="71">
        <v>43580</v>
      </c>
      <c r="C1747" t="s">
        <v>24</v>
      </c>
      <c r="D1747" t="s">
        <v>105</v>
      </c>
      <c r="E1747" t="s">
        <v>288</v>
      </c>
      <c r="F1747" s="72">
        <v>25.11</v>
      </c>
      <c r="G1747" s="72">
        <v>0</v>
      </c>
    </row>
    <row r="1748" spans="2:7" x14ac:dyDescent="0.25">
      <c r="B1748" s="71">
        <v>43580</v>
      </c>
      <c r="C1748" t="s">
        <v>24</v>
      </c>
      <c r="D1748" t="s">
        <v>105</v>
      </c>
      <c r="E1748" t="s">
        <v>288</v>
      </c>
      <c r="F1748" s="72">
        <v>26.38</v>
      </c>
      <c r="G1748" s="72">
        <v>0</v>
      </c>
    </row>
    <row r="1749" spans="2:7" x14ac:dyDescent="0.25">
      <c r="B1749" s="71">
        <v>43580</v>
      </c>
      <c r="C1749" t="s">
        <v>24</v>
      </c>
      <c r="D1749" t="s">
        <v>105</v>
      </c>
      <c r="E1749" t="s">
        <v>288</v>
      </c>
      <c r="F1749" s="72">
        <v>29.35</v>
      </c>
      <c r="G1749" s="72">
        <v>0</v>
      </c>
    </row>
    <row r="1750" spans="2:7" x14ac:dyDescent="0.25">
      <c r="B1750" s="71">
        <v>43580</v>
      </c>
      <c r="C1750" t="s">
        <v>24</v>
      </c>
      <c r="D1750" t="s">
        <v>105</v>
      </c>
      <c r="E1750" t="s">
        <v>288</v>
      </c>
      <c r="F1750" s="72">
        <v>33.229999999999997</v>
      </c>
      <c r="G1750" s="72">
        <v>0</v>
      </c>
    </row>
    <row r="1751" spans="2:7" x14ac:dyDescent="0.25">
      <c r="B1751" s="71">
        <v>43580</v>
      </c>
      <c r="C1751" t="s">
        <v>24</v>
      </c>
      <c r="D1751" t="s">
        <v>105</v>
      </c>
      <c r="E1751" t="s">
        <v>288</v>
      </c>
      <c r="F1751" s="72">
        <v>46.57</v>
      </c>
      <c r="G1751" s="72">
        <v>0</v>
      </c>
    </row>
    <row r="1752" spans="2:7" x14ac:dyDescent="0.25">
      <c r="B1752" s="71">
        <v>43580</v>
      </c>
      <c r="C1752" t="s">
        <v>24</v>
      </c>
      <c r="D1752" t="s">
        <v>105</v>
      </c>
      <c r="E1752" t="s">
        <v>288</v>
      </c>
      <c r="F1752" s="72">
        <v>48.4</v>
      </c>
      <c r="G1752" s="72">
        <v>0</v>
      </c>
    </row>
    <row r="1753" spans="2:7" x14ac:dyDescent="0.25">
      <c r="B1753" s="71">
        <v>43580</v>
      </c>
      <c r="C1753" t="s">
        <v>24</v>
      </c>
      <c r="D1753" t="s">
        <v>105</v>
      </c>
      <c r="E1753" t="s">
        <v>288</v>
      </c>
      <c r="F1753" s="72">
        <v>61.3</v>
      </c>
      <c r="G1753" s="72">
        <v>0</v>
      </c>
    </row>
    <row r="1754" spans="2:7" x14ac:dyDescent="0.25">
      <c r="B1754" s="71">
        <v>43580</v>
      </c>
      <c r="C1754" t="s">
        <v>24</v>
      </c>
      <c r="D1754" t="s">
        <v>105</v>
      </c>
      <c r="E1754" t="s">
        <v>288</v>
      </c>
      <c r="F1754" s="72">
        <v>108.33</v>
      </c>
      <c r="G1754" s="72">
        <v>0</v>
      </c>
    </row>
    <row r="1755" spans="2:7" x14ac:dyDescent="0.25">
      <c r="B1755" s="71">
        <v>43580</v>
      </c>
      <c r="C1755" t="s">
        <v>24</v>
      </c>
      <c r="D1755" t="s">
        <v>105</v>
      </c>
      <c r="E1755" t="s">
        <v>288</v>
      </c>
      <c r="F1755" s="72">
        <v>130.63999999999999</v>
      </c>
      <c r="G1755" s="72">
        <v>0</v>
      </c>
    </row>
    <row r="1756" spans="2:7" x14ac:dyDescent="0.25">
      <c r="B1756" s="71">
        <v>43580</v>
      </c>
      <c r="C1756" t="s">
        <v>24</v>
      </c>
      <c r="D1756" t="s">
        <v>105</v>
      </c>
      <c r="E1756" t="s">
        <v>288</v>
      </c>
      <c r="F1756" s="72">
        <v>193.97</v>
      </c>
      <c r="G1756" s="72">
        <v>0</v>
      </c>
    </row>
    <row r="1757" spans="2:7" x14ac:dyDescent="0.25">
      <c r="B1757" s="71">
        <v>43581</v>
      </c>
      <c r="C1757" t="s">
        <v>25</v>
      </c>
      <c r="D1757" t="s">
        <v>80</v>
      </c>
      <c r="E1757" t="s">
        <v>289</v>
      </c>
      <c r="F1757" s="72">
        <v>8</v>
      </c>
      <c r="G1757" s="72">
        <v>0</v>
      </c>
    </row>
    <row r="1758" spans="2:7" x14ac:dyDescent="0.25">
      <c r="B1758" s="71">
        <v>43581</v>
      </c>
      <c r="C1758" t="s">
        <v>25</v>
      </c>
      <c r="D1758" t="s">
        <v>82</v>
      </c>
      <c r="E1758" t="s">
        <v>198</v>
      </c>
      <c r="F1758" s="72">
        <v>5</v>
      </c>
      <c r="G1758" s="72">
        <v>0</v>
      </c>
    </row>
    <row r="1759" spans="2:7" x14ac:dyDescent="0.25">
      <c r="B1759" s="71">
        <v>43581</v>
      </c>
      <c r="C1759" t="s">
        <v>25</v>
      </c>
      <c r="D1759" t="s">
        <v>82</v>
      </c>
      <c r="E1759" t="s">
        <v>123</v>
      </c>
      <c r="F1759" s="72">
        <v>2.25</v>
      </c>
      <c r="G1759" s="72">
        <v>0</v>
      </c>
    </row>
    <row r="1760" spans="2:7" x14ac:dyDescent="0.25">
      <c r="B1760" s="71">
        <v>43581</v>
      </c>
      <c r="C1760" t="s">
        <v>25</v>
      </c>
      <c r="D1760" t="s">
        <v>82</v>
      </c>
      <c r="E1760" t="s">
        <v>276</v>
      </c>
      <c r="F1760" s="72">
        <v>16.399999999999999</v>
      </c>
      <c r="G1760" s="72">
        <v>0</v>
      </c>
    </row>
    <row r="1761" spans="2:7" x14ac:dyDescent="0.25">
      <c r="B1761" s="71">
        <v>43581</v>
      </c>
      <c r="C1761" t="s">
        <v>25</v>
      </c>
      <c r="D1761" t="s">
        <v>82</v>
      </c>
      <c r="E1761" t="s">
        <v>238</v>
      </c>
      <c r="F1761" s="72">
        <v>9.1999999999999993</v>
      </c>
      <c r="G1761" s="72">
        <v>0</v>
      </c>
    </row>
    <row r="1762" spans="2:7" x14ac:dyDescent="0.25">
      <c r="B1762" s="71">
        <v>43581</v>
      </c>
      <c r="C1762" t="s">
        <v>25</v>
      </c>
      <c r="D1762" t="s">
        <v>82</v>
      </c>
      <c r="E1762" t="s">
        <v>248</v>
      </c>
      <c r="F1762">
        <v>9.1999999999999993</v>
      </c>
      <c r="G1762" s="72">
        <v>0</v>
      </c>
    </row>
    <row r="1763" spans="2:7" x14ac:dyDescent="0.25">
      <c r="B1763" s="71">
        <v>43581</v>
      </c>
      <c r="C1763" t="s">
        <v>25</v>
      </c>
      <c r="D1763" t="s">
        <v>85</v>
      </c>
      <c r="E1763" t="s">
        <v>289</v>
      </c>
      <c r="F1763" s="72">
        <v>43.4</v>
      </c>
      <c r="G1763" s="72">
        <v>0</v>
      </c>
    </row>
    <row r="1764" spans="2:7" x14ac:dyDescent="0.25">
      <c r="B1764" s="71">
        <v>43581</v>
      </c>
      <c r="C1764" t="s">
        <v>55</v>
      </c>
      <c r="D1764" t="s">
        <v>87</v>
      </c>
      <c r="E1764" t="s">
        <v>289</v>
      </c>
      <c r="F1764" s="72">
        <v>571.54999999999995</v>
      </c>
      <c r="G1764" s="72">
        <v>0</v>
      </c>
    </row>
    <row r="1765" spans="2:7" x14ac:dyDescent="0.25">
      <c r="B1765" s="71">
        <v>43581</v>
      </c>
      <c r="C1765" t="s">
        <v>47</v>
      </c>
      <c r="D1765" t="s">
        <v>87</v>
      </c>
      <c r="E1765" t="s">
        <v>289</v>
      </c>
      <c r="F1765" s="72">
        <v>143</v>
      </c>
      <c r="G1765" s="72">
        <v>0</v>
      </c>
    </row>
    <row r="1766" spans="2:7" x14ac:dyDescent="0.25">
      <c r="B1766" s="71">
        <v>43581</v>
      </c>
      <c r="C1766" t="s">
        <v>45</v>
      </c>
      <c r="D1766" t="s">
        <v>87</v>
      </c>
      <c r="E1766" t="s">
        <v>289</v>
      </c>
      <c r="F1766" s="72">
        <v>51.8</v>
      </c>
      <c r="G1766" s="72">
        <v>0</v>
      </c>
    </row>
    <row r="1767" spans="2:7" x14ac:dyDescent="0.25">
      <c r="B1767" s="71">
        <v>43581</v>
      </c>
      <c r="C1767" t="s">
        <v>21</v>
      </c>
      <c r="D1767" t="s">
        <v>80</v>
      </c>
      <c r="E1767" t="s">
        <v>289</v>
      </c>
      <c r="F1767" s="72">
        <v>16</v>
      </c>
      <c r="G1767" s="72">
        <v>0</v>
      </c>
    </row>
    <row r="1768" spans="2:7" x14ac:dyDescent="0.25">
      <c r="B1768" s="71">
        <v>43581</v>
      </c>
      <c r="C1768" t="s">
        <v>21</v>
      </c>
      <c r="D1768" t="s">
        <v>80</v>
      </c>
      <c r="E1768" t="s">
        <v>289</v>
      </c>
      <c r="F1768" s="72">
        <v>24</v>
      </c>
      <c r="G1768" s="72">
        <v>0</v>
      </c>
    </row>
    <row r="1769" spans="2:7" x14ac:dyDescent="0.25">
      <c r="B1769" s="71">
        <v>43581</v>
      </c>
      <c r="C1769" t="s">
        <v>49</v>
      </c>
      <c r="D1769" t="s">
        <v>85</v>
      </c>
      <c r="E1769" t="s">
        <v>289</v>
      </c>
      <c r="F1769" s="72">
        <v>88</v>
      </c>
      <c r="G1769" s="72">
        <v>0</v>
      </c>
    </row>
    <row r="1770" spans="2:7" x14ac:dyDescent="0.25">
      <c r="B1770" s="71">
        <v>43581</v>
      </c>
      <c r="C1770" t="s">
        <v>51</v>
      </c>
      <c r="D1770" t="s">
        <v>85</v>
      </c>
      <c r="E1770" t="s">
        <v>289</v>
      </c>
      <c r="F1770" s="72">
        <v>29.3</v>
      </c>
      <c r="G1770" s="72">
        <v>0</v>
      </c>
    </row>
    <row r="1771" spans="2:7" x14ac:dyDescent="0.25">
      <c r="B1771" s="71">
        <v>43581</v>
      </c>
      <c r="C1771" t="s">
        <v>24</v>
      </c>
      <c r="D1771" t="s">
        <v>80</v>
      </c>
      <c r="E1771" t="s">
        <v>289</v>
      </c>
      <c r="F1771" s="72">
        <v>8</v>
      </c>
      <c r="G1771" s="72">
        <v>0</v>
      </c>
    </row>
    <row r="1772" spans="2:7" x14ac:dyDescent="0.25">
      <c r="B1772" s="71">
        <v>43581</v>
      </c>
      <c r="C1772" t="s">
        <v>61</v>
      </c>
      <c r="D1772" t="s">
        <v>87</v>
      </c>
      <c r="E1772" t="s">
        <v>289</v>
      </c>
      <c r="F1772" s="72">
        <v>349.8</v>
      </c>
      <c r="G1772" s="72">
        <v>0</v>
      </c>
    </row>
    <row r="1773" spans="2:7" x14ac:dyDescent="0.25">
      <c r="B1773" s="71">
        <v>43581</v>
      </c>
      <c r="C1773" t="s">
        <v>63</v>
      </c>
      <c r="D1773" t="s">
        <v>87</v>
      </c>
      <c r="E1773" t="s">
        <v>289</v>
      </c>
      <c r="F1773" s="72">
        <v>121.75</v>
      </c>
      <c r="G1773" s="72">
        <v>0</v>
      </c>
    </row>
    <row r="1774" spans="2:7" x14ac:dyDescent="0.25">
      <c r="B1774" s="71">
        <v>43582</v>
      </c>
      <c r="C1774" t="s">
        <v>25</v>
      </c>
      <c r="D1774" t="s">
        <v>82</v>
      </c>
      <c r="E1774" t="s">
        <v>209</v>
      </c>
      <c r="F1774" s="72">
        <v>4.75</v>
      </c>
      <c r="G1774" s="72">
        <v>0</v>
      </c>
    </row>
    <row r="1775" spans="2:7" x14ac:dyDescent="0.25">
      <c r="B1775" s="71">
        <v>43582</v>
      </c>
      <c r="C1775" t="s">
        <v>25</v>
      </c>
      <c r="D1775" t="s">
        <v>82</v>
      </c>
      <c r="E1775" t="s">
        <v>196</v>
      </c>
      <c r="F1775" s="72">
        <v>26</v>
      </c>
      <c r="G1775" s="72">
        <v>0</v>
      </c>
    </row>
    <row r="1776" spans="2:7" x14ac:dyDescent="0.25">
      <c r="B1776" s="71">
        <v>43582</v>
      </c>
      <c r="C1776" t="s">
        <v>25</v>
      </c>
      <c r="D1776" t="s">
        <v>82</v>
      </c>
      <c r="E1776" t="s">
        <v>269</v>
      </c>
      <c r="F1776" s="72">
        <v>6.6</v>
      </c>
      <c r="G1776" s="72">
        <v>0</v>
      </c>
    </row>
    <row r="1777" spans="2:7" x14ac:dyDescent="0.25">
      <c r="B1777" s="71">
        <v>43584</v>
      </c>
      <c r="C1777" t="s">
        <v>25</v>
      </c>
      <c r="D1777" t="s">
        <v>81</v>
      </c>
      <c r="E1777" t="s">
        <v>290</v>
      </c>
      <c r="F1777" s="72">
        <v>32.799999999999997</v>
      </c>
      <c r="G1777" s="72">
        <v>0</v>
      </c>
    </row>
    <row r="1778" spans="2:7" x14ac:dyDescent="0.25">
      <c r="B1778" s="71">
        <v>43584</v>
      </c>
      <c r="C1778" t="s">
        <v>25</v>
      </c>
      <c r="D1778" t="s">
        <v>88</v>
      </c>
      <c r="E1778" t="s">
        <v>290</v>
      </c>
      <c r="F1778" s="72">
        <v>7.47</v>
      </c>
      <c r="G1778" s="72">
        <v>0</v>
      </c>
    </row>
    <row r="1779" spans="2:7" x14ac:dyDescent="0.25">
      <c r="B1779" s="71">
        <v>43584</v>
      </c>
      <c r="C1779" t="s">
        <v>25</v>
      </c>
      <c r="D1779" t="s">
        <v>88</v>
      </c>
      <c r="E1779" t="s">
        <v>290</v>
      </c>
      <c r="F1779" s="72">
        <v>23.85</v>
      </c>
      <c r="G1779" s="72">
        <v>0</v>
      </c>
    </row>
    <row r="1780" spans="2:7" x14ac:dyDescent="0.25">
      <c r="B1780" s="71">
        <v>43584</v>
      </c>
      <c r="C1780" t="s">
        <v>25</v>
      </c>
      <c r="D1780" t="s">
        <v>88</v>
      </c>
      <c r="E1780" t="s">
        <v>290</v>
      </c>
      <c r="F1780" s="72">
        <v>24.15</v>
      </c>
      <c r="G1780" s="72">
        <v>0</v>
      </c>
    </row>
    <row r="1781" spans="2:7" x14ac:dyDescent="0.25">
      <c r="B1781" s="71">
        <v>43584</v>
      </c>
      <c r="C1781" t="s">
        <v>25</v>
      </c>
      <c r="D1781" t="s">
        <v>88</v>
      </c>
      <c r="E1781" t="s">
        <v>290</v>
      </c>
      <c r="F1781" s="72">
        <v>60</v>
      </c>
      <c r="G1781" s="72">
        <v>0</v>
      </c>
    </row>
    <row r="1782" spans="2:7" x14ac:dyDescent="0.25">
      <c r="B1782" s="71">
        <v>43584</v>
      </c>
      <c r="C1782" t="s">
        <v>25</v>
      </c>
      <c r="D1782" t="s">
        <v>88</v>
      </c>
      <c r="E1782" t="s">
        <v>290</v>
      </c>
      <c r="F1782" s="72">
        <v>72.760000000000005</v>
      </c>
      <c r="G1782" s="72">
        <v>0</v>
      </c>
    </row>
    <row r="1783" spans="2:7" x14ac:dyDescent="0.25">
      <c r="B1783" s="71">
        <v>43584</v>
      </c>
      <c r="C1783" t="s">
        <v>25</v>
      </c>
      <c r="D1783" t="s">
        <v>88</v>
      </c>
      <c r="E1783" t="s">
        <v>290</v>
      </c>
      <c r="F1783" s="72">
        <v>75.75</v>
      </c>
      <c r="G1783" s="72">
        <v>0</v>
      </c>
    </row>
    <row r="1784" spans="2:7" x14ac:dyDescent="0.25">
      <c r="B1784" s="71">
        <v>43584</v>
      </c>
      <c r="C1784" t="s">
        <v>25</v>
      </c>
      <c r="D1784" t="s">
        <v>88</v>
      </c>
      <c r="E1784" t="s">
        <v>290</v>
      </c>
      <c r="F1784" s="72">
        <v>107.63</v>
      </c>
      <c r="G1784" s="72">
        <v>0</v>
      </c>
    </row>
    <row r="1785" spans="2:7" x14ac:dyDescent="0.25">
      <c r="B1785" s="71">
        <v>43584</v>
      </c>
      <c r="C1785" t="s">
        <v>25</v>
      </c>
      <c r="D1785" t="s">
        <v>85</v>
      </c>
      <c r="E1785" t="s">
        <v>290</v>
      </c>
      <c r="F1785" s="72">
        <v>12</v>
      </c>
      <c r="G1785" s="72">
        <v>0</v>
      </c>
    </row>
    <row r="1786" spans="2:7" x14ac:dyDescent="0.25">
      <c r="B1786" s="71">
        <v>43584</v>
      </c>
      <c r="C1786" t="s">
        <v>25</v>
      </c>
      <c r="D1786" t="s">
        <v>85</v>
      </c>
      <c r="E1786" t="s">
        <v>290</v>
      </c>
      <c r="F1786" s="72">
        <v>32</v>
      </c>
      <c r="G1786" s="72">
        <v>0</v>
      </c>
    </row>
    <row r="1787" spans="2:7" x14ac:dyDescent="0.25">
      <c r="B1787" s="71">
        <v>43584</v>
      </c>
      <c r="C1787" t="s">
        <v>47</v>
      </c>
      <c r="D1787" t="s">
        <v>85</v>
      </c>
      <c r="E1787" t="s">
        <v>290</v>
      </c>
      <c r="F1787" s="72">
        <v>7.7</v>
      </c>
      <c r="G1787" s="72">
        <v>0</v>
      </c>
    </row>
    <row r="1788" spans="2:7" x14ac:dyDescent="0.25">
      <c r="B1788" s="71">
        <v>43584</v>
      </c>
      <c r="C1788" t="s">
        <v>52</v>
      </c>
      <c r="D1788" t="s">
        <v>87</v>
      </c>
      <c r="E1788" t="s">
        <v>290</v>
      </c>
      <c r="F1788" s="72">
        <v>50.6</v>
      </c>
      <c r="G1788" s="72">
        <v>0</v>
      </c>
    </row>
    <row r="1789" spans="2:7" x14ac:dyDescent="0.25">
      <c r="B1789" s="71">
        <v>43584</v>
      </c>
      <c r="C1789" t="s">
        <v>21</v>
      </c>
      <c r="D1789" t="s">
        <v>80</v>
      </c>
      <c r="E1789" t="s">
        <v>290</v>
      </c>
      <c r="F1789" s="72">
        <v>8</v>
      </c>
      <c r="G1789" s="72">
        <v>0</v>
      </c>
    </row>
    <row r="1790" spans="2:7" x14ac:dyDescent="0.25">
      <c r="B1790" s="71">
        <v>43584</v>
      </c>
      <c r="C1790" t="s">
        <v>21</v>
      </c>
      <c r="D1790" t="s">
        <v>80</v>
      </c>
      <c r="E1790" t="s">
        <v>290</v>
      </c>
      <c r="F1790" s="72">
        <v>24</v>
      </c>
      <c r="G1790" s="72">
        <v>0</v>
      </c>
    </row>
    <row r="1791" spans="2:7" x14ac:dyDescent="0.25">
      <c r="B1791" s="71">
        <v>43584</v>
      </c>
      <c r="C1791" t="s">
        <v>49</v>
      </c>
      <c r="D1791" t="s">
        <v>104</v>
      </c>
      <c r="E1791" t="s">
        <v>291</v>
      </c>
      <c r="F1791" s="72">
        <v>691.7</v>
      </c>
      <c r="G1791" s="72">
        <v>0</v>
      </c>
    </row>
    <row r="1792" spans="2:7" x14ac:dyDescent="0.25">
      <c r="B1792" s="71">
        <v>43584</v>
      </c>
      <c r="C1792" t="s">
        <v>51</v>
      </c>
      <c r="D1792" t="s">
        <v>85</v>
      </c>
      <c r="E1792" t="s">
        <v>290</v>
      </c>
      <c r="F1792" s="72">
        <v>8</v>
      </c>
      <c r="G1792" s="72">
        <v>0</v>
      </c>
    </row>
    <row r="1793" spans="2:7" x14ac:dyDescent="0.25">
      <c r="B1793" s="71">
        <v>43584</v>
      </c>
      <c r="C1793" t="s">
        <v>24</v>
      </c>
      <c r="D1793" t="s">
        <v>80</v>
      </c>
      <c r="E1793" t="s">
        <v>290</v>
      </c>
      <c r="F1793">
        <v>8</v>
      </c>
      <c r="G1793" s="72">
        <v>0</v>
      </c>
    </row>
    <row r="1794" spans="2:7" x14ac:dyDescent="0.25">
      <c r="B1794" s="71">
        <v>43584</v>
      </c>
      <c r="C1794" t="s">
        <v>24</v>
      </c>
      <c r="D1794" t="s">
        <v>80</v>
      </c>
      <c r="E1794" t="s">
        <v>290</v>
      </c>
      <c r="F1794">
        <v>24</v>
      </c>
      <c r="G1794" s="72">
        <v>0</v>
      </c>
    </row>
    <row r="1795" spans="2:7" x14ac:dyDescent="0.25">
      <c r="B1795" s="71">
        <v>43584</v>
      </c>
      <c r="C1795" t="s">
        <v>61</v>
      </c>
      <c r="D1795" t="s">
        <v>81</v>
      </c>
      <c r="E1795" t="s">
        <v>290</v>
      </c>
      <c r="F1795" s="72">
        <v>81.349999999999994</v>
      </c>
      <c r="G1795" s="72">
        <v>0</v>
      </c>
    </row>
    <row r="1796" spans="2:7" x14ac:dyDescent="0.25">
      <c r="B1796" s="71">
        <v>43585</v>
      </c>
      <c r="C1796" t="s">
        <v>44</v>
      </c>
      <c r="D1796" t="s">
        <v>92</v>
      </c>
      <c r="E1796" t="s">
        <v>292</v>
      </c>
      <c r="F1796" s="72">
        <v>1000</v>
      </c>
      <c r="G1796" s="72">
        <v>0</v>
      </c>
    </row>
    <row r="1797" spans="2:7" x14ac:dyDescent="0.25">
      <c r="B1797" s="71">
        <v>43585</v>
      </c>
      <c r="C1797" t="s">
        <v>21</v>
      </c>
      <c r="D1797" t="s">
        <v>85</v>
      </c>
      <c r="E1797" t="s">
        <v>292</v>
      </c>
      <c r="F1797" s="72">
        <v>110.5</v>
      </c>
      <c r="G1797" s="72">
        <v>0</v>
      </c>
    </row>
    <row r="1798" spans="2:7" x14ac:dyDescent="0.25">
      <c r="B1798" s="71">
        <v>43585</v>
      </c>
      <c r="C1798" t="s">
        <v>21</v>
      </c>
      <c r="D1798" t="s">
        <v>85</v>
      </c>
      <c r="E1798" t="s">
        <v>292</v>
      </c>
      <c r="F1798" s="72">
        <v>182</v>
      </c>
      <c r="G1798" s="72">
        <v>0</v>
      </c>
    </row>
    <row r="1799" spans="2:7" x14ac:dyDescent="0.25">
      <c r="B1799" s="71">
        <v>43585</v>
      </c>
      <c r="C1799" t="s">
        <v>21</v>
      </c>
      <c r="D1799" t="s">
        <v>85</v>
      </c>
      <c r="E1799" t="s">
        <v>292</v>
      </c>
      <c r="F1799" s="72">
        <v>676</v>
      </c>
      <c r="G1799" s="72">
        <v>0</v>
      </c>
    </row>
    <row r="1800" spans="2:7" x14ac:dyDescent="0.25">
      <c r="B1800" s="71">
        <v>43585</v>
      </c>
      <c r="C1800" t="s">
        <v>49</v>
      </c>
      <c r="D1800" t="s">
        <v>92</v>
      </c>
      <c r="E1800" t="s">
        <v>292</v>
      </c>
      <c r="F1800" s="72">
        <v>4850</v>
      </c>
      <c r="G1800" s="72">
        <v>0</v>
      </c>
    </row>
    <row r="1801" spans="2:7" x14ac:dyDescent="0.25">
      <c r="B1801" s="71">
        <v>43585</v>
      </c>
      <c r="C1801" t="s">
        <v>49</v>
      </c>
      <c r="D1801" t="s">
        <v>106</v>
      </c>
      <c r="E1801" t="s">
        <v>227</v>
      </c>
      <c r="F1801" s="72">
        <v>0</v>
      </c>
      <c r="G1801" s="72">
        <v>6000</v>
      </c>
    </row>
    <row r="1802" spans="2:7" x14ac:dyDescent="0.25">
      <c r="B1802" s="71">
        <v>43585</v>
      </c>
      <c r="C1802" t="s">
        <v>61</v>
      </c>
      <c r="D1802" t="s">
        <v>88</v>
      </c>
      <c r="E1802" t="s">
        <v>292</v>
      </c>
      <c r="F1802" s="72">
        <v>764.79</v>
      </c>
      <c r="G1802" s="72">
        <v>0</v>
      </c>
    </row>
    <row r="1803" spans="2:7" x14ac:dyDescent="0.25">
      <c r="B1803" s="71">
        <v>43587</v>
      </c>
      <c r="C1803" t="s">
        <v>25</v>
      </c>
      <c r="D1803" t="s">
        <v>80</v>
      </c>
      <c r="E1803" t="s">
        <v>293</v>
      </c>
      <c r="F1803" s="72">
        <v>8</v>
      </c>
      <c r="G1803" s="72">
        <v>0</v>
      </c>
    </row>
    <row r="1804" spans="2:7" x14ac:dyDescent="0.25">
      <c r="B1804" s="71">
        <v>43587</v>
      </c>
      <c r="C1804" t="s">
        <v>25</v>
      </c>
      <c r="D1804" t="s">
        <v>101</v>
      </c>
      <c r="E1804" t="s">
        <v>256</v>
      </c>
      <c r="F1804" s="72">
        <v>5</v>
      </c>
      <c r="G1804" s="72">
        <v>0</v>
      </c>
    </row>
    <row r="1805" spans="2:7" x14ac:dyDescent="0.25">
      <c r="B1805" s="71">
        <v>43587</v>
      </c>
      <c r="C1805" t="s">
        <v>25</v>
      </c>
      <c r="D1805" t="s">
        <v>82</v>
      </c>
      <c r="E1805" t="s">
        <v>221</v>
      </c>
      <c r="F1805" s="72">
        <v>10</v>
      </c>
      <c r="G1805" s="72">
        <v>0</v>
      </c>
    </row>
    <row r="1806" spans="2:7" x14ac:dyDescent="0.25">
      <c r="B1806" s="71">
        <v>43587</v>
      </c>
      <c r="C1806" t="s">
        <v>55</v>
      </c>
      <c r="D1806" t="s">
        <v>86</v>
      </c>
      <c r="E1806" t="s">
        <v>293</v>
      </c>
      <c r="F1806" s="72">
        <v>46.13</v>
      </c>
      <c r="G1806" s="72">
        <v>0</v>
      </c>
    </row>
    <row r="1807" spans="2:7" x14ac:dyDescent="0.25">
      <c r="B1807" s="71">
        <v>43587</v>
      </c>
      <c r="C1807" t="s">
        <v>47</v>
      </c>
      <c r="D1807" t="s">
        <v>85</v>
      </c>
      <c r="E1807" t="s">
        <v>293</v>
      </c>
      <c r="F1807" s="72">
        <v>7.7</v>
      </c>
      <c r="G1807" s="72">
        <v>0</v>
      </c>
    </row>
    <row r="1808" spans="2:7" x14ac:dyDescent="0.25">
      <c r="B1808" s="71">
        <v>43587</v>
      </c>
      <c r="C1808" t="s">
        <v>21</v>
      </c>
      <c r="D1808" t="s">
        <v>80</v>
      </c>
      <c r="E1808" t="s">
        <v>293</v>
      </c>
      <c r="F1808" s="72">
        <v>8</v>
      </c>
      <c r="G1808" s="72">
        <v>0</v>
      </c>
    </row>
    <row r="1809" spans="2:7" x14ac:dyDescent="0.25">
      <c r="B1809" s="71">
        <v>43587</v>
      </c>
      <c r="C1809" t="s">
        <v>21</v>
      </c>
      <c r="D1809" t="s">
        <v>80</v>
      </c>
      <c r="E1809" t="s">
        <v>293</v>
      </c>
      <c r="F1809" s="72">
        <v>16</v>
      </c>
      <c r="G1809" s="72">
        <v>0</v>
      </c>
    </row>
    <row r="1810" spans="2:7" x14ac:dyDescent="0.25">
      <c r="B1810" s="71">
        <v>43587</v>
      </c>
      <c r="C1810" t="s">
        <v>21</v>
      </c>
      <c r="D1810" t="s">
        <v>80</v>
      </c>
      <c r="E1810" t="s">
        <v>293</v>
      </c>
      <c r="F1810" s="72">
        <v>24</v>
      </c>
      <c r="G1810" s="72">
        <v>0</v>
      </c>
    </row>
    <row r="1811" spans="2:7" x14ac:dyDescent="0.25">
      <c r="B1811" s="71">
        <v>43587</v>
      </c>
      <c r="C1811" t="s">
        <v>21</v>
      </c>
      <c r="D1811" t="s">
        <v>80</v>
      </c>
      <c r="E1811" t="s">
        <v>293</v>
      </c>
      <c r="F1811" s="72">
        <v>88</v>
      </c>
      <c r="G1811" s="72">
        <v>0</v>
      </c>
    </row>
    <row r="1812" spans="2:7" x14ac:dyDescent="0.25">
      <c r="B1812" s="71">
        <v>43587</v>
      </c>
      <c r="C1812" t="s">
        <v>49</v>
      </c>
      <c r="D1812" t="s">
        <v>92</v>
      </c>
      <c r="E1812" t="s">
        <v>293</v>
      </c>
      <c r="F1812" s="72">
        <v>20320</v>
      </c>
      <c r="G1812" s="72">
        <v>0</v>
      </c>
    </row>
    <row r="1813" spans="2:7" x14ac:dyDescent="0.25">
      <c r="B1813" s="71">
        <v>43587</v>
      </c>
      <c r="C1813" t="s">
        <v>49</v>
      </c>
      <c r="D1813" t="s">
        <v>85</v>
      </c>
      <c r="E1813" t="s">
        <v>293</v>
      </c>
      <c r="F1813" s="72">
        <v>30.26</v>
      </c>
      <c r="G1813" s="72">
        <v>0</v>
      </c>
    </row>
    <row r="1814" spans="2:7" x14ac:dyDescent="0.25">
      <c r="B1814" s="71">
        <v>43587</v>
      </c>
      <c r="C1814" t="s">
        <v>46</v>
      </c>
      <c r="D1814" t="s">
        <v>86</v>
      </c>
      <c r="E1814" t="s">
        <v>293</v>
      </c>
      <c r="F1814" s="72">
        <v>30</v>
      </c>
      <c r="G1814" s="72">
        <v>0</v>
      </c>
    </row>
    <row r="1815" spans="2:7" x14ac:dyDescent="0.25">
      <c r="B1815" s="71">
        <v>43587</v>
      </c>
      <c r="C1815" t="s">
        <v>51</v>
      </c>
      <c r="D1815" t="s">
        <v>85</v>
      </c>
      <c r="E1815" t="s">
        <v>293</v>
      </c>
      <c r="F1815" s="72">
        <v>10</v>
      </c>
      <c r="G1815" s="72">
        <v>0</v>
      </c>
    </row>
    <row r="1816" spans="2:7" x14ac:dyDescent="0.25">
      <c r="B1816" s="71">
        <v>43587</v>
      </c>
      <c r="C1816" t="s">
        <v>53</v>
      </c>
      <c r="D1816" t="s">
        <v>86</v>
      </c>
      <c r="E1816" t="s">
        <v>293</v>
      </c>
      <c r="F1816" s="72">
        <v>92</v>
      </c>
      <c r="G1816" s="72">
        <v>0</v>
      </c>
    </row>
    <row r="1817" spans="2:7" x14ac:dyDescent="0.25">
      <c r="B1817" s="71">
        <v>43587</v>
      </c>
      <c r="C1817" t="s">
        <v>72</v>
      </c>
      <c r="D1817" t="s">
        <v>85</v>
      </c>
      <c r="E1817" t="s">
        <v>293</v>
      </c>
      <c r="F1817" s="72">
        <v>14</v>
      </c>
      <c r="G1817" s="72">
        <v>0</v>
      </c>
    </row>
    <row r="1818" spans="2:7" x14ac:dyDescent="0.25">
      <c r="B1818" s="71">
        <v>43587</v>
      </c>
      <c r="C1818" t="s">
        <v>66</v>
      </c>
      <c r="D1818" t="s">
        <v>85</v>
      </c>
      <c r="E1818" t="s">
        <v>293</v>
      </c>
      <c r="F1818" s="72">
        <v>22.5</v>
      </c>
      <c r="G1818" s="72">
        <v>0</v>
      </c>
    </row>
    <row r="1819" spans="2:7" x14ac:dyDescent="0.25">
      <c r="B1819" s="71">
        <v>43587</v>
      </c>
      <c r="C1819" t="s">
        <v>24</v>
      </c>
      <c r="D1819" t="s">
        <v>80</v>
      </c>
      <c r="E1819" t="s">
        <v>293</v>
      </c>
      <c r="F1819" s="72">
        <v>8</v>
      </c>
      <c r="G1819" s="72">
        <v>0</v>
      </c>
    </row>
    <row r="1820" spans="2:7" x14ac:dyDescent="0.25">
      <c r="B1820" s="71">
        <v>43587</v>
      </c>
      <c r="C1820" t="s">
        <v>24</v>
      </c>
      <c r="D1820" t="s">
        <v>80</v>
      </c>
      <c r="E1820" t="s">
        <v>293</v>
      </c>
      <c r="F1820" s="72">
        <v>16</v>
      </c>
      <c r="G1820" s="72">
        <v>0</v>
      </c>
    </row>
    <row r="1821" spans="2:7" x14ac:dyDescent="0.25">
      <c r="B1821" s="71">
        <v>43588</v>
      </c>
      <c r="C1821" t="s">
        <v>25</v>
      </c>
      <c r="D1821" t="s">
        <v>81</v>
      </c>
      <c r="E1821" t="s">
        <v>294</v>
      </c>
      <c r="F1821" s="72">
        <v>23.99</v>
      </c>
      <c r="G1821" s="72">
        <v>0</v>
      </c>
    </row>
    <row r="1822" spans="2:7" x14ac:dyDescent="0.25">
      <c r="B1822" s="71">
        <v>43588</v>
      </c>
      <c r="C1822" t="s">
        <v>25</v>
      </c>
      <c r="D1822" t="s">
        <v>81</v>
      </c>
      <c r="E1822" t="s">
        <v>294</v>
      </c>
      <c r="F1822" s="72">
        <v>96</v>
      </c>
      <c r="G1822" s="72">
        <v>0</v>
      </c>
    </row>
    <row r="1823" spans="2:7" x14ac:dyDescent="0.25">
      <c r="B1823" s="71">
        <v>43588</v>
      </c>
      <c r="C1823" t="s">
        <v>25</v>
      </c>
      <c r="D1823" t="s">
        <v>81</v>
      </c>
      <c r="E1823" t="s">
        <v>294</v>
      </c>
      <c r="F1823" s="72">
        <v>118.89</v>
      </c>
      <c r="G1823" s="72">
        <v>0</v>
      </c>
    </row>
    <row r="1824" spans="2:7" x14ac:dyDescent="0.25">
      <c r="B1824" s="71">
        <v>43588</v>
      </c>
      <c r="C1824" t="s">
        <v>25</v>
      </c>
      <c r="D1824" t="s">
        <v>81</v>
      </c>
      <c r="E1824" t="s">
        <v>294</v>
      </c>
      <c r="F1824" s="72">
        <v>160.66</v>
      </c>
      <c r="G1824" s="72">
        <v>0</v>
      </c>
    </row>
    <row r="1825" spans="2:7" x14ac:dyDescent="0.25">
      <c r="B1825" s="71">
        <v>43588</v>
      </c>
      <c r="C1825" t="s">
        <v>25</v>
      </c>
      <c r="D1825" t="s">
        <v>88</v>
      </c>
      <c r="E1825" t="s">
        <v>294</v>
      </c>
      <c r="F1825" s="72">
        <v>21.95</v>
      </c>
      <c r="G1825" s="72">
        <v>0</v>
      </c>
    </row>
    <row r="1826" spans="2:7" x14ac:dyDescent="0.25">
      <c r="B1826" s="71">
        <v>43588</v>
      </c>
      <c r="C1826" t="s">
        <v>25</v>
      </c>
      <c r="D1826" t="s">
        <v>88</v>
      </c>
      <c r="E1826" t="s">
        <v>294</v>
      </c>
      <c r="F1826" s="72">
        <v>23.76</v>
      </c>
      <c r="G1826" s="72">
        <v>0</v>
      </c>
    </row>
    <row r="1827" spans="2:7" x14ac:dyDescent="0.25">
      <c r="B1827" s="71">
        <v>43588</v>
      </c>
      <c r="C1827" t="s">
        <v>25</v>
      </c>
      <c r="D1827" t="s">
        <v>88</v>
      </c>
      <c r="E1827" t="s">
        <v>294</v>
      </c>
      <c r="F1827" s="72">
        <v>28.07</v>
      </c>
      <c r="G1827" s="72">
        <v>0</v>
      </c>
    </row>
    <row r="1828" spans="2:7" x14ac:dyDescent="0.25">
      <c r="B1828" s="71">
        <v>43588</v>
      </c>
      <c r="C1828" t="s">
        <v>25</v>
      </c>
      <c r="D1828" t="s">
        <v>88</v>
      </c>
      <c r="E1828" t="s">
        <v>294</v>
      </c>
      <c r="F1828" s="72">
        <v>33.44</v>
      </c>
      <c r="G1828" s="72">
        <v>0</v>
      </c>
    </row>
    <row r="1829" spans="2:7" x14ac:dyDescent="0.25">
      <c r="B1829" s="71">
        <v>43588</v>
      </c>
      <c r="C1829" t="s">
        <v>25</v>
      </c>
      <c r="D1829" t="s">
        <v>88</v>
      </c>
      <c r="E1829" t="s">
        <v>294</v>
      </c>
      <c r="F1829" s="72">
        <v>63.7</v>
      </c>
      <c r="G1829" s="72">
        <v>0</v>
      </c>
    </row>
    <row r="1830" spans="2:7" x14ac:dyDescent="0.25">
      <c r="B1830" s="71">
        <v>43588</v>
      </c>
      <c r="C1830" t="s">
        <v>25</v>
      </c>
      <c r="D1830" t="s">
        <v>88</v>
      </c>
      <c r="E1830" t="s">
        <v>294</v>
      </c>
      <c r="F1830" s="72">
        <v>66.81</v>
      </c>
      <c r="G1830" s="72">
        <v>0</v>
      </c>
    </row>
    <row r="1831" spans="2:7" x14ac:dyDescent="0.25">
      <c r="B1831" s="71">
        <v>43588</v>
      </c>
      <c r="C1831" t="s">
        <v>25</v>
      </c>
      <c r="D1831" t="s">
        <v>88</v>
      </c>
      <c r="E1831" t="s">
        <v>294</v>
      </c>
      <c r="F1831" s="72">
        <v>77.64</v>
      </c>
      <c r="G1831" s="72">
        <v>0</v>
      </c>
    </row>
    <row r="1832" spans="2:7" x14ac:dyDescent="0.25">
      <c r="B1832" s="71">
        <v>43588</v>
      </c>
      <c r="C1832" t="s">
        <v>25</v>
      </c>
      <c r="D1832" t="s">
        <v>88</v>
      </c>
      <c r="E1832" t="s">
        <v>294</v>
      </c>
      <c r="F1832" s="72">
        <v>81.069999999999993</v>
      </c>
      <c r="G1832" s="72">
        <v>0</v>
      </c>
    </row>
    <row r="1833" spans="2:7" x14ac:dyDescent="0.25">
      <c r="B1833" s="71">
        <v>43588</v>
      </c>
      <c r="C1833" t="s">
        <v>25</v>
      </c>
      <c r="D1833" t="s">
        <v>88</v>
      </c>
      <c r="E1833" t="s">
        <v>294</v>
      </c>
      <c r="F1833" s="72">
        <v>84.3</v>
      </c>
      <c r="G1833" s="72">
        <v>0</v>
      </c>
    </row>
    <row r="1834" spans="2:7" x14ac:dyDescent="0.25">
      <c r="B1834" s="71">
        <v>43588</v>
      </c>
      <c r="C1834" t="s">
        <v>25</v>
      </c>
      <c r="D1834" t="s">
        <v>88</v>
      </c>
      <c r="E1834" t="s">
        <v>294</v>
      </c>
      <c r="F1834" s="72">
        <v>128.6</v>
      </c>
      <c r="G1834" s="72">
        <v>0</v>
      </c>
    </row>
    <row r="1835" spans="2:7" x14ac:dyDescent="0.25">
      <c r="B1835" s="71">
        <v>43588</v>
      </c>
      <c r="C1835" t="s">
        <v>25</v>
      </c>
      <c r="D1835" t="s">
        <v>82</v>
      </c>
      <c r="E1835" t="s">
        <v>198</v>
      </c>
      <c r="F1835" s="72">
        <v>2.25</v>
      </c>
      <c r="G1835" s="72">
        <v>0</v>
      </c>
    </row>
    <row r="1836" spans="2:7" x14ac:dyDescent="0.25">
      <c r="B1836" s="71">
        <v>43588</v>
      </c>
      <c r="C1836" t="s">
        <v>25</v>
      </c>
      <c r="D1836" t="s">
        <v>82</v>
      </c>
      <c r="E1836" t="s">
        <v>159</v>
      </c>
      <c r="F1836" s="72">
        <v>3.5</v>
      </c>
      <c r="G1836" s="72">
        <v>0</v>
      </c>
    </row>
    <row r="1837" spans="2:7" x14ac:dyDescent="0.25">
      <c r="B1837" s="71">
        <v>43588</v>
      </c>
      <c r="C1837" t="s">
        <v>25</v>
      </c>
      <c r="D1837" t="s">
        <v>83</v>
      </c>
      <c r="E1837" t="s">
        <v>294</v>
      </c>
      <c r="F1837" s="72">
        <v>245.24</v>
      </c>
      <c r="G1837" s="72">
        <v>0</v>
      </c>
    </row>
    <row r="1838" spans="2:7" x14ac:dyDescent="0.25">
      <c r="B1838" s="71">
        <v>43588</v>
      </c>
      <c r="C1838" t="s">
        <v>25</v>
      </c>
      <c r="D1838" t="s">
        <v>85</v>
      </c>
      <c r="E1838" t="s">
        <v>294</v>
      </c>
      <c r="F1838" s="72">
        <v>8.9499999999999993</v>
      </c>
      <c r="G1838" s="72">
        <v>0</v>
      </c>
    </row>
    <row r="1839" spans="2:7" x14ac:dyDescent="0.25">
      <c r="B1839" s="71">
        <v>43588</v>
      </c>
      <c r="C1839" t="s">
        <v>47</v>
      </c>
      <c r="D1839" t="s">
        <v>83</v>
      </c>
      <c r="E1839" t="s">
        <v>294</v>
      </c>
      <c r="F1839" s="72">
        <v>70.23</v>
      </c>
      <c r="G1839" s="72">
        <v>0</v>
      </c>
    </row>
    <row r="1840" spans="2:7" x14ac:dyDescent="0.25">
      <c r="B1840" s="71">
        <v>43588</v>
      </c>
      <c r="C1840" t="s">
        <v>60</v>
      </c>
      <c r="D1840" t="s">
        <v>80</v>
      </c>
      <c r="E1840" t="s">
        <v>294</v>
      </c>
      <c r="F1840" s="72">
        <v>62.75</v>
      </c>
      <c r="G1840" s="72">
        <v>0</v>
      </c>
    </row>
    <row r="1841" spans="2:7" x14ac:dyDescent="0.25">
      <c r="B1841" s="71">
        <v>43588</v>
      </c>
      <c r="C1841" t="s">
        <v>60</v>
      </c>
      <c r="D1841" t="s">
        <v>83</v>
      </c>
      <c r="E1841" t="s">
        <v>294</v>
      </c>
      <c r="F1841" s="72">
        <v>70.23</v>
      </c>
      <c r="G1841" s="72">
        <v>0</v>
      </c>
    </row>
    <row r="1842" spans="2:7" x14ac:dyDescent="0.25">
      <c r="B1842" s="71">
        <v>43588</v>
      </c>
      <c r="C1842" t="s">
        <v>60</v>
      </c>
      <c r="D1842" t="s">
        <v>85</v>
      </c>
      <c r="E1842" t="s">
        <v>294</v>
      </c>
      <c r="F1842" s="72">
        <v>1330.46</v>
      </c>
      <c r="G1842" s="72">
        <v>0</v>
      </c>
    </row>
    <row r="1843" spans="2:7" x14ac:dyDescent="0.25">
      <c r="B1843" s="71">
        <v>43588</v>
      </c>
      <c r="C1843" t="s">
        <v>57</v>
      </c>
      <c r="D1843" t="s">
        <v>85</v>
      </c>
      <c r="E1843" t="s">
        <v>294</v>
      </c>
      <c r="F1843" s="72">
        <v>379.7</v>
      </c>
      <c r="G1843" s="72">
        <v>0</v>
      </c>
    </row>
    <row r="1844" spans="2:7" x14ac:dyDescent="0.25">
      <c r="B1844" s="71">
        <v>43588</v>
      </c>
      <c r="C1844" t="s">
        <v>52</v>
      </c>
      <c r="D1844" t="s">
        <v>85</v>
      </c>
      <c r="E1844" t="s">
        <v>294</v>
      </c>
      <c r="F1844" s="72">
        <v>38.200000000000003</v>
      </c>
      <c r="G1844" s="72">
        <v>0</v>
      </c>
    </row>
    <row r="1845" spans="2:7" x14ac:dyDescent="0.25">
      <c r="B1845" s="71">
        <v>43588</v>
      </c>
      <c r="C1845" t="s">
        <v>58</v>
      </c>
      <c r="D1845" t="s">
        <v>87</v>
      </c>
      <c r="E1845" t="s">
        <v>294</v>
      </c>
      <c r="F1845" s="72">
        <v>36.799999999999997</v>
      </c>
      <c r="G1845" s="72">
        <v>0</v>
      </c>
    </row>
    <row r="1846" spans="2:7" x14ac:dyDescent="0.25">
      <c r="B1846" s="71">
        <v>43588</v>
      </c>
      <c r="C1846" t="s">
        <v>21</v>
      </c>
      <c r="D1846" t="s">
        <v>80</v>
      </c>
      <c r="E1846" t="s">
        <v>294</v>
      </c>
      <c r="F1846" s="72">
        <v>8</v>
      </c>
      <c r="G1846" s="72">
        <v>0</v>
      </c>
    </row>
    <row r="1847" spans="2:7" x14ac:dyDescent="0.25">
      <c r="B1847" s="71">
        <v>43588</v>
      </c>
      <c r="C1847" t="s">
        <v>21</v>
      </c>
      <c r="D1847" t="s">
        <v>80</v>
      </c>
      <c r="E1847" t="s">
        <v>294</v>
      </c>
      <c r="F1847" s="72">
        <v>16</v>
      </c>
      <c r="G1847" s="72">
        <v>0</v>
      </c>
    </row>
    <row r="1848" spans="2:7" x14ac:dyDescent="0.25">
      <c r="B1848" s="71">
        <v>43588</v>
      </c>
      <c r="C1848" t="s">
        <v>21</v>
      </c>
      <c r="D1848" t="s">
        <v>80</v>
      </c>
      <c r="E1848" t="s">
        <v>294</v>
      </c>
      <c r="F1848" s="72">
        <v>32</v>
      </c>
      <c r="G1848" s="72">
        <v>0</v>
      </c>
    </row>
    <row r="1849" spans="2:7" x14ac:dyDescent="0.25">
      <c r="B1849" s="71">
        <v>43588</v>
      </c>
      <c r="C1849" t="s">
        <v>67</v>
      </c>
      <c r="D1849" t="s">
        <v>87</v>
      </c>
      <c r="E1849" t="s">
        <v>294</v>
      </c>
      <c r="F1849" s="72">
        <v>2023.13</v>
      </c>
      <c r="G1849" s="72">
        <v>0</v>
      </c>
    </row>
    <row r="1850" spans="2:7" x14ac:dyDescent="0.25">
      <c r="B1850" s="71">
        <v>43588</v>
      </c>
      <c r="C1850" t="s">
        <v>67</v>
      </c>
      <c r="D1850" t="s">
        <v>85</v>
      </c>
      <c r="E1850" t="s">
        <v>294</v>
      </c>
      <c r="F1850" s="72">
        <v>475</v>
      </c>
      <c r="G1850" s="72">
        <v>0</v>
      </c>
    </row>
    <row r="1851" spans="2:7" x14ac:dyDescent="0.25">
      <c r="B1851" s="71">
        <v>43588</v>
      </c>
      <c r="C1851" t="s">
        <v>49</v>
      </c>
      <c r="D1851" t="s">
        <v>80</v>
      </c>
      <c r="E1851" t="s">
        <v>294</v>
      </c>
      <c r="F1851" s="72">
        <v>45</v>
      </c>
      <c r="G1851" s="72">
        <v>0</v>
      </c>
    </row>
    <row r="1852" spans="2:7" x14ac:dyDescent="0.25">
      <c r="B1852" s="71">
        <v>43588</v>
      </c>
      <c r="C1852" t="s">
        <v>49</v>
      </c>
      <c r="D1852" t="s">
        <v>81</v>
      </c>
      <c r="E1852" t="s">
        <v>294</v>
      </c>
      <c r="F1852" s="72">
        <v>80.02</v>
      </c>
      <c r="G1852" s="72">
        <v>0</v>
      </c>
    </row>
    <row r="1853" spans="2:7" x14ac:dyDescent="0.25">
      <c r="B1853" s="71">
        <v>43588</v>
      </c>
      <c r="C1853" t="s">
        <v>49</v>
      </c>
      <c r="D1853" t="s">
        <v>85</v>
      </c>
      <c r="E1853" t="s">
        <v>294</v>
      </c>
      <c r="F1853" s="72">
        <v>235</v>
      </c>
      <c r="G1853" s="72">
        <v>0</v>
      </c>
    </row>
    <row r="1854" spans="2:7" x14ac:dyDescent="0.25">
      <c r="B1854" s="71">
        <v>43588</v>
      </c>
      <c r="C1854" t="s">
        <v>46</v>
      </c>
      <c r="D1854" t="s">
        <v>85</v>
      </c>
      <c r="E1854" t="s">
        <v>294</v>
      </c>
      <c r="F1854" s="72">
        <v>435</v>
      </c>
      <c r="G1854" s="72">
        <v>0</v>
      </c>
    </row>
    <row r="1855" spans="2:7" x14ac:dyDescent="0.25">
      <c r="B1855" s="71">
        <v>43588</v>
      </c>
      <c r="C1855" t="s">
        <v>50</v>
      </c>
      <c r="D1855" t="s">
        <v>85</v>
      </c>
      <c r="E1855" t="s">
        <v>294</v>
      </c>
      <c r="F1855" s="72">
        <v>150</v>
      </c>
      <c r="G1855" s="72">
        <v>0</v>
      </c>
    </row>
    <row r="1856" spans="2:7" x14ac:dyDescent="0.25">
      <c r="B1856" s="71">
        <v>43588</v>
      </c>
      <c r="C1856" t="s">
        <v>51</v>
      </c>
      <c r="D1856" t="s">
        <v>85</v>
      </c>
      <c r="E1856" t="s">
        <v>294</v>
      </c>
      <c r="F1856" s="72">
        <v>2100</v>
      </c>
      <c r="G1856" s="72">
        <v>0</v>
      </c>
    </row>
    <row r="1857" spans="2:7" x14ac:dyDescent="0.25">
      <c r="B1857" s="71">
        <v>43588</v>
      </c>
      <c r="C1857" t="s">
        <v>72</v>
      </c>
      <c r="D1857" t="s">
        <v>85</v>
      </c>
      <c r="E1857" t="s">
        <v>294</v>
      </c>
      <c r="F1857" s="72">
        <v>170</v>
      </c>
      <c r="G1857" s="72">
        <v>0</v>
      </c>
    </row>
    <row r="1858" spans="2:7" x14ac:dyDescent="0.25">
      <c r="B1858" s="71">
        <v>43588</v>
      </c>
      <c r="C1858" t="s">
        <v>66</v>
      </c>
      <c r="D1858" t="s">
        <v>81</v>
      </c>
      <c r="E1858" t="s">
        <v>294</v>
      </c>
      <c r="F1858" s="72">
        <v>51.51</v>
      </c>
      <c r="G1858" s="72">
        <v>0</v>
      </c>
    </row>
    <row r="1859" spans="2:7" x14ac:dyDescent="0.25">
      <c r="B1859" s="71">
        <v>43588</v>
      </c>
      <c r="C1859" t="s">
        <v>24</v>
      </c>
      <c r="D1859" t="s">
        <v>80</v>
      </c>
      <c r="E1859" t="s">
        <v>294</v>
      </c>
      <c r="F1859" s="72">
        <v>8</v>
      </c>
      <c r="G1859" s="72">
        <v>0</v>
      </c>
    </row>
    <row r="1860" spans="2:7" x14ac:dyDescent="0.25">
      <c r="B1860" s="71">
        <v>43589</v>
      </c>
      <c r="C1860" t="s">
        <v>25</v>
      </c>
      <c r="D1860" t="s">
        <v>80</v>
      </c>
      <c r="E1860" t="s">
        <v>295</v>
      </c>
      <c r="F1860">
        <v>8</v>
      </c>
      <c r="G1860" s="72">
        <v>0</v>
      </c>
    </row>
    <row r="1861" spans="2:7" x14ac:dyDescent="0.25">
      <c r="B1861" s="71">
        <v>43589</v>
      </c>
      <c r="C1861" t="s">
        <v>25</v>
      </c>
      <c r="D1861" t="s">
        <v>82</v>
      </c>
      <c r="E1861" t="s">
        <v>200</v>
      </c>
      <c r="F1861" s="72">
        <v>2.65</v>
      </c>
      <c r="G1861" s="72">
        <v>0</v>
      </c>
    </row>
    <row r="1862" spans="2:7" x14ac:dyDescent="0.25">
      <c r="B1862" s="71">
        <v>43589</v>
      </c>
      <c r="C1862" t="s">
        <v>47</v>
      </c>
      <c r="D1862" t="s">
        <v>80</v>
      </c>
      <c r="E1862" t="s">
        <v>295</v>
      </c>
      <c r="F1862" s="72">
        <v>10</v>
      </c>
      <c r="G1862" s="72">
        <v>0</v>
      </c>
    </row>
    <row r="1863" spans="2:7" x14ac:dyDescent="0.25">
      <c r="B1863" s="71">
        <v>43589</v>
      </c>
      <c r="C1863" t="s">
        <v>47</v>
      </c>
      <c r="D1863" t="s">
        <v>86</v>
      </c>
      <c r="E1863" t="s">
        <v>295</v>
      </c>
      <c r="F1863" s="72">
        <v>25.95</v>
      </c>
      <c r="G1863" s="72">
        <v>0</v>
      </c>
    </row>
    <row r="1864" spans="2:7" x14ac:dyDescent="0.25">
      <c r="B1864" s="71">
        <v>43589</v>
      </c>
      <c r="C1864" t="s">
        <v>47</v>
      </c>
      <c r="D1864" t="s">
        <v>85</v>
      </c>
      <c r="E1864" t="s">
        <v>295</v>
      </c>
      <c r="F1864" s="72">
        <v>4.5999999999999996</v>
      </c>
      <c r="G1864" s="72">
        <v>0</v>
      </c>
    </row>
    <row r="1865" spans="2:7" x14ac:dyDescent="0.25">
      <c r="B1865" s="71">
        <v>43589</v>
      </c>
      <c r="C1865" t="s">
        <v>21</v>
      </c>
      <c r="D1865" t="s">
        <v>80</v>
      </c>
      <c r="E1865" t="s">
        <v>295</v>
      </c>
      <c r="F1865" s="72">
        <v>8</v>
      </c>
      <c r="G1865" s="72">
        <v>0</v>
      </c>
    </row>
    <row r="1866" spans="2:7" x14ac:dyDescent="0.25">
      <c r="B1866" s="71">
        <v>43589</v>
      </c>
      <c r="C1866" t="s">
        <v>21</v>
      </c>
      <c r="D1866" t="s">
        <v>80</v>
      </c>
      <c r="E1866" t="s">
        <v>295</v>
      </c>
      <c r="F1866" s="72">
        <v>16</v>
      </c>
      <c r="G1866" s="72">
        <v>0</v>
      </c>
    </row>
    <row r="1867" spans="2:7" x14ac:dyDescent="0.25">
      <c r="B1867" s="71">
        <v>43589</v>
      </c>
      <c r="C1867" t="s">
        <v>21</v>
      </c>
      <c r="D1867" t="s">
        <v>80</v>
      </c>
      <c r="E1867" t="s">
        <v>295</v>
      </c>
      <c r="F1867" s="72">
        <v>32</v>
      </c>
      <c r="G1867" s="72">
        <v>0</v>
      </c>
    </row>
    <row r="1868" spans="2:7" x14ac:dyDescent="0.25">
      <c r="B1868" s="71">
        <v>43589</v>
      </c>
      <c r="C1868" t="s">
        <v>21</v>
      </c>
      <c r="D1868" t="s">
        <v>80</v>
      </c>
      <c r="E1868" t="s">
        <v>295</v>
      </c>
      <c r="F1868" s="72">
        <v>40</v>
      </c>
      <c r="G1868" s="72">
        <v>0</v>
      </c>
    </row>
    <row r="1869" spans="2:7" x14ac:dyDescent="0.25">
      <c r="B1869" s="71">
        <v>43589</v>
      </c>
      <c r="C1869" t="s">
        <v>21</v>
      </c>
      <c r="D1869" t="s">
        <v>80</v>
      </c>
      <c r="E1869" t="s">
        <v>295</v>
      </c>
      <c r="F1869" s="72">
        <v>48</v>
      </c>
      <c r="G1869" s="72">
        <v>0</v>
      </c>
    </row>
    <row r="1870" spans="2:7" x14ac:dyDescent="0.25">
      <c r="B1870" s="71">
        <v>43589</v>
      </c>
      <c r="C1870" t="s">
        <v>21</v>
      </c>
      <c r="D1870" t="s">
        <v>80</v>
      </c>
      <c r="E1870" t="s">
        <v>295</v>
      </c>
      <c r="F1870" s="72">
        <v>80</v>
      </c>
      <c r="G1870" s="72">
        <v>0</v>
      </c>
    </row>
    <row r="1871" spans="2:7" x14ac:dyDescent="0.25">
      <c r="B1871" s="71">
        <v>43589</v>
      </c>
      <c r="C1871" t="s">
        <v>21</v>
      </c>
      <c r="D1871" t="s">
        <v>80</v>
      </c>
      <c r="E1871" t="s">
        <v>295</v>
      </c>
      <c r="F1871" s="72">
        <v>96</v>
      </c>
      <c r="G1871" s="72">
        <v>0</v>
      </c>
    </row>
    <row r="1872" spans="2:7" x14ac:dyDescent="0.25">
      <c r="B1872" s="71">
        <v>43589</v>
      </c>
      <c r="C1872" t="s">
        <v>51</v>
      </c>
      <c r="D1872" t="s">
        <v>85</v>
      </c>
      <c r="E1872" t="s">
        <v>295</v>
      </c>
      <c r="F1872" s="72">
        <v>14.05</v>
      </c>
      <c r="G1872" s="72">
        <v>0</v>
      </c>
    </row>
    <row r="1873" spans="2:7" x14ac:dyDescent="0.25">
      <c r="B1873" s="71">
        <v>43589</v>
      </c>
      <c r="C1873" t="s">
        <v>24</v>
      </c>
      <c r="D1873" t="s">
        <v>80</v>
      </c>
      <c r="E1873" t="s">
        <v>295</v>
      </c>
      <c r="F1873" s="72">
        <v>16</v>
      </c>
      <c r="G1873" s="72">
        <v>0</v>
      </c>
    </row>
    <row r="1874" spans="2:7" x14ac:dyDescent="0.25">
      <c r="B1874" s="71">
        <v>43591</v>
      </c>
      <c r="C1874" t="s">
        <v>25</v>
      </c>
      <c r="D1874" t="s">
        <v>80</v>
      </c>
      <c r="E1874" t="s">
        <v>296</v>
      </c>
      <c r="F1874">
        <v>16</v>
      </c>
      <c r="G1874" s="72">
        <v>0</v>
      </c>
    </row>
    <row r="1875" spans="2:7" x14ac:dyDescent="0.25">
      <c r="B1875" s="71">
        <v>43591</v>
      </c>
      <c r="C1875" t="s">
        <v>25</v>
      </c>
      <c r="D1875" t="s">
        <v>88</v>
      </c>
      <c r="E1875" t="s">
        <v>296</v>
      </c>
      <c r="F1875" s="72">
        <v>9.89</v>
      </c>
      <c r="G1875" s="72">
        <v>0</v>
      </c>
    </row>
    <row r="1876" spans="2:7" x14ac:dyDescent="0.25">
      <c r="B1876" s="71">
        <v>43591</v>
      </c>
      <c r="C1876" t="s">
        <v>25</v>
      </c>
      <c r="D1876" t="s">
        <v>88</v>
      </c>
      <c r="E1876" t="s">
        <v>296</v>
      </c>
      <c r="F1876" s="72">
        <v>24.57</v>
      </c>
      <c r="G1876" s="72">
        <v>0</v>
      </c>
    </row>
    <row r="1877" spans="2:7" x14ac:dyDescent="0.25">
      <c r="B1877" s="71">
        <v>43591</v>
      </c>
      <c r="C1877" t="s">
        <v>25</v>
      </c>
      <c r="D1877" t="s">
        <v>88</v>
      </c>
      <c r="E1877" t="s">
        <v>296</v>
      </c>
      <c r="F1877" s="72">
        <v>31.03</v>
      </c>
      <c r="G1877" s="72">
        <v>0</v>
      </c>
    </row>
    <row r="1878" spans="2:7" x14ac:dyDescent="0.25">
      <c r="B1878" s="71">
        <v>43591</v>
      </c>
      <c r="C1878" t="s">
        <v>25</v>
      </c>
      <c r="D1878" t="s">
        <v>88</v>
      </c>
      <c r="E1878" t="s">
        <v>296</v>
      </c>
      <c r="F1878" s="72">
        <v>48.62</v>
      </c>
      <c r="G1878" s="72">
        <v>0</v>
      </c>
    </row>
    <row r="1879" spans="2:7" x14ac:dyDescent="0.25">
      <c r="B1879" s="71">
        <v>43591</v>
      </c>
      <c r="C1879" t="s">
        <v>25</v>
      </c>
      <c r="D1879" t="s">
        <v>88</v>
      </c>
      <c r="E1879" t="s">
        <v>296</v>
      </c>
      <c r="F1879" s="72">
        <v>55.52</v>
      </c>
      <c r="G1879" s="72">
        <v>0</v>
      </c>
    </row>
    <row r="1880" spans="2:7" x14ac:dyDescent="0.25">
      <c r="B1880" s="71">
        <v>43591</v>
      </c>
      <c r="C1880" t="s">
        <v>25</v>
      </c>
      <c r="D1880" t="s">
        <v>88</v>
      </c>
      <c r="E1880" t="s">
        <v>296</v>
      </c>
      <c r="F1880" s="72">
        <v>67.069999999999993</v>
      </c>
      <c r="G1880" s="72">
        <v>0</v>
      </c>
    </row>
    <row r="1881" spans="2:7" x14ac:dyDescent="0.25">
      <c r="B1881" s="71">
        <v>43591</v>
      </c>
      <c r="C1881" t="s">
        <v>25</v>
      </c>
      <c r="D1881" t="s">
        <v>88</v>
      </c>
      <c r="E1881" t="s">
        <v>296</v>
      </c>
      <c r="F1881" s="72">
        <v>91</v>
      </c>
      <c r="G1881" s="72">
        <v>0</v>
      </c>
    </row>
    <row r="1882" spans="2:7" x14ac:dyDescent="0.25">
      <c r="B1882" s="71">
        <v>43591</v>
      </c>
      <c r="C1882" t="s">
        <v>25</v>
      </c>
      <c r="D1882" t="s">
        <v>82</v>
      </c>
      <c r="E1882" t="s">
        <v>154</v>
      </c>
      <c r="F1882" s="72">
        <v>3</v>
      </c>
      <c r="G1882" s="72">
        <v>0</v>
      </c>
    </row>
    <row r="1883" spans="2:7" x14ac:dyDescent="0.25">
      <c r="B1883" s="71">
        <v>43591</v>
      </c>
      <c r="C1883" t="s">
        <v>25</v>
      </c>
      <c r="D1883" t="s">
        <v>82</v>
      </c>
      <c r="E1883" t="s">
        <v>192</v>
      </c>
      <c r="F1883" s="72">
        <v>22</v>
      </c>
      <c r="G1883" s="72">
        <v>0</v>
      </c>
    </row>
    <row r="1884" spans="2:7" x14ac:dyDescent="0.25">
      <c r="B1884" s="71">
        <v>43591</v>
      </c>
      <c r="C1884" t="s">
        <v>25</v>
      </c>
      <c r="D1884" t="s">
        <v>82</v>
      </c>
      <c r="E1884" t="s">
        <v>242</v>
      </c>
      <c r="F1884" s="72">
        <v>3.15</v>
      </c>
      <c r="G1884" s="72">
        <v>0</v>
      </c>
    </row>
    <row r="1885" spans="2:7" x14ac:dyDescent="0.25">
      <c r="B1885" s="71">
        <v>43591</v>
      </c>
      <c r="C1885" t="s">
        <v>47</v>
      </c>
      <c r="D1885" t="s">
        <v>85</v>
      </c>
      <c r="E1885" t="s">
        <v>296</v>
      </c>
      <c r="F1885" s="72">
        <v>4.78</v>
      </c>
      <c r="G1885" s="72">
        <v>0</v>
      </c>
    </row>
    <row r="1886" spans="2:7" x14ac:dyDescent="0.25">
      <c r="B1886" s="71">
        <v>43591</v>
      </c>
      <c r="C1886" t="s">
        <v>57</v>
      </c>
      <c r="D1886" t="s">
        <v>85</v>
      </c>
      <c r="E1886" t="s">
        <v>296</v>
      </c>
      <c r="F1886" s="72">
        <v>76.349999999999994</v>
      </c>
      <c r="G1886" s="72">
        <v>0</v>
      </c>
    </row>
    <row r="1887" spans="2:7" x14ac:dyDescent="0.25">
      <c r="B1887" s="71">
        <v>43591</v>
      </c>
      <c r="C1887" t="s">
        <v>52</v>
      </c>
      <c r="D1887" t="s">
        <v>85</v>
      </c>
      <c r="E1887" t="s">
        <v>296</v>
      </c>
      <c r="F1887" s="72">
        <v>213.19</v>
      </c>
      <c r="G1887" s="72">
        <v>0</v>
      </c>
    </row>
    <row r="1888" spans="2:7" x14ac:dyDescent="0.25">
      <c r="B1888" s="71">
        <v>43591</v>
      </c>
      <c r="C1888" t="s">
        <v>21</v>
      </c>
      <c r="D1888" t="s">
        <v>80</v>
      </c>
      <c r="E1888" t="s">
        <v>296</v>
      </c>
      <c r="F1888" s="72">
        <v>8</v>
      </c>
      <c r="G1888" s="72">
        <v>0</v>
      </c>
    </row>
    <row r="1889" spans="2:7" x14ac:dyDescent="0.25">
      <c r="B1889" s="71">
        <v>43591</v>
      </c>
      <c r="C1889" t="s">
        <v>21</v>
      </c>
      <c r="D1889" t="s">
        <v>80</v>
      </c>
      <c r="E1889" t="s">
        <v>296</v>
      </c>
      <c r="F1889" s="72">
        <v>16</v>
      </c>
      <c r="G1889" s="72">
        <v>0</v>
      </c>
    </row>
    <row r="1890" spans="2:7" x14ac:dyDescent="0.25">
      <c r="B1890" s="71">
        <v>43591</v>
      </c>
      <c r="C1890" t="s">
        <v>21</v>
      </c>
      <c r="D1890" t="s">
        <v>80</v>
      </c>
      <c r="E1890" t="s">
        <v>296</v>
      </c>
      <c r="F1890" s="72">
        <v>24</v>
      </c>
      <c r="G1890" s="72">
        <v>0</v>
      </c>
    </row>
    <row r="1891" spans="2:7" x14ac:dyDescent="0.25">
      <c r="B1891" s="71">
        <v>43591</v>
      </c>
      <c r="C1891" t="s">
        <v>21</v>
      </c>
      <c r="D1891" t="s">
        <v>80</v>
      </c>
      <c r="E1891" t="s">
        <v>296</v>
      </c>
      <c r="F1891" s="72">
        <v>32</v>
      </c>
      <c r="G1891" s="72">
        <v>0</v>
      </c>
    </row>
    <row r="1892" spans="2:7" x14ac:dyDescent="0.25">
      <c r="B1892" s="71">
        <v>43591</v>
      </c>
      <c r="C1892" t="s">
        <v>21</v>
      </c>
      <c r="D1892" t="s">
        <v>80</v>
      </c>
      <c r="E1892" t="s">
        <v>296</v>
      </c>
      <c r="F1892" s="72">
        <v>40</v>
      </c>
      <c r="G1892" s="72">
        <v>0</v>
      </c>
    </row>
    <row r="1893" spans="2:7" x14ac:dyDescent="0.25">
      <c r="B1893" s="71">
        <v>43591</v>
      </c>
      <c r="C1893" t="s">
        <v>21</v>
      </c>
      <c r="D1893" t="s">
        <v>80</v>
      </c>
      <c r="E1893" t="s">
        <v>296</v>
      </c>
      <c r="F1893" s="72">
        <v>56</v>
      </c>
      <c r="G1893" s="72">
        <v>0</v>
      </c>
    </row>
    <row r="1894" spans="2:7" x14ac:dyDescent="0.25">
      <c r="B1894" s="71">
        <v>43591</v>
      </c>
      <c r="C1894" t="s">
        <v>21</v>
      </c>
      <c r="D1894" t="s">
        <v>80</v>
      </c>
      <c r="E1894" t="s">
        <v>296</v>
      </c>
      <c r="F1894" s="72">
        <v>64</v>
      </c>
      <c r="G1894" s="72">
        <v>0</v>
      </c>
    </row>
    <row r="1895" spans="2:7" x14ac:dyDescent="0.25">
      <c r="B1895" s="71">
        <v>43591</v>
      </c>
      <c r="C1895" t="s">
        <v>21</v>
      </c>
      <c r="D1895" t="s">
        <v>80</v>
      </c>
      <c r="E1895" t="s">
        <v>296</v>
      </c>
      <c r="F1895" s="72">
        <v>88</v>
      </c>
      <c r="G1895" s="72">
        <v>0</v>
      </c>
    </row>
    <row r="1896" spans="2:7" x14ac:dyDescent="0.25">
      <c r="B1896" s="71">
        <v>43591</v>
      </c>
      <c r="C1896" t="s">
        <v>21</v>
      </c>
      <c r="D1896" t="s">
        <v>85</v>
      </c>
      <c r="E1896" t="s">
        <v>296</v>
      </c>
      <c r="F1896" s="72">
        <v>380</v>
      </c>
      <c r="G1896" s="72">
        <v>0</v>
      </c>
    </row>
    <row r="1897" spans="2:7" x14ac:dyDescent="0.25">
      <c r="B1897" s="71">
        <v>43591</v>
      </c>
      <c r="C1897" t="s">
        <v>67</v>
      </c>
      <c r="D1897" t="s">
        <v>80</v>
      </c>
      <c r="E1897" t="s">
        <v>296</v>
      </c>
      <c r="F1897" s="72">
        <v>49.79</v>
      </c>
      <c r="G1897" s="72">
        <v>0</v>
      </c>
    </row>
    <row r="1898" spans="2:7" x14ac:dyDescent="0.25">
      <c r="B1898" s="71">
        <v>43591</v>
      </c>
      <c r="C1898" t="s">
        <v>49</v>
      </c>
      <c r="D1898" t="s">
        <v>81</v>
      </c>
      <c r="E1898" t="s">
        <v>296</v>
      </c>
      <c r="F1898" s="72">
        <v>21</v>
      </c>
      <c r="G1898" s="72">
        <v>0</v>
      </c>
    </row>
    <row r="1899" spans="2:7" x14ac:dyDescent="0.25">
      <c r="B1899" s="71">
        <v>43591</v>
      </c>
      <c r="C1899" t="s">
        <v>54</v>
      </c>
      <c r="D1899" t="s">
        <v>86</v>
      </c>
      <c r="E1899" t="s">
        <v>296</v>
      </c>
      <c r="F1899" s="72">
        <v>292.12</v>
      </c>
      <c r="G1899" s="72">
        <v>0</v>
      </c>
    </row>
    <row r="1900" spans="2:7" x14ac:dyDescent="0.25">
      <c r="B1900" s="71">
        <v>43591</v>
      </c>
      <c r="C1900" t="s">
        <v>74</v>
      </c>
      <c r="D1900" t="s">
        <v>85</v>
      </c>
      <c r="E1900" t="s">
        <v>296</v>
      </c>
      <c r="F1900" s="72">
        <v>51.55</v>
      </c>
      <c r="G1900" s="72">
        <v>0</v>
      </c>
    </row>
    <row r="1901" spans="2:7" x14ac:dyDescent="0.25">
      <c r="B1901" s="71">
        <v>43592</v>
      </c>
      <c r="C1901" t="s">
        <v>25</v>
      </c>
      <c r="D1901" t="s">
        <v>81</v>
      </c>
      <c r="E1901" t="s">
        <v>297</v>
      </c>
      <c r="F1901" s="72">
        <v>35.950000000000003</v>
      </c>
      <c r="G1901" s="72">
        <v>0</v>
      </c>
    </row>
    <row r="1902" spans="2:7" x14ac:dyDescent="0.25">
      <c r="B1902" s="71">
        <v>43592</v>
      </c>
      <c r="C1902" t="s">
        <v>25</v>
      </c>
      <c r="D1902" t="s">
        <v>88</v>
      </c>
      <c r="E1902" t="s">
        <v>297</v>
      </c>
      <c r="F1902" s="72">
        <v>25.57</v>
      </c>
      <c r="G1902" s="72">
        <v>0</v>
      </c>
    </row>
    <row r="1903" spans="2:7" x14ac:dyDescent="0.25">
      <c r="B1903" s="71">
        <v>43592</v>
      </c>
      <c r="C1903" t="s">
        <v>25</v>
      </c>
      <c r="D1903" t="s">
        <v>88</v>
      </c>
      <c r="E1903" t="s">
        <v>297</v>
      </c>
      <c r="F1903" s="72">
        <v>36.979999999999997</v>
      </c>
      <c r="G1903" s="72">
        <v>0</v>
      </c>
    </row>
    <row r="1904" spans="2:7" x14ac:dyDescent="0.25">
      <c r="B1904" s="71">
        <v>43592</v>
      </c>
      <c r="C1904" t="s">
        <v>25</v>
      </c>
      <c r="D1904" t="s">
        <v>88</v>
      </c>
      <c r="E1904" t="s">
        <v>297</v>
      </c>
      <c r="F1904" s="72">
        <v>42.03</v>
      </c>
      <c r="G1904" s="72">
        <v>0</v>
      </c>
    </row>
    <row r="1905" spans="2:7" x14ac:dyDescent="0.25">
      <c r="B1905" s="71">
        <v>43592</v>
      </c>
      <c r="C1905" t="s">
        <v>25</v>
      </c>
      <c r="D1905" t="s">
        <v>88</v>
      </c>
      <c r="E1905" t="s">
        <v>297</v>
      </c>
      <c r="F1905" s="72">
        <v>53.37</v>
      </c>
      <c r="G1905" s="72">
        <v>0</v>
      </c>
    </row>
    <row r="1906" spans="2:7" x14ac:dyDescent="0.25">
      <c r="B1906" s="71">
        <v>43592</v>
      </c>
      <c r="C1906" t="s">
        <v>25</v>
      </c>
      <c r="D1906" t="s">
        <v>88</v>
      </c>
      <c r="E1906" t="s">
        <v>297</v>
      </c>
      <c r="F1906" s="72">
        <v>64.31</v>
      </c>
      <c r="G1906" s="72">
        <v>0</v>
      </c>
    </row>
    <row r="1907" spans="2:7" x14ac:dyDescent="0.25">
      <c r="B1907" s="71">
        <v>43592</v>
      </c>
      <c r="C1907" t="s">
        <v>25</v>
      </c>
      <c r="D1907" t="s">
        <v>88</v>
      </c>
      <c r="E1907" t="s">
        <v>297</v>
      </c>
      <c r="F1907" s="72">
        <v>163.47999999999999</v>
      </c>
      <c r="G1907" s="72">
        <v>0</v>
      </c>
    </row>
    <row r="1908" spans="2:7" x14ac:dyDescent="0.25">
      <c r="B1908" s="71">
        <v>43592</v>
      </c>
      <c r="C1908" t="s">
        <v>25</v>
      </c>
      <c r="D1908" t="s">
        <v>101</v>
      </c>
      <c r="E1908" t="s">
        <v>256</v>
      </c>
      <c r="F1908" s="72">
        <v>10</v>
      </c>
      <c r="G1908" s="72">
        <v>0</v>
      </c>
    </row>
    <row r="1909" spans="2:7" x14ac:dyDescent="0.25">
      <c r="B1909" s="71">
        <v>43592</v>
      </c>
      <c r="C1909" t="s">
        <v>25</v>
      </c>
      <c r="D1909" t="s">
        <v>82</v>
      </c>
      <c r="E1909" t="s">
        <v>192</v>
      </c>
      <c r="F1909" s="72">
        <v>22</v>
      </c>
      <c r="G1909" s="72">
        <v>0</v>
      </c>
    </row>
    <row r="1910" spans="2:7" x14ac:dyDescent="0.25">
      <c r="B1910" s="71">
        <v>43592</v>
      </c>
      <c r="C1910" t="s">
        <v>55</v>
      </c>
      <c r="D1910" t="s">
        <v>81</v>
      </c>
      <c r="E1910" t="s">
        <v>297</v>
      </c>
      <c r="F1910" s="72">
        <v>142.87</v>
      </c>
      <c r="G1910" s="72">
        <v>0</v>
      </c>
    </row>
    <row r="1911" spans="2:7" x14ac:dyDescent="0.25">
      <c r="B1911" s="71">
        <v>43592</v>
      </c>
      <c r="C1911" t="s">
        <v>52</v>
      </c>
      <c r="D1911" t="s">
        <v>85</v>
      </c>
      <c r="E1911" t="s">
        <v>297</v>
      </c>
      <c r="F1911" s="72">
        <v>360.16</v>
      </c>
      <c r="G1911" s="72">
        <v>0</v>
      </c>
    </row>
    <row r="1912" spans="2:7" x14ac:dyDescent="0.25">
      <c r="B1912" s="71">
        <v>43592</v>
      </c>
      <c r="C1912" t="s">
        <v>45</v>
      </c>
      <c r="D1912" t="s">
        <v>81</v>
      </c>
      <c r="E1912" t="s">
        <v>297</v>
      </c>
      <c r="F1912" s="72">
        <v>5.16</v>
      </c>
      <c r="G1912" s="72">
        <v>0</v>
      </c>
    </row>
    <row r="1913" spans="2:7" x14ac:dyDescent="0.25">
      <c r="B1913" s="71">
        <v>43592</v>
      </c>
      <c r="C1913" t="s">
        <v>21</v>
      </c>
      <c r="D1913" t="s">
        <v>80</v>
      </c>
      <c r="E1913" t="s">
        <v>297</v>
      </c>
      <c r="F1913" s="72">
        <v>8</v>
      </c>
      <c r="G1913" s="72">
        <v>0</v>
      </c>
    </row>
    <row r="1914" spans="2:7" x14ac:dyDescent="0.25">
      <c r="B1914" s="71">
        <v>43592</v>
      </c>
      <c r="C1914" t="s">
        <v>21</v>
      </c>
      <c r="D1914" t="s">
        <v>80</v>
      </c>
      <c r="E1914" t="s">
        <v>297</v>
      </c>
      <c r="F1914" s="72">
        <v>16</v>
      </c>
      <c r="G1914" s="72">
        <v>0</v>
      </c>
    </row>
    <row r="1915" spans="2:7" x14ac:dyDescent="0.25">
      <c r="B1915" s="71">
        <v>43592</v>
      </c>
      <c r="C1915" t="s">
        <v>21</v>
      </c>
      <c r="D1915" t="s">
        <v>80</v>
      </c>
      <c r="E1915" t="s">
        <v>297</v>
      </c>
      <c r="F1915" s="72">
        <v>24</v>
      </c>
      <c r="G1915" s="72">
        <v>0</v>
      </c>
    </row>
    <row r="1916" spans="2:7" x14ac:dyDescent="0.25">
      <c r="B1916" s="71">
        <v>43592</v>
      </c>
      <c r="C1916" t="s">
        <v>21</v>
      </c>
      <c r="D1916" t="s">
        <v>80</v>
      </c>
      <c r="E1916" t="s">
        <v>297</v>
      </c>
      <c r="F1916" s="72">
        <v>56</v>
      </c>
      <c r="G1916" s="72">
        <v>0</v>
      </c>
    </row>
    <row r="1917" spans="2:7" x14ac:dyDescent="0.25">
      <c r="B1917" s="71">
        <v>43592</v>
      </c>
      <c r="C1917" t="s">
        <v>21</v>
      </c>
      <c r="D1917" t="s">
        <v>80</v>
      </c>
      <c r="E1917" t="s">
        <v>297</v>
      </c>
      <c r="F1917" s="72">
        <v>80</v>
      </c>
      <c r="G1917" s="72">
        <v>0</v>
      </c>
    </row>
    <row r="1918" spans="2:7" x14ac:dyDescent="0.25">
      <c r="B1918" s="71">
        <v>43592</v>
      </c>
      <c r="C1918" t="s">
        <v>21</v>
      </c>
      <c r="D1918" t="s">
        <v>107</v>
      </c>
      <c r="E1918" t="s">
        <v>298</v>
      </c>
      <c r="F1918" s="72">
        <v>114.74</v>
      </c>
      <c r="G1918" s="72">
        <v>0</v>
      </c>
    </row>
    <row r="1919" spans="2:7" x14ac:dyDescent="0.25">
      <c r="B1919" s="71">
        <v>43592</v>
      </c>
      <c r="C1919" t="s">
        <v>21</v>
      </c>
      <c r="D1919" t="s">
        <v>85</v>
      </c>
      <c r="E1919" t="s">
        <v>297</v>
      </c>
      <c r="F1919" s="72">
        <v>147.9</v>
      </c>
      <c r="G1919" s="72">
        <v>0</v>
      </c>
    </row>
    <row r="1920" spans="2:7" x14ac:dyDescent="0.25">
      <c r="B1920" s="71">
        <v>43592</v>
      </c>
      <c r="C1920" t="s">
        <v>67</v>
      </c>
      <c r="D1920" t="s">
        <v>85</v>
      </c>
      <c r="E1920" t="s">
        <v>297</v>
      </c>
      <c r="F1920" s="72">
        <v>26.2</v>
      </c>
      <c r="G1920" s="72">
        <v>0</v>
      </c>
    </row>
    <row r="1921" spans="2:7" x14ac:dyDescent="0.25">
      <c r="B1921" s="71">
        <v>43592</v>
      </c>
      <c r="C1921" t="s">
        <v>46</v>
      </c>
      <c r="D1921" t="s">
        <v>84</v>
      </c>
      <c r="E1921" t="s">
        <v>297</v>
      </c>
      <c r="F1921" s="72">
        <v>84.53</v>
      </c>
      <c r="G1921" s="72">
        <v>0</v>
      </c>
    </row>
    <row r="1922" spans="2:7" x14ac:dyDescent="0.25">
      <c r="B1922" s="71">
        <v>43592</v>
      </c>
      <c r="C1922" t="s">
        <v>46</v>
      </c>
      <c r="D1922" t="s">
        <v>85</v>
      </c>
      <c r="E1922" t="s">
        <v>297</v>
      </c>
      <c r="F1922" s="72">
        <v>23.05</v>
      </c>
      <c r="G1922" s="72">
        <v>0</v>
      </c>
    </row>
    <row r="1923" spans="2:7" x14ac:dyDescent="0.25">
      <c r="B1923" s="71">
        <v>43592</v>
      </c>
      <c r="C1923" t="s">
        <v>53</v>
      </c>
      <c r="D1923" t="s">
        <v>80</v>
      </c>
      <c r="E1923" t="s">
        <v>297</v>
      </c>
      <c r="F1923" s="72">
        <v>21.06</v>
      </c>
      <c r="G1923" s="72">
        <v>0</v>
      </c>
    </row>
    <row r="1924" spans="2:7" x14ac:dyDescent="0.25">
      <c r="B1924" s="71">
        <v>43592</v>
      </c>
      <c r="C1924" t="s">
        <v>66</v>
      </c>
      <c r="D1924" t="s">
        <v>86</v>
      </c>
      <c r="E1924" t="s">
        <v>297</v>
      </c>
      <c r="F1924" s="72">
        <v>30</v>
      </c>
      <c r="G1924" s="72">
        <v>0</v>
      </c>
    </row>
    <row r="1925" spans="2:7" x14ac:dyDescent="0.25">
      <c r="B1925" s="71">
        <v>43592</v>
      </c>
      <c r="C1925" t="s">
        <v>24</v>
      </c>
      <c r="D1925" t="s">
        <v>80</v>
      </c>
      <c r="E1925" t="s">
        <v>297</v>
      </c>
      <c r="F1925" s="72">
        <v>8</v>
      </c>
      <c r="G1925" s="72">
        <v>0</v>
      </c>
    </row>
    <row r="1926" spans="2:7" x14ac:dyDescent="0.25">
      <c r="B1926" s="71">
        <v>43592</v>
      </c>
      <c r="C1926" t="s">
        <v>61</v>
      </c>
      <c r="D1926" t="s">
        <v>80</v>
      </c>
      <c r="E1926" t="s">
        <v>297</v>
      </c>
      <c r="F1926" s="72">
        <v>159.9</v>
      </c>
      <c r="G1926" s="72">
        <v>0</v>
      </c>
    </row>
    <row r="1927" spans="2:7" x14ac:dyDescent="0.25">
      <c r="B1927" s="71">
        <v>43593</v>
      </c>
      <c r="C1927" t="s">
        <v>25</v>
      </c>
      <c r="D1927" t="s">
        <v>82</v>
      </c>
      <c r="E1927" t="s">
        <v>217</v>
      </c>
      <c r="F1927" s="72">
        <v>3.6</v>
      </c>
      <c r="G1927" s="72">
        <v>0</v>
      </c>
    </row>
    <row r="1928" spans="2:7" x14ac:dyDescent="0.25">
      <c r="B1928" s="71">
        <v>43593</v>
      </c>
      <c r="C1928" t="s">
        <v>25</v>
      </c>
      <c r="D1928" t="s">
        <v>82</v>
      </c>
      <c r="E1928" t="s">
        <v>177</v>
      </c>
      <c r="F1928" s="72">
        <v>16.350000000000001</v>
      </c>
      <c r="G1928" s="72">
        <v>0</v>
      </c>
    </row>
    <row r="1929" spans="2:7" x14ac:dyDescent="0.25">
      <c r="B1929" s="71">
        <v>43593</v>
      </c>
      <c r="C1929" t="s">
        <v>25</v>
      </c>
      <c r="D1929" t="s">
        <v>82</v>
      </c>
      <c r="E1929" t="s">
        <v>134</v>
      </c>
      <c r="F1929" s="72">
        <v>4.8</v>
      </c>
      <c r="G1929" s="72">
        <v>0</v>
      </c>
    </row>
    <row r="1930" spans="2:7" x14ac:dyDescent="0.25">
      <c r="B1930" s="71">
        <v>43593</v>
      </c>
      <c r="C1930" t="s">
        <v>25</v>
      </c>
      <c r="D1930" t="s">
        <v>85</v>
      </c>
      <c r="E1930" t="s">
        <v>299</v>
      </c>
      <c r="F1930" s="72">
        <v>12</v>
      </c>
      <c r="G1930" s="72">
        <v>0</v>
      </c>
    </row>
    <row r="1931" spans="2:7" x14ac:dyDescent="0.25">
      <c r="B1931" s="71">
        <v>43593</v>
      </c>
      <c r="C1931" t="s">
        <v>55</v>
      </c>
      <c r="D1931" t="s">
        <v>80</v>
      </c>
      <c r="E1931" t="s">
        <v>299</v>
      </c>
      <c r="F1931" s="72">
        <v>12.64</v>
      </c>
      <c r="G1931" s="72">
        <v>0</v>
      </c>
    </row>
    <row r="1932" spans="2:7" x14ac:dyDescent="0.25">
      <c r="B1932" s="71">
        <v>43593</v>
      </c>
      <c r="C1932" t="s">
        <v>55</v>
      </c>
      <c r="D1932" t="s">
        <v>81</v>
      </c>
      <c r="E1932" t="s">
        <v>299</v>
      </c>
      <c r="F1932" s="72">
        <v>0</v>
      </c>
      <c r="G1932" s="72">
        <v>129.9</v>
      </c>
    </row>
    <row r="1933" spans="2:7" x14ac:dyDescent="0.25">
      <c r="B1933" s="71">
        <v>43593</v>
      </c>
      <c r="C1933" t="s">
        <v>47</v>
      </c>
      <c r="D1933" t="s">
        <v>85</v>
      </c>
      <c r="E1933" t="s">
        <v>299</v>
      </c>
      <c r="F1933" s="72">
        <v>24</v>
      </c>
      <c r="G1933" s="72">
        <v>0</v>
      </c>
    </row>
    <row r="1934" spans="2:7" x14ac:dyDescent="0.25">
      <c r="B1934" s="71">
        <v>43593</v>
      </c>
      <c r="C1934" t="s">
        <v>57</v>
      </c>
      <c r="D1934" t="s">
        <v>85</v>
      </c>
      <c r="E1934" t="s">
        <v>299</v>
      </c>
      <c r="F1934" s="72">
        <v>38</v>
      </c>
      <c r="G1934" s="72">
        <v>0</v>
      </c>
    </row>
    <row r="1935" spans="2:7" x14ac:dyDescent="0.25">
      <c r="B1935" s="71">
        <v>43593</v>
      </c>
      <c r="C1935" t="s">
        <v>21</v>
      </c>
      <c r="D1935" t="s">
        <v>80</v>
      </c>
      <c r="E1935" t="s">
        <v>299</v>
      </c>
      <c r="F1935" s="72">
        <v>8</v>
      </c>
      <c r="G1935" s="72">
        <v>0</v>
      </c>
    </row>
    <row r="1936" spans="2:7" x14ac:dyDescent="0.25">
      <c r="B1936" s="71">
        <v>43593</v>
      </c>
      <c r="C1936" t="s">
        <v>21</v>
      </c>
      <c r="D1936" t="s">
        <v>80</v>
      </c>
      <c r="E1936" t="s">
        <v>299</v>
      </c>
      <c r="F1936" s="72">
        <v>16</v>
      </c>
      <c r="G1936" s="72">
        <v>0</v>
      </c>
    </row>
    <row r="1937" spans="2:7" x14ac:dyDescent="0.25">
      <c r="B1937" s="71">
        <v>43593</v>
      </c>
      <c r="C1937" t="s">
        <v>21</v>
      </c>
      <c r="D1937" t="s">
        <v>80</v>
      </c>
      <c r="E1937" t="s">
        <v>299</v>
      </c>
      <c r="F1937" s="72">
        <v>24</v>
      </c>
      <c r="G1937" s="72">
        <v>0</v>
      </c>
    </row>
    <row r="1938" spans="2:7" x14ac:dyDescent="0.25">
      <c r="B1938" s="71">
        <v>43593</v>
      </c>
      <c r="C1938" t="s">
        <v>53</v>
      </c>
      <c r="D1938" t="s">
        <v>86</v>
      </c>
      <c r="E1938" t="s">
        <v>299</v>
      </c>
      <c r="F1938" s="72">
        <v>85.7</v>
      </c>
      <c r="G1938" s="72">
        <v>0</v>
      </c>
    </row>
    <row r="1939" spans="2:7" x14ac:dyDescent="0.25">
      <c r="B1939" s="71">
        <v>43594</v>
      </c>
      <c r="C1939" t="s">
        <v>25</v>
      </c>
      <c r="D1939" t="s">
        <v>80</v>
      </c>
      <c r="E1939" t="s">
        <v>300</v>
      </c>
      <c r="F1939" s="72">
        <v>24</v>
      </c>
      <c r="G1939" s="72">
        <v>0</v>
      </c>
    </row>
    <row r="1940" spans="2:7" x14ac:dyDescent="0.25">
      <c r="B1940" s="71">
        <v>43594</v>
      </c>
      <c r="C1940" t="s">
        <v>25</v>
      </c>
      <c r="D1940" t="s">
        <v>88</v>
      </c>
      <c r="E1940" t="s">
        <v>300</v>
      </c>
      <c r="F1940" s="72">
        <v>20.67</v>
      </c>
      <c r="G1940" s="72">
        <v>0</v>
      </c>
    </row>
    <row r="1941" spans="2:7" x14ac:dyDescent="0.25">
      <c r="B1941" s="71">
        <v>43594</v>
      </c>
      <c r="C1941" t="s">
        <v>25</v>
      </c>
      <c r="D1941" t="s">
        <v>88</v>
      </c>
      <c r="E1941" t="s">
        <v>300</v>
      </c>
      <c r="F1941" s="72">
        <v>32.799999999999997</v>
      </c>
      <c r="G1941" s="72">
        <v>0</v>
      </c>
    </row>
    <row r="1942" spans="2:7" x14ac:dyDescent="0.25">
      <c r="B1942" s="71">
        <v>43594</v>
      </c>
      <c r="C1942" t="s">
        <v>25</v>
      </c>
      <c r="D1942" t="s">
        <v>88</v>
      </c>
      <c r="E1942" t="s">
        <v>300</v>
      </c>
      <c r="F1942" s="72">
        <v>32.82</v>
      </c>
      <c r="G1942" s="72">
        <v>0</v>
      </c>
    </row>
    <row r="1943" spans="2:7" x14ac:dyDescent="0.25">
      <c r="B1943" s="71">
        <v>43594</v>
      </c>
      <c r="C1943" t="s">
        <v>25</v>
      </c>
      <c r="D1943" t="s">
        <v>88</v>
      </c>
      <c r="E1943" t="s">
        <v>300</v>
      </c>
      <c r="F1943" s="72">
        <v>39.44</v>
      </c>
      <c r="G1943" s="72">
        <v>0</v>
      </c>
    </row>
    <row r="1944" spans="2:7" x14ac:dyDescent="0.25">
      <c r="B1944" s="71">
        <v>43594</v>
      </c>
      <c r="C1944" t="s">
        <v>25</v>
      </c>
      <c r="D1944" t="s">
        <v>88</v>
      </c>
      <c r="E1944" t="s">
        <v>300</v>
      </c>
      <c r="F1944" s="72">
        <v>43.38</v>
      </c>
      <c r="G1944" s="72">
        <v>0</v>
      </c>
    </row>
    <row r="1945" spans="2:7" x14ac:dyDescent="0.25">
      <c r="B1945" s="71">
        <v>43594</v>
      </c>
      <c r="C1945" t="s">
        <v>25</v>
      </c>
      <c r="D1945" t="s">
        <v>82</v>
      </c>
      <c r="E1945" t="s">
        <v>204</v>
      </c>
      <c r="F1945" s="72">
        <v>5.55</v>
      </c>
      <c r="G1945" s="72">
        <v>0</v>
      </c>
    </row>
    <row r="1946" spans="2:7" x14ac:dyDescent="0.25">
      <c r="B1946" s="71">
        <v>43594</v>
      </c>
      <c r="C1946" t="s">
        <v>25</v>
      </c>
      <c r="D1946" t="s">
        <v>82</v>
      </c>
      <c r="E1946" t="s">
        <v>254</v>
      </c>
      <c r="F1946" s="72">
        <v>1.8</v>
      </c>
      <c r="G1946" s="72">
        <v>0</v>
      </c>
    </row>
    <row r="1947" spans="2:7" x14ac:dyDescent="0.25">
      <c r="B1947" s="71">
        <v>43594</v>
      </c>
      <c r="C1947" t="s">
        <v>25</v>
      </c>
      <c r="D1947" t="s">
        <v>85</v>
      </c>
      <c r="E1947" t="s">
        <v>300</v>
      </c>
      <c r="F1947" s="72">
        <v>5.4</v>
      </c>
      <c r="G1947" s="72">
        <v>0</v>
      </c>
    </row>
    <row r="1948" spans="2:7" x14ac:dyDescent="0.25">
      <c r="B1948" s="71">
        <v>43594</v>
      </c>
      <c r="C1948" t="s">
        <v>25</v>
      </c>
      <c r="D1948" t="s">
        <v>85</v>
      </c>
      <c r="E1948" t="s">
        <v>300</v>
      </c>
      <c r="F1948" s="72">
        <v>60</v>
      </c>
      <c r="G1948" s="72">
        <v>0</v>
      </c>
    </row>
    <row r="1949" spans="2:7" x14ac:dyDescent="0.25">
      <c r="B1949" s="71">
        <v>43594</v>
      </c>
      <c r="C1949" t="s">
        <v>55</v>
      </c>
      <c r="D1949" t="s">
        <v>92</v>
      </c>
      <c r="E1949" t="s">
        <v>300</v>
      </c>
      <c r="F1949" s="72">
        <v>90.05</v>
      </c>
      <c r="G1949" s="72">
        <v>0</v>
      </c>
    </row>
    <row r="1950" spans="2:7" x14ac:dyDescent="0.25">
      <c r="B1950" s="71">
        <v>43594</v>
      </c>
      <c r="C1950" t="s">
        <v>21</v>
      </c>
      <c r="D1950" t="s">
        <v>80</v>
      </c>
      <c r="E1950" t="s">
        <v>300</v>
      </c>
      <c r="F1950" s="72">
        <v>8</v>
      </c>
      <c r="G1950" s="72">
        <v>0</v>
      </c>
    </row>
    <row r="1951" spans="2:7" x14ac:dyDescent="0.25">
      <c r="B1951" s="71">
        <v>43594</v>
      </c>
      <c r="C1951" t="s">
        <v>21</v>
      </c>
      <c r="D1951" t="s">
        <v>80</v>
      </c>
      <c r="E1951" t="s">
        <v>300</v>
      </c>
      <c r="F1951" s="72">
        <v>16</v>
      </c>
      <c r="G1951" s="72">
        <v>0</v>
      </c>
    </row>
    <row r="1952" spans="2:7" x14ac:dyDescent="0.25">
      <c r="B1952" s="71">
        <v>43594</v>
      </c>
      <c r="C1952" t="s">
        <v>21</v>
      </c>
      <c r="D1952" t="s">
        <v>80</v>
      </c>
      <c r="E1952" t="s">
        <v>300</v>
      </c>
      <c r="F1952" s="72">
        <v>56</v>
      </c>
      <c r="G1952" s="72">
        <v>0</v>
      </c>
    </row>
    <row r="1953" spans="2:7" x14ac:dyDescent="0.25">
      <c r="B1953" s="71">
        <v>43594</v>
      </c>
      <c r="C1953" t="s">
        <v>49</v>
      </c>
      <c r="D1953" t="s">
        <v>81</v>
      </c>
      <c r="E1953" t="s">
        <v>300</v>
      </c>
      <c r="F1953" s="72">
        <v>29.5</v>
      </c>
      <c r="G1953" s="72">
        <v>0</v>
      </c>
    </row>
    <row r="1954" spans="2:7" x14ac:dyDescent="0.25">
      <c r="B1954" s="71">
        <v>43594</v>
      </c>
      <c r="C1954" t="s">
        <v>50</v>
      </c>
      <c r="D1954" t="s">
        <v>85</v>
      </c>
      <c r="E1954" t="s">
        <v>300</v>
      </c>
      <c r="F1954" s="72">
        <v>8</v>
      </c>
      <c r="G1954" s="72">
        <v>0</v>
      </c>
    </row>
    <row r="1955" spans="2:7" x14ac:dyDescent="0.25">
      <c r="B1955" s="71">
        <v>43594</v>
      </c>
      <c r="C1955" t="s">
        <v>53</v>
      </c>
      <c r="D1955" t="s">
        <v>87</v>
      </c>
      <c r="E1955" t="s">
        <v>300</v>
      </c>
      <c r="F1955" s="72">
        <v>28.95</v>
      </c>
      <c r="G1955" s="72">
        <v>0</v>
      </c>
    </row>
    <row r="1956" spans="2:7" x14ac:dyDescent="0.25">
      <c r="B1956" s="71">
        <v>43594</v>
      </c>
      <c r="C1956" t="s">
        <v>24</v>
      </c>
      <c r="D1956" t="s">
        <v>80</v>
      </c>
      <c r="E1956" t="s">
        <v>300</v>
      </c>
      <c r="F1956" s="72">
        <v>8</v>
      </c>
      <c r="G1956" s="72">
        <v>0</v>
      </c>
    </row>
    <row r="1957" spans="2:7" x14ac:dyDescent="0.25">
      <c r="B1957" s="71">
        <v>43594</v>
      </c>
      <c r="C1957" t="s">
        <v>61</v>
      </c>
      <c r="D1957" t="s">
        <v>80</v>
      </c>
      <c r="E1957" t="s">
        <v>300</v>
      </c>
      <c r="F1957" s="72">
        <v>14.5</v>
      </c>
      <c r="G1957" s="72">
        <v>0</v>
      </c>
    </row>
    <row r="1958" spans="2:7" x14ac:dyDescent="0.25">
      <c r="B1958" s="71">
        <v>43595</v>
      </c>
      <c r="C1958" t="s">
        <v>25</v>
      </c>
      <c r="D1958" t="s">
        <v>80</v>
      </c>
      <c r="E1958" t="s">
        <v>301</v>
      </c>
      <c r="F1958" s="72">
        <v>32</v>
      </c>
      <c r="G1958" s="72">
        <v>0</v>
      </c>
    </row>
    <row r="1959" spans="2:7" x14ac:dyDescent="0.25">
      <c r="B1959" s="71">
        <v>43595</v>
      </c>
      <c r="C1959" t="s">
        <v>25</v>
      </c>
      <c r="D1959" t="s">
        <v>86</v>
      </c>
      <c r="E1959" t="s">
        <v>301</v>
      </c>
      <c r="F1959" s="72">
        <v>25.06</v>
      </c>
      <c r="G1959" s="72">
        <v>0</v>
      </c>
    </row>
    <row r="1960" spans="2:7" x14ac:dyDescent="0.25">
      <c r="B1960" s="71">
        <v>43595</v>
      </c>
      <c r="C1960" t="s">
        <v>25</v>
      </c>
      <c r="D1960" t="s">
        <v>86</v>
      </c>
      <c r="E1960" t="s">
        <v>301</v>
      </c>
      <c r="F1960" s="72">
        <v>30</v>
      </c>
      <c r="G1960" s="72">
        <v>0</v>
      </c>
    </row>
    <row r="1961" spans="2:7" x14ac:dyDescent="0.25">
      <c r="B1961" s="71">
        <v>43595</v>
      </c>
      <c r="C1961" t="s">
        <v>25</v>
      </c>
      <c r="D1961" t="s">
        <v>81</v>
      </c>
      <c r="E1961" t="s">
        <v>301</v>
      </c>
      <c r="F1961" s="72">
        <v>9.5</v>
      </c>
      <c r="G1961" s="72">
        <v>0</v>
      </c>
    </row>
    <row r="1962" spans="2:7" x14ac:dyDescent="0.25">
      <c r="B1962" s="71">
        <v>43595</v>
      </c>
      <c r="C1962" t="s">
        <v>25</v>
      </c>
      <c r="D1962" t="s">
        <v>88</v>
      </c>
      <c r="E1962" t="s">
        <v>301</v>
      </c>
      <c r="F1962" s="72">
        <v>13.99</v>
      </c>
      <c r="G1962" s="72">
        <v>0</v>
      </c>
    </row>
    <row r="1963" spans="2:7" x14ac:dyDescent="0.25">
      <c r="B1963" s="71">
        <v>43595</v>
      </c>
      <c r="C1963" t="s">
        <v>25</v>
      </c>
      <c r="D1963" t="s">
        <v>88</v>
      </c>
      <c r="E1963" t="s">
        <v>301</v>
      </c>
      <c r="F1963" s="72">
        <v>18.88</v>
      </c>
      <c r="G1963" s="72">
        <v>0</v>
      </c>
    </row>
    <row r="1964" spans="2:7" x14ac:dyDescent="0.25">
      <c r="B1964" s="71">
        <v>43595</v>
      </c>
      <c r="C1964" t="s">
        <v>25</v>
      </c>
      <c r="D1964" t="s">
        <v>88</v>
      </c>
      <c r="E1964" t="s">
        <v>301</v>
      </c>
      <c r="F1964" s="72">
        <v>21.2</v>
      </c>
      <c r="G1964" s="72">
        <v>0</v>
      </c>
    </row>
    <row r="1965" spans="2:7" x14ac:dyDescent="0.25">
      <c r="B1965" s="71">
        <v>43595</v>
      </c>
      <c r="C1965" t="s">
        <v>25</v>
      </c>
      <c r="D1965" t="s">
        <v>88</v>
      </c>
      <c r="E1965" t="s">
        <v>301</v>
      </c>
      <c r="F1965" s="72">
        <v>45.28</v>
      </c>
      <c r="G1965" s="72">
        <v>0</v>
      </c>
    </row>
    <row r="1966" spans="2:7" x14ac:dyDescent="0.25">
      <c r="B1966" s="71">
        <v>43595</v>
      </c>
      <c r="C1966" t="s">
        <v>25</v>
      </c>
      <c r="D1966" t="s">
        <v>88</v>
      </c>
      <c r="E1966" t="s">
        <v>301</v>
      </c>
      <c r="F1966" s="72">
        <v>71.5</v>
      </c>
      <c r="G1966" s="72">
        <v>0</v>
      </c>
    </row>
    <row r="1967" spans="2:7" x14ac:dyDescent="0.25">
      <c r="B1967" s="71">
        <v>43595</v>
      </c>
      <c r="C1967" t="s">
        <v>25</v>
      </c>
      <c r="D1967" t="s">
        <v>88</v>
      </c>
      <c r="E1967" t="s">
        <v>301</v>
      </c>
      <c r="F1967" s="72">
        <v>94.69</v>
      </c>
      <c r="G1967" s="72">
        <v>0</v>
      </c>
    </row>
    <row r="1968" spans="2:7" x14ac:dyDescent="0.25">
      <c r="B1968" s="71">
        <v>43595</v>
      </c>
      <c r="C1968" t="s">
        <v>25</v>
      </c>
      <c r="D1968" t="s">
        <v>82</v>
      </c>
      <c r="E1968" t="s">
        <v>138</v>
      </c>
      <c r="F1968" s="72">
        <v>12</v>
      </c>
      <c r="G1968" s="72">
        <v>0</v>
      </c>
    </row>
    <row r="1969" spans="2:7" x14ac:dyDescent="0.25">
      <c r="B1969" s="71">
        <v>43595</v>
      </c>
      <c r="C1969" t="s">
        <v>25</v>
      </c>
      <c r="D1969" t="s">
        <v>82</v>
      </c>
      <c r="E1969" t="s">
        <v>208</v>
      </c>
      <c r="F1969" s="72">
        <v>9.5500000000000007</v>
      </c>
      <c r="G1969" s="72">
        <v>0</v>
      </c>
    </row>
    <row r="1970" spans="2:7" x14ac:dyDescent="0.25">
      <c r="B1970" s="71">
        <v>43595</v>
      </c>
      <c r="C1970" t="s">
        <v>25</v>
      </c>
      <c r="D1970" t="s">
        <v>82</v>
      </c>
      <c r="E1970" t="s">
        <v>214</v>
      </c>
      <c r="F1970" s="72">
        <v>15</v>
      </c>
      <c r="G1970" s="72">
        <v>0</v>
      </c>
    </row>
    <row r="1971" spans="2:7" x14ac:dyDescent="0.25">
      <c r="B1971" s="71">
        <v>43595</v>
      </c>
      <c r="C1971" t="s">
        <v>25</v>
      </c>
      <c r="D1971" t="s">
        <v>108</v>
      </c>
      <c r="E1971" t="s">
        <v>302</v>
      </c>
      <c r="F1971" s="72">
        <v>38.03</v>
      </c>
      <c r="G1971" s="72">
        <v>0</v>
      </c>
    </row>
    <row r="1972" spans="2:7" x14ac:dyDescent="0.25">
      <c r="B1972" s="71">
        <v>43595</v>
      </c>
      <c r="C1972" t="s">
        <v>25</v>
      </c>
      <c r="D1972" t="s">
        <v>108</v>
      </c>
      <c r="E1972" t="s">
        <v>302</v>
      </c>
      <c r="F1972" s="72">
        <v>52.97</v>
      </c>
      <c r="G1972" s="72">
        <v>0</v>
      </c>
    </row>
    <row r="1973" spans="2:7" x14ac:dyDescent="0.25">
      <c r="B1973" s="71">
        <v>43595</v>
      </c>
      <c r="C1973" t="s">
        <v>25</v>
      </c>
      <c r="D1973" t="s">
        <v>108</v>
      </c>
      <c r="E1973" t="s">
        <v>302</v>
      </c>
      <c r="F1973" s="72">
        <v>67.13</v>
      </c>
      <c r="G1973" s="72">
        <v>0</v>
      </c>
    </row>
    <row r="1974" spans="2:7" x14ac:dyDescent="0.25">
      <c r="B1974" s="71">
        <v>43595</v>
      </c>
      <c r="C1974" t="s">
        <v>25</v>
      </c>
      <c r="D1974" t="s">
        <v>108</v>
      </c>
      <c r="E1974" t="s">
        <v>302</v>
      </c>
      <c r="F1974" s="72">
        <v>74.62</v>
      </c>
      <c r="G1974" s="72">
        <v>0</v>
      </c>
    </row>
    <row r="1975" spans="2:7" x14ac:dyDescent="0.25">
      <c r="B1975" s="71">
        <v>43595</v>
      </c>
      <c r="C1975" t="s">
        <v>25</v>
      </c>
      <c r="D1975" t="s">
        <v>108</v>
      </c>
      <c r="E1975" t="s">
        <v>302</v>
      </c>
      <c r="F1975" s="72">
        <v>83.57</v>
      </c>
      <c r="G1975" s="72">
        <v>0</v>
      </c>
    </row>
    <row r="1976" spans="2:7" x14ac:dyDescent="0.25">
      <c r="B1976" s="71">
        <v>43595</v>
      </c>
      <c r="C1976" t="s">
        <v>25</v>
      </c>
      <c r="D1976" t="s">
        <v>108</v>
      </c>
      <c r="E1976" t="s">
        <v>302</v>
      </c>
      <c r="F1976" s="72">
        <v>85.06</v>
      </c>
      <c r="G1976" s="72">
        <v>0</v>
      </c>
    </row>
    <row r="1977" spans="2:7" x14ac:dyDescent="0.25">
      <c r="B1977" s="71">
        <v>43595</v>
      </c>
      <c r="C1977" t="s">
        <v>25</v>
      </c>
      <c r="D1977" t="s">
        <v>108</v>
      </c>
      <c r="E1977" t="s">
        <v>302</v>
      </c>
      <c r="F1977" s="72">
        <v>86.68</v>
      </c>
      <c r="G1977" s="72">
        <v>0</v>
      </c>
    </row>
    <row r="1978" spans="2:7" x14ac:dyDescent="0.25">
      <c r="B1978" s="71">
        <v>43595</v>
      </c>
      <c r="C1978" t="s">
        <v>25</v>
      </c>
      <c r="D1978" t="s">
        <v>108</v>
      </c>
      <c r="E1978" t="s">
        <v>302</v>
      </c>
      <c r="F1978" s="72">
        <v>409.39</v>
      </c>
      <c r="G1978" s="72">
        <v>0</v>
      </c>
    </row>
    <row r="1979" spans="2:7" x14ac:dyDescent="0.25">
      <c r="B1979" s="71">
        <v>43595</v>
      </c>
      <c r="C1979" t="s">
        <v>25</v>
      </c>
      <c r="D1979" t="s">
        <v>85</v>
      </c>
      <c r="E1979" t="s">
        <v>301</v>
      </c>
      <c r="F1979" s="72">
        <v>12</v>
      </c>
      <c r="G1979" s="72">
        <v>0</v>
      </c>
    </row>
    <row r="1980" spans="2:7" x14ac:dyDescent="0.25">
      <c r="B1980" s="71">
        <v>43595</v>
      </c>
      <c r="C1980" t="s">
        <v>55</v>
      </c>
      <c r="D1980" t="s">
        <v>108</v>
      </c>
      <c r="E1980" t="s">
        <v>302</v>
      </c>
      <c r="F1980" s="72">
        <v>1065.6300000000001</v>
      </c>
      <c r="G1980" s="72">
        <v>0</v>
      </c>
    </row>
    <row r="1981" spans="2:7" x14ac:dyDescent="0.25">
      <c r="B1981" s="71">
        <v>43595</v>
      </c>
      <c r="C1981" t="s">
        <v>47</v>
      </c>
      <c r="D1981" t="s">
        <v>108</v>
      </c>
      <c r="E1981" t="s">
        <v>302</v>
      </c>
      <c r="F1981" s="72">
        <v>18.37</v>
      </c>
      <c r="G1981" s="72">
        <v>0</v>
      </c>
    </row>
    <row r="1982" spans="2:7" x14ac:dyDescent="0.25">
      <c r="B1982" s="71">
        <v>43595</v>
      </c>
      <c r="C1982" t="s">
        <v>47</v>
      </c>
      <c r="D1982" t="s">
        <v>85</v>
      </c>
      <c r="E1982" t="s">
        <v>301</v>
      </c>
      <c r="F1982" s="72">
        <v>14.05</v>
      </c>
      <c r="G1982" s="72">
        <v>0</v>
      </c>
    </row>
    <row r="1983" spans="2:7" x14ac:dyDescent="0.25">
      <c r="B1983" s="71">
        <v>43595</v>
      </c>
      <c r="C1983" t="s">
        <v>44</v>
      </c>
      <c r="D1983" t="s">
        <v>108</v>
      </c>
      <c r="E1983" t="s">
        <v>302</v>
      </c>
      <c r="F1983" s="72">
        <v>344.62</v>
      </c>
      <c r="G1983" s="72">
        <v>0</v>
      </c>
    </row>
    <row r="1984" spans="2:7" x14ac:dyDescent="0.25">
      <c r="B1984" s="71">
        <v>43595</v>
      </c>
      <c r="C1984" t="s">
        <v>45</v>
      </c>
      <c r="D1984" t="s">
        <v>81</v>
      </c>
      <c r="E1984" t="s">
        <v>301</v>
      </c>
      <c r="F1984" s="72">
        <v>91.6</v>
      </c>
      <c r="G1984" s="72">
        <v>0</v>
      </c>
    </row>
    <row r="1985" spans="2:7" x14ac:dyDescent="0.25">
      <c r="B1985" s="71">
        <v>43595</v>
      </c>
      <c r="C1985" t="s">
        <v>21</v>
      </c>
      <c r="D1985" t="s">
        <v>80</v>
      </c>
      <c r="E1985" t="s">
        <v>301</v>
      </c>
      <c r="F1985" s="72">
        <v>16</v>
      </c>
      <c r="G1985" s="72">
        <v>0</v>
      </c>
    </row>
    <row r="1986" spans="2:7" x14ac:dyDescent="0.25">
      <c r="B1986" s="71">
        <v>43595</v>
      </c>
      <c r="C1986" t="s">
        <v>21</v>
      </c>
      <c r="D1986" t="s">
        <v>108</v>
      </c>
      <c r="E1986" t="s">
        <v>302</v>
      </c>
      <c r="F1986" s="72">
        <v>9.66</v>
      </c>
      <c r="G1986" s="72">
        <v>0</v>
      </c>
    </row>
    <row r="1987" spans="2:7" x14ac:dyDescent="0.25">
      <c r="B1987" s="71">
        <v>43595</v>
      </c>
      <c r="C1987" t="s">
        <v>21</v>
      </c>
      <c r="D1987" t="s">
        <v>108</v>
      </c>
      <c r="E1987" t="s">
        <v>302</v>
      </c>
      <c r="F1987" s="72">
        <v>10.050000000000001</v>
      </c>
      <c r="G1987" s="72">
        <v>0</v>
      </c>
    </row>
    <row r="1988" spans="2:7" x14ac:dyDescent="0.25">
      <c r="B1988" s="71">
        <v>43595</v>
      </c>
      <c r="C1988" t="s">
        <v>21</v>
      </c>
      <c r="D1988" t="s">
        <v>108</v>
      </c>
      <c r="E1988" t="s">
        <v>302</v>
      </c>
      <c r="F1988" s="72">
        <v>24.96</v>
      </c>
      <c r="G1988" s="72">
        <v>0</v>
      </c>
    </row>
    <row r="1989" spans="2:7" x14ac:dyDescent="0.25">
      <c r="B1989" s="71">
        <v>43595</v>
      </c>
      <c r="C1989" t="s">
        <v>21</v>
      </c>
      <c r="D1989" t="s">
        <v>108</v>
      </c>
      <c r="E1989" t="s">
        <v>302</v>
      </c>
      <c r="F1989" s="72">
        <v>88.69</v>
      </c>
      <c r="G1989" s="72">
        <v>0</v>
      </c>
    </row>
    <row r="1990" spans="2:7" x14ac:dyDescent="0.25">
      <c r="B1990" s="71">
        <v>43595</v>
      </c>
      <c r="C1990" t="s">
        <v>21</v>
      </c>
      <c r="D1990" t="s">
        <v>108</v>
      </c>
      <c r="E1990" t="s">
        <v>302</v>
      </c>
      <c r="F1990" s="72">
        <v>125.81</v>
      </c>
      <c r="G1990" s="72">
        <v>0</v>
      </c>
    </row>
    <row r="1991" spans="2:7" x14ac:dyDescent="0.25">
      <c r="B1991" s="71">
        <v>43595</v>
      </c>
      <c r="C1991" t="s">
        <v>21</v>
      </c>
      <c r="D1991" t="s">
        <v>108</v>
      </c>
      <c r="E1991" t="s">
        <v>302</v>
      </c>
      <c r="F1991" s="72">
        <v>132.81</v>
      </c>
      <c r="G1991" s="72">
        <v>0</v>
      </c>
    </row>
    <row r="1992" spans="2:7" x14ac:dyDescent="0.25">
      <c r="B1992" s="71">
        <v>43595</v>
      </c>
      <c r="C1992" t="s">
        <v>21</v>
      </c>
      <c r="D1992" t="s">
        <v>108</v>
      </c>
      <c r="E1992" t="s">
        <v>302</v>
      </c>
      <c r="F1992" s="72">
        <v>183.98</v>
      </c>
      <c r="G1992" s="72">
        <v>0</v>
      </c>
    </row>
    <row r="1993" spans="2:7" x14ac:dyDescent="0.25">
      <c r="B1993" s="71">
        <v>43595</v>
      </c>
      <c r="C1993" t="s">
        <v>21</v>
      </c>
      <c r="D1993" t="s">
        <v>108</v>
      </c>
      <c r="E1993" t="s">
        <v>302</v>
      </c>
      <c r="F1993" s="72">
        <v>215.34</v>
      </c>
      <c r="G1993" s="72">
        <v>0</v>
      </c>
    </row>
    <row r="1994" spans="2:7" x14ac:dyDescent="0.25">
      <c r="B1994" s="71">
        <v>43595</v>
      </c>
      <c r="C1994" t="s">
        <v>21</v>
      </c>
      <c r="D1994" t="s">
        <v>108</v>
      </c>
      <c r="E1994" t="s">
        <v>302</v>
      </c>
      <c r="F1994" s="72">
        <v>252.32</v>
      </c>
      <c r="G1994" s="72">
        <v>0</v>
      </c>
    </row>
    <row r="1995" spans="2:7" x14ac:dyDescent="0.25">
      <c r="B1995" s="71">
        <v>43595</v>
      </c>
      <c r="C1995" t="s">
        <v>21</v>
      </c>
      <c r="D1995" t="s">
        <v>108</v>
      </c>
      <c r="E1995" t="s">
        <v>302</v>
      </c>
      <c r="F1995" s="72">
        <v>259.92</v>
      </c>
      <c r="G1995" s="72">
        <v>0</v>
      </c>
    </row>
    <row r="1996" spans="2:7" x14ac:dyDescent="0.25">
      <c r="B1996" s="71">
        <v>43595</v>
      </c>
      <c r="C1996" t="s">
        <v>21</v>
      </c>
      <c r="D1996" t="s">
        <v>108</v>
      </c>
      <c r="E1996" t="s">
        <v>302</v>
      </c>
      <c r="F1996" s="72">
        <v>303.57</v>
      </c>
      <c r="G1996" s="72">
        <v>0</v>
      </c>
    </row>
    <row r="1997" spans="2:7" x14ac:dyDescent="0.25">
      <c r="B1997" s="71">
        <v>43595</v>
      </c>
      <c r="C1997" t="s">
        <v>21</v>
      </c>
      <c r="D1997" t="s">
        <v>108</v>
      </c>
      <c r="E1997" t="s">
        <v>302</v>
      </c>
      <c r="F1997" s="72">
        <v>355.04</v>
      </c>
      <c r="G1997" s="72">
        <v>0</v>
      </c>
    </row>
    <row r="1998" spans="2:7" x14ac:dyDescent="0.25">
      <c r="B1998" s="71">
        <v>43595</v>
      </c>
      <c r="C1998" t="s">
        <v>21</v>
      </c>
      <c r="D1998" t="s">
        <v>108</v>
      </c>
      <c r="E1998" t="s">
        <v>302</v>
      </c>
      <c r="F1998" s="72">
        <v>360.46</v>
      </c>
      <c r="G1998" s="72">
        <v>0</v>
      </c>
    </row>
    <row r="1999" spans="2:7" x14ac:dyDescent="0.25">
      <c r="B1999" s="71">
        <v>43595</v>
      </c>
      <c r="C1999" t="s">
        <v>21</v>
      </c>
      <c r="D1999" t="s">
        <v>108</v>
      </c>
      <c r="E1999" t="s">
        <v>302</v>
      </c>
      <c r="F1999" s="72">
        <v>365.3</v>
      </c>
      <c r="G1999" s="72">
        <v>0</v>
      </c>
    </row>
    <row r="2000" spans="2:7" x14ac:dyDescent="0.25">
      <c r="B2000" s="71">
        <v>43595</v>
      </c>
      <c r="C2000" t="s">
        <v>21</v>
      </c>
      <c r="D2000" t="s">
        <v>108</v>
      </c>
      <c r="E2000" t="s">
        <v>302</v>
      </c>
      <c r="F2000" s="72">
        <v>365.42</v>
      </c>
      <c r="G2000" s="72">
        <v>0</v>
      </c>
    </row>
    <row r="2001" spans="2:7" x14ac:dyDescent="0.25">
      <c r="B2001" s="71">
        <v>43595</v>
      </c>
      <c r="C2001" t="s">
        <v>21</v>
      </c>
      <c r="D2001" t="s">
        <v>108</v>
      </c>
      <c r="E2001" t="s">
        <v>302</v>
      </c>
      <c r="F2001" s="72">
        <v>368.43</v>
      </c>
      <c r="G2001" s="72">
        <v>0</v>
      </c>
    </row>
    <row r="2002" spans="2:7" x14ac:dyDescent="0.25">
      <c r="B2002" s="71">
        <v>43595</v>
      </c>
      <c r="C2002" t="s">
        <v>21</v>
      </c>
      <c r="D2002" t="s">
        <v>108</v>
      </c>
      <c r="E2002" t="s">
        <v>302</v>
      </c>
      <c r="F2002" s="72">
        <v>440.66</v>
      </c>
      <c r="G2002" s="72">
        <v>0</v>
      </c>
    </row>
    <row r="2003" spans="2:7" x14ac:dyDescent="0.25">
      <c r="B2003" s="71">
        <v>43595</v>
      </c>
      <c r="C2003" t="s">
        <v>21</v>
      </c>
      <c r="D2003" t="s">
        <v>108</v>
      </c>
      <c r="E2003" t="s">
        <v>302</v>
      </c>
      <c r="F2003" s="72">
        <v>448.2</v>
      </c>
      <c r="G2003" s="72">
        <v>0</v>
      </c>
    </row>
    <row r="2004" spans="2:7" x14ac:dyDescent="0.25">
      <c r="B2004" s="71">
        <v>43595</v>
      </c>
      <c r="C2004" t="s">
        <v>21</v>
      </c>
      <c r="D2004" t="s">
        <v>108</v>
      </c>
      <c r="E2004" t="s">
        <v>302</v>
      </c>
      <c r="F2004" s="72">
        <v>571.58000000000004</v>
      </c>
      <c r="G2004" s="72">
        <v>0</v>
      </c>
    </row>
    <row r="2005" spans="2:7" x14ac:dyDescent="0.25">
      <c r="B2005" s="71">
        <v>43595</v>
      </c>
      <c r="C2005" t="s">
        <v>21</v>
      </c>
      <c r="D2005" t="s">
        <v>108</v>
      </c>
      <c r="E2005" t="s">
        <v>302</v>
      </c>
      <c r="F2005" s="72">
        <v>597.52</v>
      </c>
      <c r="G2005" s="72">
        <v>0</v>
      </c>
    </row>
    <row r="2006" spans="2:7" x14ac:dyDescent="0.25">
      <c r="B2006" s="71">
        <v>43595</v>
      </c>
      <c r="C2006" t="s">
        <v>21</v>
      </c>
      <c r="D2006" t="s">
        <v>108</v>
      </c>
      <c r="E2006" t="s">
        <v>302</v>
      </c>
      <c r="F2006" s="72">
        <v>597.71</v>
      </c>
      <c r="G2006" s="72">
        <v>0</v>
      </c>
    </row>
    <row r="2007" spans="2:7" x14ac:dyDescent="0.25">
      <c r="B2007" s="71">
        <v>43595</v>
      </c>
      <c r="C2007" t="s">
        <v>21</v>
      </c>
      <c r="D2007" t="s">
        <v>108</v>
      </c>
      <c r="E2007" t="s">
        <v>302</v>
      </c>
      <c r="F2007" s="72">
        <v>671.12</v>
      </c>
      <c r="G2007" s="72">
        <v>0</v>
      </c>
    </row>
    <row r="2008" spans="2:7" x14ac:dyDescent="0.25">
      <c r="B2008" s="71">
        <v>43595</v>
      </c>
      <c r="C2008" t="s">
        <v>21</v>
      </c>
      <c r="D2008" t="s">
        <v>108</v>
      </c>
      <c r="E2008" t="s">
        <v>302</v>
      </c>
      <c r="F2008" s="72">
        <v>681.89</v>
      </c>
      <c r="G2008" s="72">
        <v>0</v>
      </c>
    </row>
    <row r="2009" spans="2:7" x14ac:dyDescent="0.25">
      <c r="B2009" s="71">
        <v>43595</v>
      </c>
      <c r="C2009" t="s">
        <v>21</v>
      </c>
      <c r="D2009" t="s">
        <v>108</v>
      </c>
      <c r="E2009" t="s">
        <v>302</v>
      </c>
      <c r="F2009" s="72">
        <v>1143.8499999999999</v>
      </c>
      <c r="G2009" s="72">
        <v>0</v>
      </c>
    </row>
    <row r="2010" spans="2:7" x14ac:dyDescent="0.25">
      <c r="B2010" s="71">
        <v>43595</v>
      </c>
      <c r="C2010" t="s">
        <v>49</v>
      </c>
      <c r="D2010" t="s">
        <v>108</v>
      </c>
      <c r="E2010" t="s">
        <v>302</v>
      </c>
      <c r="F2010" s="72">
        <v>2484.4899999999998</v>
      </c>
      <c r="G2010" s="72">
        <v>0</v>
      </c>
    </row>
    <row r="2011" spans="2:7" x14ac:dyDescent="0.25">
      <c r="B2011" s="71">
        <v>43595</v>
      </c>
      <c r="C2011" t="s">
        <v>56</v>
      </c>
      <c r="D2011" t="s">
        <v>108</v>
      </c>
      <c r="E2011" t="s">
        <v>302</v>
      </c>
      <c r="F2011" s="72">
        <v>22.38</v>
      </c>
      <c r="G2011" s="72">
        <v>0</v>
      </c>
    </row>
    <row r="2012" spans="2:7" x14ac:dyDescent="0.25">
      <c r="B2012" s="71">
        <v>43595</v>
      </c>
      <c r="C2012" t="s">
        <v>50</v>
      </c>
      <c r="D2012" t="s">
        <v>86</v>
      </c>
      <c r="E2012" t="s">
        <v>301</v>
      </c>
      <c r="F2012" s="72">
        <v>66</v>
      </c>
      <c r="G2012" s="72">
        <v>0</v>
      </c>
    </row>
    <row r="2013" spans="2:7" x14ac:dyDescent="0.25">
      <c r="B2013" s="71">
        <v>43595</v>
      </c>
      <c r="C2013" t="s">
        <v>50</v>
      </c>
      <c r="D2013" t="s">
        <v>108</v>
      </c>
      <c r="E2013" t="s">
        <v>302</v>
      </c>
      <c r="F2013" s="72">
        <v>1368.34</v>
      </c>
      <c r="G2013" s="72">
        <v>0</v>
      </c>
    </row>
    <row r="2014" spans="2:7" x14ac:dyDescent="0.25">
      <c r="B2014" s="71">
        <v>43595</v>
      </c>
      <c r="C2014" t="s">
        <v>51</v>
      </c>
      <c r="D2014" t="s">
        <v>86</v>
      </c>
      <c r="E2014" t="s">
        <v>301</v>
      </c>
      <c r="F2014" s="72">
        <v>81.73</v>
      </c>
      <c r="G2014" s="72">
        <v>0</v>
      </c>
    </row>
    <row r="2015" spans="2:7" x14ac:dyDescent="0.25">
      <c r="B2015" s="71">
        <v>43595</v>
      </c>
      <c r="C2015" t="s">
        <v>51</v>
      </c>
      <c r="D2015" t="s">
        <v>108</v>
      </c>
      <c r="E2015" t="s">
        <v>302</v>
      </c>
      <c r="F2015" s="72">
        <v>2309.17</v>
      </c>
      <c r="G2015" s="72">
        <v>0</v>
      </c>
    </row>
    <row r="2016" spans="2:7" x14ac:dyDescent="0.25">
      <c r="B2016" s="71">
        <v>43595</v>
      </c>
      <c r="C2016" t="s">
        <v>51</v>
      </c>
      <c r="D2016" t="s">
        <v>85</v>
      </c>
      <c r="E2016" t="s">
        <v>301</v>
      </c>
      <c r="F2016" s="72">
        <v>23.86</v>
      </c>
      <c r="G2016" s="72">
        <v>0</v>
      </c>
    </row>
    <row r="2017" spans="2:7" x14ac:dyDescent="0.25">
      <c r="B2017" s="71">
        <v>43595</v>
      </c>
      <c r="C2017" t="s">
        <v>53</v>
      </c>
      <c r="D2017" t="s">
        <v>108</v>
      </c>
      <c r="E2017" t="s">
        <v>302</v>
      </c>
      <c r="F2017" s="72">
        <v>542.38</v>
      </c>
      <c r="G2017" s="72">
        <v>0</v>
      </c>
    </row>
    <row r="2018" spans="2:7" x14ac:dyDescent="0.25">
      <c r="B2018" s="71">
        <v>43595</v>
      </c>
      <c r="C2018" t="s">
        <v>59</v>
      </c>
      <c r="D2018" t="s">
        <v>108</v>
      </c>
      <c r="E2018" t="s">
        <v>302</v>
      </c>
      <c r="F2018" s="72">
        <v>38.590000000000003</v>
      </c>
      <c r="G2018" s="72">
        <v>0</v>
      </c>
    </row>
    <row r="2019" spans="2:7" x14ac:dyDescent="0.25">
      <c r="B2019" s="71">
        <v>43595</v>
      </c>
      <c r="C2019" t="s">
        <v>24</v>
      </c>
      <c r="D2019" t="s">
        <v>80</v>
      </c>
      <c r="E2019" t="s">
        <v>301</v>
      </c>
      <c r="F2019" s="72">
        <v>8</v>
      </c>
      <c r="G2019" s="72">
        <v>0</v>
      </c>
    </row>
    <row r="2020" spans="2:7" x14ac:dyDescent="0.25">
      <c r="B2020" s="71">
        <v>43595</v>
      </c>
      <c r="C2020" t="s">
        <v>24</v>
      </c>
      <c r="D2020" t="s">
        <v>108</v>
      </c>
      <c r="E2020" t="s">
        <v>302</v>
      </c>
      <c r="F2020" s="72">
        <v>9.67</v>
      </c>
      <c r="G2020" s="72">
        <v>0</v>
      </c>
    </row>
    <row r="2021" spans="2:7" x14ac:dyDescent="0.25">
      <c r="B2021" s="71">
        <v>43595</v>
      </c>
      <c r="C2021" t="s">
        <v>24</v>
      </c>
      <c r="D2021" t="s">
        <v>108</v>
      </c>
      <c r="E2021" t="s">
        <v>302</v>
      </c>
      <c r="F2021" s="72">
        <v>12.62</v>
      </c>
      <c r="G2021" s="72">
        <v>0</v>
      </c>
    </row>
    <row r="2022" spans="2:7" x14ac:dyDescent="0.25">
      <c r="B2022" s="71">
        <v>43595</v>
      </c>
      <c r="C2022" t="s">
        <v>24</v>
      </c>
      <c r="D2022" t="s">
        <v>108</v>
      </c>
      <c r="E2022" t="s">
        <v>302</v>
      </c>
      <c r="F2022" s="72">
        <v>14.18</v>
      </c>
      <c r="G2022" s="72">
        <v>0</v>
      </c>
    </row>
    <row r="2023" spans="2:7" x14ac:dyDescent="0.25">
      <c r="B2023" s="71">
        <v>43595</v>
      </c>
      <c r="C2023" t="s">
        <v>24</v>
      </c>
      <c r="D2023" t="s">
        <v>108</v>
      </c>
      <c r="E2023" t="s">
        <v>302</v>
      </c>
      <c r="F2023" s="72">
        <v>25.48</v>
      </c>
      <c r="G2023" s="72">
        <v>0</v>
      </c>
    </row>
    <row r="2024" spans="2:7" x14ac:dyDescent="0.25">
      <c r="B2024" s="71">
        <v>43595</v>
      </c>
      <c r="C2024" t="s">
        <v>24</v>
      </c>
      <c r="D2024" t="s">
        <v>108</v>
      </c>
      <c r="E2024" t="s">
        <v>302</v>
      </c>
      <c r="F2024" s="72">
        <v>27.06</v>
      </c>
      <c r="G2024" s="72">
        <v>0</v>
      </c>
    </row>
    <row r="2025" spans="2:7" x14ac:dyDescent="0.25">
      <c r="B2025" s="71">
        <v>43595</v>
      </c>
      <c r="C2025" t="s">
        <v>24</v>
      </c>
      <c r="D2025" t="s">
        <v>108</v>
      </c>
      <c r="E2025" t="s">
        <v>302</v>
      </c>
      <c r="F2025" s="72">
        <v>27.47</v>
      </c>
      <c r="G2025" s="72">
        <v>0</v>
      </c>
    </row>
    <row r="2026" spans="2:7" x14ac:dyDescent="0.25">
      <c r="B2026" s="71">
        <v>43595</v>
      </c>
      <c r="C2026" t="s">
        <v>24</v>
      </c>
      <c r="D2026" t="s">
        <v>108</v>
      </c>
      <c r="E2026" t="s">
        <v>302</v>
      </c>
      <c r="F2026" s="72">
        <v>32.01</v>
      </c>
      <c r="G2026" s="72">
        <v>0</v>
      </c>
    </row>
    <row r="2027" spans="2:7" x14ac:dyDescent="0.25">
      <c r="B2027" s="71">
        <v>43595</v>
      </c>
      <c r="C2027" t="s">
        <v>24</v>
      </c>
      <c r="D2027" t="s">
        <v>108</v>
      </c>
      <c r="E2027" t="s">
        <v>302</v>
      </c>
      <c r="F2027" s="72">
        <v>32.380000000000003</v>
      </c>
      <c r="G2027" s="72">
        <v>0</v>
      </c>
    </row>
    <row r="2028" spans="2:7" x14ac:dyDescent="0.25">
      <c r="B2028" s="71">
        <v>43595</v>
      </c>
      <c r="C2028" t="s">
        <v>24</v>
      </c>
      <c r="D2028" t="s">
        <v>108</v>
      </c>
      <c r="E2028" t="s">
        <v>302</v>
      </c>
      <c r="F2028" s="72">
        <v>37.83</v>
      </c>
      <c r="G2028" s="72">
        <v>0</v>
      </c>
    </row>
    <row r="2029" spans="2:7" x14ac:dyDescent="0.25">
      <c r="B2029" s="71">
        <v>43595</v>
      </c>
      <c r="C2029" t="s">
        <v>24</v>
      </c>
      <c r="D2029" t="s">
        <v>108</v>
      </c>
      <c r="E2029" t="s">
        <v>302</v>
      </c>
      <c r="F2029" s="72">
        <v>40.04</v>
      </c>
      <c r="G2029" s="72">
        <v>0</v>
      </c>
    </row>
    <row r="2030" spans="2:7" x14ac:dyDescent="0.25">
      <c r="B2030" s="71">
        <v>43595</v>
      </c>
      <c r="C2030" t="s">
        <v>24</v>
      </c>
      <c r="D2030" t="s">
        <v>108</v>
      </c>
      <c r="E2030" t="s">
        <v>302</v>
      </c>
      <c r="F2030" s="72">
        <v>42.8</v>
      </c>
      <c r="G2030" s="72">
        <v>0</v>
      </c>
    </row>
    <row r="2031" spans="2:7" x14ac:dyDescent="0.25">
      <c r="B2031" s="71">
        <v>43595</v>
      </c>
      <c r="C2031" t="s">
        <v>24</v>
      </c>
      <c r="D2031" t="s">
        <v>108</v>
      </c>
      <c r="E2031" t="s">
        <v>302</v>
      </c>
      <c r="F2031" s="72">
        <v>60.14</v>
      </c>
      <c r="G2031" s="72">
        <v>0</v>
      </c>
    </row>
    <row r="2032" spans="2:7" x14ac:dyDescent="0.25">
      <c r="B2032" s="71">
        <v>43595</v>
      </c>
      <c r="C2032" t="s">
        <v>24</v>
      </c>
      <c r="D2032" t="s">
        <v>108</v>
      </c>
      <c r="E2032" t="s">
        <v>302</v>
      </c>
      <c r="F2032" s="72">
        <v>107.54</v>
      </c>
      <c r="G2032" s="72">
        <v>0</v>
      </c>
    </row>
    <row r="2033" spans="2:7" x14ac:dyDescent="0.25">
      <c r="B2033" s="71">
        <v>43595</v>
      </c>
      <c r="C2033" t="s">
        <v>24</v>
      </c>
      <c r="D2033" t="s">
        <v>108</v>
      </c>
      <c r="E2033" t="s">
        <v>302</v>
      </c>
      <c r="F2033" s="72">
        <v>108.19</v>
      </c>
      <c r="G2033" s="72">
        <v>0</v>
      </c>
    </row>
    <row r="2034" spans="2:7" x14ac:dyDescent="0.25">
      <c r="B2034" s="71">
        <v>43595</v>
      </c>
      <c r="C2034" t="s">
        <v>24</v>
      </c>
      <c r="D2034" t="s">
        <v>108</v>
      </c>
      <c r="E2034" t="s">
        <v>302</v>
      </c>
      <c r="F2034" s="72">
        <v>143.35</v>
      </c>
      <c r="G2034" s="72">
        <v>0</v>
      </c>
    </row>
    <row r="2035" spans="2:7" x14ac:dyDescent="0.25">
      <c r="B2035" s="71">
        <v>43595</v>
      </c>
      <c r="C2035" t="s">
        <v>24</v>
      </c>
      <c r="D2035" t="s">
        <v>108</v>
      </c>
      <c r="E2035" t="s">
        <v>302</v>
      </c>
      <c r="F2035" s="72">
        <v>324.77</v>
      </c>
      <c r="G2035" s="72">
        <v>0</v>
      </c>
    </row>
    <row r="2036" spans="2:7" x14ac:dyDescent="0.25">
      <c r="B2036" s="71">
        <v>43595</v>
      </c>
      <c r="C2036" t="s">
        <v>24</v>
      </c>
      <c r="D2036" t="s">
        <v>108</v>
      </c>
      <c r="E2036" t="s">
        <v>302</v>
      </c>
      <c r="F2036" s="72">
        <v>334.93</v>
      </c>
      <c r="G2036" s="72">
        <v>0</v>
      </c>
    </row>
    <row r="2037" spans="2:7" x14ac:dyDescent="0.25">
      <c r="B2037" s="71">
        <v>43595</v>
      </c>
      <c r="C2037" t="s">
        <v>61</v>
      </c>
      <c r="D2037" t="s">
        <v>81</v>
      </c>
      <c r="E2037" t="s">
        <v>301</v>
      </c>
      <c r="F2037" s="72">
        <v>728.97</v>
      </c>
      <c r="G2037" s="72">
        <v>0</v>
      </c>
    </row>
    <row r="2038" spans="2:7" x14ac:dyDescent="0.25">
      <c r="B2038" s="71">
        <v>43595</v>
      </c>
      <c r="C2038" t="s">
        <v>61</v>
      </c>
      <c r="D2038" t="s">
        <v>88</v>
      </c>
      <c r="E2038" t="s">
        <v>301</v>
      </c>
      <c r="F2038" s="72">
        <v>5.08</v>
      </c>
      <c r="G2038" s="72">
        <v>0</v>
      </c>
    </row>
    <row r="2039" spans="2:7" x14ac:dyDescent="0.25">
      <c r="B2039" s="71">
        <v>43595</v>
      </c>
      <c r="C2039" t="s">
        <v>62</v>
      </c>
      <c r="D2039" t="s">
        <v>85</v>
      </c>
      <c r="E2039" t="s">
        <v>301</v>
      </c>
      <c r="F2039" s="72">
        <v>10.25</v>
      </c>
      <c r="G2039" s="72">
        <v>0</v>
      </c>
    </row>
    <row r="2040" spans="2:7" x14ac:dyDescent="0.25">
      <c r="B2040" s="71">
        <v>43596</v>
      </c>
      <c r="C2040" t="s">
        <v>25</v>
      </c>
      <c r="D2040" t="s">
        <v>82</v>
      </c>
      <c r="E2040" t="s">
        <v>154</v>
      </c>
      <c r="F2040" s="72">
        <v>6.4</v>
      </c>
      <c r="G2040" s="72">
        <v>0</v>
      </c>
    </row>
    <row r="2041" spans="2:7" x14ac:dyDescent="0.25">
      <c r="B2041" s="71">
        <v>43598</v>
      </c>
      <c r="C2041" t="s">
        <v>25</v>
      </c>
      <c r="D2041" t="s">
        <v>80</v>
      </c>
      <c r="E2041" t="s">
        <v>303</v>
      </c>
      <c r="F2041" s="72">
        <v>8</v>
      </c>
      <c r="G2041" s="72">
        <v>0</v>
      </c>
    </row>
    <row r="2042" spans="2:7" x14ac:dyDescent="0.25">
      <c r="B2042" s="71">
        <v>43598</v>
      </c>
      <c r="C2042" t="s">
        <v>25</v>
      </c>
      <c r="D2042" t="s">
        <v>88</v>
      </c>
      <c r="E2042" t="s">
        <v>303</v>
      </c>
      <c r="F2042" s="72">
        <v>24.82</v>
      </c>
      <c r="G2042" s="72">
        <v>0</v>
      </c>
    </row>
    <row r="2043" spans="2:7" x14ac:dyDescent="0.25">
      <c r="B2043" s="71">
        <v>43598</v>
      </c>
      <c r="C2043" t="s">
        <v>25</v>
      </c>
      <c r="D2043" t="s">
        <v>88</v>
      </c>
      <c r="E2043" t="s">
        <v>303</v>
      </c>
      <c r="F2043" s="72">
        <v>35</v>
      </c>
      <c r="G2043" s="72">
        <v>0</v>
      </c>
    </row>
    <row r="2044" spans="2:7" x14ac:dyDescent="0.25">
      <c r="B2044" s="71">
        <v>43598</v>
      </c>
      <c r="C2044" t="s">
        <v>25</v>
      </c>
      <c r="D2044" t="s">
        <v>82</v>
      </c>
      <c r="E2044" t="s">
        <v>198</v>
      </c>
      <c r="F2044" s="72">
        <v>3</v>
      </c>
      <c r="G2044" s="72">
        <v>0</v>
      </c>
    </row>
    <row r="2045" spans="2:7" x14ac:dyDescent="0.25">
      <c r="B2045" s="71">
        <v>43598</v>
      </c>
      <c r="C2045" t="s">
        <v>25</v>
      </c>
      <c r="D2045" t="s">
        <v>82</v>
      </c>
      <c r="E2045" t="s">
        <v>208</v>
      </c>
      <c r="F2045" s="72">
        <v>4.2</v>
      </c>
      <c r="G2045" s="72">
        <v>0</v>
      </c>
    </row>
    <row r="2046" spans="2:7" x14ac:dyDescent="0.25">
      <c r="B2046" s="71">
        <v>43598</v>
      </c>
      <c r="C2046" t="s">
        <v>25</v>
      </c>
      <c r="D2046" t="s">
        <v>82</v>
      </c>
      <c r="E2046" t="s">
        <v>196</v>
      </c>
      <c r="F2046" s="72">
        <v>26</v>
      </c>
      <c r="G2046" s="72">
        <v>0</v>
      </c>
    </row>
    <row r="2047" spans="2:7" x14ac:dyDescent="0.25">
      <c r="B2047" s="71">
        <v>43598</v>
      </c>
      <c r="C2047" t="s">
        <v>47</v>
      </c>
      <c r="D2047" t="s">
        <v>85</v>
      </c>
      <c r="E2047" t="s">
        <v>303</v>
      </c>
      <c r="F2047" s="72">
        <v>11</v>
      </c>
      <c r="G2047" s="72">
        <v>0</v>
      </c>
    </row>
    <row r="2048" spans="2:7" x14ac:dyDescent="0.25">
      <c r="B2048" s="71">
        <v>43598</v>
      </c>
      <c r="C2048" t="s">
        <v>21</v>
      </c>
      <c r="D2048" t="s">
        <v>80</v>
      </c>
      <c r="E2048" t="s">
        <v>303</v>
      </c>
      <c r="F2048" s="72">
        <v>8</v>
      </c>
      <c r="G2048" s="72">
        <v>0</v>
      </c>
    </row>
    <row r="2049" spans="2:7" x14ac:dyDescent="0.25">
      <c r="B2049" s="71">
        <v>43598</v>
      </c>
      <c r="C2049" t="s">
        <v>21</v>
      </c>
      <c r="D2049" t="s">
        <v>80</v>
      </c>
      <c r="E2049" t="s">
        <v>303</v>
      </c>
      <c r="F2049" s="72">
        <v>16</v>
      </c>
      <c r="G2049" s="72">
        <v>0</v>
      </c>
    </row>
    <row r="2050" spans="2:7" x14ac:dyDescent="0.25">
      <c r="B2050" s="71">
        <v>43598</v>
      </c>
      <c r="C2050" t="s">
        <v>21</v>
      </c>
      <c r="D2050" t="s">
        <v>80</v>
      </c>
      <c r="E2050" t="s">
        <v>303</v>
      </c>
      <c r="F2050" s="72">
        <v>40</v>
      </c>
      <c r="G2050" s="72">
        <v>0</v>
      </c>
    </row>
    <row r="2051" spans="2:7" x14ac:dyDescent="0.25">
      <c r="B2051" s="71">
        <v>43598</v>
      </c>
      <c r="C2051" t="s">
        <v>21</v>
      </c>
      <c r="D2051" t="s">
        <v>80</v>
      </c>
      <c r="E2051" t="s">
        <v>303</v>
      </c>
      <c r="F2051" s="72">
        <v>48</v>
      </c>
      <c r="G2051" s="72">
        <v>0</v>
      </c>
    </row>
    <row r="2052" spans="2:7" x14ac:dyDescent="0.25">
      <c r="B2052" s="71">
        <v>43598</v>
      </c>
      <c r="C2052" t="s">
        <v>49</v>
      </c>
      <c r="D2052" t="s">
        <v>84</v>
      </c>
      <c r="E2052" t="s">
        <v>303</v>
      </c>
      <c r="F2052" s="72">
        <v>50</v>
      </c>
      <c r="G2052" s="72">
        <v>0</v>
      </c>
    </row>
    <row r="2053" spans="2:7" x14ac:dyDescent="0.25">
      <c r="B2053" s="71">
        <v>43598</v>
      </c>
      <c r="C2053" t="s">
        <v>49</v>
      </c>
      <c r="D2053" t="s">
        <v>81</v>
      </c>
      <c r="E2053" t="s">
        <v>303</v>
      </c>
      <c r="F2053" s="72">
        <v>64.650000000000006</v>
      </c>
      <c r="G2053" s="72">
        <v>0</v>
      </c>
    </row>
    <row r="2054" spans="2:7" x14ac:dyDescent="0.25">
      <c r="B2054" s="71">
        <v>43598</v>
      </c>
      <c r="C2054" t="s">
        <v>24</v>
      </c>
      <c r="D2054" t="s">
        <v>80</v>
      </c>
      <c r="E2054" t="s">
        <v>303</v>
      </c>
      <c r="F2054" s="72">
        <v>8</v>
      </c>
      <c r="G2054" s="72">
        <v>0</v>
      </c>
    </row>
    <row r="2055" spans="2:7" x14ac:dyDescent="0.25">
      <c r="B2055" s="71">
        <v>43598</v>
      </c>
      <c r="C2055" t="s">
        <v>24</v>
      </c>
      <c r="D2055" t="s">
        <v>80</v>
      </c>
      <c r="E2055" t="s">
        <v>303</v>
      </c>
      <c r="F2055" s="72">
        <v>24</v>
      </c>
      <c r="G2055" s="72">
        <v>0</v>
      </c>
    </row>
    <row r="2056" spans="2:7" x14ac:dyDescent="0.25">
      <c r="B2056" s="71">
        <v>43599</v>
      </c>
      <c r="C2056" t="s">
        <v>25</v>
      </c>
      <c r="D2056" t="s">
        <v>80</v>
      </c>
      <c r="E2056" t="s">
        <v>304</v>
      </c>
      <c r="F2056" s="72">
        <v>8</v>
      </c>
      <c r="G2056" s="72">
        <v>0</v>
      </c>
    </row>
    <row r="2057" spans="2:7" x14ac:dyDescent="0.25">
      <c r="B2057" s="71">
        <v>43599</v>
      </c>
      <c r="C2057" t="s">
        <v>25</v>
      </c>
      <c r="D2057" t="s">
        <v>88</v>
      </c>
      <c r="E2057" t="s">
        <v>304</v>
      </c>
      <c r="F2057" s="72">
        <v>0</v>
      </c>
      <c r="G2057" s="72">
        <v>5</v>
      </c>
    </row>
    <row r="2058" spans="2:7" x14ac:dyDescent="0.25">
      <c r="B2058" s="71">
        <v>43599</v>
      </c>
      <c r="C2058" t="s">
        <v>25</v>
      </c>
      <c r="D2058" t="s">
        <v>82</v>
      </c>
      <c r="E2058" t="s">
        <v>139</v>
      </c>
      <c r="F2058" s="72">
        <v>3</v>
      </c>
      <c r="G2058" s="72">
        <v>0</v>
      </c>
    </row>
    <row r="2059" spans="2:7" x14ac:dyDescent="0.25">
      <c r="B2059" s="71">
        <v>43599</v>
      </c>
      <c r="C2059" t="s">
        <v>25</v>
      </c>
      <c r="D2059" t="s">
        <v>82</v>
      </c>
      <c r="E2059" t="s">
        <v>196</v>
      </c>
      <c r="F2059" s="72">
        <v>26</v>
      </c>
      <c r="G2059" s="72">
        <v>0</v>
      </c>
    </row>
    <row r="2060" spans="2:7" x14ac:dyDescent="0.25">
      <c r="B2060" s="71">
        <v>43599</v>
      </c>
      <c r="C2060" t="s">
        <v>25</v>
      </c>
      <c r="D2060" t="s">
        <v>85</v>
      </c>
      <c r="E2060" t="s">
        <v>304</v>
      </c>
      <c r="F2060" s="72">
        <v>12</v>
      </c>
      <c r="G2060" s="72">
        <v>0</v>
      </c>
    </row>
    <row r="2061" spans="2:7" x14ac:dyDescent="0.25">
      <c r="B2061" s="71">
        <v>43599</v>
      </c>
      <c r="C2061" t="s">
        <v>47</v>
      </c>
      <c r="D2061" t="s">
        <v>85</v>
      </c>
      <c r="E2061" t="s">
        <v>304</v>
      </c>
      <c r="F2061" s="72">
        <v>17.68</v>
      </c>
      <c r="G2061" s="72">
        <v>0</v>
      </c>
    </row>
    <row r="2062" spans="2:7" x14ac:dyDescent="0.25">
      <c r="B2062" s="71">
        <v>43599</v>
      </c>
      <c r="C2062" t="s">
        <v>59</v>
      </c>
      <c r="D2062" t="s">
        <v>85</v>
      </c>
      <c r="E2062" t="s">
        <v>304</v>
      </c>
      <c r="F2062" s="72">
        <v>25</v>
      </c>
      <c r="G2062" s="72">
        <v>0</v>
      </c>
    </row>
    <row r="2063" spans="2:7" x14ac:dyDescent="0.25">
      <c r="B2063" s="71">
        <v>43600</v>
      </c>
      <c r="C2063" t="s">
        <v>25</v>
      </c>
      <c r="D2063" t="s">
        <v>80</v>
      </c>
      <c r="E2063" t="s">
        <v>305</v>
      </c>
      <c r="F2063" s="72">
        <v>130</v>
      </c>
      <c r="G2063" s="72">
        <v>0</v>
      </c>
    </row>
    <row r="2064" spans="2:7" x14ac:dyDescent="0.25">
      <c r="B2064" s="71">
        <v>43600</v>
      </c>
      <c r="C2064" t="s">
        <v>25</v>
      </c>
      <c r="D2064" t="s">
        <v>84</v>
      </c>
      <c r="E2064" t="s">
        <v>305</v>
      </c>
      <c r="F2064" s="72">
        <v>50</v>
      </c>
      <c r="G2064" s="72">
        <v>0</v>
      </c>
    </row>
    <row r="2065" spans="2:7" x14ac:dyDescent="0.25">
      <c r="B2065" s="71">
        <v>43600</v>
      </c>
      <c r="C2065" t="s">
        <v>25</v>
      </c>
      <c r="D2065" t="s">
        <v>81</v>
      </c>
      <c r="E2065" t="s">
        <v>305</v>
      </c>
      <c r="F2065" s="72">
        <v>64.95</v>
      </c>
      <c r="G2065" s="72">
        <v>0</v>
      </c>
    </row>
    <row r="2066" spans="2:7" x14ac:dyDescent="0.25">
      <c r="B2066" s="71">
        <v>43600</v>
      </c>
      <c r="C2066" t="s">
        <v>25</v>
      </c>
      <c r="D2066" t="s">
        <v>88</v>
      </c>
      <c r="E2066" t="s">
        <v>305</v>
      </c>
      <c r="F2066" s="72">
        <v>8.6999999999999993</v>
      </c>
      <c r="G2066" s="72">
        <v>0</v>
      </c>
    </row>
    <row r="2067" spans="2:7" x14ac:dyDescent="0.25">
      <c r="B2067" s="71">
        <v>43600</v>
      </c>
      <c r="C2067" t="s">
        <v>25</v>
      </c>
      <c r="D2067" t="s">
        <v>88</v>
      </c>
      <c r="E2067" t="s">
        <v>305</v>
      </c>
      <c r="F2067" s="72">
        <v>19.29</v>
      </c>
      <c r="G2067" s="72">
        <v>0</v>
      </c>
    </row>
    <row r="2068" spans="2:7" x14ac:dyDescent="0.25">
      <c r="B2068" s="71">
        <v>43600</v>
      </c>
      <c r="C2068" t="s">
        <v>25</v>
      </c>
      <c r="D2068" t="s">
        <v>88</v>
      </c>
      <c r="E2068" t="s">
        <v>305</v>
      </c>
      <c r="F2068" s="72">
        <v>22.65</v>
      </c>
      <c r="G2068" s="72">
        <v>0</v>
      </c>
    </row>
    <row r="2069" spans="2:7" x14ac:dyDescent="0.25">
      <c r="B2069" s="71">
        <v>43600</v>
      </c>
      <c r="C2069" t="s">
        <v>25</v>
      </c>
      <c r="D2069" t="s">
        <v>88</v>
      </c>
      <c r="E2069" t="s">
        <v>305</v>
      </c>
      <c r="F2069" s="72">
        <v>31.14</v>
      </c>
      <c r="G2069" s="72">
        <v>0</v>
      </c>
    </row>
    <row r="2070" spans="2:7" x14ac:dyDescent="0.25">
      <c r="B2070" s="71">
        <v>43600</v>
      </c>
      <c r="C2070" t="s">
        <v>25</v>
      </c>
      <c r="D2070" t="s">
        <v>88</v>
      </c>
      <c r="E2070" t="s">
        <v>305</v>
      </c>
      <c r="F2070" s="72">
        <v>92.79</v>
      </c>
      <c r="G2070" s="72">
        <v>0</v>
      </c>
    </row>
    <row r="2071" spans="2:7" x14ac:dyDescent="0.25">
      <c r="B2071" s="71">
        <v>43600</v>
      </c>
      <c r="C2071" t="s">
        <v>25</v>
      </c>
      <c r="D2071" t="s">
        <v>88</v>
      </c>
      <c r="E2071" t="s">
        <v>305</v>
      </c>
      <c r="F2071" s="72">
        <v>122.34</v>
      </c>
      <c r="G2071" s="72">
        <v>0</v>
      </c>
    </row>
    <row r="2072" spans="2:7" x14ac:dyDescent="0.25">
      <c r="B2072" s="71">
        <v>43600</v>
      </c>
      <c r="C2072" t="s">
        <v>25</v>
      </c>
      <c r="D2072" t="s">
        <v>88</v>
      </c>
      <c r="E2072" t="s">
        <v>305</v>
      </c>
      <c r="F2072" s="72">
        <v>142.61000000000001</v>
      </c>
      <c r="G2072" s="72">
        <v>0</v>
      </c>
    </row>
    <row r="2073" spans="2:7" x14ac:dyDescent="0.25">
      <c r="B2073" s="71">
        <v>43600</v>
      </c>
      <c r="C2073" t="s">
        <v>25</v>
      </c>
      <c r="D2073" t="s">
        <v>82</v>
      </c>
      <c r="E2073" t="s">
        <v>213</v>
      </c>
      <c r="F2073" s="72">
        <v>3</v>
      </c>
      <c r="G2073" s="72">
        <v>0</v>
      </c>
    </row>
    <row r="2074" spans="2:7" x14ac:dyDescent="0.25">
      <c r="B2074" s="71">
        <v>43600</v>
      </c>
      <c r="C2074" t="s">
        <v>25</v>
      </c>
      <c r="D2074" t="s">
        <v>82</v>
      </c>
      <c r="E2074" t="s">
        <v>200</v>
      </c>
      <c r="F2074" s="72">
        <v>8.6999999999999993</v>
      </c>
      <c r="G2074" s="72">
        <v>0</v>
      </c>
    </row>
    <row r="2075" spans="2:7" x14ac:dyDescent="0.25">
      <c r="B2075" s="71">
        <v>43600</v>
      </c>
      <c r="C2075" t="s">
        <v>47</v>
      </c>
      <c r="D2075" t="s">
        <v>80</v>
      </c>
      <c r="E2075" t="s">
        <v>305</v>
      </c>
      <c r="F2075" s="72">
        <v>10</v>
      </c>
      <c r="G2075" s="72">
        <v>0</v>
      </c>
    </row>
    <row r="2076" spans="2:7" x14ac:dyDescent="0.25">
      <c r="B2076" s="71">
        <v>43600</v>
      </c>
      <c r="C2076" t="s">
        <v>48</v>
      </c>
      <c r="D2076" t="s">
        <v>85</v>
      </c>
      <c r="E2076" t="s">
        <v>305</v>
      </c>
      <c r="F2076" s="72">
        <v>127.12</v>
      </c>
      <c r="G2076" s="72">
        <v>0</v>
      </c>
    </row>
    <row r="2077" spans="2:7" x14ac:dyDescent="0.25">
      <c r="B2077" s="71">
        <v>43600</v>
      </c>
      <c r="C2077" t="s">
        <v>21</v>
      </c>
      <c r="D2077" t="s">
        <v>80</v>
      </c>
      <c r="E2077" t="s">
        <v>305</v>
      </c>
      <c r="F2077" s="72">
        <v>8</v>
      </c>
      <c r="G2077" s="72">
        <v>0</v>
      </c>
    </row>
    <row r="2078" spans="2:7" x14ac:dyDescent="0.25">
      <c r="B2078" s="71">
        <v>43600</v>
      </c>
      <c r="C2078" t="s">
        <v>21</v>
      </c>
      <c r="D2078" t="s">
        <v>80</v>
      </c>
      <c r="E2078" t="s">
        <v>305</v>
      </c>
      <c r="F2078" s="72">
        <v>16</v>
      </c>
      <c r="G2078" s="72">
        <v>0</v>
      </c>
    </row>
    <row r="2079" spans="2:7" x14ac:dyDescent="0.25">
      <c r="B2079" s="71">
        <v>43600</v>
      </c>
      <c r="C2079" t="s">
        <v>21</v>
      </c>
      <c r="D2079" t="s">
        <v>80</v>
      </c>
      <c r="E2079" t="s">
        <v>305</v>
      </c>
      <c r="F2079" s="72">
        <v>40</v>
      </c>
      <c r="G2079" s="72">
        <v>0</v>
      </c>
    </row>
    <row r="2080" spans="2:7" x14ac:dyDescent="0.25">
      <c r="B2080" s="71">
        <v>43600</v>
      </c>
      <c r="C2080" t="s">
        <v>21</v>
      </c>
      <c r="D2080" t="s">
        <v>80</v>
      </c>
      <c r="E2080" t="s">
        <v>305</v>
      </c>
      <c r="F2080" s="72">
        <v>64</v>
      </c>
      <c r="G2080" s="72">
        <v>0</v>
      </c>
    </row>
    <row r="2081" spans="2:7" x14ac:dyDescent="0.25">
      <c r="B2081" s="71">
        <v>43600</v>
      </c>
      <c r="C2081" t="s">
        <v>21</v>
      </c>
      <c r="D2081" t="s">
        <v>85</v>
      </c>
      <c r="E2081" t="s">
        <v>305</v>
      </c>
      <c r="F2081" s="72">
        <v>152</v>
      </c>
      <c r="G2081" s="72">
        <v>0</v>
      </c>
    </row>
    <row r="2082" spans="2:7" x14ac:dyDescent="0.25">
      <c r="B2082" s="71">
        <v>43600</v>
      </c>
      <c r="C2082" t="s">
        <v>67</v>
      </c>
      <c r="D2082" t="s">
        <v>80</v>
      </c>
      <c r="E2082" t="s">
        <v>305</v>
      </c>
      <c r="F2082" s="72">
        <v>138.59</v>
      </c>
      <c r="G2082" s="72">
        <v>0</v>
      </c>
    </row>
    <row r="2083" spans="2:7" x14ac:dyDescent="0.25">
      <c r="B2083" s="71">
        <v>43600</v>
      </c>
      <c r="C2083" t="s">
        <v>49</v>
      </c>
      <c r="D2083" t="s">
        <v>88</v>
      </c>
      <c r="E2083" t="s">
        <v>305</v>
      </c>
      <c r="F2083" s="72">
        <v>22.86</v>
      </c>
      <c r="G2083" s="72">
        <v>0</v>
      </c>
    </row>
    <row r="2084" spans="2:7" x14ac:dyDescent="0.25">
      <c r="B2084" s="71">
        <v>43600</v>
      </c>
      <c r="C2084" t="s">
        <v>69</v>
      </c>
      <c r="D2084" t="s">
        <v>85</v>
      </c>
      <c r="E2084" t="s">
        <v>305</v>
      </c>
      <c r="F2084" s="72">
        <v>258.66000000000003</v>
      </c>
      <c r="G2084" s="72">
        <v>0</v>
      </c>
    </row>
    <row r="2085" spans="2:7" x14ac:dyDescent="0.25">
      <c r="B2085" s="71">
        <v>43600</v>
      </c>
      <c r="C2085" t="s">
        <v>61</v>
      </c>
      <c r="D2085" t="s">
        <v>84</v>
      </c>
      <c r="E2085" t="s">
        <v>305</v>
      </c>
      <c r="F2085" s="72">
        <v>281.52999999999997</v>
      </c>
      <c r="G2085" s="72">
        <v>0</v>
      </c>
    </row>
    <row r="2086" spans="2:7" x14ac:dyDescent="0.25">
      <c r="B2086" s="71">
        <v>43600</v>
      </c>
      <c r="C2086" t="s">
        <v>61</v>
      </c>
      <c r="D2086" t="s">
        <v>85</v>
      </c>
      <c r="E2086" t="s">
        <v>305</v>
      </c>
      <c r="F2086" s="72">
        <v>10.7</v>
      </c>
      <c r="G2086" s="72">
        <v>0</v>
      </c>
    </row>
    <row r="2087" spans="2:7" x14ac:dyDescent="0.25">
      <c r="B2087" s="71">
        <v>43601</v>
      </c>
      <c r="C2087" t="s">
        <v>25</v>
      </c>
      <c r="D2087" t="s">
        <v>81</v>
      </c>
      <c r="E2087" t="s">
        <v>306</v>
      </c>
      <c r="F2087" s="72">
        <v>112</v>
      </c>
      <c r="G2087" s="72">
        <v>0</v>
      </c>
    </row>
    <row r="2088" spans="2:7" x14ac:dyDescent="0.25">
      <c r="B2088" s="71">
        <v>43601</v>
      </c>
      <c r="C2088" t="s">
        <v>25</v>
      </c>
      <c r="D2088" t="s">
        <v>82</v>
      </c>
      <c r="E2088" t="s">
        <v>123</v>
      </c>
      <c r="F2088" s="72">
        <v>3</v>
      </c>
      <c r="G2088" s="72">
        <v>0</v>
      </c>
    </row>
    <row r="2089" spans="2:7" x14ac:dyDescent="0.25">
      <c r="B2089" s="71">
        <v>43601</v>
      </c>
      <c r="C2089" t="s">
        <v>25</v>
      </c>
      <c r="D2089" t="s">
        <v>82</v>
      </c>
      <c r="E2089" t="s">
        <v>169</v>
      </c>
      <c r="F2089" s="72">
        <v>22.5</v>
      </c>
      <c r="G2089" s="72">
        <v>0</v>
      </c>
    </row>
    <row r="2090" spans="2:7" x14ac:dyDescent="0.25">
      <c r="B2090" s="71">
        <v>43601</v>
      </c>
      <c r="C2090" t="s">
        <v>25</v>
      </c>
      <c r="D2090" t="s">
        <v>82</v>
      </c>
      <c r="E2090" t="s">
        <v>155</v>
      </c>
      <c r="F2090" s="72">
        <v>5</v>
      </c>
      <c r="G2090" s="72">
        <v>0</v>
      </c>
    </row>
    <row r="2091" spans="2:7" x14ac:dyDescent="0.25">
      <c r="B2091" s="71">
        <v>43601</v>
      </c>
      <c r="C2091" t="s">
        <v>25</v>
      </c>
      <c r="D2091" t="s">
        <v>85</v>
      </c>
      <c r="E2091" t="s">
        <v>306</v>
      </c>
      <c r="F2091" s="72">
        <v>110.5</v>
      </c>
      <c r="G2091" s="72">
        <v>0</v>
      </c>
    </row>
    <row r="2092" spans="2:7" x14ac:dyDescent="0.25">
      <c r="B2092" s="71">
        <v>43601</v>
      </c>
      <c r="C2092" t="s">
        <v>55</v>
      </c>
      <c r="D2092" t="s">
        <v>87</v>
      </c>
      <c r="E2092" t="s">
        <v>306</v>
      </c>
      <c r="F2092" s="72">
        <v>0</v>
      </c>
      <c r="G2092" s="72">
        <v>614.4</v>
      </c>
    </row>
    <row r="2093" spans="2:7" x14ac:dyDescent="0.25">
      <c r="B2093" s="71">
        <v>43601</v>
      </c>
      <c r="C2093" t="s">
        <v>47</v>
      </c>
      <c r="D2093" t="s">
        <v>87</v>
      </c>
      <c r="E2093" t="s">
        <v>306</v>
      </c>
      <c r="F2093">
        <v>0</v>
      </c>
      <c r="G2093" s="72">
        <v>191.9</v>
      </c>
    </row>
    <row r="2094" spans="2:7" x14ac:dyDescent="0.25">
      <c r="B2094" s="71">
        <v>43601</v>
      </c>
      <c r="C2094" t="s">
        <v>57</v>
      </c>
      <c r="D2094" t="s">
        <v>85</v>
      </c>
      <c r="E2094" t="s">
        <v>306</v>
      </c>
      <c r="F2094" s="72">
        <v>50</v>
      </c>
      <c r="G2094" s="72">
        <v>0</v>
      </c>
    </row>
    <row r="2095" spans="2:7" x14ac:dyDescent="0.25">
      <c r="B2095" s="71">
        <v>43601</v>
      </c>
      <c r="C2095" t="s">
        <v>58</v>
      </c>
      <c r="D2095" t="s">
        <v>87</v>
      </c>
      <c r="E2095" t="s">
        <v>306</v>
      </c>
      <c r="F2095" s="72">
        <v>0</v>
      </c>
      <c r="G2095" s="72">
        <v>23</v>
      </c>
    </row>
    <row r="2096" spans="2:7" x14ac:dyDescent="0.25">
      <c r="B2096" s="71">
        <v>43601</v>
      </c>
      <c r="C2096" t="s">
        <v>45</v>
      </c>
      <c r="D2096" t="s">
        <v>87</v>
      </c>
      <c r="E2096" t="s">
        <v>306</v>
      </c>
      <c r="F2096">
        <v>0</v>
      </c>
      <c r="G2096" s="72">
        <v>0.6</v>
      </c>
    </row>
    <row r="2097" spans="2:7" x14ac:dyDescent="0.25">
      <c r="B2097" s="71">
        <v>43601</v>
      </c>
      <c r="C2097" t="s">
        <v>21</v>
      </c>
      <c r="D2097" t="s">
        <v>80</v>
      </c>
      <c r="E2097" t="s">
        <v>306</v>
      </c>
      <c r="F2097" s="72">
        <v>8</v>
      </c>
      <c r="G2097" s="72">
        <v>0</v>
      </c>
    </row>
    <row r="2098" spans="2:7" x14ac:dyDescent="0.25">
      <c r="B2098" s="71">
        <v>43601</v>
      </c>
      <c r="C2098" t="s">
        <v>21</v>
      </c>
      <c r="D2098" t="s">
        <v>80</v>
      </c>
      <c r="E2098" t="s">
        <v>306</v>
      </c>
      <c r="F2098" s="72">
        <v>16</v>
      </c>
      <c r="G2098" s="72">
        <v>0</v>
      </c>
    </row>
    <row r="2099" spans="2:7" x14ac:dyDescent="0.25">
      <c r="B2099" s="71">
        <v>43601</v>
      </c>
      <c r="C2099" t="s">
        <v>21</v>
      </c>
      <c r="D2099" t="s">
        <v>80</v>
      </c>
      <c r="E2099" t="s">
        <v>306</v>
      </c>
      <c r="F2099" s="72">
        <v>24</v>
      </c>
      <c r="G2099" s="72">
        <v>0</v>
      </c>
    </row>
    <row r="2100" spans="2:7" x14ac:dyDescent="0.25">
      <c r="B2100" s="71">
        <v>43601</v>
      </c>
      <c r="C2100" t="s">
        <v>21</v>
      </c>
      <c r="D2100" t="s">
        <v>80</v>
      </c>
      <c r="E2100" t="s">
        <v>306</v>
      </c>
      <c r="F2100" s="72">
        <v>40</v>
      </c>
      <c r="G2100" s="72">
        <v>0</v>
      </c>
    </row>
    <row r="2101" spans="2:7" x14ac:dyDescent="0.25">
      <c r="B2101" s="71">
        <v>43601</v>
      </c>
      <c r="C2101" t="s">
        <v>21</v>
      </c>
      <c r="D2101" t="s">
        <v>80</v>
      </c>
      <c r="E2101" t="s">
        <v>306</v>
      </c>
      <c r="F2101" s="72">
        <v>48</v>
      </c>
      <c r="G2101" s="72">
        <v>0</v>
      </c>
    </row>
    <row r="2102" spans="2:7" x14ac:dyDescent="0.25">
      <c r="B2102" s="71">
        <v>43601</v>
      </c>
      <c r="C2102" t="s">
        <v>21</v>
      </c>
      <c r="D2102" t="s">
        <v>85</v>
      </c>
      <c r="E2102" t="s">
        <v>306</v>
      </c>
      <c r="F2102" s="72">
        <v>676</v>
      </c>
      <c r="G2102" s="72">
        <v>0</v>
      </c>
    </row>
    <row r="2103" spans="2:7" x14ac:dyDescent="0.25">
      <c r="B2103" s="71">
        <v>43601</v>
      </c>
      <c r="C2103" t="s">
        <v>67</v>
      </c>
      <c r="D2103" t="s">
        <v>80</v>
      </c>
      <c r="E2103" t="s">
        <v>306</v>
      </c>
      <c r="F2103" s="72">
        <v>159.80000000000001</v>
      </c>
      <c r="G2103" s="72">
        <v>0</v>
      </c>
    </row>
    <row r="2104" spans="2:7" x14ac:dyDescent="0.25">
      <c r="B2104" s="71">
        <v>43601</v>
      </c>
      <c r="C2104" t="s">
        <v>46</v>
      </c>
      <c r="D2104" t="s">
        <v>86</v>
      </c>
      <c r="E2104" t="s">
        <v>306</v>
      </c>
      <c r="F2104" s="72">
        <v>40</v>
      </c>
      <c r="G2104" s="72">
        <v>0</v>
      </c>
    </row>
    <row r="2105" spans="2:7" x14ac:dyDescent="0.25">
      <c r="B2105" s="71">
        <v>43601</v>
      </c>
      <c r="C2105" t="s">
        <v>51</v>
      </c>
      <c r="D2105" t="s">
        <v>85</v>
      </c>
      <c r="E2105" t="s">
        <v>306</v>
      </c>
      <c r="F2105" s="72">
        <v>21.05</v>
      </c>
      <c r="G2105" s="72">
        <v>0</v>
      </c>
    </row>
    <row r="2106" spans="2:7" x14ac:dyDescent="0.25">
      <c r="B2106" s="71">
        <v>43601</v>
      </c>
      <c r="C2106" t="s">
        <v>24</v>
      </c>
      <c r="D2106" t="s">
        <v>80</v>
      </c>
      <c r="E2106" t="s">
        <v>306</v>
      </c>
      <c r="F2106" s="72">
        <v>8</v>
      </c>
      <c r="G2106" s="72">
        <v>0</v>
      </c>
    </row>
    <row r="2107" spans="2:7" x14ac:dyDescent="0.25">
      <c r="B2107" s="71">
        <v>43601</v>
      </c>
      <c r="C2107" t="s">
        <v>24</v>
      </c>
      <c r="D2107" t="s">
        <v>85</v>
      </c>
      <c r="E2107" t="s">
        <v>306</v>
      </c>
      <c r="F2107" s="72">
        <v>182</v>
      </c>
      <c r="G2107" s="72">
        <v>0</v>
      </c>
    </row>
    <row r="2108" spans="2:7" x14ac:dyDescent="0.25">
      <c r="B2108" s="71">
        <v>43601</v>
      </c>
      <c r="C2108" t="s">
        <v>61</v>
      </c>
      <c r="D2108" t="s">
        <v>87</v>
      </c>
      <c r="E2108" t="s">
        <v>306</v>
      </c>
      <c r="F2108" s="72">
        <v>0</v>
      </c>
      <c r="G2108" s="72">
        <v>342.3</v>
      </c>
    </row>
    <row r="2109" spans="2:7" x14ac:dyDescent="0.25">
      <c r="B2109" s="71">
        <v>43601</v>
      </c>
      <c r="C2109" t="s">
        <v>63</v>
      </c>
      <c r="D2109" t="s">
        <v>87</v>
      </c>
      <c r="E2109" t="s">
        <v>306</v>
      </c>
      <c r="F2109">
        <v>0</v>
      </c>
      <c r="G2109" s="72">
        <v>92.1</v>
      </c>
    </row>
    <row r="2110" spans="2:7" x14ac:dyDescent="0.25">
      <c r="B2110" s="71">
        <v>43602</v>
      </c>
      <c r="C2110" t="s">
        <v>25</v>
      </c>
      <c r="D2110" t="s">
        <v>82</v>
      </c>
      <c r="E2110" t="s">
        <v>179</v>
      </c>
      <c r="F2110" s="72">
        <v>9</v>
      </c>
      <c r="G2110" s="72">
        <v>0</v>
      </c>
    </row>
    <row r="2111" spans="2:7" x14ac:dyDescent="0.25">
      <c r="B2111" s="71">
        <v>43602</v>
      </c>
      <c r="C2111" t="s">
        <v>25</v>
      </c>
      <c r="D2111" t="s">
        <v>82</v>
      </c>
      <c r="E2111" t="s">
        <v>169</v>
      </c>
      <c r="F2111" s="72">
        <v>22.5</v>
      </c>
      <c r="G2111" s="72">
        <v>0</v>
      </c>
    </row>
    <row r="2112" spans="2:7" x14ac:dyDescent="0.25">
      <c r="B2112" s="71">
        <v>43602</v>
      </c>
      <c r="C2112" t="s">
        <v>55</v>
      </c>
      <c r="D2112" t="s">
        <v>87</v>
      </c>
      <c r="E2112" t="s">
        <v>307</v>
      </c>
      <c r="F2112" s="72">
        <v>1228.8</v>
      </c>
      <c r="G2112" s="72">
        <v>0</v>
      </c>
    </row>
    <row r="2113" spans="2:7" x14ac:dyDescent="0.25">
      <c r="B2113" s="71">
        <v>43602</v>
      </c>
      <c r="C2113" t="s">
        <v>55</v>
      </c>
      <c r="D2113" t="s">
        <v>107</v>
      </c>
      <c r="E2113" t="s">
        <v>308</v>
      </c>
      <c r="F2113" s="72">
        <v>2.27</v>
      </c>
      <c r="G2113" s="72">
        <v>0</v>
      </c>
    </row>
    <row r="2114" spans="2:7" x14ac:dyDescent="0.25">
      <c r="B2114" s="71">
        <v>43602</v>
      </c>
      <c r="C2114" t="s">
        <v>47</v>
      </c>
      <c r="D2114" t="s">
        <v>87</v>
      </c>
      <c r="E2114" t="s">
        <v>307</v>
      </c>
      <c r="F2114" s="72">
        <v>383.8</v>
      </c>
      <c r="G2114" s="72">
        <v>0</v>
      </c>
    </row>
    <row r="2115" spans="2:7" x14ac:dyDescent="0.25">
      <c r="B2115" s="71">
        <v>43602</v>
      </c>
      <c r="C2115" t="s">
        <v>47</v>
      </c>
      <c r="D2115" t="s">
        <v>85</v>
      </c>
      <c r="E2115" t="s">
        <v>307</v>
      </c>
      <c r="F2115" s="72">
        <v>20.22</v>
      </c>
      <c r="G2115" s="72">
        <v>0</v>
      </c>
    </row>
    <row r="2116" spans="2:7" x14ac:dyDescent="0.25">
      <c r="B2116" s="71">
        <v>43602</v>
      </c>
      <c r="C2116" t="s">
        <v>58</v>
      </c>
      <c r="D2116" t="s">
        <v>80</v>
      </c>
      <c r="E2116" t="s">
        <v>307</v>
      </c>
      <c r="F2116" s="72">
        <v>74.099999999999994</v>
      </c>
      <c r="G2116" s="72">
        <v>0</v>
      </c>
    </row>
    <row r="2117" spans="2:7" x14ac:dyDescent="0.25">
      <c r="B2117" s="71">
        <v>43602</v>
      </c>
      <c r="C2117" t="s">
        <v>58</v>
      </c>
      <c r="D2117" t="s">
        <v>87</v>
      </c>
      <c r="E2117" t="s">
        <v>307</v>
      </c>
      <c r="F2117" s="72">
        <v>46</v>
      </c>
      <c r="G2117" s="72">
        <v>0</v>
      </c>
    </row>
    <row r="2118" spans="2:7" x14ac:dyDescent="0.25">
      <c r="B2118" s="71">
        <v>43602</v>
      </c>
      <c r="C2118" t="s">
        <v>45</v>
      </c>
      <c r="D2118" t="s">
        <v>87</v>
      </c>
      <c r="E2118" t="s">
        <v>307</v>
      </c>
      <c r="F2118" s="72">
        <v>1.2</v>
      </c>
      <c r="G2118" s="72">
        <v>0</v>
      </c>
    </row>
    <row r="2119" spans="2:7" x14ac:dyDescent="0.25">
      <c r="B2119" s="71">
        <v>43602</v>
      </c>
      <c r="C2119" t="s">
        <v>49</v>
      </c>
      <c r="D2119" t="s">
        <v>85</v>
      </c>
      <c r="E2119" t="s">
        <v>307</v>
      </c>
      <c r="F2119" s="72">
        <v>24</v>
      </c>
      <c r="G2119" s="72">
        <v>0</v>
      </c>
    </row>
    <row r="2120" spans="2:7" x14ac:dyDescent="0.25">
      <c r="B2120" s="71">
        <v>43602</v>
      </c>
      <c r="C2120" t="s">
        <v>56</v>
      </c>
      <c r="D2120" t="s">
        <v>85</v>
      </c>
      <c r="E2120" t="s">
        <v>307</v>
      </c>
      <c r="F2120" s="72">
        <v>47.45</v>
      </c>
      <c r="G2120" s="72">
        <v>0</v>
      </c>
    </row>
    <row r="2121" spans="2:7" x14ac:dyDescent="0.25">
      <c r="B2121" s="71">
        <v>43602</v>
      </c>
      <c r="C2121" t="s">
        <v>46</v>
      </c>
      <c r="D2121" t="s">
        <v>83</v>
      </c>
      <c r="E2121" t="s">
        <v>307</v>
      </c>
      <c r="F2121" s="72">
        <v>26.78</v>
      </c>
      <c r="G2121" s="72">
        <v>0</v>
      </c>
    </row>
    <row r="2122" spans="2:7" x14ac:dyDescent="0.25">
      <c r="B2122" s="71">
        <v>43602</v>
      </c>
      <c r="C2122" t="s">
        <v>50</v>
      </c>
      <c r="D2122" t="s">
        <v>85</v>
      </c>
      <c r="E2122" t="s">
        <v>307</v>
      </c>
      <c r="F2122" s="72">
        <v>103.5</v>
      </c>
      <c r="G2122" s="72">
        <v>0</v>
      </c>
    </row>
    <row r="2123" spans="2:7" x14ac:dyDescent="0.25">
      <c r="B2123" s="71">
        <v>43602</v>
      </c>
      <c r="C2123" t="s">
        <v>53</v>
      </c>
      <c r="D2123" t="s">
        <v>85</v>
      </c>
      <c r="E2123" t="s">
        <v>307</v>
      </c>
      <c r="F2123" s="72">
        <v>24</v>
      </c>
      <c r="G2123" s="72">
        <v>0</v>
      </c>
    </row>
    <row r="2124" spans="2:7" x14ac:dyDescent="0.25">
      <c r="B2124" s="71">
        <v>43602</v>
      </c>
      <c r="C2124" t="s">
        <v>59</v>
      </c>
      <c r="D2124" t="s">
        <v>85</v>
      </c>
      <c r="E2124" t="s">
        <v>307</v>
      </c>
      <c r="F2124" s="72">
        <v>63.2</v>
      </c>
      <c r="G2124" s="72">
        <v>0</v>
      </c>
    </row>
    <row r="2125" spans="2:7" x14ac:dyDescent="0.25">
      <c r="B2125" s="71">
        <v>43602</v>
      </c>
      <c r="C2125" t="s">
        <v>61</v>
      </c>
      <c r="D2125" t="s">
        <v>87</v>
      </c>
      <c r="E2125" t="s">
        <v>307</v>
      </c>
      <c r="F2125" s="72">
        <v>684.6</v>
      </c>
      <c r="G2125" s="72">
        <v>0</v>
      </c>
    </row>
    <row r="2126" spans="2:7" x14ac:dyDescent="0.25">
      <c r="B2126" s="71">
        <v>43602</v>
      </c>
      <c r="C2126" t="s">
        <v>63</v>
      </c>
      <c r="D2126" t="s">
        <v>87</v>
      </c>
      <c r="E2126" t="s">
        <v>307</v>
      </c>
      <c r="F2126" s="72">
        <v>184.2</v>
      </c>
      <c r="G2126" s="72">
        <v>0</v>
      </c>
    </row>
    <row r="2127" spans="2:7" x14ac:dyDescent="0.25">
      <c r="B2127" s="71">
        <v>43603</v>
      </c>
      <c r="C2127" t="s">
        <v>25</v>
      </c>
      <c r="D2127" t="s">
        <v>85</v>
      </c>
      <c r="E2127" t="s">
        <v>309</v>
      </c>
      <c r="F2127" s="72">
        <v>12</v>
      </c>
      <c r="G2127" s="72">
        <v>0</v>
      </c>
    </row>
    <row r="2128" spans="2:7" x14ac:dyDescent="0.25">
      <c r="B2128" s="71">
        <v>43603</v>
      </c>
      <c r="C2128" t="s">
        <v>25</v>
      </c>
      <c r="D2128" t="s">
        <v>85</v>
      </c>
      <c r="E2128" t="s">
        <v>309</v>
      </c>
      <c r="F2128" s="72">
        <v>40</v>
      </c>
      <c r="G2128" s="72">
        <v>0</v>
      </c>
    </row>
    <row r="2129" spans="2:7" x14ac:dyDescent="0.25">
      <c r="B2129" s="71">
        <v>43603</v>
      </c>
      <c r="C2129" t="s">
        <v>21</v>
      </c>
      <c r="D2129" t="s">
        <v>80</v>
      </c>
      <c r="E2129" t="s">
        <v>309</v>
      </c>
      <c r="F2129" s="72">
        <v>8</v>
      </c>
      <c r="G2129" s="72">
        <v>0</v>
      </c>
    </row>
    <row r="2130" spans="2:7" x14ac:dyDescent="0.25">
      <c r="B2130" s="71">
        <v>43603</v>
      </c>
      <c r="C2130" t="s">
        <v>21</v>
      </c>
      <c r="D2130" t="s">
        <v>80</v>
      </c>
      <c r="E2130" t="s">
        <v>309</v>
      </c>
      <c r="F2130" s="72">
        <v>16</v>
      </c>
      <c r="G2130" s="72">
        <v>0</v>
      </c>
    </row>
    <row r="2131" spans="2:7" x14ac:dyDescent="0.25">
      <c r="B2131" s="71">
        <v>43603</v>
      </c>
      <c r="C2131" t="s">
        <v>21</v>
      </c>
      <c r="D2131" t="s">
        <v>80</v>
      </c>
      <c r="E2131" t="s">
        <v>309</v>
      </c>
      <c r="F2131" s="72">
        <v>24</v>
      </c>
      <c r="G2131" s="72">
        <v>0</v>
      </c>
    </row>
    <row r="2132" spans="2:7" x14ac:dyDescent="0.25">
      <c r="B2132" s="71">
        <v>43603</v>
      </c>
      <c r="C2132" t="s">
        <v>21</v>
      </c>
      <c r="D2132" t="s">
        <v>80</v>
      </c>
      <c r="E2132" t="s">
        <v>309</v>
      </c>
      <c r="F2132" s="72">
        <v>32</v>
      </c>
      <c r="G2132" s="72">
        <v>0</v>
      </c>
    </row>
    <row r="2133" spans="2:7" x14ac:dyDescent="0.25">
      <c r="B2133" s="71">
        <v>43603</v>
      </c>
      <c r="C2133" t="s">
        <v>21</v>
      </c>
      <c r="D2133" t="s">
        <v>80</v>
      </c>
      <c r="E2133" t="s">
        <v>309</v>
      </c>
      <c r="F2133" s="72">
        <v>40</v>
      </c>
      <c r="G2133" s="72">
        <v>0</v>
      </c>
    </row>
    <row r="2134" spans="2:7" x14ac:dyDescent="0.25">
      <c r="B2134" s="71">
        <v>43603</v>
      </c>
      <c r="C2134" t="s">
        <v>21</v>
      </c>
      <c r="D2134" t="s">
        <v>80</v>
      </c>
      <c r="E2134" t="s">
        <v>309</v>
      </c>
      <c r="F2134" s="72">
        <v>56</v>
      </c>
      <c r="G2134" s="72">
        <v>0</v>
      </c>
    </row>
    <row r="2135" spans="2:7" x14ac:dyDescent="0.25">
      <c r="B2135" s="71">
        <v>43603</v>
      </c>
      <c r="C2135" t="s">
        <v>21</v>
      </c>
      <c r="D2135" t="s">
        <v>80</v>
      </c>
      <c r="E2135" t="s">
        <v>309</v>
      </c>
      <c r="F2135" s="72">
        <v>64</v>
      </c>
      <c r="G2135" s="72">
        <v>0</v>
      </c>
    </row>
    <row r="2136" spans="2:7" x14ac:dyDescent="0.25">
      <c r="B2136" s="71">
        <v>43603</v>
      </c>
      <c r="C2136" t="s">
        <v>21</v>
      </c>
      <c r="D2136" t="s">
        <v>80</v>
      </c>
      <c r="E2136" t="s">
        <v>309</v>
      </c>
      <c r="F2136" s="72">
        <v>80</v>
      </c>
      <c r="G2136" s="72">
        <v>0</v>
      </c>
    </row>
    <row r="2137" spans="2:7" x14ac:dyDescent="0.25">
      <c r="B2137" s="71">
        <v>43603</v>
      </c>
      <c r="C2137" t="s">
        <v>21</v>
      </c>
      <c r="D2137" t="s">
        <v>80</v>
      </c>
      <c r="E2137" t="s">
        <v>309</v>
      </c>
      <c r="F2137" s="72">
        <v>96</v>
      </c>
      <c r="G2137" s="72">
        <v>0</v>
      </c>
    </row>
    <row r="2138" spans="2:7" x14ac:dyDescent="0.25">
      <c r="B2138" s="71">
        <v>43603</v>
      </c>
      <c r="C2138" t="s">
        <v>49</v>
      </c>
      <c r="D2138" t="s">
        <v>86</v>
      </c>
      <c r="E2138" t="s">
        <v>309</v>
      </c>
      <c r="F2138" s="72">
        <v>65.75</v>
      </c>
      <c r="G2138" s="72">
        <v>0</v>
      </c>
    </row>
    <row r="2139" spans="2:7" x14ac:dyDescent="0.25">
      <c r="B2139" s="71">
        <v>43603</v>
      </c>
      <c r="C2139" t="s">
        <v>50</v>
      </c>
      <c r="D2139" t="s">
        <v>85</v>
      </c>
      <c r="E2139" t="s">
        <v>309</v>
      </c>
      <c r="F2139" s="72">
        <v>25.2</v>
      </c>
      <c r="G2139" s="72">
        <v>0</v>
      </c>
    </row>
    <row r="2140" spans="2:7" x14ac:dyDescent="0.25">
      <c r="B2140" s="71">
        <v>43603</v>
      </c>
      <c r="C2140" t="s">
        <v>64</v>
      </c>
      <c r="D2140" t="s">
        <v>80</v>
      </c>
      <c r="E2140" t="s">
        <v>309</v>
      </c>
      <c r="F2140" s="72">
        <v>12.5</v>
      </c>
      <c r="G2140" s="72">
        <v>0</v>
      </c>
    </row>
    <row r="2141" spans="2:7" x14ac:dyDescent="0.25">
      <c r="B2141" s="71">
        <v>43603</v>
      </c>
      <c r="C2141" t="s">
        <v>72</v>
      </c>
      <c r="D2141" t="s">
        <v>86</v>
      </c>
      <c r="E2141" t="s">
        <v>309</v>
      </c>
      <c r="F2141" s="72">
        <v>526.63</v>
      </c>
      <c r="G2141" s="72">
        <v>0</v>
      </c>
    </row>
    <row r="2142" spans="2:7" x14ac:dyDescent="0.25">
      <c r="B2142" s="71">
        <v>43605</v>
      </c>
      <c r="C2142" t="s">
        <v>25</v>
      </c>
      <c r="D2142" t="s">
        <v>85</v>
      </c>
      <c r="E2142" t="s">
        <v>310</v>
      </c>
      <c r="F2142" s="72">
        <v>19</v>
      </c>
      <c r="G2142" s="72">
        <v>0</v>
      </c>
    </row>
    <row r="2143" spans="2:7" x14ac:dyDescent="0.25">
      <c r="B2143" s="71">
        <v>43605</v>
      </c>
      <c r="C2143" t="s">
        <v>21</v>
      </c>
      <c r="D2143" t="s">
        <v>80</v>
      </c>
      <c r="E2143" t="s">
        <v>310</v>
      </c>
      <c r="F2143" s="72">
        <v>56</v>
      </c>
      <c r="G2143" s="72">
        <v>0</v>
      </c>
    </row>
    <row r="2144" spans="2:7" x14ac:dyDescent="0.25">
      <c r="B2144" s="71">
        <v>43605</v>
      </c>
      <c r="C2144" t="s">
        <v>59</v>
      </c>
      <c r="D2144" t="s">
        <v>87</v>
      </c>
      <c r="E2144" t="s">
        <v>310</v>
      </c>
      <c r="F2144" s="72">
        <v>0</v>
      </c>
      <c r="G2144" s="72">
        <v>9.1999999999999993</v>
      </c>
    </row>
    <row r="2145" spans="2:7" x14ac:dyDescent="0.25">
      <c r="B2145" s="71">
        <v>43606</v>
      </c>
      <c r="C2145" t="s">
        <v>25</v>
      </c>
      <c r="D2145" t="s">
        <v>80</v>
      </c>
      <c r="E2145" t="s">
        <v>311</v>
      </c>
      <c r="F2145" s="72">
        <v>8</v>
      </c>
      <c r="G2145" s="72">
        <v>0</v>
      </c>
    </row>
    <row r="2146" spans="2:7" x14ac:dyDescent="0.25">
      <c r="B2146" s="71">
        <v>43606</v>
      </c>
      <c r="C2146" t="s">
        <v>25</v>
      </c>
      <c r="D2146" t="s">
        <v>81</v>
      </c>
      <c r="E2146" t="s">
        <v>311</v>
      </c>
      <c r="F2146" s="72">
        <v>41.3</v>
      </c>
      <c r="G2146" s="72">
        <v>0</v>
      </c>
    </row>
    <row r="2147" spans="2:7" x14ac:dyDescent="0.25">
      <c r="B2147" s="71">
        <v>43606</v>
      </c>
      <c r="C2147" t="s">
        <v>25</v>
      </c>
      <c r="D2147" t="s">
        <v>88</v>
      </c>
      <c r="E2147" t="s">
        <v>311</v>
      </c>
      <c r="F2147" s="72">
        <v>10.99</v>
      </c>
      <c r="G2147" s="72">
        <v>0</v>
      </c>
    </row>
    <row r="2148" spans="2:7" x14ac:dyDescent="0.25">
      <c r="B2148" s="71">
        <v>43606</v>
      </c>
      <c r="C2148" t="s">
        <v>25</v>
      </c>
      <c r="D2148" t="s">
        <v>88</v>
      </c>
      <c r="E2148" t="s">
        <v>311</v>
      </c>
      <c r="F2148" s="72">
        <v>31.5</v>
      </c>
      <c r="G2148" s="72">
        <v>0</v>
      </c>
    </row>
    <row r="2149" spans="2:7" x14ac:dyDescent="0.25">
      <c r="B2149" s="71">
        <v>43606</v>
      </c>
      <c r="C2149" t="s">
        <v>25</v>
      </c>
      <c r="D2149" t="s">
        <v>88</v>
      </c>
      <c r="E2149" t="s">
        <v>311</v>
      </c>
      <c r="F2149" s="72">
        <v>37.31</v>
      </c>
      <c r="G2149" s="72">
        <v>0</v>
      </c>
    </row>
    <row r="2150" spans="2:7" x14ac:dyDescent="0.25">
      <c r="B2150" s="71">
        <v>43606</v>
      </c>
      <c r="C2150" t="s">
        <v>25</v>
      </c>
      <c r="D2150" t="s">
        <v>88</v>
      </c>
      <c r="E2150" t="s">
        <v>311</v>
      </c>
      <c r="F2150" s="72">
        <v>41.97</v>
      </c>
      <c r="G2150" s="72">
        <v>0</v>
      </c>
    </row>
    <row r="2151" spans="2:7" x14ac:dyDescent="0.25">
      <c r="B2151" s="71">
        <v>43606</v>
      </c>
      <c r="C2151" t="s">
        <v>25</v>
      </c>
      <c r="D2151" t="s">
        <v>88</v>
      </c>
      <c r="E2151" t="s">
        <v>311</v>
      </c>
      <c r="F2151" s="72">
        <v>56.62</v>
      </c>
      <c r="G2151" s="72">
        <v>0</v>
      </c>
    </row>
    <row r="2152" spans="2:7" x14ac:dyDescent="0.25">
      <c r="B2152" s="71">
        <v>43606</v>
      </c>
      <c r="C2152" t="s">
        <v>25</v>
      </c>
      <c r="D2152" t="s">
        <v>88</v>
      </c>
      <c r="E2152" t="s">
        <v>311</v>
      </c>
      <c r="F2152" s="72">
        <v>82.55</v>
      </c>
      <c r="G2152" s="72">
        <v>0</v>
      </c>
    </row>
    <row r="2153" spans="2:7" x14ac:dyDescent="0.25">
      <c r="B2153" s="71">
        <v>43606</v>
      </c>
      <c r="C2153" t="s">
        <v>25</v>
      </c>
      <c r="D2153" t="s">
        <v>88</v>
      </c>
      <c r="E2153" t="s">
        <v>311</v>
      </c>
      <c r="F2153" s="72">
        <v>85.82</v>
      </c>
      <c r="G2153" s="72">
        <v>0</v>
      </c>
    </row>
    <row r="2154" spans="2:7" x14ac:dyDescent="0.25">
      <c r="B2154" s="71">
        <v>43606</v>
      </c>
      <c r="C2154" t="s">
        <v>25</v>
      </c>
      <c r="D2154" t="s">
        <v>87</v>
      </c>
      <c r="E2154" t="s">
        <v>311</v>
      </c>
      <c r="F2154" s="72">
        <v>28</v>
      </c>
      <c r="G2154" s="72">
        <v>0</v>
      </c>
    </row>
    <row r="2155" spans="2:7" x14ac:dyDescent="0.25">
      <c r="B2155" s="71">
        <v>43606</v>
      </c>
      <c r="C2155" t="s">
        <v>25</v>
      </c>
      <c r="D2155" t="s">
        <v>82</v>
      </c>
      <c r="E2155" t="s">
        <v>198</v>
      </c>
      <c r="F2155" s="72">
        <v>2</v>
      </c>
      <c r="G2155" s="72">
        <v>0</v>
      </c>
    </row>
    <row r="2156" spans="2:7" x14ac:dyDescent="0.25">
      <c r="B2156" s="71">
        <v>43606</v>
      </c>
      <c r="C2156" t="s">
        <v>25</v>
      </c>
      <c r="D2156" t="s">
        <v>82</v>
      </c>
      <c r="E2156" t="s">
        <v>254</v>
      </c>
      <c r="F2156" s="72">
        <v>10.25</v>
      </c>
      <c r="G2156" s="72">
        <v>0</v>
      </c>
    </row>
    <row r="2157" spans="2:7" x14ac:dyDescent="0.25">
      <c r="B2157" s="71">
        <v>43606</v>
      </c>
      <c r="C2157" t="s">
        <v>25</v>
      </c>
      <c r="D2157" t="s">
        <v>82</v>
      </c>
      <c r="E2157" t="s">
        <v>192</v>
      </c>
      <c r="F2157" s="72">
        <v>22</v>
      </c>
      <c r="G2157" s="72">
        <v>0</v>
      </c>
    </row>
    <row r="2158" spans="2:7" x14ac:dyDescent="0.25">
      <c r="B2158" s="71">
        <v>43606</v>
      </c>
      <c r="C2158" t="s">
        <v>25</v>
      </c>
      <c r="D2158" t="s">
        <v>85</v>
      </c>
      <c r="E2158" t="s">
        <v>311</v>
      </c>
      <c r="F2158" s="72">
        <v>30.77</v>
      </c>
      <c r="G2158" s="72">
        <v>0</v>
      </c>
    </row>
    <row r="2159" spans="2:7" x14ac:dyDescent="0.25">
      <c r="B2159" s="71">
        <v>43606</v>
      </c>
      <c r="C2159" t="s">
        <v>47</v>
      </c>
      <c r="D2159" t="s">
        <v>85</v>
      </c>
      <c r="E2159" t="s">
        <v>311</v>
      </c>
      <c r="F2159" s="72">
        <v>30.35</v>
      </c>
      <c r="G2159" s="72">
        <v>0</v>
      </c>
    </row>
    <row r="2160" spans="2:7" x14ac:dyDescent="0.25">
      <c r="B2160" s="71">
        <v>43606</v>
      </c>
      <c r="C2160" t="s">
        <v>60</v>
      </c>
      <c r="D2160" t="s">
        <v>81</v>
      </c>
      <c r="E2160" t="s">
        <v>311</v>
      </c>
      <c r="F2160" s="72">
        <v>21.58</v>
      </c>
      <c r="G2160" s="72">
        <v>0</v>
      </c>
    </row>
    <row r="2161" spans="2:7" x14ac:dyDescent="0.25">
      <c r="B2161" s="71">
        <v>43606</v>
      </c>
      <c r="C2161" t="s">
        <v>60</v>
      </c>
      <c r="D2161" t="s">
        <v>87</v>
      </c>
      <c r="E2161" t="s">
        <v>311</v>
      </c>
      <c r="F2161" s="72">
        <v>197.95</v>
      </c>
      <c r="G2161" s="72">
        <v>0</v>
      </c>
    </row>
    <row r="2162" spans="2:7" x14ac:dyDescent="0.25">
      <c r="B2162" s="71">
        <v>43606</v>
      </c>
      <c r="C2162" t="s">
        <v>48</v>
      </c>
      <c r="D2162" t="s">
        <v>88</v>
      </c>
      <c r="E2162" t="s">
        <v>311</v>
      </c>
      <c r="F2162" s="72">
        <v>23.29</v>
      </c>
      <c r="G2162" s="72">
        <v>0</v>
      </c>
    </row>
    <row r="2163" spans="2:7" x14ac:dyDescent="0.25">
      <c r="B2163" s="71">
        <v>43606</v>
      </c>
      <c r="C2163" t="s">
        <v>52</v>
      </c>
      <c r="D2163" t="s">
        <v>87</v>
      </c>
      <c r="E2163" t="s">
        <v>311</v>
      </c>
      <c r="F2163" s="72">
        <v>35</v>
      </c>
      <c r="G2163" s="72">
        <v>0</v>
      </c>
    </row>
    <row r="2164" spans="2:7" x14ac:dyDescent="0.25">
      <c r="B2164" s="71">
        <v>43606</v>
      </c>
      <c r="C2164" t="s">
        <v>21</v>
      </c>
      <c r="D2164" t="s">
        <v>80</v>
      </c>
      <c r="E2164" t="s">
        <v>311</v>
      </c>
      <c r="F2164" s="72">
        <v>8</v>
      </c>
      <c r="G2164" s="72">
        <v>0</v>
      </c>
    </row>
    <row r="2165" spans="2:7" x14ac:dyDescent="0.25">
      <c r="B2165" s="71">
        <v>43606</v>
      </c>
      <c r="C2165" t="s">
        <v>21</v>
      </c>
      <c r="D2165" t="s">
        <v>80</v>
      </c>
      <c r="E2165" t="s">
        <v>311</v>
      </c>
      <c r="F2165" s="72">
        <v>16</v>
      </c>
      <c r="G2165" s="72">
        <v>0</v>
      </c>
    </row>
    <row r="2166" spans="2:7" x14ac:dyDescent="0.25">
      <c r="B2166" s="71">
        <v>43606</v>
      </c>
      <c r="C2166" t="s">
        <v>21</v>
      </c>
      <c r="D2166" t="s">
        <v>80</v>
      </c>
      <c r="E2166" t="s">
        <v>311</v>
      </c>
      <c r="F2166" s="72">
        <v>24</v>
      </c>
      <c r="G2166" s="72">
        <v>0</v>
      </c>
    </row>
    <row r="2167" spans="2:7" x14ac:dyDescent="0.25">
      <c r="B2167" s="71">
        <v>43606</v>
      </c>
      <c r="C2167" t="s">
        <v>21</v>
      </c>
      <c r="D2167" t="s">
        <v>80</v>
      </c>
      <c r="E2167" t="s">
        <v>311</v>
      </c>
      <c r="F2167" s="72">
        <v>56</v>
      </c>
      <c r="G2167" s="72">
        <v>0</v>
      </c>
    </row>
    <row r="2168" spans="2:7" x14ac:dyDescent="0.25">
      <c r="B2168" s="71">
        <v>43606</v>
      </c>
      <c r="C2168" t="s">
        <v>21</v>
      </c>
      <c r="D2168" t="s">
        <v>80</v>
      </c>
      <c r="E2168" t="s">
        <v>311</v>
      </c>
      <c r="F2168" s="72">
        <v>72</v>
      </c>
      <c r="G2168" s="72">
        <v>0</v>
      </c>
    </row>
    <row r="2169" spans="2:7" x14ac:dyDescent="0.25">
      <c r="B2169" s="71">
        <v>43606</v>
      </c>
      <c r="C2169" t="s">
        <v>49</v>
      </c>
      <c r="D2169" t="s">
        <v>86</v>
      </c>
      <c r="E2169" t="s">
        <v>311</v>
      </c>
      <c r="F2169" s="72">
        <v>32.68</v>
      </c>
      <c r="G2169" s="72">
        <v>0</v>
      </c>
    </row>
    <row r="2170" spans="2:7" x14ac:dyDescent="0.25">
      <c r="B2170" s="71">
        <v>43606</v>
      </c>
      <c r="C2170" t="s">
        <v>49</v>
      </c>
      <c r="D2170" t="s">
        <v>81</v>
      </c>
      <c r="E2170" t="s">
        <v>311</v>
      </c>
      <c r="F2170" s="72">
        <v>0</v>
      </c>
      <c r="G2170" s="72">
        <v>33.36</v>
      </c>
    </row>
    <row r="2171" spans="2:7" x14ac:dyDescent="0.25">
      <c r="B2171" s="71">
        <v>43606</v>
      </c>
      <c r="C2171" t="s">
        <v>49</v>
      </c>
      <c r="D2171" t="s">
        <v>88</v>
      </c>
      <c r="E2171" t="s">
        <v>311</v>
      </c>
      <c r="F2171" s="72">
        <v>32.1</v>
      </c>
      <c r="G2171" s="72">
        <v>0</v>
      </c>
    </row>
    <row r="2172" spans="2:7" x14ac:dyDescent="0.25">
      <c r="B2172" s="71">
        <v>43606</v>
      </c>
      <c r="C2172" t="s">
        <v>51</v>
      </c>
      <c r="D2172" t="s">
        <v>85</v>
      </c>
      <c r="E2172" t="s">
        <v>311</v>
      </c>
      <c r="F2172" s="72">
        <v>55</v>
      </c>
      <c r="G2172" s="72">
        <v>0</v>
      </c>
    </row>
    <row r="2173" spans="2:7" x14ac:dyDescent="0.25">
      <c r="B2173" s="71">
        <v>43606</v>
      </c>
      <c r="C2173" t="s">
        <v>24</v>
      </c>
      <c r="D2173" t="s">
        <v>80</v>
      </c>
      <c r="E2173" t="s">
        <v>311</v>
      </c>
      <c r="F2173" s="72">
        <v>8</v>
      </c>
      <c r="G2173" s="72">
        <v>0</v>
      </c>
    </row>
    <row r="2174" spans="2:7" x14ac:dyDescent="0.25">
      <c r="B2174" s="71">
        <v>43606</v>
      </c>
      <c r="C2174" t="s">
        <v>62</v>
      </c>
      <c r="D2174" t="s">
        <v>81</v>
      </c>
      <c r="E2174" t="s">
        <v>311</v>
      </c>
      <c r="F2174" s="72">
        <v>64.86</v>
      </c>
      <c r="G2174" s="72">
        <v>0</v>
      </c>
    </row>
    <row r="2175" spans="2:7" x14ac:dyDescent="0.25">
      <c r="B2175" s="71">
        <v>43607</v>
      </c>
      <c r="C2175" t="s">
        <v>25</v>
      </c>
      <c r="D2175" t="s">
        <v>82</v>
      </c>
      <c r="E2175" t="s">
        <v>208</v>
      </c>
      <c r="F2175" s="72">
        <v>16.399999999999999</v>
      </c>
      <c r="G2175" s="72">
        <v>0</v>
      </c>
    </row>
    <row r="2176" spans="2:7" x14ac:dyDescent="0.25">
      <c r="B2176" s="71">
        <v>43607</v>
      </c>
      <c r="C2176" t="s">
        <v>25</v>
      </c>
      <c r="D2176" t="s">
        <v>82</v>
      </c>
      <c r="E2176" t="s">
        <v>217</v>
      </c>
      <c r="F2176" s="72">
        <v>21.6</v>
      </c>
      <c r="G2176" s="72">
        <v>0</v>
      </c>
    </row>
    <row r="2177" spans="2:7" x14ac:dyDescent="0.25">
      <c r="B2177" s="71">
        <v>43607</v>
      </c>
      <c r="C2177" t="s">
        <v>25</v>
      </c>
      <c r="D2177" t="s">
        <v>82</v>
      </c>
      <c r="E2177" t="s">
        <v>177</v>
      </c>
      <c r="F2177" s="72">
        <v>16.399999999999999</v>
      </c>
      <c r="G2177" s="72">
        <v>0</v>
      </c>
    </row>
    <row r="2178" spans="2:7" x14ac:dyDescent="0.25">
      <c r="B2178" s="71">
        <v>43607</v>
      </c>
      <c r="C2178" t="s">
        <v>25</v>
      </c>
      <c r="D2178" t="s">
        <v>82</v>
      </c>
      <c r="E2178" t="s">
        <v>162</v>
      </c>
      <c r="F2178" s="72">
        <v>34.799999999999997</v>
      </c>
      <c r="G2178" s="72">
        <v>0</v>
      </c>
    </row>
    <row r="2179" spans="2:7" x14ac:dyDescent="0.25">
      <c r="B2179" s="71">
        <v>43607</v>
      </c>
      <c r="C2179" t="s">
        <v>25</v>
      </c>
      <c r="D2179" t="s">
        <v>82</v>
      </c>
      <c r="E2179" t="s">
        <v>182</v>
      </c>
      <c r="F2179" s="72">
        <v>16.7</v>
      </c>
      <c r="G2179" s="72">
        <v>0</v>
      </c>
    </row>
    <row r="2180" spans="2:7" x14ac:dyDescent="0.25">
      <c r="B2180" s="71">
        <v>43607</v>
      </c>
      <c r="C2180" t="s">
        <v>25</v>
      </c>
      <c r="D2180" t="s">
        <v>82</v>
      </c>
      <c r="E2180" t="s">
        <v>238</v>
      </c>
      <c r="F2180" s="72">
        <v>9.1999999999999993</v>
      </c>
      <c r="G2180" s="72">
        <v>0</v>
      </c>
    </row>
    <row r="2181" spans="2:7" x14ac:dyDescent="0.25">
      <c r="B2181" s="71">
        <v>43607</v>
      </c>
      <c r="C2181" t="s">
        <v>25</v>
      </c>
      <c r="D2181" t="s">
        <v>85</v>
      </c>
      <c r="E2181" t="s">
        <v>312</v>
      </c>
      <c r="F2181" s="72">
        <v>30</v>
      </c>
      <c r="G2181" s="72">
        <v>0</v>
      </c>
    </row>
    <row r="2182" spans="2:7" x14ac:dyDescent="0.25">
      <c r="B2182" s="71">
        <v>43607</v>
      </c>
      <c r="C2182" t="s">
        <v>25</v>
      </c>
      <c r="D2182" t="s">
        <v>85</v>
      </c>
      <c r="E2182" t="s">
        <v>312</v>
      </c>
      <c r="F2182" s="72">
        <v>39</v>
      </c>
      <c r="G2182" s="72">
        <v>0</v>
      </c>
    </row>
    <row r="2183" spans="2:7" x14ac:dyDescent="0.25">
      <c r="B2183" s="71">
        <v>43607</v>
      </c>
      <c r="C2183" t="s">
        <v>47</v>
      </c>
      <c r="D2183" t="s">
        <v>80</v>
      </c>
      <c r="E2183" t="s">
        <v>312</v>
      </c>
      <c r="F2183" s="72">
        <v>59.8</v>
      </c>
      <c r="G2183" s="72">
        <v>0</v>
      </c>
    </row>
    <row r="2184" spans="2:7" x14ac:dyDescent="0.25">
      <c r="B2184" s="71">
        <v>43607</v>
      </c>
      <c r="C2184" t="s">
        <v>47</v>
      </c>
      <c r="D2184" t="s">
        <v>86</v>
      </c>
      <c r="E2184" t="s">
        <v>312</v>
      </c>
      <c r="F2184" s="72">
        <v>33</v>
      </c>
      <c r="G2184" s="72">
        <v>0</v>
      </c>
    </row>
    <row r="2185" spans="2:7" x14ac:dyDescent="0.25">
      <c r="B2185" s="71">
        <v>43607</v>
      </c>
      <c r="C2185" t="s">
        <v>47</v>
      </c>
      <c r="D2185" t="s">
        <v>85</v>
      </c>
      <c r="E2185" t="s">
        <v>312</v>
      </c>
      <c r="F2185" s="72">
        <v>10</v>
      </c>
      <c r="G2185" s="72">
        <v>0</v>
      </c>
    </row>
    <row r="2186" spans="2:7" x14ac:dyDescent="0.25">
      <c r="B2186" s="71">
        <v>43607</v>
      </c>
      <c r="C2186" t="s">
        <v>21</v>
      </c>
      <c r="D2186" t="s">
        <v>80</v>
      </c>
      <c r="E2186" t="s">
        <v>312</v>
      </c>
      <c r="F2186" s="72">
        <v>8</v>
      </c>
      <c r="G2186" s="72">
        <v>0</v>
      </c>
    </row>
    <row r="2187" spans="2:7" x14ac:dyDescent="0.25">
      <c r="B2187" s="71">
        <v>43607</v>
      </c>
      <c r="C2187" t="s">
        <v>21</v>
      </c>
      <c r="D2187" t="s">
        <v>80</v>
      </c>
      <c r="E2187" t="s">
        <v>312</v>
      </c>
      <c r="F2187" s="72">
        <v>16</v>
      </c>
      <c r="G2187" s="72">
        <v>0</v>
      </c>
    </row>
    <row r="2188" spans="2:7" x14ac:dyDescent="0.25">
      <c r="B2188" s="71">
        <v>43607</v>
      </c>
      <c r="C2188" t="s">
        <v>75</v>
      </c>
      <c r="D2188" t="s">
        <v>86</v>
      </c>
      <c r="E2188" t="s">
        <v>312</v>
      </c>
      <c r="F2188" s="72">
        <v>600</v>
      </c>
      <c r="G2188" s="72">
        <v>0</v>
      </c>
    </row>
    <row r="2189" spans="2:7" x14ac:dyDescent="0.25">
      <c r="B2189" s="71">
        <v>43607</v>
      </c>
      <c r="C2189" t="s">
        <v>50</v>
      </c>
      <c r="D2189" t="s">
        <v>92</v>
      </c>
      <c r="E2189" t="s">
        <v>312</v>
      </c>
      <c r="F2189" s="72">
        <v>50</v>
      </c>
      <c r="G2189" s="72">
        <v>0</v>
      </c>
    </row>
    <row r="2190" spans="2:7" x14ac:dyDescent="0.25">
      <c r="B2190" s="71">
        <v>43607</v>
      </c>
      <c r="C2190" t="s">
        <v>51</v>
      </c>
      <c r="D2190" t="s">
        <v>85</v>
      </c>
      <c r="E2190" t="s">
        <v>312</v>
      </c>
      <c r="F2190" s="72">
        <v>7.78</v>
      </c>
      <c r="G2190" s="72">
        <v>0</v>
      </c>
    </row>
    <row r="2191" spans="2:7" x14ac:dyDescent="0.25">
      <c r="B2191" s="71">
        <v>43607</v>
      </c>
      <c r="C2191" t="s">
        <v>24</v>
      </c>
      <c r="D2191" t="s">
        <v>80</v>
      </c>
      <c r="E2191" t="s">
        <v>312</v>
      </c>
      <c r="F2191" s="72">
        <v>8</v>
      </c>
      <c r="G2191" s="72">
        <v>0</v>
      </c>
    </row>
    <row r="2192" spans="2:7" x14ac:dyDescent="0.25">
      <c r="B2192" s="71">
        <v>43607</v>
      </c>
      <c r="C2192" t="s">
        <v>24</v>
      </c>
      <c r="D2192" t="s">
        <v>80</v>
      </c>
      <c r="E2192" t="s">
        <v>312</v>
      </c>
      <c r="F2192" s="72">
        <v>24</v>
      </c>
      <c r="G2192" s="72">
        <v>0</v>
      </c>
    </row>
    <row r="2193" spans="2:7" x14ac:dyDescent="0.25">
      <c r="B2193" s="71">
        <v>43608</v>
      </c>
      <c r="C2193" t="s">
        <v>25</v>
      </c>
      <c r="D2193" t="s">
        <v>81</v>
      </c>
      <c r="E2193" t="s">
        <v>313</v>
      </c>
      <c r="F2193" s="72">
        <v>0</v>
      </c>
      <c r="G2193" s="72">
        <v>8</v>
      </c>
    </row>
    <row r="2194" spans="2:7" x14ac:dyDescent="0.25">
      <c r="B2194" s="71">
        <v>43608</v>
      </c>
      <c r="C2194" t="s">
        <v>25</v>
      </c>
      <c r="D2194" t="s">
        <v>82</v>
      </c>
      <c r="E2194" t="s">
        <v>276</v>
      </c>
      <c r="F2194" s="72">
        <v>16.399999999999999</v>
      </c>
      <c r="G2194" s="72">
        <v>0</v>
      </c>
    </row>
    <row r="2195" spans="2:7" x14ac:dyDescent="0.25">
      <c r="B2195" s="71">
        <v>43608</v>
      </c>
      <c r="C2195" t="s">
        <v>52</v>
      </c>
      <c r="D2195" t="s">
        <v>85</v>
      </c>
      <c r="E2195" t="s">
        <v>313</v>
      </c>
      <c r="F2195" s="72">
        <v>55.75</v>
      </c>
      <c r="G2195" s="72">
        <v>0</v>
      </c>
    </row>
    <row r="2196" spans="2:7" x14ac:dyDescent="0.25">
      <c r="B2196" s="71">
        <v>43608</v>
      </c>
      <c r="C2196" t="s">
        <v>21</v>
      </c>
      <c r="D2196" t="s">
        <v>80</v>
      </c>
      <c r="E2196" t="s">
        <v>313</v>
      </c>
      <c r="F2196" s="72">
        <v>8</v>
      </c>
      <c r="G2196" s="72">
        <v>0</v>
      </c>
    </row>
    <row r="2197" spans="2:7" x14ac:dyDescent="0.25">
      <c r="B2197" s="71">
        <v>43608</v>
      </c>
      <c r="C2197" t="s">
        <v>21</v>
      </c>
      <c r="D2197" t="s">
        <v>80</v>
      </c>
      <c r="E2197" t="s">
        <v>313</v>
      </c>
      <c r="F2197" s="72">
        <v>16</v>
      </c>
      <c r="G2197" s="72">
        <v>0</v>
      </c>
    </row>
    <row r="2198" spans="2:7" x14ac:dyDescent="0.25">
      <c r="B2198" s="71">
        <v>43608</v>
      </c>
      <c r="C2198" t="s">
        <v>21</v>
      </c>
      <c r="D2198" t="s">
        <v>80</v>
      </c>
      <c r="E2198" t="s">
        <v>313</v>
      </c>
      <c r="F2198" s="72">
        <v>40</v>
      </c>
      <c r="G2198" s="72">
        <v>0</v>
      </c>
    </row>
    <row r="2199" spans="2:7" x14ac:dyDescent="0.25">
      <c r="B2199" s="71">
        <v>43608</v>
      </c>
      <c r="C2199" t="s">
        <v>54</v>
      </c>
      <c r="D2199" t="s">
        <v>87</v>
      </c>
      <c r="E2199" t="s">
        <v>313</v>
      </c>
      <c r="F2199" s="72">
        <v>14</v>
      </c>
      <c r="G2199" s="72">
        <v>0</v>
      </c>
    </row>
    <row r="2200" spans="2:7" x14ac:dyDescent="0.25">
      <c r="B2200" s="71">
        <v>43608</v>
      </c>
      <c r="C2200" t="s">
        <v>72</v>
      </c>
      <c r="D2200" t="s">
        <v>87</v>
      </c>
      <c r="E2200" t="s">
        <v>313</v>
      </c>
      <c r="F2200" s="72">
        <v>0</v>
      </c>
      <c r="G2200" s="72">
        <v>14</v>
      </c>
    </row>
    <row r="2201" spans="2:7" x14ac:dyDescent="0.25">
      <c r="B2201" s="71">
        <v>43608</v>
      </c>
      <c r="C2201" t="s">
        <v>24</v>
      </c>
      <c r="D2201" t="s">
        <v>80</v>
      </c>
      <c r="E2201" t="s">
        <v>313</v>
      </c>
      <c r="F2201" s="72">
        <v>56</v>
      </c>
      <c r="G2201" s="72">
        <v>0</v>
      </c>
    </row>
    <row r="2202" spans="2:7" x14ac:dyDescent="0.25">
      <c r="B2202" s="71">
        <v>43609</v>
      </c>
      <c r="C2202" t="s">
        <v>25</v>
      </c>
      <c r="D2202" t="s">
        <v>81</v>
      </c>
      <c r="E2202" t="s">
        <v>314</v>
      </c>
      <c r="F2202" s="72">
        <v>23.95</v>
      </c>
      <c r="G2202" s="72">
        <v>0</v>
      </c>
    </row>
    <row r="2203" spans="2:7" x14ac:dyDescent="0.25">
      <c r="B2203" s="71">
        <v>43609</v>
      </c>
      <c r="C2203" t="s">
        <v>25</v>
      </c>
      <c r="D2203" t="s">
        <v>81</v>
      </c>
      <c r="E2203" t="s">
        <v>314</v>
      </c>
      <c r="F2203" s="72">
        <v>23.99</v>
      </c>
      <c r="G2203" s="72">
        <v>0</v>
      </c>
    </row>
    <row r="2204" spans="2:7" x14ac:dyDescent="0.25">
      <c r="B2204" s="71">
        <v>43609</v>
      </c>
      <c r="C2204" t="s">
        <v>25</v>
      </c>
      <c r="D2204" t="s">
        <v>81</v>
      </c>
      <c r="E2204" t="s">
        <v>314</v>
      </c>
      <c r="F2204" s="72">
        <v>25.66</v>
      </c>
      <c r="G2204" s="72">
        <v>0</v>
      </c>
    </row>
    <row r="2205" spans="2:7" x14ac:dyDescent="0.25">
      <c r="B2205" s="71">
        <v>43609</v>
      </c>
      <c r="C2205" t="s">
        <v>25</v>
      </c>
      <c r="D2205" t="s">
        <v>81</v>
      </c>
      <c r="E2205" t="s">
        <v>314</v>
      </c>
      <c r="F2205" s="72">
        <v>73.319999999999993</v>
      </c>
      <c r="G2205" s="72">
        <v>0</v>
      </c>
    </row>
    <row r="2206" spans="2:7" x14ac:dyDescent="0.25">
      <c r="B2206" s="71">
        <v>43609</v>
      </c>
      <c r="C2206" t="s">
        <v>25</v>
      </c>
      <c r="D2206" t="s">
        <v>81</v>
      </c>
      <c r="E2206" t="s">
        <v>314</v>
      </c>
      <c r="F2206" s="72">
        <v>148</v>
      </c>
      <c r="G2206" s="72">
        <v>0</v>
      </c>
    </row>
    <row r="2207" spans="2:7" x14ac:dyDescent="0.25">
      <c r="B2207" s="71">
        <v>43609</v>
      </c>
      <c r="C2207" t="s">
        <v>25</v>
      </c>
      <c r="D2207" t="s">
        <v>88</v>
      </c>
      <c r="E2207" t="s">
        <v>314</v>
      </c>
      <c r="F2207" s="72">
        <v>25.97</v>
      </c>
      <c r="G2207" s="72">
        <v>0</v>
      </c>
    </row>
    <row r="2208" spans="2:7" x14ac:dyDescent="0.25">
      <c r="B2208" s="71">
        <v>43609</v>
      </c>
      <c r="C2208" t="s">
        <v>25</v>
      </c>
      <c r="D2208" t="s">
        <v>88</v>
      </c>
      <c r="E2208" t="s">
        <v>314</v>
      </c>
      <c r="F2208" s="72">
        <v>43.73</v>
      </c>
      <c r="G2208" s="72">
        <v>0</v>
      </c>
    </row>
    <row r="2209" spans="2:7" x14ac:dyDescent="0.25">
      <c r="B2209" s="71">
        <v>43609</v>
      </c>
      <c r="C2209" t="s">
        <v>25</v>
      </c>
      <c r="D2209" t="s">
        <v>88</v>
      </c>
      <c r="E2209" t="s">
        <v>314</v>
      </c>
      <c r="F2209" s="72">
        <v>97.75</v>
      </c>
      <c r="G2209" s="72">
        <v>0</v>
      </c>
    </row>
    <row r="2210" spans="2:7" x14ac:dyDescent="0.25">
      <c r="B2210" s="71">
        <v>43609</v>
      </c>
      <c r="C2210" t="s">
        <v>25</v>
      </c>
      <c r="D2210" t="s">
        <v>88</v>
      </c>
      <c r="E2210" t="s">
        <v>314</v>
      </c>
      <c r="F2210" s="72">
        <v>99.51</v>
      </c>
      <c r="G2210" s="72">
        <v>0</v>
      </c>
    </row>
    <row r="2211" spans="2:7" x14ac:dyDescent="0.25">
      <c r="B2211" s="71">
        <v>43609</v>
      </c>
      <c r="C2211" t="s">
        <v>60</v>
      </c>
      <c r="D2211" t="s">
        <v>85</v>
      </c>
      <c r="E2211" t="s">
        <v>314</v>
      </c>
      <c r="F2211" s="72">
        <v>514.4</v>
      </c>
      <c r="G2211" s="72">
        <v>0</v>
      </c>
    </row>
    <row r="2212" spans="2:7" x14ac:dyDescent="0.25">
      <c r="B2212" s="71">
        <v>43609</v>
      </c>
      <c r="C2212" t="s">
        <v>57</v>
      </c>
      <c r="D2212" t="s">
        <v>83</v>
      </c>
      <c r="E2212" t="s">
        <v>314</v>
      </c>
      <c r="F2212" s="72">
        <v>44</v>
      </c>
      <c r="G2212" s="72">
        <v>0</v>
      </c>
    </row>
    <row r="2213" spans="2:7" x14ac:dyDescent="0.25">
      <c r="B2213" s="71">
        <v>43609</v>
      </c>
      <c r="C2213" t="s">
        <v>58</v>
      </c>
      <c r="D2213" t="s">
        <v>81</v>
      </c>
      <c r="E2213" t="s">
        <v>314</v>
      </c>
      <c r="F2213" s="72">
        <v>31.5</v>
      </c>
      <c r="G2213" s="72">
        <v>0</v>
      </c>
    </row>
    <row r="2214" spans="2:7" x14ac:dyDescent="0.25">
      <c r="B2214" s="71">
        <v>43609</v>
      </c>
      <c r="C2214" t="s">
        <v>21</v>
      </c>
      <c r="D2214" t="s">
        <v>80</v>
      </c>
      <c r="E2214" t="s">
        <v>314</v>
      </c>
      <c r="F2214" s="72">
        <v>8</v>
      </c>
      <c r="G2214" s="72">
        <v>0</v>
      </c>
    </row>
    <row r="2215" spans="2:7" x14ac:dyDescent="0.25">
      <c r="B2215" s="71">
        <v>43609</v>
      </c>
      <c r="C2215" t="s">
        <v>67</v>
      </c>
      <c r="D2215" t="s">
        <v>85</v>
      </c>
      <c r="E2215" t="s">
        <v>314</v>
      </c>
      <c r="F2215" s="72">
        <v>10</v>
      </c>
      <c r="G2215" s="72">
        <v>0</v>
      </c>
    </row>
    <row r="2216" spans="2:7" x14ac:dyDescent="0.25">
      <c r="B2216" s="71">
        <v>43609</v>
      </c>
      <c r="C2216" t="s">
        <v>49</v>
      </c>
      <c r="D2216" t="s">
        <v>81</v>
      </c>
      <c r="E2216" t="s">
        <v>314</v>
      </c>
      <c r="F2216" s="72">
        <v>17.5</v>
      </c>
      <c r="G2216" s="72">
        <v>0</v>
      </c>
    </row>
    <row r="2217" spans="2:7" x14ac:dyDescent="0.25">
      <c r="B2217" s="71">
        <v>43609</v>
      </c>
      <c r="C2217" t="s">
        <v>49</v>
      </c>
      <c r="D2217" t="s">
        <v>85</v>
      </c>
      <c r="E2217" t="s">
        <v>314</v>
      </c>
      <c r="F2217" s="72">
        <v>167.3</v>
      </c>
      <c r="G2217" s="72">
        <v>0</v>
      </c>
    </row>
    <row r="2218" spans="2:7" x14ac:dyDescent="0.25">
      <c r="B2218" s="71">
        <v>43609</v>
      </c>
      <c r="C2218" t="s">
        <v>50</v>
      </c>
      <c r="D2218" t="s">
        <v>85</v>
      </c>
      <c r="E2218" t="s">
        <v>314</v>
      </c>
      <c r="F2218" s="72">
        <v>50.5</v>
      </c>
      <c r="G2218" s="72">
        <v>0</v>
      </c>
    </row>
    <row r="2219" spans="2:7" x14ac:dyDescent="0.25">
      <c r="B2219" s="71">
        <v>43609</v>
      </c>
      <c r="C2219" t="s">
        <v>51</v>
      </c>
      <c r="D2219" t="s">
        <v>84</v>
      </c>
      <c r="E2219" t="s">
        <v>314</v>
      </c>
      <c r="F2219" s="72">
        <v>25</v>
      </c>
      <c r="G2219" s="72">
        <v>0</v>
      </c>
    </row>
    <row r="2220" spans="2:7" x14ac:dyDescent="0.25">
      <c r="B2220" s="71">
        <v>43609</v>
      </c>
      <c r="C2220" t="s">
        <v>53</v>
      </c>
      <c r="D2220" t="s">
        <v>85</v>
      </c>
      <c r="E2220" t="s">
        <v>314</v>
      </c>
      <c r="F2220" s="72">
        <v>796.6</v>
      </c>
      <c r="G2220" s="72">
        <v>0</v>
      </c>
    </row>
    <row r="2221" spans="2:7" x14ac:dyDescent="0.25">
      <c r="B2221" s="71">
        <v>43609</v>
      </c>
      <c r="C2221" t="s">
        <v>59</v>
      </c>
      <c r="D2221" t="s">
        <v>85</v>
      </c>
      <c r="E2221" t="s">
        <v>314</v>
      </c>
      <c r="F2221" s="72">
        <v>10</v>
      </c>
      <c r="G2221" s="72">
        <v>0</v>
      </c>
    </row>
    <row r="2222" spans="2:7" x14ac:dyDescent="0.25">
      <c r="B2222" s="71">
        <v>43609</v>
      </c>
      <c r="C2222" t="s">
        <v>54</v>
      </c>
      <c r="D2222" t="s">
        <v>85</v>
      </c>
      <c r="E2222" t="s">
        <v>314</v>
      </c>
      <c r="F2222" s="72">
        <v>5</v>
      </c>
      <c r="G2222" s="72">
        <v>0</v>
      </c>
    </row>
    <row r="2223" spans="2:7" x14ac:dyDescent="0.25">
      <c r="B2223" s="71">
        <v>43609</v>
      </c>
      <c r="C2223" t="s">
        <v>72</v>
      </c>
      <c r="D2223" t="s">
        <v>85</v>
      </c>
      <c r="E2223" t="s">
        <v>314</v>
      </c>
      <c r="F2223" s="72">
        <v>401</v>
      </c>
      <c r="G2223" s="72">
        <v>0</v>
      </c>
    </row>
    <row r="2224" spans="2:7" x14ac:dyDescent="0.25">
      <c r="B2224" s="71">
        <v>43609</v>
      </c>
      <c r="C2224" t="s">
        <v>24</v>
      </c>
      <c r="D2224" t="s">
        <v>80</v>
      </c>
      <c r="E2224" t="s">
        <v>314</v>
      </c>
      <c r="F2224" s="72">
        <v>8</v>
      </c>
      <c r="G2224" s="72">
        <v>0</v>
      </c>
    </row>
    <row r="2225" spans="2:7" x14ac:dyDescent="0.25">
      <c r="B2225" s="71">
        <v>43610</v>
      </c>
      <c r="C2225" t="s">
        <v>25</v>
      </c>
      <c r="D2225" t="s">
        <v>82</v>
      </c>
      <c r="E2225" t="s">
        <v>200</v>
      </c>
      <c r="F2225" s="72">
        <v>7.65</v>
      </c>
      <c r="G2225" s="72">
        <v>0</v>
      </c>
    </row>
    <row r="2226" spans="2:7" x14ac:dyDescent="0.25">
      <c r="B2226" s="71">
        <v>43610</v>
      </c>
      <c r="C2226" t="s">
        <v>25</v>
      </c>
      <c r="D2226" t="s">
        <v>109</v>
      </c>
      <c r="E2226" t="s">
        <v>315</v>
      </c>
      <c r="F2226" s="72">
        <v>39.479999999999997</v>
      </c>
      <c r="G2226" s="72">
        <v>0</v>
      </c>
    </row>
    <row r="2227" spans="2:7" x14ac:dyDescent="0.25">
      <c r="B2227" s="71">
        <v>43610</v>
      </c>
      <c r="C2227" t="s">
        <v>25</v>
      </c>
      <c r="D2227" t="s">
        <v>109</v>
      </c>
      <c r="E2227" t="s">
        <v>315</v>
      </c>
      <c r="F2227" s="72">
        <v>50.38</v>
      </c>
      <c r="G2227" s="72">
        <v>0</v>
      </c>
    </row>
    <row r="2228" spans="2:7" x14ac:dyDescent="0.25">
      <c r="B2228" s="71">
        <v>43610</v>
      </c>
      <c r="C2228" t="s">
        <v>25</v>
      </c>
      <c r="D2228" t="s">
        <v>109</v>
      </c>
      <c r="E2228" t="s">
        <v>315</v>
      </c>
      <c r="F2228" s="72">
        <v>58.94</v>
      </c>
      <c r="G2228" s="72">
        <v>0</v>
      </c>
    </row>
    <row r="2229" spans="2:7" x14ac:dyDescent="0.25">
      <c r="B2229" s="71">
        <v>43610</v>
      </c>
      <c r="C2229" t="s">
        <v>25</v>
      </c>
      <c r="D2229" t="s">
        <v>109</v>
      </c>
      <c r="E2229" t="s">
        <v>315</v>
      </c>
      <c r="F2229" s="72">
        <v>91.9</v>
      </c>
      <c r="G2229" s="72">
        <v>0</v>
      </c>
    </row>
    <row r="2230" spans="2:7" x14ac:dyDescent="0.25">
      <c r="B2230" s="71">
        <v>43610</v>
      </c>
      <c r="C2230" t="s">
        <v>25</v>
      </c>
      <c r="D2230" t="s">
        <v>109</v>
      </c>
      <c r="E2230" t="s">
        <v>315</v>
      </c>
      <c r="F2230" s="72">
        <v>101.66</v>
      </c>
      <c r="G2230" s="72">
        <v>0</v>
      </c>
    </row>
    <row r="2231" spans="2:7" x14ac:dyDescent="0.25">
      <c r="B2231" s="71">
        <v>43610</v>
      </c>
      <c r="C2231" t="s">
        <v>25</v>
      </c>
      <c r="D2231" t="s">
        <v>109</v>
      </c>
      <c r="E2231" t="s">
        <v>315</v>
      </c>
      <c r="F2231" s="72">
        <v>341.28</v>
      </c>
      <c r="G2231" s="72">
        <v>0</v>
      </c>
    </row>
    <row r="2232" spans="2:7" x14ac:dyDescent="0.25">
      <c r="B2232" s="71">
        <v>43610</v>
      </c>
      <c r="C2232" t="s">
        <v>25</v>
      </c>
      <c r="D2232" t="s">
        <v>85</v>
      </c>
      <c r="E2232" t="s">
        <v>316</v>
      </c>
      <c r="F2232" s="72">
        <v>12</v>
      </c>
      <c r="G2232" s="72">
        <v>0</v>
      </c>
    </row>
    <row r="2233" spans="2:7" x14ac:dyDescent="0.25">
      <c r="B2233" s="71">
        <v>43610</v>
      </c>
      <c r="C2233" t="s">
        <v>55</v>
      </c>
      <c r="D2233" t="s">
        <v>109</v>
      </c>
      <c r="E2233" t="s">
        <v>315</v>
      </c>
      <c r="F2233" s="72">
        <v>653.96</v>
      </c>
      <c r="G2233" s="72">
        <v>0</v>
      </c>
    </row>
    <row r="2234" spans="2:7" x14ac:dyDescent="0.25">
      <c r="B2234" s="71">
        <v>43610</v>
      </c>
      <c r="C2234" t="s">
        <v>47</v>
      </c>
      <c r="D2234" t="s">
        <v>109</v>
      </c>
      <c r="E2234" t="s">
        <v>315</v>
      </c>
      <c r="F2234" s="72">
        <v>13.97</v>
      </c>
      <c r="G2234" s="72">
        <v>0</v>
      </c>
    </row>
    <row r="2235" spans="2:7" x14ac:dyDescent="0.25">
      <c r="B2235" s="71">
        <v>43610</v>
      </c>
      <c r="C2235" t="s">
        <v>47</v>
      </c>
      <c r="D2235" t="s">
        <v>85</v>
      </c>
      <c r="E2235" t="s">
        <v>316</v>
      </c>
      <c r="F2235" s="72">
        <v>15.35</v>
      </c>
      <c r="G2235" s="72">
        <v>0</v>
      </c>
    </row>
    <row r="2236" spans="2:7" x14ac:dyDescent="0.25">
      <c r="B2236" s="71">
        <v>43610</v>
      </c>
      <c r="C2236" t="s">
        <v>44</v>
      </c>
      <c r="D2236" t="s">
        <v>80</v>
      </c>
      <c r="E2236" t="s">
        <v>316</v>
      </c>
      <c r="F2236" s="72">
        <v>294.75</v>
      </c>
      <c r="G2236" s="72">
        <v>0</v>
      </c>
    </row>
    <row r="2237" spans="2:7" x14ac:dyDescent="0.25">
      <c r="B2237" s="71">
        <v>43610</v>
      </c>
      <c r="C2237" t="s">
        <v>21</v>
      </c>
      <c r="D2237" t="s">
        <v>80</v>
      </c>
      <c r="E2237" t="s">
        <v>316</v>
      </c>
      <c r="F2237" s="72">
        <v>8</v>
      </c>
      <c r="G2237" s="72">
        <v>0</v>
      </c>
    </row>
    <row r="2238" spans="2:7" x14ac:dyDescent="0.25">
      <c r="B2238" s="71">
        <v>43610</v>
      </c>
      <c r="C2238" t="s">
        <v>21</v>
      </c>
      <c r="D2238" t="s">
        <v>80</v>
      </c>
      <c r="E2238" t="s">
        <v>316</v>
      </c>
      <c r="F2238" s="72">
        <v>24</v>
      </c>
      <c r="G2238" s="72">
        <v>0</v>
      </c>
    </row>
    <row r="2239" spans="2:7" x14ac:dyDescent="0.25">
      <c r="B2239" s="71">
        <v>43610</v>
      </c>
      <c r="C2239" t="s">
        <v>21</v>
      </c>
      <c r="D2239" t="s">
        <v>80</v>
      </c>
      <c r="E2239" t="s">
        <v>316</v>
      </c>
      <c r="F2239" s="72">
        <v>40</v>
      </c>
      <c r="G2239" s="72">
        <v>0</v>
      </c>
    </row>
    <row r="2240" spans="2:7" x14ac:dyDescent="0.25">
      <c r="B2240" s="71">
        <v>43610</v>
      </c>
      <c r="C2240" t="s">
        <v>21</v>
      </c>
      <c r="D2240" t="s">
        <v>81</v>
      </c>
      <c r="E2240" t="s">
        <v>316</v>
      </c>
      <c r="F2240" s="72">
        <v>0</v>
      </c>
      <c r="G2240" s="72">
        <v>16</v>
      </c>
    </row>
    <row r="2241" spans="2:7" x14ac:dyDescent="0.25">
      <c r="B2241" s="71">
        <v>43610</v>
      </c>
      <c r="C2241" t="s">
        <v>21</v>
      </c>
      <c r="D2241" t="s">
        <v>109</v>
      </c>
      <c r="E2241" t="s">
        <v>315</v>
      </c>
      <c r="F2241" s="72">
        <v>19.39</v>
      </c>
      <c r="G2241" s="72">
        <v>0</v>
      </c>
    </row>
    <row r="2242" spans="2:7" x14ac:dyDescent="0.25">
      <c r="B2242" s="71">
        <v>43610</v>
      </c>
      <c r="C2242" t="s">
        <v>21</v>
      </c>
      <c r="D2242" t="s">
        <v>109</v>
      </c>
      <c r="E2242" t="s">
        <v>315</v>
      </c>
      <c r="F2242" s="72">
        <v>25.31</v>
      </c>
      <c r="G2242" s="72">
        <v>0</v>
      </c>
    </row>
    <row r="2243" spans="2:7" x14ac:dyDescent="0.25">
      <c r="B2243" s="71">
        <v>43610</v>
      </c>
      <c r="C2243" t="s">
        <v>21</v>
      </c>
      <c r="D2243" t="s">
        <v>109</v>
      </c>
      <c r="E2243" t="s">
        <v>315</v>
      </c>
      <c r="F2243" s="72">
        <v>28.72</v>
      </c>
      <c r="G2243" s="72">
        <v>0</v>
      </c>
    </row>
    <row r="2244" spans="2:7" x14ac:dyDescent="0.25">
      <c r="B2244" s="71">
        <v>43610</v>
      </c>
      <c r="C2244" t="s">
        <v>21</v>
      </c>
      <c r="D2244" t="s">
        <v>109</v>
      </c>
      <c r="E2244" t="s">
        <v>315</v>
      </c>
      <c r="F2244" s="72">
        <v>31.65</v>
      </c>
      <c r="G2244" s="72">
        <v>0</v>
      </c>
    </row>
    <row r="2245" spans="2:7" x14ac:dyDescent="0.25">
      <c r="B2245" s="71">
        <v>43610</v>
      </c>
      <c r="C2245" t="s">
        <v>21</v>
      </c>
      <c r="D2245" t="s">
        <v>109</v>
      </c>
      <c r="E2245" t="s">
        <v>315</v>
      </c>
      <c r="F2245" s="72">
        <v>59.16</v>
      </c>
      <c r="G2245" s="72">
        <v>0</v>
      </c>
    </row>
    <row r="2246" spans="2:7" x14ac:dyDescent="0.25">
      <c r="B2246" s="71">
        <v>43610</v>
      </c>
      <c r="C2246" t="s">
        <v>21</v>
      </c>
      <c r="D2246" t="s">
        <v>109</v>
      </c>
      <c r="E2246" t="s">
        <v>315</v>
      </c>
      <c r="F2246" s="72">
        <v>60.62</v>
      </c>
      <c r="G2246" s="72">
        <v>0</v>
      </c>
    </row>
    <row r="2247" spans="2:7" x14ac:dyDescent="0.25">
      <c r="B2247" s="71">
        <v>43610</v>
      </c>
      <c r="C2247" t="s">
        <v>21</v>
      </c>
      <c r="D2247" t="s">
        <v>109</v>
      </c>
      <c r="E2247" t="s">
        <v>315</v>
      </c>
      <c r="F2247" s="72">
        <v>122.35</v>
      </c>
      <c r="G2247" s="72">
        <v>0</v>
      </c>
    </row>
    <row r="2248" spans="2:7" x14ac:dyDescent="0.25">
      <c r="B2248" s="71">
        <v>43610</v>
      </c>
      <c r="C2248" t="s">
        <v>21</v>
      </c>
      <c r="D2248" t="s">
        <v>109</v>
      </c>
      <c r="E2248" t="s">
        <v>315</v>
      </c>
      <c r="F2248" s="72">
        <v>159.69999999999999</v>
      </c>
      <c r="G2248" s="72">
        <v>0</v>
      </c>
    </row>
    <row r="2249" spans="2:7" x14ac:dyDescent="0.25">
      <c r="B2249" s="71">
        <v>43610</v>
      </c>
      <c r="C2249" t="s">
        <v>21</v>
      </c>
      <c r="D2249" t="s">
        <v>109</v>
      </c>
      <c r="E2249" t="s">
        <v>315</v>
      </c>
      <c r="F2249" s="72">
        <v>210.56</v>
      </c>
      <c r="G2249" s="72">
        <v>0</v>
      </c>
    </row>
    <row r="2250" spans="2:7" x14ac:dyDescent="0.25">
      <c r="B2250" s="71">
        <v>43610</v>
      </c>
      <c r="C2250" t="s">
        <v>21</v>
      </c>
      <c r="D2250" t="s">
        <v>109</v>
      </c>
      <c r="E2250" t="s">
        <v>315</v>
      </c>
      <c r="F2250" s="72">
        <v>213.47</v>
      </c>
      <c r="G2250" s="72">
        <v>0</v>
      </c>
    </row>
    <row r="2251" spans="2:7" x14ac:dyDescent="0.25">
      <c r="B2251" s="71">
        <v>43610</v>
      </c>
      <c r="C2251" t="s">
        <v>21</v>
      </c>
      <c r="D2251" t="s">
        <v>109</v>
      </c>
      <c r="E2251" t="s">
        <v>315</v>
      </c>
      <c r="F2251" s="72">
        <v>226.28</v>
      </c>
      <c r="G2251" s="72">
        <v>0</v>
      </c>
    </row>
    <row r="2252" spans="2:7" x14ac:dyDescent="0.25">
      <c r="B2252" s="71">
        <v>43610</v>
      </c>
      <c r="C2252" t="s">
        <v>21</v>
      </c>
      <c r="D2252" t="s">
        <v>109</v>
      </c>
      <c r="E2252" t="s">
        <v>315</v>
      </c>
      <c r="F2252" s="72">
        <v>250.08</v>
      </c>
      <c r="G2252" s="72">
        <v>0</v>
      </c>
    </row>
    <row r="2253" spans="2:7" x14ac:dyDescent="0.25">
      <c r="B2253" s="71">
        <v>43610</v>
      </c>
      <c r="C2253" t="s">
        <v>21</v>
      </c>
      <c r="D2253" t="s">
        <v>109</v>
      </c>
      <c r="E2253" t="s">
        <v>315</v>
      </c>
      <c r="F2253" s="72">
        <v>250.17</v>
      </c>
      <c r="G2253" s="72">
        <v>0</v>
      </c>
    </row>
    <row r="2254" spans="2:7" x14ac:dyDescent="0.25">
      <c r="B2254" s="71">
        <v>43610</v>
      </c>
      <c r="C2254" t="s">
        <v>21</v>
      </c>
      <c r="D2254" t="s">
        <v>109</v>
      </c>
      <c r="E2254" t="s">
        <v>315</v>
      </c>
      <c r="F2254" s="72">
        <v>277.51</v>
      </c>
      <c r="G2254" s="72">
        <v>0</v>
      </c>
    </row>
    <row r="2255" spans="2:7" x14ac:dyDescent="0.25">
      <c r="B2255" s="71">
        <v>43610</v>
      </c>
      <c r="C2255" t="s">
        <v>21</v>
      </c>
      <c r="D2255" t="s">
        <v>109</v>
      </c>
      <c r="E2255" t="s">
        <v>315</v>
      </c>
      <c r="F2255" s="72">
        <v>305.62</v>
      </c>
      <c r="G2255" s="72">
        <v>0</v>
      </c>
    </row>
    <row r="2256" spans="2:7" x14ac:dyDescent="0.25">
      <c r="B2256" s="71">
        <v>43610</v>
      </c>
      <c r="C2256" t="s">
        <v>21</v>
      </c>
      <c r="D2256" t="s">
        <v>109</v>
      </c>
      <c r="E2256" t="s">
        <v>315</v>
      </c>
      <c r="F2256" s="72">
        <v>365.4</v>
      </c>
      <c r="G2256" s="72">
        <v>0</v>
      </c>
    </row>
    <row r="2257" spans="2:7" x14ac:dyDescent="0.25">
      <c r="B2257" s="71">
        <v>43610</v>
      </c>
      <c r="C2257" t="s">
        <v>21</v>
      </c>
      <c r="D2257" t="s">
        <v>109</v>
      </c>
      <c r="E2257" t="s">
        <v>315</v>
      </c>
      <c r="F2257" s="72">
        <v>473.77</v>
      </c>
      <c r="G2257" s="72">
        <v>0</v>
      </c>
    </row>
    <row r="2258" spans="2:7" x14ac:dyDescent="0.25">
      <c r="B2258" s="71">
        <v>43610</v>
      </c>
      <c r="C2258" t="s">
        <v>21</v>
      </c>
      <c r="D2258" t="s">
        <v>109</v>
      </c>
      <c r="E2258" t="s">
        <v>315</v>
      </c>
      <c r="F2258" s="72">
        <v>486.39</v>
      </c>
      <c r="G2258" s="72">
        <v>0</v>
      </c>
    </row>
    <row r="2259" spans="2:7" x14ac:dyDescent="0.25">
      <c r="B2259" s="71">
        <v>43610</v>
      </c>
      <c r="C2259" t="s">
        <v>21</v>
      </c>
      <c r="D2259" t="s">
        <v>109</v>
      </c>
      <c r="E2259" t="s">
        <v>315</v>
      </c>
      <c r="F2259" s="72">
        <v>522.20000000000005</v>
      </c>
      <c r="G2259" s="72">
        <v>0</v>
      </c>
    </row>
    <row r="2260" spans="2:7" x14ac:dyDescent="0.25">
      <c r="B2260" s="71">
        <v>43610</v>
      </c>
      <c r="C2260" t="s">
        <v>21</v>
      </c>
      <c r="D2260" t="s">
        <v>109</v>
      </c>
      <c r="E2260" t="s">
        <v>315</v>
      </c>
      <c r="F2260" s="72">
        <v>554.16</v>
      </c>
      <c r="G2260" s="72">
        <v>0</v>
      </c>
    </row>
    <row r="2261" spans="2:7" x14ac:dyDescent="0.25">
      <c r="B2261" s="71">
        <v>43610</v>
      </c>
      <c r="C2261" t="s">
        <v>21</v>
      </c>
      <c r="D2261" t="s">
        <v>109</v>
      </c>
      <c r="E2261" t="s">
        <v>315</v>
      </c>
      <c r="F2261" s="72">
        <v>637.09</v>
      </c>
      <c r="G2261" s="72">
        <v>0</v>
      </c>
    </row>
    <row r="2262" spans="2:7" x14ac:dyDescent="0.25">
      <c r="B2262" s="71">
        <v>43610</v>
      </c>
      <c r="C2262" t="s">
        <v>21</v>
      </c>
      <c r="D2262" t="s">
        <v>109</v>
      </c>
      <c r="E2262" t="s">
        <v>315</v>
      </c>
      <c r="F2262" s="72">
        <v>703.22</v>
      </c>
      <c r="G2262" s="72">
        <v>0</v>
      </c>
    </row>
    <row r="2263" spans="2:7" x14ac:dyDescent="0.25">
      <c r="B2263" s="71">
        <v>43610</v>
      </c>
      <c r="C2263" t="s">
        <v>21</v>
      </c>
      <c r="D2263" t="s">
        <v>109</v>
      </c>
      <c r="E2263" t="s">
        <v>315</v>
      </c>
      <c r="F2263" s="72">
        <v>808.05</v>
      </c>
      <c r="G2263" s="72">
        <v>0</v>
      </c>
    </row>
    <row r="2264" spans="2:7" x14ac:dyDescent="0.25">
      <c r="B2264" s="71">
        <v>43610</v>
      </c>
      <c r="C2264" t="s">
        <v>21</v>
      </c>
      <c r="D2264" t="s">
        <v>109</v>
      </c>
      <c r="E2264" t="s">
        <v>315</v>
      </c>
      <c r="F2264" s="72">
        <v>936.65</v>
      </c>
      <c r="G2264" s="72">
        <v>0</v>
      </c>
    </row>
    <row r="2265" spans="2:7" x14ac:dyDescent="0.25">
      <c r="B2265" s="71">
        <v>43610</v>
      </c>
      <c r="C2265" t="s">
        <v>21</v>
      </c>
      <c r="D2265" t="s">
        <v>109</v>
      </c>
      <c r="E2265" t="s">
        <v>315</v>
      </c>
      <c r="F2265" s="72">
        <v>980.37</v>
      </c>
      <c r="G2265" s="72">
        <v>0</v>
      </c>
    </row>
    <row r="2266" spans="2:7" x14ac:dyDescent="0.25">
      <c r="B2266" s="71">
        <v>43610</v>
      </c>
      <c r="C2266" t="s">
        <v>21</v>
      </c>
      <c r="D2266" t="s">
        <v>109</v>
      </c>
      <c r="E2266" t="s">
        <v>315</v>
      </c>
      <c r="F2266" s="72">
        <v>1045.49</v>
      </c>
      <c r="G2266" s="72">
        <v>0</v>
      </c>
    </row>
    <row r="2267" spans="2:7" x14ac:dyDescent="0.25">
      <c r="B2267" s="71">
        <v>43610</v>
      </c>
      <c r="C2267" t="s">
        <v>21</v>
      </c>
      <c r="D2267" t="s">
        <v>109</v>
      </c>
      <c r="E2267" t="s">
        <v>315</v>
      </c>
      <c r="F2267" s="72">
        <v>1334.36</v>
      </c>
      <c r="G2267" s="72">
        <v>0</v>
      </c>
    </row>
    <row r="2268" spans="2:7" x14ac:dyDescent="0.25">
      <c r="B2268" s="71">
        <v>43610</v>
      </c>
      <c r="C2268" t="s">
        <v>21</v>
      </c>
      <c r="D2268" t="s">
        <v>85</v>
      </c>
      <c r="E2268" t="s">
        <v>316</v>
      </c>
      <c r="F2268" s="72">
        <v>24</v>
      </c>
      <c r="G2268" s="72">
        <v>0</v>
      </c>
    </row>
    <row r="2269" spans="2:7" x14ac:dyDescent="0.25">
      <c r="B2269" s="71">
        <v>43610</v>
      </c>
      <c r="C2269" t="s">
        <v>51</v>
      </c>
      <c r="D2269" t="s">
        <v>109</v>
      </c>
      <c r="E2269" t="s">
        <v>315</v>
      </c>
      <c r="F2269" s="72">
        <v>11432.58</v>
      </c>
      <c r="G2269" s="72">
        <v>0</v>
      </c>
    </row>
    <row r="2270" spans="2:7" x14ac:dyDescent="0.25">
      <c r="B2270" s="71">
        <v>43610</v>
      </c>
      <c r="C2270" t="s">
        <v>53</v>
      </c>
      <c r="D2270" t="s">
        <v>109</v>
      </c>
      <c r="E2270" t="s">
        <v>315</v>
      </c>
      <c r="F2270" s="72">
        <v>328.77</v>
      </c>
      <c r="G2270" s="72">
        <v>0</v>
      </c>
    </row>
    <row r="2271" spans="2:7" x14ac:dyDescent="0.25">
      <c r="B2271" s="71">
        <v>43610</v>
      </c>
      <c r="C2271" t="s">
        <v>59</v>
      </c>
      <c r="D2271" t="s">
        <v>85</v>
      </c>
      <c r="E2271" t="s">
        <v>316</v>
      </c>
      <c r="F2271" s="72">
        <v>10</v>
      </c>
      <c r="G2271" s="72">
        <v>0</v>
      </c>
    </row>
    <row r="2272" spans="2:7" x14ac:dyDescent="0.25">
      <c r="B2272" s="71">
        <v>43610</v>
      </c>
      <c r="C2272" t="s">
        <v>72</v>
      </c>
      <c r="D2272" t="s">
        <v>83</v>
      </c>
      <c r="E2272" t="s">
        <v>316</v>
      </c>
      <c r="F2272" s="72">
        <v>50.25</v>
      </c>
      <c r="G2272" s="72">
        <v>0</v>
      </c>
    </row>
    <row r="2273" spans="2:7" x14ac:dyDescent="0.25">
      <c r="B2273" s="71">
        <v>43610</v>
      </c>
      <c r="C2273" t="s">
        <v>69</v>
      </c>
      <c r="D2273" t="s">
        <v>86</v>
      </c>
      <c r="E2273" t="s">
        <v>316</v>
      </c>
      <c r="F2273" s="72">
        <v>1501.66</v>
      </c>
      <c r="G2273" s="72">
        <v>0</v>
      </c>
    </row>
    <row r="2274" spans="2:7" x14ac:dyDescent="0.25">
      <c r="B2274" s="71">
        <v>43610</v>
      </c>
      <c r="C2274" t="s">
        <v>24</v>
      </c>
      <c r="D2274" t="s">
        <v>80</v>
      </c>
      <c r="E2274" t="s">
        <v>316</v>
      </c>
      <c r="F2274" s="72">
        <v>8</v>
      </c>
      <c r="G2274" s="72">
        <v>0</v>
      </c>
    </row>
    <row r="2275" spans="2:7" x14ac:dyDescent="0.25">
      <c r="B2275" s="71">
        <v>43610</v>
      </c>
      <c r="C2275" t="s">
        <v>24</v>
      </c>
      <c r="D2275" t="s">
        <v>109</v>
      </c>
      <c r="E2275" t="s">
        <v>315</v>
      </c>
      <c r="F2275" s="72">
        <v>10.27</v>
      </c>
      <c r="G2275" s="72">
        <v>0</v>
      </c>
    </row>
    <row r="2276" spans="2:7" x14ac:dyDescent="0.25">
      <c r="B2276" s="71">
        <v>43610</v>
      </c>
      <c r="C2276" t="s">
        <v>24</v>
      </c>
      <c r="D2276" t="s">
        <v>109</v>
      </c>
      <c r="E2276" t="s">
        <v>315</v>
      </c>
      <c r="F2276" s="72">
        <v>11.08</v>
      </c>
      <c r="G2276" s="72">
        <v>0</v>
      </c>
    </row>
    <row r="2277" spans="2:7" x14ac:dyDescent="0.25">
      <c r="B2277" s="71">
        <v>43610</v>
      </c>
      <c r="C2277" t="s">
        <v>24</v>
      </c>
      <c r="D2277" t="s">
        <v>109</v>
      </c>
      <c r="E2277" t="s">
        <v>315</v>
      </c>
      <c r="F2277" s="72">
        <v>19.329999999999998</v>
      </c>
      <c r="G2277" s="72">
        <v>0</v>
      </c>
    </row>
    <row r="2278" spans="2:7" x14ac:dyDescent="0.25">
      <c r="B2278" s="71">
        <v>43610</v>
      </c>
      <c r="C2278" t="s">
        <v>24</v>
      </c>
      <c r="D2278" t="s">
        <v>109</v>
      </c>
      <c r="E2278" t="s">
        <v>315</v>
      </c>
      <c r="F2278" s="72">
        <v>31.22</v>
      </c>
      <c r="G2278" s="72">
        <v>0</v>
      </c>
    </row>
    <row r="2279" spans="2:7" x14ac:dyDescent="0.25">
      <c r="B2279" s="71">
        <v>43610</v>
      </c>
      <c r="C2279" t="s">
        <v>24</v>
      </c>
      <c r="D2279" t="s">
        <v>109</v>
      </c>
      <c r="E2279" t="s">
        <v>315</v>
      </c>
      <c r="F2279" s="72">
        <v>32.130000000000003</v>
      </c>
      <c r="G2279" s="72">
        <v>0</v>
      </c>
    </row>
    <row r="2280" spans="2:7" x14ac:dyDescent="0.25">
      <c r="B2280" s="71">
        <v>43610</v>
      </c>
      <c r="C2280" t="s">
        <v>24</v>
      </c>
      <c r="D2280" t="s">
        <v>109</v>
      </c>
      <c r="E2280" t="s">
        <v>315</v>
      </c>
      <c r="F2280" s="72">
        <v>37.630000000000003</v>
      </c>
      <c r="G2280" s="72">
        <v>0</v>
      </c>
    </row>
    <row r="2281" spans="2:7" x14ac:dyDescent="0.25">
      <c r="B2281" s="71">
        <v>43610</v>
      </c>
      <c r="C2281" t="s">
        <v>24</v>
      </c>
      <c r="D2281" t="s">
        <v>109</v>
      </c>
      <c r="E2281" t="s">
        <v>315</v>
      </c>
      <c r="F2281" s="72">
        <v>38.090000000000003</v>
      </c>
      <c r="G2281" s="72">
        <v>0</v>
      </c>
    </row>
    <row r="2282" spans="2:7" x14ac:dyDescent="0.25">
      <c r="B2282" s="71">
        <v>43610</v>
      </c>
      <c r="C2282" t="s">
        <v>24</v>
      </c>
      <c r="D2282" t="s">
        <v>109</v>
      </c>
      <c r="E2282" t="s">
        <v>315</v>
      </c>
      <c r="F2282" s="72">
        <v>51.31</v>
      </c>
      <c r="G2282" s="72">
        <v>0</v>
      </c>
    </row>
    <row r="2283" spans="2:7" x14ac:dyDescent="0.25">
      <c r="B2283" s="71">
        <v>43610</v>
      </c>
      <c r="C2283" t="s">
        <v>24</v>
      </c>
      <c r="D2283" t="s">
        <v>109</v>
      </c>
      <c r="E2283" t="s">
        <v>315</v>
      </c>
      <c r="F2283" s="72">
        <v>73.849999999999994</v>
      </c>
      <c r="G2283" s="72">
        <v>0</v>
      </c>
    </row>
    <row r="2284" spans="2:7" x14ac:dyDescent="0.25">
      <c r="B2284" s="71">
        <v>43610</v>
      </c>
      <c r="C2284" t="s">
        <v>24</v>
      </c>
      <c r="D2284" t="s">
        <v>109</v>
      </c>
      <c r="E2284" t="s">
        <v>315</v>
      </c>
      <c r="F2284" s="72">
        <v>76.97</v>
      </c>
      <c r="G2284" s="72">
        <v>0</v>
      </c>
    </row>
    <row r="2285" spans="2:7" x14ac:dyDescent="0.25">
      <c r="B2285" s="71">
        <v>43610</v>
      </c>
      <c r="C2285" t="s">
        <v>24</v>
      </c>
      <c r="D2285" t="s">
        <v>109</v>
      </c>
      <c r="E2285" t="s">
        <v>315</v>
      </c>
      <c r="F2285" s="72">
        <v>83.96</v>
      </c>
      <c r="G2285" s="72">
        <v>0</v>
      </c>
    </row>
    <row r="2286" spans="2:7" x14ac:dyDescent="0.25">
      <c r="B2286" s="71">
        <v>43610</v>
      </c>
      <c r="C2286" t="s">
        <v>24</v>
      </c>
      <c r="D2286" t="s">
        <v>109</v>
      </c>
      <c r="E2286" t="s">
        <v>315</v>
      </c>
      <c r="F2286" s="72">
        <v>125.74</v>
      </c>
      <c r="G2286" s="72">
        <v>0</v>
      </c>
    </row>
    <row r="2287" spans="2:7" x14ac:dyDescent="0.25">
      <c r="B2287" s="71">
        <v>43610</v>
      </c>
      <c r="C2287" t="s">
        <v>24</v>
      </c>
      <c r="D2287" t="s">
        <v>109</v>
      </c>
      <c r="E2287" t="s">
        <v>315</v>
      </c>
      <c r="F2287" s="72">
        <v>150.13</v>
      </c>
      <c r="G2287" s="72">
        <v>0</v>
      </c>
    </row>
    <row r="2288" spans="2:7" x14ac:dyDescent="0.25">
      <c r="B2288" s="71">
        <v>43610</v>
      </c>
      <c r="C2288" t="s">
        <v>24</v>
      </c>
      <c r="D2288" t="s">
        <v>109</v>
      </c>
      <c r="E2288" t="s">
        <v>315</v>
      </c>
      <c r="F2288" s="72">
        <v>199.9</v>
      </c>
      <c r="G2288" s="72">
        <v>0</v>
      </c>
    </row>
    <row r="2289" spans="2:7" x14ac:dyDescent="0.25">
      <c r="B2289" s="71">
        <v>43610</v>
      </c>
      <c r="C2289" t="s">
        <v>24</v>
      </c>
      <c r="D2289" t="s">
        <v>109</v>
      </c>
      <c r="E2289" t="s">
        <v>315</v>
      </c>
      <c r="F2289" s="72">
        <v>269.23</v>
      </c>
      <c r="G2289" s="72">
        <v>0</v>
      </c>
    </row>
    <row r="2290" spans="2:7" x14ac:dyDescent="0.25">
      <c r="B2290" s="71">
        <v>43610</v>
      </c>
      <c r="C2290" t="s">
        <v>62</v>
      </c>
      <c r="D2290" t="s">
        <v>109</v>
      </c>
      <c r="E2290" t="s">
        <v>315</v>
      </c>
      <c r="F2290" s="72">
        <v>516.86</v>
      </c>
      <c r="G2290" s="72">
        <v>0</v>
      </c>
    </row>
    <row r="2291" spans="2:7" x14ac:dyDescent="0.25">
      <c r="B2291" s="71">
        <v>43612</v>
      </c>
      <c r="C2291" t="s">
        <v>25</v>
      </c>
      <c r="D2291" t="s">
        <v>86</v>
      </c>
      <c r="E2291" t="s">
        <v>317</v>
      </c>
      <c r="F2291" s="72">
        <v>187.5</v>
      </c>
      <c r="G2291" s="72">
        <v>0</v>
      </c>
    </row>
    <row r="2292" spans="2:7" x14ac:dyDescent="0.25">
      <c r="B2292" s="71">
        <v>43612</v>
      </c>
      <c r="C2292" t="s">
        <v>25</v>
      </c>
      <c r="D2292" t="s">
        <v>84</v>
      </c>
      <c r="E2292" t="s">
        <v>317</v>
      </c>
      <c r="F2292" s="72">
        <v>17.989999999999998</v>
      </c>
      <c r="G2292" s="72">
        <v>0</v>
      </c>
    </row>
    <row r="2293" spans="2:7" x14ac:dyDescent="0.25">
      <c r="B2293" s="71">
        <v>43612</v>
      </c>
      <c r="C2293" t="s">
        <v>25</v>
      </c>
      <c r="D2293" t="s">
        <v>84</v>
      </c>
      <c r="E2293" t="s">
        <v>317</v>
      </c>
      <c r="F2293" s="72">
        <v>30</v>
      </c>
      <c r="G2293" s="72">
        <v>0</v>
      </c>
    </row>
    <row r="2294" spans="2:7" x14ac:dyDescent="0.25">
      <c r="B2294" s="71">
        <v>43612</v>
      </c>
      <c r="C2294" t="s">
        <v>25</v>
      </c>
      <c r="D2294" t="s">
        <v>81</v>
      </c>
      <c r="E2294" t="s">
        <v>317</v>
      </c>
      <c r="F2294" s="72">
        <v>10.199999999999999</v>
      </c>
      <c r="G2294" s="72">
        <v>0</v>
      </c>
    </row>
    <row r="2295" spans="2:7" x14ac:dyDescent="0.25">
      <c r="B2295" s="71">
        <v>43612</v>
      </c>
      <c r="C2295" t="s">
        <v>25</v>
      </c>
      <c r="D2295" t="s">
        <v>81</v>
      </c>
      <c r="E2295" t="s">
        <v>317</v>
      </c>
      <c r="F2295" s="72">
        <v>35.979999999999997</v>
      </c>
      <c r="G2295" s="72">
        <v>0</v>
      </c>
    </row>
    <row r="2296" spans="2:7" x14ac:dyDescent="0.25">
      <c r="B2296" s="71">
        <v>43612</v>
      </c>
      <c r="C2296" t="s">
        <v>25</v>
      </c>
      <c r="D2296" t="s">
        <v>81</v>
      </c>
      <c r="E2296" t="s">
        <v>317</v>
      </c>
      <c r="F2296" s="72">
        <v>40.5</v>
      </c>
      <c r="G2296" s="72">
        <v>0</v>
      </c>
    </row>
    <row r="2297" spans="2:7" x14ac:dyDescent="0.25">
      <c r="B2297" s="71">
        <v>43612</v>
      </c>
      <c r="C2297" t="s">
        <v>25</v>
      </c>
      <c r="D2297" t="s">
        <v>81</v>
      </c>
      <c r="E2297" t="s">
        <v>317</v>
      </c>
      <c r="F2297" s="72">
        <v>55.64</v>
      </c>
      <c r="G2297" s="72">
        <v>0</v>
      </c>
    </row>
    <row r="2298" spans="2:7" x14ac:dyDescent="0.25">
      <c r="B2298" s="71">
        <v>43612</v>
      </c>
      <c r="C2298" t="s">
        <v>25</v>
      </c>
      <c r="D2298" t="s">
        <v>88</v>
      </c>
      <c r="E2298" t="s">
        <v>317</v>
      </c>
      <c r="F2298" s="72">
        <v>10.49</v>
      </c>
      <c r="G2298" s="72">
        <v>0</v>
      </c>
    </row>
    <row r="2299" spans="2:7" x14ac:dyDescent="0.25">
      <c r="B2299" s="71">
        <v>43612</v>
      </c>
      <c r="C2299" t="s">
        <v>25</v>
      </c>
      <c r="D2299" t="s">
        <v>88</v>
      </c>
      <c r="E2299" t="s">
        <v>317</v>
      </c>
      <c r="F2299" s="72">
        <v>28.39</v>
      </c>
      <c r="G2299" s="72">
        <v>0</v>
      </c>
    </row>
    <row r="2300" spans="2:7" x14ac:dyDescent="0.25">
      <c r="B2300" s="71">
        <v>43612</v>
      </c>
      <c r="C2300" t="s">
        <v>25</v>
      </c>
      <c r="D2300" t="s">
        <v>88</v>
      </c>
      <c r="E2300" t="s">
        <v>317</v>
      </c>
      <c r="F2300" s="72">
        <v>48.16</v>
      </c>
      <c r="G2300" s="72">
        <v>0</v>
      </c>
    </row>
    <row r="2301" spans="2:7" x14ac:dyDescent="0.25">
      <c r="B2301" s="71">
        <v>43612</v>
      </c>
      <c r="C2301" t="s">
        <v>25</v>
      </c>
      <c r="D2301" t="s">
        <v>88</v>
      </c>
      <c r="E2301" t="s">
        <v>317</v>
      </c>
      <c r="F2301" s="72">
        <v>94.47</v>
      </c>
      <c r="G2301" s="72">
        <v>0</v>
      </c>
    </row>
    <row r="2302" spans="2:7" x14ac:dyDescent="0.25">
      <c r="B2302" s="71">
        <v>43612</v>
      </c>
      <c r="C2302" t="s">
        <v>25</v>
      </c>
      <c r="D2302" t="s">
        <v>88</v>
      </c>
      <c r="E2302" t="s">
        <v>317</v>
      </c>
      <c r="F2302" s="72">
        <v>116.42</v>
      </c>
      <c r="G2302" s="72">
        <v>0</v>
      </c>
    </row>
    <row r="2303" spans="2:7" x14ac:dyDescent="0.25">
      <c r="B2303" s="71">
        <v>43612</v>
      </c>
      <c r="C2303" t="s">
        <v>25</v>
      </c>
      <c r="D2303" t="s">
        <v>88</v>
      </c>
      <c r="E2303" t="s">
        <v>317</v>
      </c>
      <c r="F2303" s="72">
        <v>160</v>
      </c>
      <c r="G2303" s="72">
        <v>0</v>
      </c>
    </row>
    <row r="2304" spans="2:7" x14ac:dyDescent="0.25">
      <c r="B2304" s="71">
        <v>43612</v>
      </c>
      <c r="C2304" t="s">
        <v>25</v>
      </c>
      <c r="D2304" t="s">
        <v>82</v>
      </c>
      <c r="E2304" t="s">
        <v>139</v>
      </c>
      <c r="F2304" s="72">
        <v>2.7</v>
      </c>
      <c r="G2304" s="72">
        <v>0</v>
      </c>
    </row>
    <row r="2305" spans="2:7" x14ac:dyDescent="0.25">
      <c r="B2305" s="71">
        <v>43612</v>
      </c>
      <c r="C2305" t="s">
        <v>25</v>
      </c>
      <c r="D2305" t="s">
        <v>82</v>
      </c>
      <c r="E2305" t="s">
        <v>141</v>
      </c>
      <c r="F2305" s="72">
        <v>2.4</v>
      </c>
      <c r="G2305" s="72">
        <v>0</v>
      </c>
    </row>
    <row r="2306" spans="2:7" x14ac:dyDescent="0.25">
      <c r="B2306" s="71">
        <v>43612</v>
      </c>
      <c r="C2306" t="s">
        <v>25</v>
      </c>
      <c r="D2306" t="s">
        <v>82</v>
      </c>
      <c r="E2306" t="s">
        <v>155</v>
      </c>
      <c r="F2306" s="72">
        <v>12</v>
      </c>
      <c r="G2306" s="72">
        <v>0</v>
      </c>
    </row>
    <row r="2307" spans="2:7" x14ac:dyDescent="0.25">
      <c r="B2307" s="71">
        <v>43612</v>
      </c>
      <c r="C2307" t="s">
        <v>25</v>
      </c>
      <c r="D2307" t="s">
        <v>85</v>
      </c>
      <c r="E2307" t="s">
        <v>317</v>
      </c>
      <c r="F2307" s="72">
        <v>30.77</v>
      </c>
      <c r="G2307" s="72">
        <v>0</v>
      </c>
    </row>
    <row r="2308" spans="2:7" x14ac:dyDescent="0.25">
      <c r="B2308" s="71">
        <v>43612</v>
      </c>
      <c r="C2308" t="s">
        <v>48</v>
      </c>
      <c r="D2308" t="s">
        <v>87</v>
      </c>
      <c r="E2308" t="s">
        <v>317</v>
      </c>
      <c r="F2308" s="72">
        <v>67</v>
      </c>
      <c r="G2308" s="72">
        <v>0</v>
      </c>
    </row>
    <row r="2309" spans="2:7" x14ac:dyDescent="0.25">
      <c r="B2309" s="71">
        <v>43612</v>
      </c>
      <c r="C2309" t="s">
        <v>45</v>
      </c>
      <c r="D2309" t="s">
        <v>88</v>
      </c>
      <c r="E2309" t="s">
        <v>317</v>
      </c>
      <c r="F2309" s="72">
        <v>101.65</v>
      </c>
      <c r="G2309" s="72">
        <v>0</v>
      </c>
    </row>
    <row r="2310" spans="2:7" x14ac:dyDescent="0.25">
      <c r="B2310" s="71">
        <v>43612</v>
      </c>
      <c r="C2310" t="s">
        <v>21</v>
      </c>
      <c r="D2310" t="s">
        <v>80</v>
      </c>
      <c r="E2310" t="s">
        <v>317</v>
      </c>
      <c r="F2310" s="72">
        <v>16</v>
      </c>
      <c r="G2310" s="72">
        <v>0</v>
      </c>
    </row>
    <row r="2311" spans="2:7" x14ac:dyDescent="0.25">
      <c r="B2311" s="71">
        <v>43612</v>
      </c>
      <c r="C2311" t="s">
        <v>49</v>
      </c>
      <c r="D2311" t="s">
        <v>81</v>
      </c>
      <c r="E2311" t="s">
        <v>317</v>
      </c>
      <c r="F2311" s="72">
        <v>24</v>
      </c>
      <c r="G2311" s="72">
        <v>0</v>
      </c>
    </row>
    <row r="2312" spans="2:7" x14ac:dyDescent="0.25">
      <c r="B2312" s="71">
        <v>43612</v>
      </c>
      <c r="C2312" t="s">
        <v>49</v>
      </c>
      <c r="D2312" t="s">
        <v>85</v>
      </c>
      <c r="E2312" t="s">
        <v>317</v>
      </c>
      <c r="F2312" s="72">
        <v>59</v>
      </c>
      <c r="G2312" s="72">
        <v>0</v>
      </c>
    </row>
    <row r="2313" spans="2:7" x14ac:dyDescent="0.25">
      <c r="B2313" s="71">
        <v>43612</v>
      </c>
      <c r="C2313" t="s">
        <v>59</v>
      </c>
      <c r="D2313" t="s">
        <v>85</v>
      </c>
      <c r="E2313" t="s">
        <v>317</v>
      </c>
      <c r="F2313" s="72">
        <v>24</v>
      </c>
      <c r="G2313" s="72">
        <v>0</v>
      </c>
    </row>
    <row r="2314" spans="2:7" x14ac:dyDescent="0.25">
      <c r="B2314" s="71">
        <v>43613</v>
      </c>
      <c r="C2314" t="s">
        <v>25</v>
      </c>
      <c r="D2314" t="s">
        <v>80</v>
      </c>
      <c r="E2314" t="s">
        <v>318</v>
      </c>
      <c r="F2314" s="72">
        <v>8</v>
      </c>
      <c r="G2314" s="72">
        <v>0</v>
      </c>
    </row>
    <row r="2315" spans="2:7" x14ac:dyDescent="0.25">
      <c r="B2315" s="71">
        <v>43613</v>
      </c>
      <c r="C2315" t="s">
        <v>25</v>
      </c>
      <c r="D2315" t="s">
        <v>81</v>
      </c>
      <c r="E2315" t="s">
        <v>318</v>
      </c>
      <c r="F2315" s="72">
        <v>15.66</v>
      </c>
      <c r="G2315" s="72">
        <v>0</v>
      </c>
    </row>
    <row r="2316" spans="2:7" x14ac:dyDescent="0.25">
      <c r="B2316" s="71">
        <v>43613</v>
      </c>
      <c r="C2316" t="s">
        <v>25</v>
      </c>
      <c r="D2316" t="s">
        <v>87</v>
      </c>
      <c r="E2316" t="s">
        <v>318</v>
      </c>
      <c r="F2316" s="72">
        <v>34</v>
      </c>
      <c r="G2316" s="72">
        <v>0</v>
      </c>
    </row>
    <row r="2317" spans="2:7" x14ac:dyDescent="0.25">
      <c r="B2317" s="71">
        <v>43613</v>
      </c>
      <c r="C2317" t="s">
        <v>25</v>
      </c>
      <c r="D2317" t="s">
        <v>82</v>
      </c>
      <c r="E2317" t="s">
        <v>217</v>
      </c>
      <c r="F2317" s="72">
        <v>4.5</v>
      </c>
      <c r="G2317" s="72">
        <v>0</v>
      </c>
    </row>
    <row r="2318" spans="2:7" x14ac:dyDescent="0.25">
      <c r="B2318" s="71">
        <v>43613</v>
      </c>
      <c r="C2318" t="s">
        <v>25</v>
      </c>
      <c r="D2318" t="s">
        <v>82</v>
      </c>
      <c r="E2318" t="s">
        <v>165</v>
      </c>
      <c r="F2318" s="72">
        <v>24</v>
      </c>
      <c r="G2318" s="72">
        <v>0</v>
      </c>
    </row>
    <row r="2319" spans="2:7" x14ac:dyDescent="0.25">
      <c r="B2319" s="71">
        <v>43613</v>
      </c>
      <c r="C2319" t="s">
        <v>60</v>
      </c>
      <c r="D2319" t="s">
        <v>85</v>
      </c>
      <c r="E2319" t="s">
        <v>318</v>
      </c>
      <c r="F2319" s="72">
        <v>120.41</v>
      </c>
      <c r="G2319" s="72">
        <v>0</v>
      </c>
    </row>
    <row r="2320" spans="2:7" x14ac:dyDescent="0.25">
      <c r="B2320" s="71">
        <v>43613</v>
      </c>
      <c r="C2320" t="s">
        <v>52</v>
      </c>
      <c r="D2320" t="s">
        <v>85</v>
      </c>
      <c r="E2320" t="s">
        <v>318</v>
      </c>
      <c r="F2320" s="72">
        <v>226.93</v>
      </c>
      <c r="G2320" s="72">
        <v>0</v>
      </c>
    </row>
    <row r="2321" spans="2:7" x14ac:dyDescent="0.25">
      <c r="B2321" s="71">
        <v>43613</v>
      </c>
      <c r="C2321" t="s">
        <v>21</v>
      </c>
      <c r="D2321" t="s">
        <v>80</v>
      </c>
      <c r="E2321" t="s">
        <v>318</v>
      </c>
      <c r="F2321" s="72">
        <v>8</v>
      </c>
      <c r="G2321" s="72">
        <v>0</v>
      </c>
    </row>
    <row r="2322" spans="2:7" x14ac:dyDescent="0.25">
      <c r="B2322" s="71">
        <v>43613</v>
      </c>
      <c r="C2322" t="s">
        <v>21</v>
      </c>
      <c r="D2322" t="s">
        <v>80</v>
      </c>
      <c r="E2322" t="s">
        <v>318</v>
      </c>
      <c r="F2322" s="72">
        <v>16</v>
      </c>
      <c r="G2322" s="72">
        <v>0</v>
      </c>
    </row>
    <row r="2323" spans="2:7" x14ac:dyDescent="0.25">
      <c r="B2323" s="71">
        <v>43613</v>
      </c>
      <c r="C2323" t="s">
        <v>67</v>
      </c>
      <c r="D2323" t="s">
        <v>80</v>
      </c>
      <c r="E2323" t="s">
        <v>318</v>
      </c>
      <c r="F2323" s="72">
        <v>54.57</v>
      </c>
      <c r="G2323" s="72">
        <v>0</v>
      </c>
    </row>
    <row r="2324" spans="2:7" x14ac:dyDescent="0.25">
      <c r="B2324" s="71">
        <v>43613</v>
      </c>
      <c r="C2324" t="s">
        <v>67</v>
      </c>
      <c r="D2324" t="s">
        <v>85</v>
      </c>
      <c r="E2324" t="s">
        <v>318</v>
      </c>
      <c r="F2324" s="72">
        <v>14.6</v>
      </c>
      <c r="G2324" s="72">
        <v>0</v>
      </c>
    </row>
    <row r="2325" spans="2:7" x14ac:dyDescent="0.25">
      <c r="B2325" s="71">
        <v>43613</v>
      </c>
      <c r="C2325" t="s">
        <v>49</v>
      </c>
      <c r="D2325" t="s">
        <v>85</v>
      </c>
      <c r="E2325" t="s">
        <v>318</v>
      </c>
      <c r="F2325" s="72">
        <v>130</v>
      </c>
      <c r="G2325" s="72">
        <v>0</v>
      </c>
    </row>
    <row r="2326" spans="2:7" x14ac:dyDescent="0.25">
      <c r="B2326" s="71">
        <v>43613</v>
      </c>
      <c r="C2326" t="s">
        <v>46</v>
      </c>
      <c r="D2326" t="s">
        <v>80</v>
      </c>
      <c r="E2326" t="s">
        <v>318</v>
      </c>
      <c r="F2326" s="72">
        <v>117.45</v>
      </c>
      <c r="G2326" s="72">
        <v>0</v>
      </c>
    </row>
    <row r="2327" spans="2:7" x14ac:dyDescent="0.25">
      <c r="B2327" s="71">
        <v>43613</v>
      </c>
      <c r="C2327" t="s">
        <v>51</v>
      </c>
      <c r="D2327" t="s">
        <v>84</v>
      </c>
      <c r="E2327" t="s">
        <v>318</v>
      </c>
      <c r="F2327" s="72">
        <v>175</v>
      </c>
      <c r="G2327" s="72">
        <v>0</v>
      </c>
    </row>
    <row r="2328" spans="2:7" x14ac:dyDescent="0.25">
      <c r="B2328" s="71">
        <v>43614</v>
      </c>
      <c r="C2328" t="s">
        <v>25</v>
      </c>
      <c r="D2328" t="s">
        <v>80</v>
      </c>
      <c r="E2328" t="s">
        <v>319</v>
      </c>
      <c r="F2328" s="72">
        <v>8</v>
      </c>
      <c r="G2328" s="72">
        <v>0</v>
      </c>
    </row>
    <row r="2329" spans="2:7" x14ac:dyDescent="0.25">
      <c r="B2329" s="71">
        <v>43614</v>
      </c>
      <c r="C2329" t="s">
        <v>25</v>
      </c>
      <c r="D2329" t="s">
        <v>87</v>
      </c>
      <c r="E2329" t="s">
        <v>319</v>
      </c>
      <c r="F2329" s="72">
        <v>0</v>
      </c>
      <c r="G2329" s="72">
        <v>57</v>
      </c>
    </row>
    <row r="2330" spans="2:7" x14ac:dyDescent="0.25">
      <c r="B2330" s="71">
        <v>43614</v>
      </c>
      <c r="C2330" t="s">
        <v>25</v>
      </c>
      <c r="D2330" t="s">
        <v>87</v>
      </c>
      <c r="E2330" t="s">
        <v>319</v>
      </c>
      <c r="F2330" s="72">
        <v>0</v>
      </c>
      <c r="G2330" s="72">
        <v>30.77</v>
      </c>
    </row>
    <row r="2331" spans="2:7" x14ac:dyDescent="0.25">
      <c r="B2331" s="71">
        <v>43614</v>
      </c>
      <c r="C2331" t="s">
        <v>25</v>
      </c>
      <c r="D2331" t="s">
        <v>82</v>
      </c>
      <c r="E2331" t="s">
        <v>217</v>
      </c>
      <c r="F2331" s="72">
        <v>4.5</v>
      </c>
      <c r="G2331" s="72">
        <v>0</v>
      </c>
    </row>
    <row r="2332" spans="2:7" x14ac:dyDescent="0.25">
      <c r="B2332" s="71">
        <v>43614</v>
      </c>
      <c r="C2332" t="s">
        <v>25</v>
      </c>
      <c r="D2332" t="s">
        <v>82</v>
      </c>
      <c r="E2332" t="s">
        <v>196</v>
      </c>
      <c r="F2332" s="72">
        <v>9</v>
      </c>
      <c r="G2332" s="72">
        <v>0</v>
      </c>
    </row>
    <row r="2333" spans="2:7" x14ac:dyDescent="0.25">
      <c r="B2333" s="71">
        <v>43614</v>
      </c>
      <c r="C2333" t="s">
        <v>25</v>
      </c>
      <c r="D2333" t="s">
        <v>85</v>
      </c>
      <c r="E2333" t="s">
        <v>319</v>
      </c>
      <c r="F2333" s="72">
        <v>19</v>
      </c>
      <c r="G2333" s="72">
        <v>0</v>
      </c>
    </row>
    <row r="2334" spans="2:7" x14ac:dyDescent="0.25">
      <c r="B2334" s="71">
        <v>43614</v>
      </c>
      <c r="C2334" t="s">
        <v>47</v>
      </c>
      <c r="D2334" t="s">
        <v>85</v>
      </c>
      <c r="E2334" t="s">
        <v>319</v>
      </c>
      <c r="F2334" s="72">
        <v>5</v>
      </c>
      <c r="G2334" s="72">
        <v>0</v>
      </c>
    </row>
    <row r="2335" spans="2:7" x14ac:dyDescent="0.25">
      <c r="B2335" s="71">
        <v>43614</v>
      </c>
      <c r="C2335" t="s">
        <v>48</v>
      </c>
      <c r="D2335" t="s">
        <v>85</v>
      </c>
      <c r="E2335" t="s">
        <v>319</v>
      </c>
      <c r="F2335" s="72">
        <v>42</v>
      </c>
      <c r="G2335" s="72">
        <v>0</v>
      </c>
    </row>
    <row r="2336" spans="2:7" x14ac:dyDescent="0.25">
      <c r="B2336" s="71">
        <v>43614</v>
      </c>
      <c r="C2336" t="s">
        <v>44</v>
      </c>
      <c r="D2336" t="s">
        <v>86</v>
      </c>
      <c r="E2336" t="s">
        <v>319</v>
      </c>
      <c r="F2336" s="72">
        <v>3909</v>
      </c>
      <c r="G2336" s="72">
        <v>0</v>
      </c>
    </row>
    <row r="2337" spans="2:7" x14ac:dyDescent="0.25">
      <c r="B2337" s="71">
        <v>43614</v>
      </c>
      <c r="C2337" t="s">
        <v>21</v>
      </c>
      <c r="D2337" t="s">
        <v>80</v>
      </c>
      <c r="E2337" t="s">
        <v>319</v>
      </c>
      <c r="F2337" s="72">
        <v>8</v>
      </c>
      <c r="G2337" s="72">
        <v>0</v>
      </c>
    </row>
    <row r="2338" spans="2:7" x14ac:dyDescent="0.25">
      <c r="B2338" s="71">
        <v>43614</v>
      </c>
      <c r="C2338" t="s">
        <v>21</v>
      </c>
      <c r="D2338" t="s">
        <v>80</v>
      </c>
      <c r="E2338" t="s">
        <v>319</v>
      </c>
      <c r="F2338" s="72">
        <v>16</v>
      </c>
      <c r="G2338" s="72">
        <v>0</v>
      </c>
    </row>
    <row r="2339" spans="2:7" x14ac:dyDescent="0.25">
      <c r="B2339" s="71">
        <v>43614</v>
      </c>
      <c r="C2339" t="s">
        <v>49</v>
      </c>
      <c r="D2339" t="s">
        <v>110</v>
      </c>
      <c r="E2339" t="s">
        <v>227</v>
      </c>
      <c r="F2339" s="72">
        <v>0</v>
      </c>
      <c r="G2339" s="72">
        <v>10400</v>
      </c>
    </row>
    <row r="2340" spans="2:7" x14ac:dyDescent="0.25">
      <c r="B2340" s="71">
        <v>43614</v>
      </c>
      <c r="C2340" t="s">
        <v>53</v>
      </c>
      <c r="D2340" t="s">
        <v>80</v>
      </c>
      <c r="E2340" t="s">
        <v>319</v>
      </c>
      <c r="F2340" s="72">
        <v>9.08</v>
      </c>
      <c r="G2340" s="72">
        <v>0</v>
      </c>
    </row>
    <row r="2341" spans="2:7" x14ac:dyDescent="0.25">
      <c r="B2341" s="71">
        <v>43614</v>
      </c>
      <c r="C2341" t="s">
        <v>54</v>
      </c>
      <c r="D2341" t="s">
        <v>87</v>
      </c>
      <c r="E2341" t="s">
        <v>319</v>
      </c>
      <c r="F2341" s="72">
        <v>28</v>
      </c>
      <c r="G2341" s="72">
        <v>0</v>
      </c>
    </row>
    <row r="2342" spans="2:7" x14ac:dyDescent="0.25">
      <c r="B2342" s="71">
        <v>43614</v>
      </c>
      <c r="C2342" t="s">
        <v>24</v>
      </c>
      <c r="D2342" t="s">
        <v>80</v>
      </c>
      <c r="E2342" t="s">
        <v>319</v>
      </c>
      <c r="F2342" s="72">
        <v>8</v>
      </c>
      <c r="G2342" s="72">
        <v>0</v>
      </c>
    </row>
    <row r="2343" spans="2:7" x14ac:dyDescent="0.25">
      <c r="B2343" s="71">
        <v>43615</v>
      </c>
      <c r="C2343" t="s">
        <v>25</v>
      </c>
      <c r="D2343" t="s">
        <v>80</v>
      </c>
      <c r="E2343" t="s">
        <v>320</v>
      </c>
      <c r="F2343">
        <v>8</v>
      </c>
      <c r="G2343" s="72">
        <v>0</v>
      </c>
    </row>
    <row r="2344" spans="2:7" x14ac:dyDescent="0.25">
      <c r="B2344" s="71">
        <v>43615</v>
      </c>
      <c r="C2344" t="s">
        <v>25</v>
      </c>
      <c r="D2344" t="s">
        <v>82</v>
      </c>
      <c r="E2344" t="s">
        <v>196</v>
      </c>
      <c r="F2344" s="72">
        <v>9</v>
      </c>
      <c r="G2344" s="72">
        <v>0</v>
      </c>
    </row>
    <row r="2345" spans="2:7" x14ac:dyDescent="0.25">
      <c r="B2345" s="71">
        <v>43615</v>
      </c>
      <c r="C2345" t="s">
        <v>25</v>
      </c>
      <c r="D2345" t="s">
        <v>85</v>
      </c>
      <c r="E2345" t="s">
        <v>320</v>
      </c>
      <c r="F2345" s="72">
        <v>19</v>
      </c>
      <c r="G2345" s="72">
        <v>0</v>
      </c>
    </row>
    <row r="2346" spans="2:7" x14ac:dyDescent="0.25">
      <c r="B2346" s="71">
        <v>43615</v>
      </c>
      <c r="C2346" t="s">
        <v>21</v>
      </c>
      <c r="D2346" t="s">
        <v>80</v>
      </c>
      <c r="E2346" t="s">
        <v>320</v>
      </c>
      <c r="F2346" s="72">
        <v>8</v>
      </c>
      <c r="G2346" s="72">
        <v>0</v>
      </c>
    </row>
    <row r="2347" spans="2:7" x14ac:dyDescent="0.25">
      <c r="B2347" s="71">
        <v>43615</v>
      </c>
      <c r="C2347" t="s">
        <v>21</v>
      </c>
      <c r="D2347" t="s">
        <v>80</v>
      </c>
      <c r="E2347" t="s">
        <v>320</v>
      </c>
      <c r="F2347" s="72">
        <v>16</v>
      </c>
      <c r="G2347" s="72">
        <v>0</v>
      </c>
    </row>
    <row r="2348" spans="2:7" x14ac:dyDescent="0.25">
      <c r="B2348" s="71">
        <v>43615</v>
      </c>
      <c r="C2348" t="s">
        <v>21</v>
      </c>
      <c r="D2348" t="s">
        <v>80</v>
      </c>
      <c r="E2348" t="s">
        <v>320</v>
      </c>
      <c r="F2348" s="72">
        <v>24</v>
      </c>
      <c r="G2348" s="72">
        <v>0</v>
      </c>
    </row>
    <row r="2349" spans="2:7" x14ac:dyDescent="0.25">
      <c r="B2349" s="71">
        <v>43615</v>
      </c>
      <c r="C2349" t="s">
        <v>21</v>
      </c>
      <c r="D2349" t="s">
        <v>80</v>
      </c>
      <c r="E2349" t="s">
        <v>320</v>
      </c>
      <c r="F2349" s="72">
        <v>32</v>
      </c>
      <c r="G2349" s="72">
        <v>0</v>
      </c>
    </row>
    <row r="2350" spans="2:7" x14ac:dyDescent="0.25">
      <c r="B2350" s="71">
        <v>43615</v>
      </c>
      <c r="C2350" t="s">
        <v>59</v>
      </c>
      <c r="D2350" t="s">
        <v>83</v>
      </c>
      <c r="E2350" t="s">
        <v>320</v>
      </c>
      <c r="F2350" s="72">
        <v>20</v>
      </c>
      <c r="G2350" s="72">
        <v>0</v>
      </c>
    </row>
    <row r="2351" spans="2:7" x14ac:dyDescent="0.25">
      <c r="B2351" s="71">
        <v>43615</v>
      </c>
      <c r="C2351" t="s">
        <v>62</v>
      </c>
      <c r="D2351" t="s">
        <v>85</v>
      </c>
      <c r="E2351" t="s">
        <v>320</v>
      </c>
      <c r="F2351" s="72">
        <v>95.6</v>
      </c>
      <c r="G2351" s="72">
        <v>0</v>
      </c>
    </row>
    <row r="2352" spans="2:7" x14ac:dyDescent="0.25">
      <c r="B2352" s="71">
        <v>43616</v>
      </c>
      <c r="C2352" t="s">
        <v>25</v>
      </c>
      <c r="D2352" t="s">
        <v>82</v>
      </c>
      <c r="E2352" t="s">
        <v>218</v>
      </c>
      <c r="F2352" s="72">
        <v>6.75</v>
      </c>
      <c r="G2352" s="72">
        <v>0</v>
      </c>
    </row>
    <row r="2353" spans="2:7" x14ac:dyDescent="0.25">
      <c r="B2353" s="71">
        <v>43616</v>
      </c>
      <c r="C2353" t="s">
        <v>25</v>
      </c>
      <c r="D2353" t="s">
        <v>82</v>
      </c>
      <c r="E2353" t="s">
        <v>156</v>
      </c>
      <c r="F2353" s="72">
        <v>2.25</v>
      </c>
      <c r="G2353" s="72">
        <v>0</v>
      </c>
    </row>
    <row r="2354" spans="2:7" x14ac:dyDescent="0.25">
      <c r="B2354" s="71">
        <v>43616</v>
      </c>
      <c r="C2354" t="s">
        <v>25</v>
      </c>
      <c r="D2354" t="s">
        <v>82</v>
      </c>
      <c r="E2354" t="s">
        <v>321</v>
      </c>
      <c r="F2354" s="72">
        <v>2.65</v>
      </c>
      <c r="G2354" s="72">
        <v>0</v>
      </c>
    </row>
    <row r="2355" spans="2:7" x14ac:dyDescent="0.25">
      <c r="B2355" s="71">
        <v>43617</v>
      </c>
      <c r="C2355" t="s">
        <v>25</v>
      </c>
      <c r="D2355" t="s">
        <v>80</v>
      </c>
      <c r="E2355" t="s">
        <v>322</v>
      </c>
      <c r="F2355" s="72">
        <v>8</v>
      </c>
      <c r="G2355" s="72">
        <v>0</v>
      </c>
    </row>
    <row r="2356" spans="2:7" x14ac:dyDescent="0.25">
      <c r="B2356" s="71">
        <v>43617</v>
      </c>
      <c r="C2356" t="s">
        <v>25</v>
      </c>
      <c r="D2356" t="s">
        <v>86</v>
      </c>
      <c r="E2356" t="s">
        <v>322</v>
      </c>
      <c r="F2356" s="72">
        <v>30</v>
      </c>
      <c r="G2356" s="72">
        <v>0</v>
      </c>
    </row>
    <row r="2357" spans="2:7" x14ac:dyDescent="0.25">
      <c r="B2357" s="71">
        <v>43617</v>
      </c>
      <c r="C2357" t="s">
        <v>25</v>
      </c>
      <c r="D2357" t="s">
        <v>85</v>
      </c>
      <c r="E2357" t="s">
        <v>322</v>
      </c>
      <c r="F2357" s="72">
        <v>144</v>
      </c>
      <c r="G2357" s="72">
        <v>0</v>
      </c>
    </row>
    <row r="2358" spans="2:7" x14ac:dyDescent="0.25">
      <c r="B2358" s="71">
        <v>43617</v>
      </c>
      <c r="C2358" t="s">
        <v>55</v>
      </c>
      <c r="D2358" t="s">
        <v>80</v>
      </c>
      <c r="E2358" t="s">
        <v>322</v>
      </c>
      <c r="F2358" s="72">
        <v>80.489999999999995</v>
      </c>
      <c r="G2358" s="72">
        <v>0</v>
      </c>
    </row>
    <row r="2359" spans="2:7" x14ac:dyDescent="0.25">
      <c r="B2359" s="71">
        <v>43617</v>
      </c>
      <c r="C2359" t="s">
        <v>55</v>
      </c>
      <c r="D2359" t="s">
        <v>87</v>
      </c>
      <c r="E2359" t="s">
        <v>322</v>
      </c>
      <c r="F2359" s="72">
        <v>1227.23</v>
      </c>
      <c r="G2359" s="72">
        <v>0</v>
      </c>
    </row>
    <row r="2360" spans="2:7" x14ac:dyDescent="0.25">
      <c r="B2360" s="71">
        <v>43617</v>
      </c>
      <c r="C2360" t="s">
        <v>47</v>
      </c>
      <c r="D2360" t="s">
        <v>85</v>
      </c>
      <c r="E2360" t="s">
        <v>322</v>
      </c>
      <c r="F2360" s="72">
        <v>10</v>
      </c>
      <c r="G2360" s="72">
        <v>0</v>
      </c>
    </row>
    <row r="2361" spans="2:7" x14ac:dyDescent="0.25">
      <c r="B2361" s="71">
        <v>43617</v>
      </c>
      <c r="C2361" t="s">
        <v>60</v>
      </c>
      <c r="D2361" t="s">
        <v>85</v>
      </c>
      <c r="E2361" t="s">
        <v>322</v>
      </c>
      <c r="F2361" s="72">
        <v>20</v>
      </c>
      <c r="G2361" s="72">
        <v>0</v>
      </c>
    </row>
    <row r="2362" spans="2:7" x14ac:dyDescent="0.25">
      <c r="B2362" s="71">
        <v>43617</v>
      </c>
      <c r="C2362" t="s">
        <v>48</v>
      </c>
      <c r="D2362" t="s">
        <v>85</v>
      </c>
      <c r="E2362" t="s">
        <v>322</v>
      </c>
      <c r="F2362" s="72">
        <v>35</v>
      </c>
      <c r="G2362" s="72">
        <v>0</v>
      </c>
    </row>
    <row r="2363" spans="2:7" x14ac:dyDescent="0.25">
      <c r="B2363" s="71">
        <v>43617</v>
      </c>
      <c r="C2363" t="s">
        <v>52</v>
      </c>
      <c r="D2363" t="s">
        <v>85</v>
      </c>
      <c r="E2363" t="s">
        <v>322</v>
      </c>
      <c r="F2363" s="72">
        <v>163.58000000000001</v>
      </c>
      <c r="G2363" s="72">
        <v>0</v>
      </c>
    </row>
    <row r="2364" spans="2:7" x14ac:dyDescent="0.25">
      <c r="B2364" s="71">
        <v>43617</v>
      </c>
      <c r="C2364" t="s">
        <v>21</v>
      </c>
      <c r="D2364" t="s">
        <v>80</v>
      </c>
      <c r="E2364" t="s">
        <v>322</v>
      </c>
      <c r="F2364" s="72">
        <v>16</v>
      </c>
      <c r="G2364" s="72">
        <v>0</v>
      </c>
    </row>
    <row r="2365" spans="2:7" x14ac:dyDescent="0.25">
      <c r="B2365" s="71">
        <v>43617</v>
      </c>
      <c r="C2365" t="s">
        <v>21</v>
      </c>
      <c r="D2365" t="s">
        <v>80</v>
      </c>
      <c r="E2365" t="s">
        <v>322</v>
      </c>
      <c r="F2365" s="72">
        <v>32</v>
      </c>
      <c r="G2365" s="72">
        <v>0</v>
      </c>
    </row>
    <row r="2366" spans="2:7" x14ac:dyDescent="0.25">
      <c r="B2366" s="71">
        <v>43617</v>
      </c>
      <c r="C2366" t="s">
        <v>21</v>
      </c>
      <c r="D2366" t="s">
        <v>80</v>
      </c>
      <c r="E2366" t="s">
        <v>322</v>
      </c>
      <c r="F2366" s="72">
        <v>56</v>
      </c>
      <c r="G2366" s="72">
        <v>0</v>
      </c>
    </row>
    <row r="2367" spans="2:7" x14ac:dyDescent="0.25">
      <c r="B2367" s="71">
        <v>43617</v>
      </c>
      <c r="C2367" t="s">
        <v>21</v>
      </c>
      <c r="D2367" t="s">
        <v>80</v>
      </c>
      <c r="E2367" t="s">
        <v>322</v>
      </c>
      <c r="F2367" s="72">
        <v>72</v>
      </c>
      <c r="G2367" s="72">
        <v>0</v>
      </c>
    </row>
    <row r="2368" spans="2:7" x14ac:dyDescent="0.25">
      <c r="B2368" s="71">
        <v>43617</v>
      </c>
      <c r="C2368" t="s">
        <v>21</v>
      </c>
      <c r="D2368" t="s">
        <v>80</v>
      </c>
      <c r="E2368" t="s">
        <v>322</v>
      </c>
      <c r="F2368" s="72">
        <v>88</v>
      </c>
      <c r="G2368" s="72">
        <v>0</v>
      </c>
    </row>
    <row r="2369" spans="2:7" x14ac:dyDescent="0.25">
      <c r="B2369" s="71">
        <v>43617</v>
      </c>
      <c r="C2369" t="s">
        <v>21</v>
      </c>
      <c r="D2369" t="s">
        <v>85</v>
      </c>
      <c r="E2369" t="s">
        <v>322</v>
      </c>
      <c r="F2369" s="72">
        <v>234</v>
      </c>
      <c r="G2369" s="72">
        <v>0</v>
      </c>
    </row>
    <row r="2370" spans="2:7" x14ac:dyDescent="0.25">
      <c r="B2370" s="71">
        <v>43617</v>
      </c>
      <c r="C2370" t="s">
        <v>21</v>
      </c>
      <c r="D2370" t="s">
        <v>85</v>
      </c>
      <c r="E2370" t="s">
        <v>322</v>
      </c>
      <c r="F2370" s="72">
        <v>338</v>
      </c>
      <c r="G2370" s="72">
        <v>0</v>
      </c>
    </row>
    <row r="2371" spans="2:7" x14ac:dyDescent="0.25">
      <c r="B2371" s="71">
        <v>43617</v>
      </c>
      <c r="C2371" t="s">
        <v>51</v>
      </c>
      <c r="D2371" t="s">
        <v>86</v>
      </c>
      <c r="E2371" t="s">
        <v>322</v>
      </c>
      <c r="F2371" s="72">
        <v>19.95</v>
      </c>
      <c r="G2371" s="72">
        <v>0</v>
      </c>
    </row>
    <row r="2372" spans="2:7" x14ac:dyDescent="0.25">
      <c r="B2372" s="71">
        <v>43617</v>
      </c>
      <c r="C2372" t="s">
        <v>54</v>
      </c>
      <c r="D2372" t="s">
        <v>85</v>
      </c>
      <c r="E2372" t="s">
        <v>322</v>
      </c>
      <c r="F2372" s="72">
        <v>10</v>
      </c>
      <c r="G2372" s="72">
        <v>0</v>
      </c>
    </row>
    <row r="2373" spans="2:7" x14ac:dyDescent="0.25">
      <c r="B2373" s="71">
        <v>43617</v>
      </c>
      <c r="C2373" t="s">
        <v>24</v>
      </c>
      <c r="D2373" t="s">
        <v>80</v>
      </c>
      <c r="E2373" t="s">
        <v>322</v>
      </c>
      <c r="F2373" s="72">
        <v>8</v>
      </c>
      <c r="G2373" s="72">
        <v>0</v>
      </c>
    </row>
    <row r="2374" spans="2:7" x14ac:dyDescent="0.25">
      <c r="B2374" s="71">
        <v>43617</v>
      </c>
      <c r="C2374" t="s">
        <v>24</v>
      </c>
      <c r="D2374" t="s">
        <v>80</v>
      </c>
      <c r="E2374" t="s">
        <v>322</v>
      </c>
      <c r="F2374" s="72">
        <v>16</v>
      </c>
      <c r="G2374" s="72">
        <v>0</v>
      </c>
    </row>
    <row r="2375" spans="2:7" x14ac:dyDescent="0.25">
      <c r="B2375" s="71">
        <v>43617</v>
      </c>
      <c r="C2375" t="s">
        <v>24</v>
      </c>
      <c r="D2375" t="s">
        <v>85</v>
      </c>
      <c r="E2375" t="s">
        <v>322</v>
      </c>
      <c r="F2375" s="72">
        <v>266</v>
      </c>
      <c r="G2375" s="72">
        <v>0</v>
      </c>
    </row>
    <row r="2376" spans="2:7" x14ac:dyDescent="0.25">
      <c r="B2376" s="71">
        <v>43619</v>
      </c>
      <c r="C2376" t="s">
        <v>25</v>
      </c>
      <c r="D2376" t="s">
        <v>81</v>
      </c>
      <c r="E2376" t="s">
        <v>323</v>
      </c>
      <c r="F2376" s="72">
        <v>9.65</v>
      </c>
      <c r="G2376" s="72">
        <v>0</v>
      </c>
    </row>
    <row r="2377" spans="2:7" x14ac:dyDescent="0.25">
      <c r="B2377" s="71">
        <v>43619</v>
      </c>
      <c r="C2377" t="s">
        <v>25</v>
      </c>
      <c r="D2377" t="s">
        <v>81</v>
      </c>
      <c r="E2377" t="s">
        <v>323</v>
      </c>
      <c r="F2377" s="72">
        <v>13.08</v>
      </c>
      <c r="G2377" s="72">
        <v>0</v>
      </c>
    </row>
    <row r="2378" spans="2:7" x14ac:dyDescent="0.25">
      <c r="B2378" s="71">
        <v>43619</v>
      </c>
      <c r="C2378" t="s">
        <v>25</v>
      </c>
      <c r="D2378" t="s">
        <v>81</v>
      </c>
      <c r="E2378" t="s">
        <v>323</v>
      </c>
      <c r="F2378" s="72">
        <v>23.99</v>
      </c>
      <c r="G2378" s="72">
        <v>0</v>
      </c>
    </row>
    <row r="2379" spans="2:7" x14ac:dyDescent="0.25">
      <c r="B2379" s="71">
        <v>43619</v>
      </c>
      <c r="C2379" t="s">
        <v>25</v>
      </c>
      <c r="D2379" t="s">
        <v>81</v>
      </c>
      <c r="E2379" t="s">
        <v>323</v>
      </c>
      <c r="F2379" s="72">
        <v>24.07</v>
      </c>
      <c r="G2379" s="72">
        <v>0</v>
      </c>
    </row>
    <row r="2380" spans="2:7" x14ac:dyDescent="0.25">
      <c r="B2380" s="71">
        <v>43619</v>
      </c>
      <c r="C2380" t="s">
        <v>25</v>
      </c>
      <c r="D2380" t="s">
        <v>81</v>
      </c>
      <c r="E2380" t="s">
        <v>323</v>
      </c>
      <c r="F2380" s="72">
        <v>104</v>
      </c>
      <c r="G2380" s="72">
        <v>0</v>
      </c>
    </row>
    <row r="2381" spans="2:7" x14ac:dyDescent="0.25">
      <c r="B2381" s="71">
        <v>43619</v>
      </c>
      <c r="C2381" t="s">
        <v>25</v>
      </c>
      <c r="D2381" t="s">
        <v>88</v>
      </c>
      <c r="E2381" t="s">
        <v>323</v>
      </c>
      <c r="F2381" s="72">
        <v>20.45</v>
      </c>
      <c r="G2381" s="72">
        <v>0</v>
      </c>
    </row>
    <row r="2382" spans="2:7" x14ac:dyDescent="0.25">
      <c r="B2382" s="71">
        <v>43619</v>
      </c>
      <c r="C2382" t="s">
        <v>25</v>
      </c>
      <c r="D2382" t="s">
        <v>88</v>
      </c>
      <c r="E2382" t="s">
        <v>323</v>
      </c>
      <c r="F2382" s="72">
        <v>25.47</v>
      </c>
      <c r="G2382" s="72">
        <v>0</v>
      </c>
    </row>
    <row r="2383" spans="2:7" x14ac:dyDescent="0.25">
      <c r="B2383" s="71">
        <v>43619</v>
      </c>
      <c r="C2383" t="s">
        <v>25</v>
      </c>
      <c r="D2383" t="s">
        <v>88</v>
      </c>
      <c r="E2383" t="s">
        <v>323</v>
      </c>
      <c r="F2383" s="72">
        <v>27.45</v>
      </c>
      <c r="G2383" s="72">
        <v>0</v>
      </c>
    </row>
    <row r="2384" spans="2:7" x14ac:dyDescent="0.25">
      <c r="B2384" s="71">
        <v>43619</v>
      </c>
      <c r="C2384" t="s">
        <v>25</v>
      </c>
      <c r="D2384" t="s">
        <v>88</v>
      </c>
      <c r="E2384" t="s">
        <v>323</v>
      </c>
      <c r="F2384" s="72">
        <v>28.75</v>
      </c>
      <c r="G2384" s="72">
        <v>0</v>
      </c>
    </row>
    <row r="2385" spans="2:7" x14ac:dyDescent="0.25">
      <c r="B2385" s="71">
        <v>43619</v>
      </c>
      <c r="C2385" t="s">
        <v>25</v>
      </c>
      <c r="D2385" t="s">
        <v>88</v>
      </c>
      <c r="E2385" t="s">
        <v>323</v>
      </c>
      <c r="F2385" s="72">
        <v>31.38</v>
      </c>
      <c r="G2385" s="72">
        <v>0</v>
      </c>
    </row>
    <row r="2386" spans="2:7" x14ac:dyDescent="0.25">
      <c r="B2386" s="71">
        <v>43619</v>
      </c>
      <c r="C2386" t="s">
        <v>25</v>
      </c>
      <c r="D2386" t="s">
        <v>88</v>
      </c>
      <c r="E2386" t="s">
        <v>323</v>
      </c>
      <c r="F2386" s="72">
        <v>39</v>
      </c>
      <c r="G2386" s="72">
        <v>0</v>
      </c>
    </row>
    <row r="2387" spans="2:7" x14ac:dyDescent="0.25">
      <c r="B2387" s="71">
        <v>43619</v>
      </c>
      <c r="C2387" t="s">
        <v>25</v>
      </c>
      <c r="D2387" t="s">
        <v>88</v>
      </c>
      <c r="E2387" t="s">
        <v>323</v>
      </c>
      <c r="F2387" s="72">
        <v>63.06</v>
      </c>
      <c r="G2387" s="72">
        <v>0</v>
      </c>
    </row>
    <row r="2388" spans="2:7" x14ac:dyDescent="0.25">
      <c r="B2388" s="71">
        <v>43619</v>
      </c>
      <c r="C2388" t="s">
        <v>25</v>
      </c>
      <c r="D2388" t="s">
        <v>88</v>
      </c>
      <c r="E2388" t="s">
        <v>323</v>
      </c>
      <c r="F2388" s="72">
        <v>67.3</v>
      </c>
      <c r="G2388" s="72">
        <v>0</v>
      </c>
    </row>
    <row r="2389" spans="2:7" x14ac:dyDescent="0.25">
      <c r="B2389" s="71">
        <v>43619</v>
      </c>
      <c r="C2389" t="s">
        <v>25</v>
      </c>
      <c r="D2389" t="s">
        <v>88</v>
      </c>
      <c r="E2389" t="s">
        <v>323</v>
      </c>
      <c r="F2389" s="72">
        <v>73.05</v>
      </c>
      <c r="G2389" s="72">
        <v>0</v>
      </c>
    </row>
    <row r="2390" spans="2:7" x14ac:dyDescent="0.25">
      <c r="B2390" s="71">
        <v>43619</v>
      </c>
      <c r="C2390" t="s">
        <v>25</v>
      </c>
      <c r="D2390" t="s">
        <v>88</v>
      </c>
      <c r="E2390" t="s">
        <v>323</v>
      </c>
      <c r="F2390" s="72">
        <v>77.98</v>
      </c>
      <c r="G2390" s="72">
        <v>0</v>
      </c>
    </row>
    <row r="2391" spans="2:7" x14ac:dyDescent="0.25">
      <c r="B2391" s="71">
        <v>43619</v>
      </c>
      <c r="C2391" t="s">
        <v>25</v>
      </c>
      <c r="D2391" t="s">
        <v>88</v>
      </c>
      <c r="E2391" t="s">
        <v>323</v>
      </c>
      <c r="F2391" s="72">
        <v>80.03</v>
      </c>
      <c r="G2391" s="72">
        <v>0</v>
      </c>
    </row>
    <row r="2392" spans="2:7" x14ac:dyDescent="0.25">
      <c r="B2392" s="71">
        <v>43619</v>
      </c>
      <c r="C2392" t="s">
        <v>25</v>
      </c>
      <c r="D2392" t="s">
        <v>88</v>
      </c>
      <c r="E2392" t="s">
        <v>323</v>
      </c>
      <c r="F2392" s="72">
        <v>93.56</v>
      </c>
      <c r="G2392" s="72">
        <v>0</v>
      </c>
    </row>
    <row r="2393" spans="2:7" x14ac:dyDescent="0.25">
      <c r="B2393" s="71">
        <v>43619</v>
      </c>
      <c r="C2393" t="s">
        <v>25</v>
      </c>
      <c r="D2393" t="s">
        <v>88</v>
      </c>
      <c r="E2393" t="s">
        <v>323</v>
      </c>
      <c r="F2393" s="72">
        <v>170.2</v>
      </c>
      <c r="G2393" s="72">
        <v>0</v>
      </c>
    </row>
    <row r="2394" spans="2:7" x14ac:dyDescent="0.25">
      <c r="B2394" s="71">
        <v>43619</v>
      </c>
      <c r="C2394" t="s">
        <v>25</v>
      </c>
      <c r="D2394" t="s">
        <v>82</v>
      </c>
      <c r="E2394" t="s">
        <v>215</v>
      </c>
      <c r="F2394" s="72">
        <v>2.25</v>
      </c>
      <c r="G2394" s="72">
        <v>0</v>
      </c>
    </row>
    <row r="2395" spans="2:7" x14ac:dyDescent="0.25">
      <c r="B2395" s="71">
        <v>43619</v>
      </c>
      <c r="C2395" t="s">
        <v>55</v>
      </c>
      <c r="D2395" t="s">
        <v>81</v>
      </c>
      <c r="E2395" t="s">
        <v>323</v>
      </c>
      <c r="F2395" s="72">
        <v>38.159999999999997</v>
      </c>
      <c r="G2395" s="72">
        <v>0</v>
      </c>
    </row>
    <row r="2396" spans="2:7" x14ac:dyDescent="0.25">
      <c r="B2396" s="71">
        <v>43619</v>
      </c>
      <c r="C2396" t="s">
        <v>60</v>
      </c>
      <c r="D2396" t="s">
        <v>85</v>
      </c>
      <c r="E2396" t="s">
        <v>323</v>
      </c>
      <c r="F2396" s="72">
        <v>57.25</v>
      </c>
      <c r="G2396" s="72">
        <v>0</v>
      </c>
    </row>
    <row r="2397" spans="2:7" x14ac:dyDescent="0.25">
      <c r="B2397" s="71">
        <v>43619</v>
      </c>
      <c r="C2397" t="s">
        <v>45</v>
      </c>
      <c r="D2397" t="s">
        <v>81</v>
      </c>
      <c r="E2397" t="s">
        <v>323</v>
      </c>
      <c r="F2397" s="72">
        <v>65.12</v>
      </c>
      <c r="G2397" s="72">
        <v>0</v>
      </c>
    </row>
    <row r="2398" spans="2:7" x14ac:dyDescent="0.25">
      <c r="B2398" s="71">
        <v>43619</v>
      </c>
      <c r="C2398" t="s">
        <v>21</v>
      </c>
      <c r="D2398" t="s">
        <v>80</v>
      </c>
      <c r="E2398" t="s">
        <v>323</v>
      </c>
      <c r="F2398" s="72">
        <v>8</v>
      </c>
      <c r="G2398" s="72">
        <v>0</v>
      </c>
    </row>
    <row r="2399" spans="2:7" x14ac:dyDescent="0.25">
      <c r="B2399" s="71">
        <v>43619</v>
      </c>
      <c r="C2399" t="s">
        <v>21</v>
      </c>
      <c r="D2399" t="s">
        <v>80</v>
      </c>
      <c r="E2399" t="s">
        <v>323</v>
      </c>
      <c r="F2399" s="72">
        <v>24</v>
      </c>
      <c r="G2399" s="72">
        <v>0</v>
      </c>
    </row>
    <row r="2400" spans="2:7" x14ac:dyDescent="0.25">
      <c r="B2400" s="71">
        <v>43619</v>
      </c>
      <c r="C2400" t="s">
        <v>21</v>
      </c>
      <c r="D2400" t="s">
        <v>80</v>
      </c>
      <c r="E2400" t="s">
        <v>323</v>
      </c>
      <c r="F2400" s="72">
        <v>48</v>
      </c>
      <c r="G2400" s="72">
        <v>0</v>
      </c>
    </row>
    <row r="2401" spans="2:7" x14ac:dyDescent="0.25">
      <c r="B2401" s="71">
        <v>43619</v>
      </c>
      <c r="C2401" t="s">
        <v>49</v>
      </c>
      <c r="D2401" t="s">
        <v>81</v>
      </c>
      <c r="E2401" t="s">
        <v>323</v>
      </c>
      <c r="F2401" s="72">
        <v>94.5</v>
      </c>
      <c r="G2401" s="72">
        <v>0</v>
      </c>
    </row>
    <row r="2402" spans="2:7" x14ac:dyDescent="0.25">
      <c r="B2402" s="71">
        <v>43619</v>
      </c>
      <c r="C2402" t="s">
        <v>49</v>
      </c>
      <c r="D2402" t="s">
        <v>88</v>
      </c>
      <c r="E2402" t="s">
        <v>323</v>
      </c>
      <c r="F2402" s="72">
        <v>18</v>
      </c>
      <c r="G2402" s="72">
        <v>0</v>
      </c>
    </row>
    <row r="2403" spans="2:7" x14ac:dyDescent="0.25">
      <c r="B2403" s="71">
        <v>43619</v>
      </c>
      <c r="C2403" t="s">
        <v>49</v>
      </c>
      <c r="D2403" t="s">
        <v>85</v>
      </c>
      <c r="E2403" t="s">
        <v>323</v>
      </c>
      <c r="F2403" s="72">
        <v>90</v>
      </c>
      <c r="G2403" s="72">
        <v>0</v>
      </c>
    </row>
    <row r="2404" spans="2:7" x14ac:dyDescent="0.25">
      <c r="B2404" s="71">
        <v>43619</v>
      </c>
      <c r="C2404" t="s">
        <v>56</v>
      </c>
      <c r="D2404" t="s">
        <v>86</v>
      </c>
      <c r="E2404" t="s">
        <v>323</v>
      </c>
      <c r="F2404" s="72">
        <v>983.06</v>
      </c>
      <c r="G2404" s="72">
        <v>0</v>
      </c>
    </row>
    <row r="2405" spans="2:7" x14ac:dyDescent="0.25">
      <c r="B2405" s="71">
        <v>43619</v>
      </c>
      <c r="C2405" t="s">
        <v>56</v>
      </c>
      <c r="D2405" t="s">
        <v>88</v>
      </c>
      <c r="E2405" t="s">
        <v>323</v>
      </c>
      <c r="F2405" s="72">
        <v>29.86</v>
      </c>
      <c r="G2405" s="72">
        <v>0</v>
      </c>
    </row>
    <row r="2406" spans="2:7" x14ac:dyDescent="0.25">
      <c r="B2406" s="71">
        <v>43619</v>
      </c>
      <c r="C2406" t="s">
        <v>46</v>
      </c>
      <c r="D2406" t="s">
        <v>87</v>
      </c>
      <c r="E2406" t="s">
        <v>323</v>
      </c>
      <c r="F2406" s="72">
        <v>0</v>
      </c>
      <c r="G2406" s="72">
        <v>26.78</v>
      </c>
    </row>
    <row r="2407" spans="2:7" x14ac:dyDescent="0.25">
      <c r="B2407" s="71">
        <v>43619</v>
      </c>
      <c r="C2407" t="s">
        <v>51</v>
      </c>
      <c r="D2407" t="s">
        <v>84</v>
      </c>
      <c r="E2407" t="s">
        <v>323</v>
      </c>
      <c r="F2407" s="72">
        <v>100</v>
      </c>
      <c r="G2407" s="72">
        <v>0</v>
      </c>
    </row>
    <row r="2408" spans="2:7" x14ac:dyDescent="0.25">
      <c r="B2408" s="71">
        <v>43619</v>
      </c>
      <c r="C2408" t="s">
        <v>51</v>
      </c>
      <c r="D2408" t="s">
        <v>88</v>
      </c>
      <c r="E2408" t="s">
        <v>323</v>
      </c>
      <c r="F2408" s="72">
        <v>183.19</v>
      </c>
      <c r="G2408" s="72">
        <v>0</v>
      </c>
    </row>
    <row r="2409" spans="2:7" x14ac:dyDescent="0.25">
      <c r="B2409" s="71">
        <v>43619</v>
      </c>
      <c r="C2409" t="s">
        <v>70</v>
      </c>
      <c r="D2409" t="s">
        <v>88</v>
      </c>
      <c r="E2409" t="s">
        <v>323</v>
      </c>
      <c r="F2409" s="72">
        <v>96.25</v>
      </c>
      <c r="G2409" s="72">
        <v>0</v>
      </c>
    </row>
    <row r="2410" spans="2:7" x14ac:dyDescent="0.25">
      <c r="B2410" s="71">
        <v>43619</v>
      </c>
      <c r="C2410" t="s">
        <v>24</v>
      </c>
      <c r="D2410" t="s">
        <v>80</v>
      </c>
      <c r="E2410" t="s">
        <v>323</v>
      </c>
      <c r="F2410" s="72">
        <v>8</v>
      </c>
      <c r="G2410" s="72">
        <v>0</v>
      </c>
    </row>
    <row r="2411" spans="2:7" x14ac:dyDescent="0.25">
      <c r="B2411" s="71">
        <v>43619</v>
      </c>
      <c r="C2411" t="s">
        <v>61</v>
      </c>
      <c r="D2411" t="s">
        <v>88</v>
      </c>
      <c r="E2411" t="s">
        <v>323</v>
      </c>
      <c r="F2411" s="72">
        <v>59.68</v>
      </c>
      <c r="G2411" s="72">
        <v>0</v>
      </c>
    </row>
    <row r="2412" spans="2:7" x14ac:dyDescent="0.25">
      <c r="B2412" s="71">
        <v>43620</v>
      </c>
      <c r="C2412" t="s">
        <v>25</v>
      </c>
      <c r="D2412" t="s">
        <v>87</v>
      </c>
      <c r="E2412" t="s">
        <v>324</v>
      </c>
      <c r="F2412" s="72">
        <v>0</v>
      </c>
      <c r="G2412" s="72">
        <v>25.5</v>
      </c>
    </row>
    <row r="2413" spans="2:7" x14ac:dyDescent="0.25">
      <c r="B2413" s="71">
        <v>43620</v>
      </c>
      <c r="C2413" t="s">
        <v>25</v>
      </c>
      <c r="D2413" t="s">
        <v>82</v>
      </c>
      <c r="E2413" t="s">
        <v>139</v>
      </c>
      <c r="F2413" s="72">
        <v>2.4</v>
      </c>
      <c r="G2413" s="72">
        <v>0</v>
      </c>
    </row>
    <row r="2414" spans="2:7" x14ac:dyDescent="0.25">
      <c r="B2414" s="71">
        <v>43620</v>
      </c>
      <c r="C2414" t="s">
        <v>25</v>
      </c>
      <c r="D2414" t="s">
        <v>82</v>
      </c>
      <c r="E2414" t="s">
        <v>159</v>
      </c>
      <c r="F2414" s="72">
        <v>7.35</v>
      </c>
      <c r="G2414" s="72">
        <v>0</v>
      </c>
    </row>
    <row r="2415" spans="2:7" x14ac:dyDescent="0.25">
      <c r="B2415" s="71">
        <v>43620</v>
      </c>
      <c r="C2415" t="s">
        <v>48</v>
      </c>
      <c r="D2415" t="s">
        <v>86</v>
      </c>
      <c r="E2415" t="s">
        <v>324</v>
      </c>
      <c r="F2415" s="72">
        <v>50</v>
      </c>
      <c r="G2415" s="72">
        <v>0</v>
      </c>
    </row>
    <row r="2416" spans="2:7" x14ac:dyDescent="0.25">
      <c r="B2416" s="71">
        <v>43620</v>
      </c>
      <c r="C2416" t="s">
        <v>52</v>
      </c>
      <c r="D2416" t="s">
        <v>85</v>
      </c>
      <c r="E2416" t="s">
        <v>324</v>
      </c>
      <c r="F2416" s="72">
        <v>112.6</v>
      </c>
      <c r="G2416" s="72">
        <v>0</v>
      </c>
    </row>
    <row r="2417" spans="2:7" x14ac:dyDescent="0.25">
      <c r="B2417" s="71">
        <v>43620</v>
      </c>
      <c r="C2417" t="s">
        <v>21</v>
      </c>
      <c r="D2417" t="s">
        <v>80</v>
      </c>
      <c r="E2417" t="s">
        <v>324</v>
      </c>
      <c r="F2417" s="72">
        <v>8</v>
      </c>
      <c r="G2417" s="72">
        <v>0</v>
      </c>
    </row>
    <row r="2418" spans="2:7" x14ac:dyDescent="0.25">
      <c r="B2418" s="71">
        <v>43620</v>
      </c>
      <c r="C2418" t="s">
        <v>21</v>
      </c>
      <c r="D2418" t="s">
        <v>80</v>
      </c>
      <c r="E2418" t="s">
        <v>324</v>
      </c>
      <c r="F2418" s="72">
        <v>16</v>
      </c>
      <c r="G2418" s="72">
        <v>0</v>
      </c>
    </row>
    <row r="2419" spans="2:7" x14ac:dyDescent="0.25">
      <c r="B2419" s="71">
        <v>43620</v>
      </c>
      <c r="C2419" t="s">
        <v>21</v>
      </c>
      <c r="D2419" t="s">
        <v>80</v>
      </c>
      <c r="E2419" t="s">
        <v>324</v>
      </c>
      <c r="F2419" s="72">
        <v>48</v>
      </c>
      <c r="G2419" s="72">
        <v>0</v>
      </c>
    </row>
    <row r="2420" spans="2:7" x14ac:dyDescent="0.25">
      <c r="B2420" s="71">
        <v>43620</v>
      </c>
      <c r="C2420" t="s">
        <v>21</v>
      </c>
      <c r="D2420" t="s">
        <v>80</v>
      </c>
      <c r="E2420" t="s">
        <v>324</v>
      </c>
      <c r="F2420" s="72">
        <v>72</v>
      </c>
      <c r="G2420" s="72">
        <v>0</v>
      </c>
    </row>
    <row r="2421" spans="2:7" x14ac:dyDescent="0.25">
      <c r="B2421" s="71">
        <v>43620</v>
      </c>
      <c r="C2421" t="s">
        <v>21</v>
      </c>
      <c r="D2421" t="s">
        <v>80</v>
      </c>
      <c r="E2421" t="s">
        <v>324</v>
      </c>
      <c r="F2421" s="72">
        <v>104</v>
      </c>
      <c r="G2421" s="72">
        <v>0</v>
      </c>
    </row>
    <row r="2422" spans="2:7" x14ac:dyDescent="0.25">
      <c r="B2422" s="71">
        <v>43620</v>
      </c>
      <c r="C2422" t="s">
        <v>56</v>
      </c>
      <c r="D2422" t="s">
        <v>86</v>
      </c>
      <c r="E2422" t="s">
        <v>324</v>
      </c>
      <c r="F2422" s="72">
        <v>462.62</v>
      </c>
      <c r="G2422" s="72">
        <v>0</v>
      </c>
    </row>
    <row r="2423" spans="2:7" x14ac:dyDescent="0.25">
      <c r="B2423" s="71">
        <v>43620</v>
      </c>
      <c r="C2423" t="s">
        <v>76</v>
      </c>
      <c r="D2423" t="s">
        <v>85</v>
      </c>
      <c r="E2423" t="s">
        <v>324</v>
      </c>
      <c r="F2423" s="72">
        <v>180</v>
      </c>
      <c r="G2423" s="72">
        <v>0</v>
      </c>
    </row>
    <row r="2424" spans="2:7" x14ac:dyDescent="0.25">
      <c r="B2424" s="71">
        <v>43620</v>
      </c>
      <c r="C2424" t="s">
        <v>46</v>
      </c>
      <c r="D2424" t="s">
        <v>86</v>
      </c>
      <c r="E2424" t="s">
        <v>324</v>
      </c>
      <c r="F2424" s="72">
        <v>156.19999999999999</v>
      </c>
      <c r="G2424" s="72">
        <v>0</v>
      </c>
    </row>
    <row r="2425" spans="2:7" x14ac:dyDescent="0.25">
      <c r="B2425" s="71">
        <v>43620</v>
      </c>
      <c r="C2425" t="s">
        <v>51</v>
      </c>
      <c r="D2425" t="s">
        <v>85</v>
      </c>
      <c r="E2425" t="s">
        <v>324</v>
      </c>
      <c r="F2425" s="72">
        <v>4.93</v>
      </c>
      <c r="G2425" s="72">
        <v>0</v>
      </c>
    </row>
    <row r="2426" spans="2:7" x14ac:dyDescent="0.25">
      <c r="B2426" s="71">
        <v>43620</v>
      </c>
      <c r="C2426" t="s">
        <v>68</v>
      </c>
      <c r="D2426" t="s">
        <v>86</v>
      </c>
      <c r="E2426" t="s">
        <v>324</v>
      </c>
      <c r="F2426" s="72">
        <v>5100</v>
      </c>
      <c r="G2426" s="72">
        <v>0</v>
      </c>
    </row>
    <row r="2427" spans="2:7" x14ac:dyDescent="0.25">
      <c r="B2427" s="71">
        <v>43621</v>
      </c>
      <c r="C2427" t="s">
        <v>60</v>
      </c>
      <c r="D2427" t="s">
        <v>83</v>
      </c>
      <c r="E2427" t="s">
        <v>325</v>
      </c>
      <c r="F2427" s="72">
        <v>1304.44</v>
      </c>
      <c r="G2427" s="72">
        <v>0</v>
      </c>
    </row>
    <row r="2428" spans="2:7" x14ac:dyDescent="0.25">
      <c r="B2428" s="71">
        <v>43621</v>
      </c>
      <c r="C2428" t="s">
        <v>57</v>
      </c>
      <c r="D2428" t="s">
        <v>85</v>
      </c>
      <c r="E2428" t="s">
        <v>325</v>
      </c>
      <c r="F2428" s="72">
        <v>82</v>
      </c>
      <c r="G2428" s="72">
        <v>0</v>
      </c>
    </row>
    <row r="2429" spans="2:7" x14ac:dyDescent="0.25">
      <c r="B2429" s="71">
        <v>43621</v>
      </c>
      <c r="C2429" t="s">
        <v>21</v>
      </c>
      <c r="D2429" t="s">
        <v>80</v>
      </c>
      <c r="E2429" t="s">
        <v>325</v>
      </c>
      <c r="F2429" s="72">
        <v>8</v>
      </c>
      <c r="G2429" s="72">
        <v>0</v>
      </c>
    </row>
    <row r="2430" spans="2:7" x14ac:dyDescent="0.25">
      <c r="B2430" s="71">
        <v>43621</v>
      </c>
      <c r="C2430" t="s">
        <v>21</v>
      </c>
      <c r="D2430" t="s">
        <v>80</v>
      </c>
      <c r="E2430" t="s">
        <v>325</v>
      </c>
      <c r="F2430" s="72">
        <v>24</v>
      </c>
      <c r="G2430" s="72">
        <v>0</v>
      </c>
    </row>
    <row r="2431" spans="2:7" x14ac:dyDescent="0.25">
      <c r="B2431" s="71">
        <v>43621</v>
      </c>
      <c r="C2431" t="s">
        <v>67</v>
      </c>
      <c r="D2431" t="s">
        <v>80</v>
      </c>
      <c r="E2431" t="s">
        <v>325</v>
      </c>
      <c r="F2431" s="72">
        <v>39.950000000000003</v>
      </c>
      <c r="G2431" s="72">
        <v>0</v>
      </c>
    </row>
    <row r="2432" spans="2:7" x14ac:dyDescent="0.25">
      <c r="B2432" s="71">
        <v>43621</v>
      </c>
      <c r="C2432" t="s">
        <v>67</v>
      </c>
      <c r="D2432" t="s">
        <v>88</v>
      </c>
      <c r="E2432" t="s">
        <v>325</v>
      </c>
      <c r="F2432" s="72">
        <v>0</v>
      </c>
      <c r="G2432" s="72">
        <v>2550</v>
      </c>
    </row>
    <row r="2433" spans="2:7" x14ac:dyDescent="0.25">
      <c r="B2433" s="71">
        <v>43621</v>
      </c>
      <c r="C2433" t="s">
        <v>49</v>
      </c>
      <c r="D2433" t="s">
        <v>87</v>
      </c>
      <c r="E2433" t="s">
        <v>325</v>
      </c>
      <c r="F2433" s="72">
        <v>4.28</v>
      </c>
      <c r="G2433" s="72">
        <v>0</v>
      </c>
    </row>
    <row r="2434" spans="2:7" x14ac:dyDescent="0.25">
      <c r="B2434" s="71">
        <v>43621</v>
      </c>
      <c r="C2434" t="s">
        <v>54</v>
      </c>
      <c r="D2434" t="s">
        <v>86</v>
      </c>
      <c r="E2434" t="s">
        <v>325</v>
      </c>
      <c r="F2434" s="72">
        <v>342.22</v>
      </c>
      <c r="G2434" s="72">
        <v>0</v>
      </c>
    </row>
    <row r="2435" spans="2:7" x14ac:dyDescent="0.25">
      <c r="B2435" s="71">
        <v>43621</v>
      </c>
      <c r="C2435" t="s">
        <v>72</v>
      </c>
      <c r="D2435" t="s">
        <v>87</v>
      </c>
      <c r="E2435" t="s">
        <v>325</v>
      </c>
      <c r="F2435" s="72">
        <v>1436.31</v>
      </c>
      <c r="G2435" s="72">
        <v>0</v>
      </c>
    </row>
    <row r="2436" spans="2:7" x14ac:dyDescent="0.25">
      <c r="B2436" s="71">
        <v>43621</v>
      </c>
      <c r="C2436" t="s">
        <v>24</v>
      </c>
      <c r="D2436" t="s">
        <v>80</v>
      </c>
      <c r="E2436" t="s">
        <v>325</v>
      </c>
      <c r="F2436" s="72">
        <v>8</v>
      </c>
      <c r="G2436" s="72">
        <v>0</v>
      </c>
    </row>
    <row r="2437" spans="2:7" x14ac:dyDescent="0.25">
      <c r="B2437" s="71">
        <v>43621</v>
      </c>
      <c r="C2437" t="s">
        <v>62</v>
      </c>
      <c r="D2437" t="s">
        <v>87</v>
      </c>
      <c r="E2437" t="s">
        <v>325</v>
      </c>
      <c r="F2437" s="72">
        <v>170</v>
      </c>
      <c r="G2437" s="72">
        <v>0</v>
      </c>
    </row>
    <row r="2438" spans="2:7" x14ac:dyDescent="0.25">
      <c r="B2438" s="71">
        <v>43622</v>
      </c>
      <c r="C2438" t="s">
        <v>25</v>
      </c>
      <c r="D2438" t="s">
        <v>82</v>
      </c>
      <c r="E2438" t="s">
        <v>254</v>
      </c>
      <c r="F2438" s="72">
        <v>2.4</v>
      </c>
      <c r="G2438" s="72">
        <v>0</v>
      </c>
    </row>
    <row r="2439" spans="2:7" x14ac:dyDescent="0.25">
      <c r="B2439" s="71">
        <v>43622</v>
      </c>
      <c r="C2439" t="s">
        <v>25</v>
      </c>
      <c r="D2439" t="s">
        <v>82</v>
      </c>
      <c r="E2439" t="s">
        <v>188</v>
      </c>
      <c r="F2439" s="72">
        <v>6.5</v>
      </c>
      <c r="G2439" s="72">
        <v>0</v>
      </c>
    </row>
    <row r="2440" spans="2:7" x14ac:dyDescent="0.25">
      <c r="B2440" s="71">
        <v>43622</v>
      </c>
      <c r="C2440" t="s">
        <v>25</v>
      </c>
      <c r="D2440" t="s">
        <v>85</v>
      </c>
      <c r="E2440" t="s">
        <v>326</v>
      </c>
      <c r="F2440" s="72">
        <v>12</v>
      </c>
      <c r="G2440" s="72">
        <v>0</v>
      </c>
    </row>
    <row r="2441" spans="2:7" x14ac:dyDescent="0.25">
      <c r="B2441" s="71">
        <v>43622</v>
      </c>
      <c r="C2441" t="s">
        <v>55</v>
      </c>
      <c r="D2441" t="s">
        <v>86</v>
      </c>
      <c r="E2441" t="s">
        <v>326</v>
      </c>
      <c r="F2441" s="72">
        <v>181.06</v>
      </c>
      <c r="G2441" s="72">
        <v>0</v>
      </c>
    </row>
    <row r="2442" spans="2:7" x14ac:dyDescent="0.25">
      <c r="B2442" s="71">
        <v>43622</v>
      </c>
      <c r="C2442" t="s">
        <v>57</v>
      </c>
      <c r="D2442" t="s">
        <v>85</v>
      </c>
      <c r="E2442" t="s">
        <v>326</v>
      </c>
      <c r="F2442" s="72">
        <v>37</v>
      </c>
      <c r="G2442" s="72">
        <v>0</v>
      </c>
    </row>
    <row r="2443" spans="2:7" x14ac:dyDescent="0.25">
      <c r="B2443" s="71">
        <v>43622</v>
      </c>
      <c r="C2443" t="s">
        <v>21</v>
      </c>
      <c r="D2443" t="s">
        <v>80</v>
      </c>
      <c r="E2443" t="s">
        <v>326</v>
      </c>
      <c r="F2443" s="72">
        <v>8</v>
      </c>
      <c r="G2443" s="72">
        <v>0</v>
      </c>
    </row>
    <row r="2444" spans="2:7" x14ac:dyDescent="0.25">
      <c r="B2444" s="71">
        <v>43622</v>
      </c>
      <c r="C2444" t="s">
        <v>21</v>
      </c>
      <c r="D2444" t="s">
        <v>80</v>
      </c>
      <c r="E2444" t="s">
        <v>326</v>
      </c>
      <c r="F2444" s="72">
        <v>16</v>
      </c>
      <c r="G2444" s="72">
        <v>0</v>
      </c>
    </row>
    <row r="2445" spans="2:7" x14ac:dyDescent="0.25">
      <c r="B2445" s="71">
        <v>43622</v>
      </c>
      <c r="C2445" t="s">
        <v>21</v>
      </c>
      <c r="D2445" t="s">
        <v>80</v>
      </c>
      <c r="E2445" t="s">
        <v>326</v>
      </c>
      <c r="F2445" s="72">
        <v>32</v>
      </c>
      <c r="G2445" s="72">
        <v>0</v>
      </c>
    </row>
    <row r="2446" spans="2:7" x14ac:dyDescent="0.25">
      <c r="B2446" s="71">
        <v>43622</v>
      </c>
      <c r="C2446" t="s">
        <v>21</v>
      </c>
      <c r="D2446" t="s">
        <v>111</v>
      </c>
      <c r="E2446" t="s">
        <v>327</v>
      </c>
      <c r="F2446" s="72">
        <v>8</v>
      </c>
      <c r="G2446" s="72">
        <v>0</v>
      </c>
    </row>
    <row r="2447" spans="2:7" x14ac:dyDescent="0.25">
      <c r="B2447" s="71">
        <v>43622</v>
      </c>
      <c r="C2447" t="s">
        <v>21</v>
      </c>
      <c r="D2447" t="s">
        <v>112</v>
      </c>
      <c r="E2447" t="s">
        <v>327</v>
      </c>
      <c r="F2447" s="72">
        <v>24</v>
      </c>
      <c r="G2447" s="72">
        <v>0</v>
      </c>
    </row>
    <row r="2448" spans="2:7" x14ac:dyDescent="0.25">
      <c r="B2448" s="71">
        <v>43622</v>
      </c>
      <c r="C2448" t="s">
        <v>21</v>
      </c>
      <c r="D2448" t="s">
        <v>112</v>
      </c>
      <c r="E2448" t="s">
        <v>327</v>
      </c>
      <c r="F2448" s="72">
        <v>32</v>
      </c>
      <c r="G2448" s="72">
        <v>0</v>
      </c>
    </row>
    <row r="2449" spans="2:7" x14ac:dyDescent="0.25">
      <c r="B2449" s="71">
        <v>43622</v>
      </c>
      <c r="C2449" t="s">
        <v>21</v>
      </c>
      <c r="D2449" t="s">
        <v>112</v>
      </c>
      <c r="E2449" t="s">
        <v>327</v>
      </c>
      <c r="F2449" s="72">
        <v>80</v>
      </c>
      <c r="G2449" s="72">
        <v>0</v>
      </c>
    </row>
    <row r="2450" spans="2:7" x14ac:dyDescent="0.25">
      <c r="B2450" s="71">
        <v>43622</v>
      </c>
      <c r="C2450" t="s">
        <v>50</v>
      </c>
      <c r="D2450" t="s">
        <v>85</v>
      </c>
      <c r="E2450" t="s">
        <v>326</v>
      </c>
      <c r="F2450" s="72">
        <v>150</v>
      </c>
      <c r="G2450" s="72">
        <v>0</v>
      </c>
    </row>
    <row r="2451" spans="2:7" x14ac:dyDescent="0.25">
      <c r="B2451" s="71">
        <v>43622</v>
      </c>
      <c r="C2451" t="s">
        <v>51</v>
      </c>
      <c r="D2451" t="s">
        <v>85</v>
      </c>
      <c r="E2451" t="s">
        <v>326</v>
      </c>
      <c r="F2451" s="72">
        <v>1957.19</v>
      </c>
      <c r="G2451" s="72">
        <v>0</v>
      </c>
    </row>
    <row r="2452" spans="2:7" x14ac:dyDescent="0.25">
      <c r="B2452" s="71">
        <v>43622</v>
      </c>
      <c r="C2452" t="s">
        <v>24</v>
      </c>
      <c r="D2452" t="s">
        <v>80</v>
      </c>
      <c r="E2452" t="s">
        <v>326</v>
      </c>
      <c r="F2452" s="72">
        <v>8</v>
      </c>
      <c r="G2452" s="72">
        <v>0</v>
      </c>
    </row>
    <row r="2453" spans="2:7" x14ac:dyDescent="0.25">
      <c r="B2453" s="71">
        <v>43622</v>
      </c>
      <c r="C2453" t="s">
        <v>61</v>
      </c>
      <c r="D2453" t="s">
        <v>85</v>
      </c>
      <c r="E2453" t="s">
        <v>326</v>
      </c>
      <c r="F2453" s="72">
        <v>12.75</v>
      </c>
      <c r="G2453" s="72">
        <v>0</v>
      </c>
    </row>
    <row r="2454" spans="2:7" x14ac:dyDescent="0.25">
      <c r="B2454" s="71">
        <v>43623</v>
      </c>
      <c r="C2454" t="s">
        <v>25</v>
      </c>
      <c r="D2454" t="s">
        <v>82</v>
      </c>
      <c r="E2454" t="s">
        <v>154</v>
      </c>
      <c r="F2454" s="72">
        <v>3.7</v>
      </c>
      <c r="G2454" s="72">
        <v>0</v>
      </c>
    </row>
    <row r="2455" spans="2:7" x14ac:dyDescent="0.25">
      <c r="B2455" s="71">
        <v>43623</v>
      </c>
      <c r="C2455" t="s">
        <v>25</v>
      </c>
      <c r="D2455" t="s">
        <v>82</v>
      </c>
      <c r="E2455" t="s">
        <v>180</v>
      </c>
      <c r="F2455" s="72">
        <v>1.8</v>
      </c>
      <c r="G2455" s="72">
        <v>0</v>
      </c>
    </row>
    <row r="2456" spans="2:7" x14ac:dyDescent="0.25">
      <c r="B2456" s="71">
        <v>43623</v>
      </c>
      <c r="C2456" t="s">
        <v>60</v>
      </c>
      <c r="D2456" t="s">
        <v>87</v>
      </c>
      <c r="E2456" t="s">
        <v>328</v>
      </c>
      <c r="F2456" s="72">
        <v>174.78</v>
      </c>
      <c r="G2456" s="72">
        <v>0</v>
      </c>
    </row>
    <row r="2457" spans="2:7" x14ac:dyDescent="0.25">
      <c r="B2457" s="71">
        <v>43623</v>
      </c>
      <c r="C2457" t="s">
        <v>21</v>
      </c>
      <c r="D2457" t="s">
        <v>80</v>
      </c>
      <c r="E2457" t="s">
        <v>328</v>
      </c>
      <c r="F2457" s="72">
        <v>8</v>
      </c>
      <c r="G2457" s="72">
        <v>0</v>
      </c>
    </row>
    <row r="2458" spans="2:7" x14ac:dyDescent="0.25">
      <c r="B2458" s="71">
        <v>43623</v>
      </c>
      <c r="C2458" t="s">
        <v>21</v>
      </c>
      <c r="D2458" t="s">
        <v>80</v>
      </c>
      <c r="E2458" t="s">
        <v>328</v>
      </c>
      <c r="F2458" s="72">
        <v>16</v>
      </c>
      <c r="G2458" s="72">
        <v>0</v>
      </c>
    </row>
    <row r="2459" spans="2:7" x14ac:dyDescent="0.25">
      <c r="B2459" s="71">
        <v>43623</v>
      </c>
      <c r="C2459" t="s">
        <v>21</v>
      </c>
      <c r="D2459" t="s">
        <v>80</v>
      </c>
      <c r="E2459" t="s">
        <v>328</v>
      </c>
      <c r="F2459" s="72">
        <v>32</v>
      </c>
      <c r="G2459" s="72">
        <v>0</v>
      </c>
    </row>
    <row r="2460" spans="2:7" x14ac:dyDescent="0.25">
      <c r="B2460" s="71">
        <v>43623</v>
      </c>
      <c r="C2460" t="s">
        <v>21</v>
      </c>
      <c r="D2460" t="s">
        <v>80</v>
      </c>
      <c r="E2460" t="s">
        <v>328</v>
      </c>
      <c r="F2460" s="72">
        <v>48</v>
      </c>
      <c r="G2460" s="72">
        <v>0</v>
      </c>
    </row>
    <row r="2461" spans="2:7" x14ac:dyDescent="0.25">
      <c r="B2461" s="71">
        <v>43623</v>
      </c>
      <c r="C2461" t="s">
        <v>67</v>
      </c>
      <c r="D2461" t="s">
        <v>85</v>
      </c>
      <c r="E2461" t="s">
        <v>328</v>
      </c>
      <c r="F2461" s="72">
        <v>247</v>
      </c>
      <c r="G2461" s="72">
        <v>0</v>
      </c>
    </row>
    <row r="2462" spans="2:7" x14ac:dyDescent="0.25">
      <c r="B2462" s="71">
        <v>43623</v>
      </c>
      <c r="C2462" t="s">
        <v>50</v>
      </c>
      <c r="D2462" t="s">
        <v>85</v>
      </c>
      <c r="E2462" t="s">
        <v>328</v>
      </c>
      <c r="F2462" s="72">
        <v>53</v>
      </c>
      <c r="G2462" s="72">
        <v>0</v>
      </c>
    </row>
    <row r="2463" spans="2:7" x14ac:dyDescent="0.25">
      <c r="B2463" s="71">
        <v>43623</v>
      </c>
      <c r="C2463" t="s">
        <v>51</v>
      </c>
      <c r="D2463" t="s">
        <v>85</v>
      </c>
      <c r="E2463" t="s">
        <v>328</v>
      </c>
      <c r="F2463" s="72">
        <v>8.82</v>
      </c>
      <c r="G2463" s="72">
        <v>0</v>
      </c>
    </row>
    <row r="2464" spans="2:7" x14ac:dyDescent="0.25">
      <c r="B2464" s="71">
        <v>43623</v>
      </c>
      <c r="C2464" t="s">
        <v>53</v>
      </c>
      <c r="D2464" t="s">
        <v>85</v>
      </c>
      <c r="E2464" t="s">
        <v>328</v>
      </c>
      <c r="F2464" s="72">
        <v>9.43</v>
      </c>
      <c r="G2464" s="72">
        <v>0</v>
      </c>
    </row>
    <row r="2465" spans="2:7" x14ac:dyDescent="0.25">
      <c r="B2465" s="71">
        <v>43623</v>
      </c>
      <c r="C2465" t="s">
        <v>59</v>
      </c>
      <c r="D2465" t="s">
        <v>85</v>
      </c>
      <c r="E2465" t="s">
        <v>328</v>
      </c>
      <c r="F2465" s="72">
        <v>24</v>
      </c>
      <c r="G2465" s="72">
        <v>0</v>
      </c>
    </row>
    <row r="2466" spans="2:7" x14ac:dyDescent="0.25">
      <c r="B2466" s="71">
        <v>43623</v>
      </c>
      <c r="C2466" t="s">
        <v>72</v>
      </c>
      <c r="D2466" t="s">
        <v>87</v>
      </c>
      <c r="E2466" t="s">
        <v>328</v>
      </c>
      <c r="F2466" s="72">
        <v>421.36</v>
      </c>
      <c r="G2466" s="72">
        <v>0</v>
      </c>
    </row>
    <row r="2467" spans="2:7" x14ac:dyDescent="0.25">
      <c r="B2467" s="71">
        <v>43623</v>
      </c>
      <c r="C2467" t="s">
        <v>24</v>
      </c>
      <c r="D2467" t="s">
        <v>80</v>
      </c>
      <c r="E2467" t="s">
        <v>328</v>
      </c>
      <c r="F2467" s="72">
        <v>8</v>
      </c>
      <c r="G2467" s="72">
        <v>0</v>
      </c>
    </row>
    <row r="2468" spans="2:7" x14ac:dyDescent="0.25">
      <c r="B2468" s="71">
        <v>43624</v>
      </c>
      <c r="C2468" t="s">
        <v>25</v>
      </c>
      <c r="D2468" t="s">
        <v>82</v>
      </c>
      <c r="E2468" t="s">
        <v>254</v>
      </c>
      <c r="F2468" s="72">
        <v>3</v>
      </c>
      <c r="G2468" s="72">
        <v>0</v>
      </c>
    </row>
    <row r="2469" spans="2:7" x14ac:dyDescent="0.25">
      <c r="B2469" s="71">
        <v>43624</v>
      </c>
      <c r="C2469" t="s">
        <v>21</v>
      </c>
      <c r="D2469" t="s">
        <v>80</v>
      </c>
      <c r="E2469" t="s">
        <v>329</v>
      </c>
      <c r="F2469" s="72">
        <v>8</v>
      </c>
      <c r="G2469" s="72">
        <v>0</v>
      </c>
    </row>
    <row r="2470" spans="2:7" x14ac:dyDescent="0.25">
      <c r="B2470" s="71">
        <v>43624</v>
      </c>
      <c r="C2470" t="s">
        <v>21</v>
      </c>
      <c r="D2470" t="s">
        <v>80</v>
      </c>
      <c r="E2470" t="s">
        <v>329</v>
      </c>
      <c r="F2470" s="72">
        <v>16</v>
      </c>
      <c r="G2470" s="72">
        <v>0</v>
      </c>
    </row>
    <row r="2471" spans="2:7" x14ac:dyDescent="0.25">
      <c r="B2471" s="71">
        <v>43624</v>
      </c>
      <c r="C2471" t="s">
        <v>21</v>
      </c>
      <c r="D2471" t="s">
        <v>80</v>
      </c>
      <c r="E2471" t="s">
        <v>329</v>
      </c>
      <c r="F2471" s="72">
        <v>40</v>
      </c>
      <c r="G2471" s="72">
        <v>0</v>
      </c>
    </row>
    <row r="2472" spans="2:7" x14ac:dyDescent="0.25">
      <c r="B2472" s="71">
        <v>43624</v>
      </c>
      <c r="C2472" t="s">
        <v>21</v>
      </c>
      <c r="D2472" t="s">
        <v>81</v>
      </c>
      <c r="E2472" t="s">
        <v>329</v>
      </c>
      <c r="F2472" s="72">
        <v>8</v>
      </c>
      <c r="G2472" s="72">
        <v>0</v>
      </c>
    </row>
    <row r="2473" spans="2:7" x14ac:dyDescent="0.25">
      <c r="B2473" s="71">
        <v>43624</v>
      </c>
      <c r="C2473" t="s">
        <v>21</v>
      </c>
      <c r="D2473" t="s">
        <v>81</v>
      </c>
      <c r="E2473" t="s">
        <v>329</v>
      </c>
      <c r="F2473" s="72">
        <v>24</v>
      </c>
      <c r="G2473" s="72">
        <v>0</v>
      </c>
    </row>
    <row r="2474" spans="2:7" x14ac:dyDescent="0.25">
      <c r="B2474" s="71">
        <v>43624</v>
      </c>
      <c r="C2474" t="s">
        <v>21</v>
      </c>
      <c r="D2474" t="s">
        <v>81</v>
      </c>
      <c r="E2474" t="s">
        <v>329</v>
      </c>
      <c r="F2474" s="72">
        <v>32</v>
      </c>
      <c r="G2474" s="72">
        <v>0</v>
      </c>
    </row>
    <row r="2475" spans="2:7" x14ac:dyDescent="0.25">
      <c r="B2475" s="71">
        <v>43624</v>
      </c>
      <c r="C2475" t="s">
        <v>21</v>
      </c>
      <c r="D2475" t="s">
        <v>81</v>
      </c>
      <c r="E2475" t="s">
        <v>329</v>
      </c>
      <c r="F2475" s="72">
        <v>80</v>
      </c>
      <c r="G2475" s="72">
        <v>0</v>
      </c>
    </row>
    <row r="2476" spans="2:7" x14ac:dyDescent="0.25">
      <c r="B2476" s="71">
        <v>43624</v>
      </c>
      <c r="C2476" t="s">
        <v>49</v>
      </c>
      <c r="D2476" t="s">
        <v>85</v>
      </c>
      <c r="E2476" t="s">
        <v>329</v>
      </c>
      <c r="F2476" s="72">
        <v>60</v>
      </c>
      <c r="G2476" s="72">
        <v>0</v>
      </c>
    </row>
    <row r="2477" spans="2:7" x14ac:dyDescent="0.25">
      <c r="B2477" s="71">
        <v>43624</v>
      </c>
      <c r="C2477" t="s">
        <v>59</v>
      </c>
      <c r="D2477" t="s">
        <v>85</v>
      </c>
      <c r="E2477" t="s">
        <v>329</v>
      </c>
      <c r="F2477" s="72">
        <v>20</v>
      </c>
      <c r="G2477" s="72">
        <v>0</v>
      </c>
    </row>
    <row r="2478" spans="2:7" x14ac:dyDescent="0.25">
      <c r="B2478" s="71">
        <v>43624</v>
      </c>
      <c r="C2478" t="s">
        <v>72</v>
      </c>
      <c r="D2478" t="s">
        <v>85</v>
      </c>
      <c r="E2478" t="s">
        <v>329</v>
      </c>
      <c r="F2478" s="72">
        <v>120</v>
      </c>
      <c r="G2478" s="72">
        <v>0</v>
      </c>
    </row>
    <row r="2479" spans="2:7" x14ac:dyDescent="0.25">
      <c r="B2479" s="71">
        <v>43624</v>
      </c>
      <c r="C2479" t="s">
        <v>24</v>
      </c>
      <c r="D2479" t="s">
        <v>80</v>
      </c>
      <c r="E2479" t="s">
        <v>329</v>
      </c>
      <c r="F2479" s="72">
        <v>8</v>
      </c>
      <c r="G2479" s="72">
        <v>0</v>
      </c>
    </row>
    <row r="2480" spans="2:7" x14ac:dyDescent="0.25">
      <c r="B2480" s="71">
        <v>43624</v>
      </c>
      <c r="C2480" t="s">
        <v>24</v>
      </c>
      <c r="D2480" t="s">
        <v>81</v>
      </c>
      <c r="E2480" t="s">
        <v>329</v>
      </c>
      <c r="F2480">
        <v>8</v>
      </c>
      <c r="G2480" s="72">
        <v>0</v>
      </c>
    </row>
    <row r="2481" spans="2:7" x14ac:dyDescent="0.25">
      <c r="B2481" s="71">
        <v>43626</v>
      </c>
      <c r="C2481" t="s">
        <v>25</v>
      </c>
      <c r="D2481" t="s">
        <v>80</v>
      </c>
      <c r="E2481" t="s">
        <v>330</v>
      </c>
      <c r="F2481">
        <v>8</v>
      </c>
      <c r="G2481" s="72">
        <v>0</v>
      </c>
    </row>
    <row r="2482" spans="2:7" x14ac:dyDescent="0.25">
      <c r="B2482" s="71">
        <v>43626</v>
      </c>
      <c r="C2482" t="s">
        <v>25</v>
      </c>
      <c r="D2482" t="s">
        <v>81</v>
      </c>
      <c r="E2482" t="s">
        <v>330</v>
      </c>
      <c r="F2482" s="72">
        <v>30.25</v>
      </c>
      <c r="G2482" s="72">
        <v>0</v>
      </c>
    </row>
    <row r="2483" spans="2:7" x14ac:dyDescent="0.25">
      <c r="B2483" s="71">
        <v>43626</v>
      </c>
      <c r="C2483" t="s">
        <v>25</v>
      </c>
      <c r="D2483" t="s">
        <v>81</v>
      </c>
      <c r="E2483" t="s">
        <v>330</v>
      </c>
      <c r="F2483" s="72">
        <v>67.5</v>
      </c>
      <c r="G2483" s="72">
        <v>0</v>
      </c>
    </row>
    <row r="2484" spans="2:7" x14ac:dyDescent="0.25">
      <c r="B2484" s="71">
        <v>43626</v>
      </c>
      <c r="C2484" t="s">
        <v>25</v>
      </c>
      <c r="D2484" t="s">
        <v>81</v>
      </c>
      <c r="E2484" t="s">
        <v>330</v>
      </c>
      <c r="F2484" s="72">
        <v>83.03</v>
      </c>
      <c r="G2484" s="72">
        <v>0</v>
      </c>
    </row>
    <row r="2485" spans="2:7" x14ac:dyDescent="0.25">
      <c r="B2485" s="71">
        <v>43626</v>
      </c>
      <c r="C2485" t="s">
        <v>25</v>
      </c>
      <c r="D2485" t="s">
        <v>88</v>
      </c>
      <c r="E2485" t="s">
        <v>330</v>
      </c>
      <c r="F2485" s="72">
        <v>0.27</v>
      </c>
      <c r="G2485" s="72">
        <v>0</v>
      </c>
    </row>
    <row r="2486" spans="2:7" x14ac:dyDescent="0.25">
      <c r="B2486" s="71">
        <v>43626</v>
      </c>
      <c r="C2486" t="s">
        <v>25</v>
      </c>
      <c r="D2486" t="s">
        <v>88</v>
      </c>
      <c r="E2486" t="s">
        <v>330</v>
      </c>
      <c r="F2486" s="72">
        <v>17.190000000000001</v>
      </c>
      <c r="G2486" s="72">
        <v>0</v>
      </c>
    </row>
    <row r="2487" spans="2:7" x14ac:dyDescent="0.25">
      <c r="B2487" s="71">
        <v>43626</v>
      </c>
      <c r="C2487" t="s">
        <v>25</v>
      </c>
      <c r="D2487" t="s">
        <v>88</v>
      </c>
      <c r="E2487" t="s">
        <v>330</v>
      </c>
      <c r="F2487" s="72">
        <v>19.02</v>
      </c>
      <c r="G2487" s="72">
        <v>0</v>
      </c>
    </row>
    <row r="2488" spans="2:7" x14ac:dyDescent="0.25">
      <c r="B2488" s="71">
        <v>43626</v>
      </c>
      <c r="C2488" t="s">
        <v>25</v>
      </c>
      <c r="D2488" t="s">
        <v>88</v>
      </c>
      <c r="E2488" t="s">
        <v>330</v>
      </c>
      <c r="F2488" s="72">
        <v>29.69</v>
      </c>
      <c r="G2488" s="72">
        <v>0</v>
      </c>
    </row>
    <row r="2489" spans="2:7" x14ac:dyDescent="0.25">
      <c r="B2489" s="71">
        <v>43626</v>
      </c>
      <c r="C2489" t="s">
        <v>25</v>
      </c>
      <c r="D2489" t="s">
        <v>88</v>
      </c>
      <c r="E2489" t="s">
        <v>330</v>
      </c>
      <c r="F2489" s="72">
        <v>34.880000000000003</v>
      </c>
      <c r="G2489" s="72">
        <v>0</v>
      </c>
    </row>
    <row r="2490" spans="2:7" x14ac:dyDescent="0.25">
      <c r="B2490" s="71">
        <v>43626</v>
      </c>
      <c r="C2490" t="s">
        <v>25</v>
      </c>
      <c r="D2490" t="s">
        <v>88</v>
      </c>
      <c r="E2490" t="s">
        <v>330</v>
      </c>
      <c r="F2490" s="72">
        <v>42.14</v>
      </c>
      <c r="G2490" s="72">
        <v>0</v>
      </c>
    </row>
    <row r="2491" spans="2:7" x14ac:dyDescent="0.25">
      <c r="B2491" s="71">
        <v>43626</v>
      </c>
      <c r="C2491" t="s">
        <v>25</v>
      </c>
      <c r="D2491" t="s">
        <v>88</v>
      </c>
      <c r="E2491" t="s">
        <v>330</v>
      </c>
      <c r="F2491" s="72">
        <v>50.97</v>
      </c>
      <c r="G2491" s="72">
        <v>0</v>
      </c>
    </row>
    <row r="2492" spans="2:7" x14ac:dyDescent="0.25">
      <c r="B2492" s="71">
        <v>43626</v>
      </c>
      <c r="C2492" t="s">
        <v>25</v>
      </c>
      <c r="D2492" t="s">
        <v>88</v>
      </c>
      <c r="E2492" t="s">
        <v>330</v>
      </c>
      <c r="F2492" s="72">
        <v>99.22</v>
      </c>
      <c r="G2492" s="72">
        <v>0</v>
      </c>
    </row>
    <row r="2493" spans="2:7" x14ac:dyDescent="0.25">
      <c r="B2493" s="71">
        <v>43626</v>
      </c>
      <c r="C2493" t="s">
        <v>25</v>
      </c>
      <c r="D2493" t="s">
        <v>88</v>
      </c>
      <c r="E2493" t="s">
        <v>330</v>
      </c>
      <c r="F2493" s="72">
        <v>245.96</v>
      </c>
      <c r="G2493" s="72">
        <v>0</v>
      </c>
    </row>
    <row r="2494" spans="2:7" x14ac:dyDescent="0.25">
      <c r="B2494" s="71">
        <v>43626</v>
      </c>
      <c r="C2494" t="s">
        <v>25</v>
      </c>
      <c r="D2494" t="s">
        <v>82</v>
      </c>
      <c r="E2494" t="s">
        <v>123</v>
      </c>
      <c r="F2494" s="72">
        <v>2.4</v>
      </c>
      <c r="G2494" s="72">
        <v>0</v>
      </c>
    </row>
    <row r="2495" spans="2:7" x14ac:dyDescent="0.25">
      <c r="B2495" s="71">
        <v>43626</v>
      </c>
      <c r="C2495" t="s">
        <v>25</v>
      </c>
      <c r="D2495" t="s">
        <v>82</v>
      </c>
      <c r="E2495" t="s">
        <v>148</v>
      </c>
      <c r="F2495" s="72">
        <v>3</v>
      </c>
      <c r="G2495" s="72">
        <v>0</v>
      </c>
    </row>
    <row r="2496" spans="2:7" x14ac:dyDescent="0.25">
      <c r="B2496" s="71">
        <v>43626</v>
      </c>
      <c r="C2496" t="s">
        <v>25</v>
      </c>
      <c r="D2496" t="s">
        <v>113</v>
      </c>
      <c r="E2496" t="s">
        <v>331</v>
      </c>
      <c r="F2496" s="72">
        <v>25.32</v>
      </c>
      <c r="G2496" s="72">
        <v>0</v>
      </c>
    </row>
    <row r="2497" spans="2:7" x14ac:dyDescent="0.25">
      <c r="B2497" s="71">
        <v>43626</v>
      </c>
      <c r="C2497" t="s">
        <v>25</v>
      </c>
      <c r="D2497" t="s">
        <v>113</v>
      </c>
      <c r="E2497" t="s">
        <v>331</v>
      </c>
      <c r="F2497" s="72">
        <v>27.14</v>
      </c>
      <c r="G2497" s="72">
        <v>0</v>
      </c>
    </row>
    <row r="2498" spans="2:7" x14ac:dyDescent="0.25">
      <c r="B2498" s="71">
        <v>43626</v>
      </c>
      <c r="C2498" t="s">
        <v>25</v>
      </c>
      <c r="D2498" t="s">
        <v>113</v>
      </c>
      <c r="E2498" t="s">
        <v>331</v>
      </c>
      <c r="F2498" s="72">
        <v>27.65</v>
      </c>
      <c r="G2498" s="72">
        <v>0</v>
      </c>
    </row>
    <row r="2499" spans="2:7" x14ac:dyDescent="0.25">
      <c r="B2499" s="71">
        <v>43626</v>
      </c>
      <c r="C2499" t="s">
        <v>25</v>
      </c>
      <c r="D2499" t="s">
        <v>113</v>
      </c>
      <c r="E2499" t="s">
        <v>331</v>
      </c>
      <c r="F2499" s="72">
        <v>42.39</v>
      </c>
      <c r="G2499" s="72">
        <v>0</v>
      </c>
    </row>
    <row r="2500" spans="2:7" x14ac:dyDescent="0.25">
      <c r="B2500" s="71">
        <v>43626</v>
      </c>
      <c r="C2500" t="s">
        <v>25</v>
      </c>
      <c r="D2500" t="s">
        <v>113</v>
      </c>
      <c r="E2500" t="s">
        <v>331</v>
      </c>
      <c r="F2500" s="72">
        <v>64.22</v>
      </c>
      <c r="G2500" s="72">
        <v>0</v>
      </c>
    </row>
    <row r="2501" spans="2:7" x14ac:dyDescent="0.25">
      <c r="B2501" s="71">
        <v>43626</v>
      </c>
      <c r="C2501" t="s">
        <v>25</v>
      </c>
      <c r="D2501" t="s">
        <v>113</v>
      </c>
      <c r="E2501" t="s">
        <v>331</v>
      </c>
      <c r="F2501" s="72">
        <v>95.62</v>
      </c>
      <c r="G2501" s="72">
        <v>0</v>
      </c>
    </row>
    <row r="2502" spans="2:7" x14ac:dyDescent="0.25">
      <c r="B2502" s="71">
        <v>43626</v>
      </c>
      <c r="C2502" t="s">
        <v>25</v>
      </c>
      <c r="D2502" t="s">
        <v>113</v>
      </c>
      <c r="E2502" t="s">
        <v>331</v>
      </c>
      <c r="F2502" s="72">
        <v>642.38</v>
      </c>
      <c r="G2502" s="72">
        <v>0</v>
      </c>
    </row>
    <row r="2503" spans="2:7" x14ac:dyDescent="0.25">
      <c r="B2503" s="71">
        <v>43626</v>
      </c>
      <c r="C2503" t="s">
        <v>55</v>
      </c>
      <c r="D2503" t="s">
        <v>113</v>
      </c>
      <c r="E2503" t="s">
        <v>331</v>
      </c>
      <c r="F2503" s="72">
        <v>3294.23</v>
      </c>
      <c r="G2503" s="72">
        <v>0</v>
      </c>
    </row>
    <row r="2504" spans="2:7" x14ac:dyDescent="0.25">
      <c r="B2504" s="71">
        <v>43626</v>
      </c>
      <c r="C2504" t="s">
        <v>60</v>
      </c>
      <c r="D2504" t="s">
        <v>81</v>
      </c>
      <c r="E2504" t="s">
        <v>330</v>
      </c>
      <c r="F2504" s="72">
        <v>103</v>
      </c>
      <c r="G2504" s="72">
        <v>0</v>
      </c>
    </row>
    <row r="2505" spans="2:7" x14ac:dyDescent="0.25">
      <c r="B2505" s="71">
        <v>43626</v>
      </c>
      <c r="C2505" t="s">
        <v>48</v>
      </c>
      <c r="D2505" t="s">
        <v>87</v>
      </c>
      <c r="E2505" t="s">
        <v>330</v>
      </c>
      <c r="F2505" s="72">
        <v>270.98</v>
      </c>
      <c r="G2505" s="72">
        <v>0</v>
      </c>
    </row>
    <row r="2506" spans="2:7" x14ac:dyDescent="0.25">
      <c r="B2506" s="71">
        <v>43626</v>
      </c>
      <c r="C2506" t="s">
        <v>48</v>
      </c>
      <c r="D2506" t="s">
        <v>85</v>
      </c>
      <c r="E2506" t="s">
        <v>330</v>
      </c>
      <c r="F2506" s="72">
        <v>12.39</v>
      </c>
      <c r="G2506" s="72">
        <v>0</v>
      </c>
    </row>
    <row r="2507" spans="2:7" x14ac:dyDescent="0.25">
      <c r="B2507" s="71">
        <v>43626</v>
      </c>
      <c r="C2507" t="s">
        <v>52</v>
      </c>
      <c r="D2507" t="s">
        <v>87</v>
      </c>
      <c r="E2507" t="s">
        <v>330</v>
      </c>
      <c r="F2507" s="72">
        <v>295.16000000000003</v>
      </c>
      <c r="G2507" s="72">
        <v>0</v>
      </c>
    </row>
    <row r="2508" spans="2:7" x14ac:dyDescent="0.25">
      <c r="B2508" s="71">
        <v>43626</v>
      </c>
      <c r="C2508" t="s">
        <v>44</v>
      </c>
      <c r="D2508" t="s">
        <v>87</v>
      </c>
      <c r="E2508" t="s">
        <v>330</v>
      </c>
      <c r="F2508" s="72">
        <v>2549.17</v>
      </c>
      <c r="G2508" s="72">
        <v>0</v>
      </c>
    </row>
    <row r="2509" spans="2:7" x14ac:dyDescent="0.25">
      <c r="B2509" s="71">
        <v>43626</v>
      </c>
      <c r="C2509" t="s">
        <v>21</v>
      </c>
      <c r="D2509" t="s">
        <v>80</v>
      </c>
      <c r="E2509" t="s">
        <v>330</v>
      </c>
      <c r="F2509" s="72">
        <v>8</v>
      </c>
      <c r="G2509" s="72">
        <v>0</v>
      </c>
    </row>
    <row r="2510" spans="2:7" x14ac:dyDescent="0.25">
      <c r="B2510" s="71">
        <v>43626</v>
      </c>
      <c r="C2510" t="s">
        <v>21</v>
      </c>
      <c r="D2510" t="s">
        <v>80</v>
      </c>
      <c r="E2510" t="s">
        <v>330</v>
      </c>
      <c r="F2510" s="72">
        <v>16</v>
      </c>
      <c r="G2510" s="72">
        <v>0</v>
      </c>
    </row>
    <row r="2511" spans="2:7" x14ac:dyDescent="0.25">
      <c r="B2511" s="71">
        <v>43626</v>
      </c>
      <c r="C2511" t="s">
        <v>21</v>
      </c>
      <c r="D2511" t="s">
        <v>114</v>
      </c>
      <c r="E2511" t="s">
        <v>332</v>
      </c>
      <c r="F2511" s="72">
        <v>0</v>
      </c>
      <c r="G2511" s="72">
        <v>80</v>
      </c>
    </row>
    <row r="2512" spans="2:7" x14ac:dyDescent="0.25">
      <c r="B2512" s="71">
        <v>43626</v>
      </c>
      <c r="C2512" t="s">
        <v>21</v>
      </c>
      <c r="D2512" t="s">
        <v>114</v>
      </c>
      <c r="E2512" t="s">
        <v>332</v>
      </c>
      <c r="F2512" s="72">
        <v>0</v>
      </c>
      <c r="G2512" s="72">
        <v>32</v>
      </c>
    </row>
    <row r="2513" spans="2:7" x14ac:dyDescent="0.25">
      <c r="B2513" s="71">
        <v>43626</v>
      </c>
      <c r="C2513" t="s">
        <v>21</v>
      </c>
      <c r="D2513" t="s">
        <v>114</v>
      </c>
      <c r="E2513" t="s">
        <v>332</v>
      </c>
      <c r="F2513" s="72">
        <v>0</v>
      </c>
      <c r="G2513" s="72">
        <v>24</v>
      </c>
    </row>
    <row r="2514" spans="2:7" x14ac:dyDescent="0.25">
      <c r="B2514" s="71">
        <v>43626</v>
      </c>
      <c r="C2514" t="s">
        <v>21</v>
      </c>
      <c r="D2514" t="s">
        <v>114</v>
      </c>
      <c r="E2514" t="s">
        <v>332</v>
      </c>
      <c r="F2514" s="72">
        <v>0</v>
      </c>
      <c r="G2514" s="72">
        <v>8</v>
      </c>
    </row>
    <row r="2515" spans="2:7" x14ac:dyDescent="0.25">
      <c r="B2515" s="71">
        <v>43626</v>
      </c>
      <c r="C2515" t="s">
        <v>21</v>
      </c>
      <c r="D2515" t="s">
        <v>113</v>
      </c>
      <c r="E2515" t="s">
        <v>331</v>
      </c>
      <c r="F2515" s="72">
        <v>9.5500000000000007</v>
      </c>
      <c r="G2515" s="72">
        <v>0</v>
      </c>
    </row>
    <row r="2516" spans="2:7" x14ac:dyDescent="0.25">
      <c r="B2516" s="71">
        <v>43626</v>
      </c>
      <c r="C2516" t="s">
        <v>21</v>
      </c>
      <c r="D2516" t="s">
        <v>113</v>
      </c>
      <c r="E2516" t="s">
        <v>331</v>
      </c>
      <c r="F2516" s="72">
        <v>9.8000000000000007</v>
      </c>
      <c r="G2516" s="72">
        <v>0</v>
      </c>
    </row>
    <row r="2517" spans="2:7" x14ac:dyDescent="0.25">
      <c r="B2517" s="71">
        <v>43626</v>
      </c>
      <c r="C2517" t="s">
        <v>21</v>
      </c>
      <c r="D2517" t="s">
        <v>113</v>
      </c>
      <c r="E2517" t="s">
        <v>331</v>
      </c>
      <c r="F2517" s="72">
        <v>12.27</v>
      </c>
      <c r="G2517" s="72">
        <v>0</v>
      </c>
    </row>
    <row r="2518" spans="2:7" x14ac:dyDescent="0.25">
      <c r="B2518" s="71">
        <v>43626</v>
      </c>
      <c r="C2518" t="s">
        <v>21</v>
      </c>
      <c r="D2518" t="s">
        <v>113</v>
      </c>
      <c r="E2518" t="s">
        <v>331</v>
      </c>
      <c r="F2518" s="72">
        <v>31.9</v>
      </c>
      <c r="G2518" s="72">
        <v>0</v>
      </c>
    </row>
    <row r="2519" spans="2:7" x14ac:dyDescent="0.25">
      <c r="B2519" s="71">
        <v>43626</v>
      </c>
      <c r="C2519" t="s">
        <v>21</v>
      </c>
      <c r="D2519" t="s">
        <v>113</v>
      </c>
      <c r="E2519" t="s">
        <v>331</v>
      </c>
      <c r="F2519" s="72">
        <v>75.709999999999994</v>
      </c>
      <c r="G2519" s="72">
        <v>0</v>
      </c>
    </row>
    <row r="2520" spans="2:7" x14ac:dyDescent="0.25">
      <c r="B2520" s="71">
        <v>43626</v>
      </c>
      <c r="C2520" t="s">
        <v>21</v>
      </c>
      <c r="D2520" t="s">
        <v>113</v>
      </c>
      <c r="E2520" t="s">
        <v>331</v>
      </c>
      <c r="F2520" s="72">
        <v>106.5</v>
      </c>
      <c r="G2520" s="72">
        <v>0</v>
      </c>
    </row>
    <row r="2521" spans="2:7" x14ac:dyDescent="0.25">
      <c r="B2521" s="71">
        <v>43626</v>
      </c>
      <c r="C2521" t="s">
        <v>21</v>
      </c>
      <c r="D2521" t="s">
        <v>113</v>
      </c>
      <c r="E2521" t="s">
        <v>331</v>
      </c>
      <c r="F2521" s="72">
        <v>140</v>
      </c>
      <c r="G2521" s="72">
        <v>0</v>
      </c>
    </row>
    <row r="2522" spans="2:7" x14ac:dyDescent="0.25">
      <c r="B2522" s="71">
        <v>43626</v>
      </c>
      <c r="C2522" t="s">
        <v>21</v>
      </c>
      <c r="D2522" t="s">
        <v>113</v>
      </c>
      <c r="E2522" t="s">
        <v>331</v>
      </c>
      <c r="F2522" s="72">
        <v>203.87</v>
      </c>
      <c r="G2522" s="72">
        <v>0</v>
      </c>
    </row>
    <row r="2523" spans="2:7" x14ac:dyDescent="0.25">
      <c r="B2523" s="71">
        <v>43626</v>
      </c>
      <c r="C2523" t="s">
        <v>21</v>
      </c>
      <c r="D2523" t="s">
        <v>113</v>
      </c>
      <c r="E2523" t="s">
        <v>331</v>
      </c>
      <c r="F2523" s="72">
        <v>208.07</v>
      </c>
      <c r="G2523" s="72">
        <v>0</v>
      </c>
    </row>
    <row r="2524" spans="2:7" x14ac:dyDescent="0.25">
      <c r="B2524" s="71">
        <v>43626</v>
      </c>
      <c r="C2524" t="s">
        <v>21</v>
      </c>
      <c r="D2524" t="s">
        <v>113</v>
      </c>
      <c r="E2524" t="s">
        <v>331</v>
      </c>
      <c r="F2524" s="72">
        <v>216.64</v>
      </c>
      <c r="G2524" s="72">
        <v>0</v>
      </c>
    </row>
    <row r="2525" spans="2:7" x14ac:dyDescent="0.25">
      <c r="B2525" s="71">
        <v>43626</v>
      </c>
      <c r="C2525" t="s">
        <v>21</v>
      </c>
      <c r="D2525" t="s">
        <v>113</v>
      </c>
      <c r="E2525" t="s">
        <v>331</v>
      </c>
      <c r="F2525" s="72">
        <v>292.72000000000003</v>
      </c>
      <c r="G2525" s="72">
        <v>0</v>
      </c>
    </row>
    <row r="2526" spans="2:7" x14ac:dyDescent="0.25">
      <c r="B2526" s="71">
        <v>43626</v>
      </c>
      <c r="C2526" t="s">
        <v>21</v>
      </c>
      <c r="D2526" t="s">
        <v>113</v>
      </c>
      <c r="E2526" t="s">
        <v>331</v>
      </c>
      <c r="F2526" s="72">
        <v>306.8</v>
      </c>
      <c r="G2526" s="72">
        <v>0</v>
      </c>
    </row>
    <row r="2527" spans="2:7" x14ac:dyDescent="0.25">
      <c r="B2527" s="71">
        <v>43626</v>
      </c>
      <c r="C2527" t="s">
        <v>21</v>
      </c>
      <c r="D2527" t="s">
        <v>113</v>
      </c>
      <c r="E2527" t="s">
        <v>331</v>
      </c>
      <c r="F2527" s="72">
        <v>307.27999999999997</v>
      </c>
      <c r="G2527" s="72">
        <v>0</v>
      </c>
    </row>
    <row r="2528" spans="2:7" x14ac:dyDescent="0.25">
      <c r="B2528" s="71">
        <v>43626</v>
      </c>
      <c r="C2528" t="s">
        <v>21</v>
      </c>
      <c r="D2528" t="s">
        <v>113</v>
      </c>
      <c r="E2528" t="s">
        <v>331</v>
      </c>
      <c r="F2528" s="72">
        <v>329.75</v>
      </c>
      <c r="G2528" s="72">
        <v>0</v>
      </c>
    </row>
    <row r="2529" spans="2:7" x14ac:dyDescent="0.25">
      <c r="B2529" s="71">
        <v>43626</v>
      </c>
      <c r="C2529" t="s">
        <v>21</v>
      </c>
      <c r="D2529" t="s">
        <v>113</v>
      </c>
      <c r="E2529" t="s">
        <v>331</v>
      </c>
      <c r="F2529" s="72">
        <v>336.32</v>
      </c>
      <c r="G2529" s="72">
        <v>0</v>
      </c>
    </row>
    <row r="2530" spans="2:7" x14ac:dyDescent="0.25">
      <c r="B2530" s="71">
        <v>43626</v>
      </c>
      <c r="C2530" t="s">
        <v>21</v>
      </c>
      <c r="D2530" t="s">
        <v>113</v>
      </c>
      <c r="E2530" t="s">
        <v>331</v>
      </c>
      <c r="F2530" s="72">
        <v>391.96</v>
      </c>
      <c r="G2530" s="72">
        <v>0</v>
      </c>
    </row>
    <row r="2531" spans="2:7" x14ac:dyDescent="0.25">
      <c r="B2531" s="71">
        <v>43626</v>
      </c>
      <c r="C2531" t="s">
        <v>21</v>
      </c>
      <c r="D2531" t="s">
        <v>113</v>
      </c>
      <c r="E2531" t="s">
        <v>331</v>
      </c>
      <c r="F2531" s="72">
        <v>401.95</v>
      </c>
      <c r="G2531" s="72">
        <v>0</v>
      </c>
    </row>
    <row r="2532" spans="2:7" x14ac:dyDescent="0.25">
      <c r="B2532" s="71">
        <v>43626</v>
      </c>
      <c r="C2532" t="s">
        <v>21</v>
      </c>
      <c r="D2532" t="s">
        <v>113</v>
      </c>
      <c r="E2532" t="s">
        <v>331</v>
      </c>
      <c r="F2532" s="72">
        <v>513.57000000000005</v>
      </c>
      <c r="G2532" s="72">
        <v>0</v>
      </c>
    </row>
    <row r="2533" spans="2:7" x14ac:dyDescent="0.25">
      <c r="B2533" s="71">
        <v>43626</v>
      </c>
      <c r="C2533" t="s">
        <v>21</v>
      </c>
      <c r="D2533" t="s">
        <v>113</v>
      </c>
      <c r="E2533" t="s">
        <v>331</v>
      </c>
      <c r="F2533" s="72">
        <v>518.83000000000004</v>
      </c>
      <c r="G2533" s="72">
        <v>0</v>
      </c>
    </row>
    <row r="2534" spans="2:7" x14ac:dyDescent="0.25">
      <c r="B2534" s="71">
        <v>43626</v>
      </c>
      <c r="C2534" t="s">
        <v>21</v>
      </c>
      <c r="D2534" t="s">
        <v>113</v>
      </c>
      <c r="E2534" t="s">
        <v>331</v>
      </c>
      <c r="F2534" s="72">
        <v>683.32</v>
      </c>
      <c r="G2534" s="72">
        <v>0</v>
      </c>
    </row>
    <row r="2535" spans="2:7" x14ac:dyDescent="0.25">
      <c r="B2535" s="71">
        <v>43626</v>
      </c>
      <c r="C2535" t="s">
        <v>21</v>
      </c>
      <c r="D2535" t="s">
        <v>113</v>
      </c>
      <c r="E2535" t="s">
        <v>331</v>
      </c>
      <c r="F2535" s="72">
        <v>695.86</v>
      </c>
      <c r="G2535" s="72">
        <v>0</v>
      </c>
    </row>
    <row r="2536" spans="2:7" x14ac:dyDescent="0.25">
      <c r="B2536" s="71">
        <v>43626</v>
      </c>
      <c r="C2536" t="s">
        <v>21</v>
      </c>
      <c r="D2536" t="s">
        <v>113</v>
      </c>
      <c r="E2536" t="s">
        <v>331</v>
      </c>
      <c r="F2536" s="72">
        <v>860.35</v>
      </c>
      <c r="G2536" s="72">
        <v>0</v>
      </c>
    </row>
    <row r="2537" spans="2:7" x14ac:dyDescent="0.25">
      <c r="B2537" s="71">
        <v>43626</v>
      </c>
      <c r="C2537" t="s">
        <v>21</v>
      </c>
      <c r="D2537" t="s">
        <v>113</v>
      </c>
      <c r="E2537" t="s">
        <v>331</v>
      </c>
      <c r="F2537" s="72">
        <v>985.64</v>
      </c>
      <c r="G2537" s="72">
        <v>0</v>
      </c>
    </row>
    <row r="2538" spans="2:7" x14ac:dyDescent="0.25">
      <c r="B2538" s="71">
        <v>43626</v>
      </c>
      <c r="C2538" t="s">
        <v>21</v>
      </c>
      <c r="D2538" t="s">
        <v>113</v>
      </c>
      <c r="E2538" t="s">
        <v>331</v>
      </c>
      <c r="F2538" s="72">
        <v>1072.24</v>
      </c>
      <c r="G2538" s="72">
        <v>0</v>
      </c>
    </row>
    <row r="2539" spans="2:7" x14ac:dyDescent="0.25">
      <c r="B2539" s="71">
        <v>43626</v>
      </c>
      <c r="C2539" t="s">
        <v>21</v>
      </c>
      <c r="D2539" t="s">
        <v>113</v>
      </c>
      <c r="E2539" t="s">
        <v>331</v>
      </c>
      <c r="F2539" s="72">
        <v>1177.53</v>
      </c>
      <c r="G2539" s="72">
        <v>0</v>
      </c>
    </row>
    <row r="2540" spans="2:7" x14ac:dyDescent="0.25">
      <c r="B2540" s="71">
        <v>43626</v>
      </c>
      <c r="C2540" t="s">
        <v>21</v>
      </c>
      <c r="D2540" t="s">
        <v>113</v>
      </c>
      <c r="E2540" t="s">
        <v>331</v>
      </c>
      <c r="F2540" s="72">
        <v>1708.41</v>
      </c>
      <c r="G2540" s="72">
        <v>0</v>
      </c>
    </row>
    <row r="2541" spans="2:7" x14ac:dyDescent="0.25">
      <c r="B2541" s="71">
        <v>43626</v>
      </c>
      <c r="C2541" t="s">
        <v>67</v>
      </c>
      <c r="D2541" t="s">
        <v>113</v>
      </c>
      <c r="E2541" t="s">
        <v>331</v>
      </c>
      <c r="F2541" s="72">
        <v>132.47</v>
      </c>
      <c r="G2541" s="72">
        <v>0</v>
      </c>
    </row>
    <row r="2542" spans="2:7" x14ac:dyDescent="0.25">
      <c r="B2542" s="71">
        <v>43626</v>
      </c>
      <c r="C2542" t="s">
        <v>49</v>
      </c>
      <c r="D2542" t="s">
        <v>85</v>
      </c>
      <c r="E2542" t="s">
        <v>330</v>
      </c>
      <c r="F2542" s="72">
        <v>263.01</v>
      </c>
      <c r="G2542" s="72">
        <v>0</v>
      </c>
    </row>
    <row r="2543" spans="2:7" x14ac:dyDescent="0.25">
      <c r="B2543" s="71">
        <v>43626</v>
      </c>
      <c r="C2543" t="s">
        <v>56</v>
      </c>
      <c r="D2543" t="s">
        <v>113</v>
      </c>
      <c r="E2543" t="s">
        <v>331</v>
      </c>
      <c r="F2543" s="72">
        <v>24.26</v>
      </c>
      <c r="G2543" s="72">
        <v>0</v>
      </c>
    </row>
    <row r="2544" spans="2:7" x14ac:dyDescent="0.25">
      <c r="B2544" s="71">
        <v>43626</v>
      </c>
      <c r="C2544" t="s">
        <v>46</v>
      </c>
      <c r="D2544" t="s">
        <v>88</v>
      </c>
      <c r="E2544" t="s">
        <v>330</v>
      </c>
      <c r="F2544" s="72">
        <v>40</v>
      </c>
      <c r="G2544" s="72">
        <v>0</v>
      </c>
    </row>
    <row r="2545" spans="2:7" x14ac:dyDescent="0.25">
      <c r="B2545" s="71">
        <v>43626</v>
      </c>
      <c r="C2545" t="s">
        <v>50</v>
      </c>
      <c r="D2545" t="s">
        <v>113</v>
      </c>
      <c r="E2545" t="s">
        <v>331</v>
      </c>
      <c r="F2545" s="72">
        <v>329.69</v>
      </c>
      <c r="G2545" s="72">
        <v>0</v>
      </c>
    </row>
    <row r="2546" spans="2:7" x14ac:dyDescent="0.25">
      <c r="B2546" s="71">
        <v>43626</v>
      </c>
      <c r="C2546" t="s">
        <v>51</v>
      </c>
      <c r="D2546" t="s">
        <v>113</v>
      </c>
      <c r="E2546" t="s">
        <v>331</v>
      </c>
      <c r="F2546" s="72">
        <v>537.59</v>
      </c>
      <c r="G2546" s="72">
        <v>0</v>
      </c>
    </row>
    <row r="2547" spans="2:7" x14ac:dyDescent="0.25">
      <c r="B2547" s="71">
        <v>43626</v>
      </c>
      <c r="C2547" t="s">
        <v>53</v>
      </c>
      <c r="D2547" t="s">
        <v>113</v>
      </c>
      <c r="E2547" t="s">
        <v>331</v>
      </c>
      <c r="F2547" s="72">
        <v>312.97000000000003</v>
      </c>
      <c r="G2547" s="72">
        <v>0</v>
      </c>
    </row>
    <row r="2548" spans="2:7" x14ac:dyDescent="0.25">
      <c r="B2548" s="71">
        <v>43626</v>
      </c>
      <c r="C2548" t="s">
        <v>54</v>
      </c>
      <c r="D2548" t="s">
        <v>113</v>
      </c>
      <c r="E2548" t="s">
        <v>331</v>
      </c>
      <c r="F2548" s="72">
        <v>29.16</v>
      </c>
      <c r="G2548" s="72">
        <v>0</v>
      </c>
    </row>
    <row r="2549" spans="2:7" x14ac:dyDescent="0.25">
      <c r="B2549" s="71">
        <v>43626</v>
      </c>
      <c r="C2549" t="s">
        <v>66</v>
      </c>
      <c r="D2549" t="s">
        <v>85</v>
      </c>
      <c r="E2549" t="s">
        <v>330</v>
      </c>
      <c r="F2549" s="72">
        <v>26.56</v>
      </c>
      <c r="G2549" s="72">
        <v>0</v>
      </c>
    </row>
    <row r="2550" spans="2:7" x14ac:dyDescent="0.25">
      <c r="B2550" s="71">
        <v>43626</v>
      </c>
      <c r="C2550" t="s">
        <v>24</v>
      </c>
      <c r="D2550" t="s">
        <v>80</v>
      </c>
      <c r="E2550" t="s">
        <v>330</v>
      </c>
      <c r="F2550" s="72">
        <v>8</v>
      </c>
      <c r="G2550" s="72">
        <v>0</v>
      </c>
    </row>
    <row r="2551" spans="2:7" x14ac:dyDescent="0.25">
      <c r="B2551" s="71">
        <v>43626</v>
      </c>
      <c r="C2551" t="s">
        <v>24</v>
      </c>
      <c r="D2551" t="s">
        <v>113</v>
      </c>
      <c r="E2551" t="s">
        <v>331</v>
      </c>
      <c r="F2551" s="72">
        <v>12.91</v>
      </c>
      <c r="G2551" s="72">
        <v>0</v>
      </c>
    </row>
    <row r="2552" spans="2:7" x14ac:dyDescent="0.25">
      <c r="B2552" s="71">
        <v>43626</v>
      </c>
      <c r="C2552" t="s">
        <v>24</v>
      </c>
      <c r="D2552" t="s">
        <v>113</v>
      </c>
      <c r="E2552" t="s">
        <v>331</v>
      </c>
      <c r="F2552" s="72">
        <v>22.88</v>
      </c>
      <c r="G2552" s="72">
        <v>0</v>
      </c>
    </row>
    <row r="2553" spans="2:7" x14ac:dyDescent="0.25">
      <c r="B2553" s="71">
        <v>43626</v>
      </c>
      <c r="C2553" t="s">
        <v>24</v>
      </c>
      <c r="D2553" t="s">
        <v>113</v>
      </c>
      <c r="E2553" t="s">
        <v>331</v>
      </c>
      <c r="F2553" s="72">
        <v>28.31</v>
      </c>
      <c r="G2553" s="72">
        <v>0</v>
      </c>
    </row>
    <row r="2554" spans="2:7" x14ac:dyDescent="0.25">
      <c r="B2554" s="71">
        <v>43626</v>
      </c>
      <c r="C2554" t="s">
        <v>24</v>
      </c>
      <c r="D2554" t="s">
        <v>113</v>
      </c>
      <c r="E2554" t="s">
        <v>331</v>
      </c>
      <c r="F2554" s="72">
        <v>31.75</v>
      </c>
      <c r="G2554" s="72">
        <v>0</v>
      </c>
    </row>
    <row r="2555" spans="2:7" x14ac:dyDescent="0.25">
      <c r="B2555" s="71">
        <v>43626</v>
      </c>
      <c r="C2555" t="s">
        <v>24</v>
      </c>
      <c r="D2555" t="s">
        <v>113</v>
      </c>
      <c r="E2555" t="s">
        <v>331</v>
      </c>
      <c r="F2555" s="72">
        <v>48.98</v>
      </c>
      <c r="G2555" s="72">
        <v>0</v>
      </c>
    </row>
    <row r="2556" spans="2:7" x14ac:dyDescent="0.25">
      <c r="B2556" s="71">
        <v>43626</v>
      </c>
      <c r="C2556" t="s">
        <v>24</v>
      </c>
      <c r="D2556" t="s">
        <v>113</v>
      </c>
      <c r="E2556" t="s">
        <v>331</v>
      </c>
      <c r="F2556" s="72">
        <v>48.99</v>
      </c>
      <c r="G2556" s="72">
        <v>0</v>
      </c>
    </row>
    <row r="2557" spans="2:7" x14ac:dyDescent="0.25">
      <c r="B2557" s="71">
        <v>43626</v>
      </c>
      <c r="C2557" t="s">
        <v>24</v>
      </c>
      <c r="D2557" t="s">
        <v>113</v>
      </c>
      <c r="E2557" t="s">
        <v>331</v>
      </c>
      <c r="F2557" s="72">
        <v>55.92</v>
      </c>
      <c r="G2557" s="72">
        <v>0</v>
      </c>
    </row>
    <row r="2558" spans="2:7" x14ac:dyDescent="0.25">
      <c r="B2558" s="71">
        <v>43626</v>
      </c>
      <c r="C2558" t="s">
        <v>24</v>
      </c>
      <c r="D2558" t="s">
        <v>113</v>
      </c>
      <c r="E2558" t="s">
        <v>331</v>
      </c>
      <c r="F2558" s="72">
        <v>72.849999999999994</v>
      </c>
      <c r="G2558" s="72">
        <v>0</v>
      </c>
    </row>
    <row r="2559" spans="2:7" x14ac:dyDescent="0.25">
      <c r="B2559" s="71">
        <v>43626</v>
      </c>
      <c r="C2559" t="s">
        <v>24</v>
      </c>
      <c r="D2559" t="s">
        <v>113</v>
      </c>
      <c r="E2559" t="s">
        <v>331</v>
      </c>
      <c r="F2559" s="72">
        <v>137.13</v>
      </c>
      <c r="G2559" s="72">
        <v>0</v>
      </c>
    </row>
    <row r="2560" spans="2:7" x14ac:dyDescent="0.25">
      <c r="B2560" s="71">
        <v>43627</v>
      </c>
      <c r="C2560" t="s">
        <v>25</v>
      </c>
      <c r="D2560" t="s">
        <v>85</v>
      </c>
      <c r="E2560" t="s">
        <v>333</v>
      </c>
      <c r="F2560" s="72">
        <v>26</v>
      </c>
      <c r="G2560" s="72">
        <v>0</v>
      </c>
    </row>
    <row r="2561" spans="2:7" x14ac:dyDescent="0.25">
      <c r="B2561" s="71">
        <v>43627</v>
      </c>
      <c r="C2561" t="s">
        <v>52</v>
      </c>
      <c r="D2561" t="s">
        <v>85</v>
      </c>
      <c r="E2561" t="s">
        <v>333</v>
      </c>
      <c r="F2561" s="72">
        <v>59.6</v>
      </c>
      <c r="G2561" s="72">
        <v>0</v>
      </c>
    </row>
    <row r="2562" spans="2:7" x14ac:dyDescent="0.25">
      <c r="B2562" s="71">
        <v>43627</v>
      </c>
      <c r="C2562" t="s">
        <v>44</v>
      </c>
      <c r="D2562" t="s">
        <v>85</v>
      </c>
      <c r="E2562" t="s">
        <v>333</v>
      </c>
      <c r="F2562" s="72">
        <v>382.02</v>
      </c>
      <c r="G2562" s="72">
        <v>0</v>
      </c>
    </row>
    <row r="2563" spans="2:7" x14ac:dyDescent="0.25">
      <c r="B2563" s="71">
        <v>43627</v>
      </c>
      <c r="C2563" t="s">
        <v>21</v>
      </c>
      <c r="D2563" t="s">
        <v>80</v>
      </c>
      <c r="E2563" t="s">
        <v>333</v>
      </c>
      <c r="F2563" s="72">
        <v>16</v>
      </c>
      <c r="G2563" s="72">
        <v>0</v>
      </c>
    </row>
    <row r="2564" spans="2:7" x14ac:dyDescent="0.25">
      <c r="B2564" s="71">
        <v>43627</v>
      </c>
      <c r="C2564" t="s">
        <v>24</v>
      </c>
      <c r="D2564" t="s">
        <v>80</v>
      </c>
      <c r="E2564" t="s">
        <v>333</v>
      </c>
      <c r="F2564" s="72">
        <v>8</v>
      </c>
      <c r="G2564" s="72">
        <v>0</v>
      </c>
    </row>
    <row r="2565" spans="2:7" x14ac:dyDescent="0.25">
      <c r="B2565" s="71">
        <v>43628</v>
      </c>
      <c r="C2565" t="s">
        <v>25</v>
      </c>
      <c r="D2565" t="s">
        <v>82</v>
      </c>
      <c r="E2565" t="s">
        <v>334</v>
      </c>
      <c r="F2565" s="72">
        <v>3</v>
      </c>
      <c r="G2565" s="72">
        <v>0</v>
      </c>
    </row>
    <row r="2566" spans="2:7" x14ac:dyDescent="0.25">
      <c r="B2566" s="71">
        <v>43628</v>
      </c>
      <c r="C2566" t="s">
        <v>25</v>
      </c>
      <c r="D2566" t="s">
        <v>82</v>
      </c>
      <c r="E2566" t="s">
        <v>151</v>
      </c>
      <c r="F2566" s="72">
        <v>14</v>
      </c>
      <c r="G2566" s="72">
        <v>0</v>
      </c>
    </row>
    <row r="2567" spans="2:7" x14ac:dyDescent="0.25">
      <c r="B2567" s="71">
        <v>43628</v>
      </c>
      <c r="C2567" t="s">
        <v>52</v>
      </c>
      <c r="D2567" t="s">
        <v>85</v>
      </c>
      <c r="E2567" t="s">
        <v>335</v>
      </c>
      <c r="F2567" s="72">
        <v>13.4</v>
      </c>
      <c r="G2567" s="72">
        <v>0</v>
      </c>
    </row>
    <row r="2568" spans="2:7" x14ac:dyDescent="0.25">
      <c r="B2568" s="71">
        <v>43628</v>
      </c>
      <c r="C2568" t="s">
        <v>21</v>
      </c>
      <c r="D2568" t="s">
        <v>80</v>
      </c>
      <c r="E2568" t="s">
        <v>335</v>
      </c>
      <c r="F2568" s="72">
        <v>8</v>
      </c>
      <c r="G2568" s="72">
        <v>0</v>
      </c>
    </row>
    <row r="2569" spans="2:7" x14ac:dyDescent="0.25">
      <c r="B2569" s="71">
        <v>43628</v>
      </c>
      <c r="C2569" t="s">
        <v>21</v>
      </c>
      <c r="D2569" t="s">
        <v>80</v>
      </c>
      <c r="E2569" t="s">
        <v>335</v>
      </c>
      <c r="F2569" s="72">
        <v>16</v>
      </c>
      <c r="G2569" s="72">
        <v>0</v>
      </c>
    </row>
    <row r="2570" spans="2:7" x14ac:dyDescent="0.25">
      <c r="B2570" s="71">
        <v>43628</v>
      </c>
      <c r="C2570" t="s">
        <v>67</v>
      </c>
      <c r="D2570" t="s">
        <v>80</v>
      </c>
      <c r="E2570" t="s">
        <v>335</v>
      </c>
      <c r="F2570" s="72">
        <v>145.74</v>
      </c>
      <c r="G2570" s="72">
        <v>0</v>
      </c>
    </row>
    <row r="2571" spans="2:7" x14ac:dyDescent="0.25">
      <c r="B2571" s="71">
        <v>43628</v>
      </c>
      <c r="C2571" t="s">
        <v>49</v>
      </c>
      <c r="D2571" t="s">
        <v>86</v>
      </c>
      <c r="E2571" t="s">
        <v>335</v>
      </c>
      <c r="F2571" s="72">
        <v>39</v>
      </c>
      <c r="G2571" s="72">
        <v>0</v>
      </c>
    </row>
    <row r="2572" spans="2:7" x14ac:dyDescent="0.25">
      <c r="B2572" s="71">
        <v>43628</v>
      </c>
      <c r="C2572" t="s">
        <v>46</v>
      </c>
      <c r="D2572" t="s">
        <v>86</v>
      </c>
      <c r="E2572" t="s">
        <v>335</v>
      </c>
      <c r="F2572" s="72">
        <v>101.25</v>
      </c>
      <c r="G2572" s="72">
        <v>0</v>
      </c>
    </row>
    <row r="2573" spans="2:7" x14ac:dyDescent="0.25">
      <c r="B2573" s="71">
        <v>43628</v>
      </c>
      <c r="C2573" t="s">
        <v>54</v>
      </c>
      <c r="D2573" t="s">
        <v>85</v>
      </c>
      <c r="E2573" t="s">
        <v>335</v>
      </c>
      <c r="F2573" s="72">
        <v>42</v>
      </c>
      <c r="G2573" s="72">
        <v>0</v>
      </c>
    </row>
    <row r="2574" spans="2:7" x14ac:dyDescent="0.25">
      <c r="B2574" s="71">
        <v>43628</v>
      </c>
      <c r="C2574" t="s">
        <v>74</v>
      </c>
      <c r="D2574" t="s">
        <v>85</v>
      </c>
      <c r="E2574" t="s">
        <v>335</v>
      </c>
      <c r="F2574" s="72">
        <v>17</v>
      </c>
      <c r="G2574" s="72">
        <v>0</v>
      </c>
    </row>
    <row r="2575" spans="2:7" x14ac:dyDescent="0.25">
      <c r="B2575" s="71">
        <v>43628</v>
      </c>
      <c r="C2575" t="s">
        <v>61</v>
      </c>
      <c r="D2575" t="s">
        <v>86</v>
      </c>
      <c r="E2575" t="s">
        <v>335</v>
      </c>
      <c r="F2575" s="72">
        <v>25.95</v>
      </c>
      <c r="G2575" s="72">
        <v>0</v>
      </c>
    </row>
    <row r="2576" spans="2:7" x14ac:dyDescent="0.25">
      <c r="B2576" s="71">
        <v>43629</v>
      </c>
      <c r="C2576" t="s">
        <v>25</v>
      </c>
      <c r="D2576" t="s">
        <v>82</v>
      </c>
      <c r="E2576" t="s">
        <v>221</v>
      </c>
      <c r="F2576" s="72">
        <v>10.25</v>
      </c>
      <c r="G2576" s="72">
        <v>0</v>
      </c>
    </row>
    <row r="2577" spans="2:7" x14ac:dyDescent="0.25">
      <c r="B2577" s="71">
        <v>43629</v>
      </c>
      <c r="C2577" t="s">
        <v>25</v>
      </c>
      <c r="D2577" t="s">
        <v>82</v>
      </c>
      <c r="E2577" t="s">
        <v>154</v>
      </c>
      <c r="F2577" s="72">
        <v>3.15</v>
      </c>
      <c r="G2577" s="72">
        <v>0</v>
      </c>
    </row>
    <row r="2578" spans="2:7" x14ac:dyDescent="0.25">
      <c r="B2578" s="71">
        <v>43629</v>
      </c>
      <c r="C2578" t="s">
        <v>25</v>
      </c>
      <c r="D2578" t="s">
        <v>82</v>
      </c>
      <c r="E2578" t="s">
        <v>241</v>
      </c>
      <c r="F2578" s="72">
        <v>2.75</v>
      </c>
      <c r="G2578" s="72">
        <v>0</v>
      </c>
    </row>
    <row r="2579" spans="2:7" x14ac:dyDescent="0.25">
      <c r="B2579" s="71">
        <v>43629</v>
      </c>
      <c r="C2579" t="s">
        <v>25</v>
      </c>
      <c r="D2579" t="s">
        <v>82</v>
      </c>
      <c r="E2579" t="s">
        <v>188</v>
      </c>
      <c r="F2579" s="72">
        <v>6</v>
      </c>
      <c r="G2579" s="72">
        <v>0</v>
      </c>
    </row>
    <row r="2580" spans="2:7" x14ac:dyDescent="0.25">
      <c r="B2580" s="71">
        <v>43629</v>
      </c>
      <c r="C2580" t="s">
        <v>25</v>
      </c>
      <c r="D2580" t="s">
        <v>85</v>
      </c>
      <c r="E2580" t="s">
        <v>336</v>
      </c>
      <c r="F2580" s="72">
        <v>12</v>
      </c>
      <c r="G2580" s="72">
        <v>0</v>
      </c>
    </row>
    <row r="2581" spans="2:7" x14ac:dyDescent="0.25">
      <c r="B2581" s="71">
        <v>43629</v>
      </c>
      <c r="C2581" t="s">
        <v>60</v>
      </c>
      <c r="D2581" t="s">
        <v>87</v>
      </c>
      <c r="E2581" t="s">
        <v>336</v>
      </c>
      <c r="F2581" s="72">
        <v>349.6</v>
      </c>
      <c r="G2581" s="72">
        <v>0</v>
      </c>
    </row>
    <row r="2582" spans="2:7" x14ac:dyDescent="0.25">
      <c r="B2582" s="71">
        <v>43629</v>
      </c>
      <c r="C2582" t="s">
        <v>21</v>
      </c>
      <c r="D2582" t="s">
        <v>80</v>
      </c>
      <c r="E2582" t="s">
        <v>336</v>
      </c>
      <c r="F2582" s="72">
        <v>8</v>
      </c>
      <c r="G2582" s="72">
        <v>0</v>
      </c>
    </row>
    <row r="2583" spans="2:7" x14ac:dyDescent="0.25">
      <c r="B2583" s="71">
        <v>43629</v>
      </c>
      <c r="C2583" t="s">
        <v>21</v>
      </c>
      <c r="D2583" t="s">
        <v>80</v>
      </c>
      <c r="E2583" t="s">
        <v>336</v>
      </c>
      <c r="F2583" s="72">
        <v>16</v>
      </c>
      <c r="G2583" s="72">
        <v>0</v>
      </c>
    </row>
    <row r="2584" spans="2:7" x14ac:dyDescent="0.25">
      <c r="B2584" s="71">
        <v>43629</v>
      </c>
      <c r="C2584" t="s">
        <v>49</v>
      </c>
      <c r="D2584" t="s">
        <v>85</v>
      </c>
      <c r="E2584" t="s">
        <v>336</v>
      </c>
      <c r="F2584" s="72">
        <v>38</v>
      </c>
      <c r="G2584" s="72">
        <v>0</v>
      </c>
    </row>
    <row r="2585" spans="2:7" x14ac:dyDescent="0.25">
      <c r="B2585" s="71">
        <v>43629</v>
      </c>
      <c r="C2585" t="s">
        <v>51</v>
      </c>
      <c r="D2585" t="s">
        <v>85</v>
      </c>
      <c r="E2585" t="s">
        <v>336</v>
      </c>
      <c r="F2585" s="72">
        <v>71.489999999999995</v>
      </c>
      <c r="G2585" s="72">
        <v>0</v>
      </c>
    </row>
    <row r="2586" spans="2:7" x14ac:dyDescent="0.25">
      <c r="B2586" s="71">
        <v>43629</v>
      </c>
      <c r="C2586" t="s">
        <v>59</v>
      </c>
      <c r="D2586" t="s">
        <v>85</v>
      </c>
      <c r="E2586" t="s">
        <v>336</v>
      </c>
      <c r="F2586" s="72">
        <v>22.17</v>
      </c>
      <c r="G2586" s="72">
        <v>0</v>
      </c>
    </row>
    <row r="2587" spans="2:7" x14ac:dyDescent="0.25">
      <c r="B2587" s="71">
        <v>43629</v>
      </c>
      <c r="C2587" t="s">
        <v>72</v>
      </c>
      <c r="D2587" t="s">
        <v>87</v>
      </c>
      <c r="E2587" t="s">
        <v>336</v>
      </c>
      <c r="F2587" s="72">
        <v>72.48</v>
      </c>
      <c r="G2587" s="72">
        <v>0</v>
      </c>
    </row>
    <row r="2588" spans="2:7" x14ac:dyDescent="0.25">
      <c r="B2588" s="71">
        <v>43629</v>
      </c>
      <c r="C2588" t="s">
        <v>66</v>
      </c>
      <c r="D2588" t="s">
        <v>85</v>
      </c>
      <c r="E2588" t="s">
        <v>336</v>
      </c>
      <c r="F2588" s="72">
        <v>8.92</v>
      </c>
      <c r="G2588" s="72">
        <v>0</v>
      </c>
    </row>
    <row r="2589" spans="2:7" x14ac:dyDescent="0.25">
      <c r="B2589" s="71">
        <v>43629</v>
      </c>
      <c r="C2589" t="s">
        <v>24</v>
      </c>
      <c r="D2589" t="s">
        <v>80</v>
      </c>
      <c r="E2589" t="s">
        <v>336</v>
      </c>
      <c r="F2589" s="72">
        <v>24</v>
      </c>
      <c r="G2589" s="72">
        <v>0</v>
      </c>
    </row>
    <row r="2590" spans="2:7" x14ac:dyDescent="0.25">
      <c r="B2590" s="71">
        <v>43630</v>
      </c>
      <c r="C2590" t="s">
        <v>25</v>
      </c>
      <c r="D2590" t="s">
        <v>82</v>
      </c>
      <c r="E2590" t="s">
        <v>221</v>
      </c>
      <c r="F2590" s="72">
        <v>2.4</v>
      </c>
      <c r="G2590" s="72">
        <v>0</v>
      </c>
    </row>
    <row r="2591" spans="2:7" x14ac:dyDescent="0.25">
      <c r="B2591" s="71">
        <v>43630</v>
      </c>
      <c r="C2591" t="s">
        <v>25</v>
      </c>
      <c r="D2591" t="s">
        <v>82</v>
      </c>
      <c r="E2591" t="s">
        <v>139</v>
      </c>
      <c r="F2591" s="72">
        <v>8.35</v>
      </c>
      <c r="G2591" s="72">
        <v>0</v>
      </c>
    </row>
    <row r="2592" spans="2:7" x14ac:dyDescent="0.25">
      <c r="B2592" s="71">
        <v>43630</v>
      </c>
      <c r="C2592" t="s">
        <v>25</v>
      </c>
      <c r="D2592" t="s">
        <v>85</v>
      </c>
      <c r="E2592" t="s">
        <v>337</v>
      </c>
      <c r="F2592" s="72">
        <v>12</v>
      </c>
      <c r="G2592" s="72">
        <v>0</v>
      </c>
    </row>
    <row r="2593" spans="2:7" x14ac:dyDescent="0.25">
      <c r="B2593" s="71">
        <v>43630</v>
      </c>
      <c r="C2593" t="s">
        <v>25</v>
      </c>
      <c r="D2593" t="s">
        <v>85</v>
      </c>
      <c r="E2593" t="s">
        <v>337</v>
      </c>
      <c r="F2593" s="72">
        <v>28</v>
      </c>
      <c r="G2593" s="72">
        <v>0</v>
      </c>
    </row>
    <row r="2594" spans="2:7" x14ac:dyDescent="0.25">
      <c r="B2594" s="71">
        <v>43630</v>
      </c>
      <c r="C2594" t="s">
        <v>25</v>
      </c>
      <c r="D2594" t="s">
        <v>85</v>
      </c>
      <c r="E2594" t="s">
        <v>337</v>
      </c>
      <c r="F2594" s="72">
        <v>131</v>
      </c>
      <c r="G2594" s="72">
        <v>0</v>
      </c>
    </row>
    <row r="2595" spans="2:7" x14ac:dyDescent="0.25">
      <c r="B2595" s="71">
        <v>43630</v>
      </c>
      <c r="C2595" t="s">
        <v>60</v>
      </c>
      <c r="D2595" t="s">
        <v>85</v>
      </c>
      <c r="E2595" t="s">
        <v>337</v>
      </c>
      <c r="F2595" s="72">
        <v>97.37</v>
      </c>
      <c r="G2595" s="72">
        <v>0</v>
      </c>
    </row>
    <row r="2596" spans="2:7" x14ac:dyDescent="0.25">
      <c r="B2596" s="71">
        <v>43630</v>
      </c>
      <c r="C2596" t="s">
        <v>57</v>
      </c>
      <c r="D2596" t="s">
        <v>80</v>
      </c>
      <c r="E2596" t="s">
        <v>337</v>
      </c>
      <c r="F2596" s="72">
        <v>22.3</v>
      </c>
      <c r="G2596" s="72">
        <v>0</v>
      </c>
    </row>
    <row r="2597" spans="2:7" x14ac:dyDescent="0.25">
      <c r="B2597" s="71">
        <v>43630</v>
      </c>
      <c r="C2597" t="s">
        <v>21</v>
      </c>
      <c r="D2597" t="s">
        <v>80</v>
      </c>
      <c r="E2597" t="s">
        <v>337</v>
      </c>
      <c r="F2597" s="72">
        <v>8</v>
      </c>
      <c r="G2597" s="72">
        <v>0</v>
      </c>
    </row>
    <row r="2598" spans="2:7" x14ac:dyDescent="0.25">
      <c r="B2598" s="71">
        <v>43630</v>
      </c>
      <c r="C2598" t="s">
        <v>21</v>
      </c>
      <c r="D2598" t="s">
        <v>80</v>
      </c>
      <c r="E2598" t="s">
        <v>337</v>
      </c>
      <c r="F2598" s="72">
        <v>16</v>
      </c>
      <c r="G2598" s="72">
        <v>0</v>
      </c>
    </row>
    <row r="2599" spans="2:7" x14ac:dyDescent="0.25">
      <c r="B2599" s="71">
        <v>43630</v>
      </c>
      <c r="C2599" t="s">
        <v>21</v>
      </c>
      <c r="D2599" t="s">
        <v>80</v>
      </c>
      <c r="E2599" t="s">
        <v>337</v>
      </c>
      <c r="F2599" s="72">
        <v>24</v>
      </c>
      <c r="G2599" s="72">
        <v>0</v>
      </c>
    </row>
    <row r="2600" spans="2:7" x14ac:dyDescent="0.25">
      <c r="B2600" s="71">
        <v>43630</v>
      </c>
      <c r="C2600" t="s">
        <v>21</v>
      </c>
      <c r="D2600" t="s">
        <v>80</v>
      </c>
      <c r="E2600" t="s">
        <v>337</v>
      </c>
      <c r="F2600" s="72">
        <v>48</v>
      </c>
      <c r="G2600" s="72">
        <v>0</v>
      </c>
    </row>
    <row r="2601" spans="2:7" x14ac:dyDescent="0.25">
      <c r="B2601" s="71">
        <v>43630</v>
      </c>
      <c r="C2601" t="s">
        <v>51</v>
      </c>
      <c r="D2601" t="s">
        <v>85</v>
      </c>
      <c r="E2601" t="s">
        <v>337</v>
      </c>
      <c r="F2601" s="72">
        <v>25</v>
      </c>
      <c r="G2601" s="72">
        <v>0</v>
      </c>
    </row>
    <row r="2602" spans="2:7" x14ac:dyDescent="0.25">
      <c r="B2602" s="71">
        <v>43630</v>
      </c>
      <c r="C2602" t="s">
        <v>24</v>
      </c>
      <c r="D2602" t="s">
        <v>80</v>
      </c>
      <c r="E2602" t="s">
        <v>337</v>
      </c>
      <c r="F2602" s="72">
        <v>8</v>
      </c>
      <c r="G2602" s="72">
        <v>0</v>
      </c>
    </row>
    <row r="2603" spans="2:7" x14ac:dyDescent="0.25">
      <c r="B2603" s="71">
        <v>43630</v>
      </c>
      <c r="C2603" t="s">
        <v>24</v>
      </c>
      <c r="D2603" t="s">
        <v>80</v>
      </c>
      <c r="E2603" t="s">
        <v>337</v>
      </c>
      <c r="F2603" s="72">
        <v>32</v>
      </c>
      <c r="G2603" s="72">
        <v>0</v>
      </c>
    </row>
    <row r="2604" spans="2:7" x14ac:dyDescent="0.25">
      <c r="B2604" s="71">
        <v>43630</v>
      </c>
      <c r="C2604" t="s">
        <v>61</v>
      </c>
      <c r="D2604" t="s">
        <v>85</v>
      </c>
      <c r="E2604" t="s">
        <v>337</v>
      </c>
      <c r="F2604" s="72">
        <v>16.05</v>
      </c>
      <c r="G2604" s="72">
        <v>0</v>
      </c>
    </row>
    <row r="2605" spans="2:7" x14ac:dyDescent="0.25">
      <c r="B2605" s="71">
        <v>43631</v>
      </c>
      <c r="C2605" t="s">
        <v>25</v>
      </c>
      <c r="D2605" t="s">
        <v>85</v>
      </c>
      <c r="E2605" t="s">
        <v>338</v>
      </c>
      <c r="F2605" s="72">
        <v>12</v>
      </c>
      <c r="G2605" s="72">
        <v>0</v>
      </c>
    </row>
    <row r="2606" spans="2:7" x14ac:dyDescent="0.25">
      <c r="B2606" s="71">
        <v>43631</v>
      </c>
      <c r="C2606" t="s">
        <v>25</v>
      </c>
      <c r="D2606" t="s">
        <v>85</v>
      </c>
      <c r="E2606" t="s">
        <v>338</v>
      </c>
      <c r="F2606" s="72">
        <v>312</v>
      </c>
      <c r="G2606" s="72">
        <v>0</v>
      </c>
    </row>
    <row r="2607" spans="2:7" x14ac:dyDescent="0.25">
      <c r="B2607" s="71">
        <v>43631</v>
      </c>
      <c r="C2607" t="s">
        <v>25</v>
      </c>
      <c r="D2607" t="s">
        <v>85</v>
      </c>
      <c r="E2607" t="s">
        <v>338</v>
      </c>
      <c r="F2607" s="72">
        <v>359</v>
      </c>
      <c r="G2607" s="72">
        <v>0</v>
      </c>
    </row>
    <row r="2608" spans="2:7" x14ac:dyDescent="0.25">
      <c r="B2608" s="71">
        <v>43631</v>
      </c>
      <c r="C2608" t="s">
        <v>47</v>
      </c>
      <c r="D2608" t="s">
        <v>85</v>
      </c>
      <c r="E2608" t="s">
        <v>338</v>
      </c>
      <c r="F2608" s="72">
        <v>73.53</v>
      </c>
      <c r="G2608" s="72">
        <v>0</v>
      </c>
    </row>
    <row r="2609" spans="2:7" x14ac:dyDescent="0.25">
      <c r="B2609" s="71">
        <v>43631</v>
      </c>
      <c r="C2609" t="s">
        <v>57</v>
      </c>
      <c r="D2609" t="s">
        <v>85</v>
      </c>
      <c r="E2609" t="s">
        <v>338</v>
      </c>
      <c r="F2609" s="72">
        <v>212.87</v>
      </c>
      <c r="G2609" s="72">
        <v>0</v>
      </c>
    </row>
    <row r="2610" spans="2:7" x14ac:dyDescent="0.25">
      <c r="B2610" s="71">
        <v>43631</v>
      </c>
      <c r="C2610" t="s">
        <v>21</v>
      </c>
      <c r="D2610" t="s">
        <v>80</v>
      </c>
      <c r="E2610" t="s">
        <v>338</v>
      </c>
      <c r="F2610" s="72">
        <v>8</v>
      </c>
      <c r="G2610" s="72">
        <v>0</v>
      </c>
    </row>
    <row r="2611" spans="2:7" x14ac:dyDescent="0.25">
      <c r="B2611" s="71">
        <v>43631</v>
      </c>
      <c r="C2611" t="s">
        <v>21</v>
      </c>
      <c r="D2611" t="s">
        <v>80</v>
      </c>
      <c r="E2611" t="s">
        <v>338</v>
      </c>
      <c r="F2611" s="72">
        <v>40</v>
      </c>
      <c r="G2611" s="72">
        <v>0</v>
      </c>
    </row>
    <row r="2612" spans="2:7" x14ac:dyDescent="0.25">
      <c r="B2612" s="71">
        <v>43631</v>
      </c>
      <c r="C2612" t="s">
        <v>21</v>
      </c>
      <c r="D2612" t="s">
        <v>80</v>
      </c>
      <c r="E2612" t="s">
        <v>338</v>
      </c>
      <c r="F2612" s="72">
        <v>48</v>
      </c>
      <c r="G2612" s="72">
        <v>0</v>
      </c>
    </row>
    <row r="2613" spans="2:7" x14ac:dyDescent="0.25">
      <c r="B2613" s="71">
        <v>43631</v>
      </c>
      <c r="C2613" t="s">
        <v>21</v>
      </c>
      <c r="D2613" t="s">
        <v>85</v>
      </c>
      <c r="E2613" t="s">
        <v>338</v>
      </c>
      <c r="F2613" s="72">
        <v>216</v>
      </c>
      <c r="G2613" s="72">
        <v>0</v>
      </c>
    </row>
    <row r="2614" spans="2:7" x14ac:dyDescent="0.25">
      <c r="B2614" s="71">
        <v>43631</v>
      </c>
      <c r="C2614" t="s">
        <v>21</v>
      </c>
      <c r="D2614" t="s">
        <v>85</v>
      </c>
      <c r="E2614" t="s">
        <v>338</v>
      </c>
      <c r="F2614" s="72">
        <v>432</v>
      </c>
      <c r="G2614" s="72">
        <v>0</v>
      </c>
    </row>
    <row r="2615" spans="2:7" x14ac:dyDescent="0.25">
      <c r="B2615" s="71">
        <v>43631</v>
      </c>
      <c r="C2615" t="s">
        <v>56</v>
      </c>
      <c r="D2615" t="s">
        <v>86</v>
      </c>
      <c r="E2615" t="s">
        <v>338</v>
      </c>
      <c r="F2615" s="72">
        <v>19.38</v>
      </c>
      <c r="G2615" s="72">
        <v>0</v>
      </c>
    </row>
    <row r="2616" spans="2:7" x14ac:dyDescent="0.25">
      <c r="B2616" s="71">
        <v>43631</v>
      </c>
      <c r="C2616" t="s">
        <v>66</v>
      </c>
      <c r="D2616" t="s">
        <v>85</v>
      </c>
      <c r="E2616" t="s">
        <v>338</v>
      </c>
      <c r="F2616" s="72">
        <v>46.1</v>
      </c>
      <c r="G2616" s="72">
        <v>0</v>
      </c>
    </row>
    <row r="2617" spans="2:7" x14ac:dyDescent="0.25">
      <c r="B2617" s="71">
        <v>43631</v>
      </c>
      <c r="C2617" t="s">
        <v>24</v>
      </c>
      <c r="D2617" t="s">
        <v>80</v>
      </c>
      <c r="E2617" t="s">
        <v>338</v>
      </c>
      <c r="F2617" s="72">
        <v>8</v>
      </c>
      <c r="G2617" s="72">
        <v>0</v>
      </c>
    </row>
    <row r="2618" spans="2:7" x14ac:dyDescent="0.25">
      <c r="B2618" s="71">
        <v>43633</v>
      </c>
      <c r="C2618" t="s">
        <v>25</v>
      </c>
      <c r="D2618" t="s">
        <v>81</v>
      </c>
      <c r="E2618" t="s">
        <v>339</v>
      </c>
      <c r="F2618" s="72">
        <v>10.91</v>
      </c>
      <c r="G2618" s="72">
        <v>0</v>
      </c>
    </row>
    <row r="2619" spans="2:7" x14ac:dyDescent="0.25">
      <c r="B2619" s="71">
        <v>43633</v>
      </c>
      <c r="C2619" t="s">
        <v>25</v>
      </c>
      <c r="D2619" t="s">
        <v>81</v>
      </c>
      <c r="E2619" t="s">
        <v>339</v>
      </c>
      <c r="F2619" s="72">
        <v>22.07</v>
      </c>
      <c r="G2619" s="72">
        <v>0</v>
      </c>
    </row>
    <row r="2620" spans="2:7" x14ac:dyDescent="0.25">
      <c r="B2620" s="71">
        <v>43633</v>
      </c>
      <c r="C2620" t="s">
        <v>25</v>
      </c>
      <c r="D2620" t="s">
        <v>81</v>
      </c>
      <c r="E2620" t="s">
        <v>339</v>
      </c>
      <c r="F2620" s="72">
        <v>47.98</v>
      </c>
      <c r="G2620" s="72">
        <v>0</v>
      </c>
    </row>
    <row r="2621" spans="2:7" x14ac:dyDescent="0.25">
      <c r="B2621" s="71">
        <v>43633</v>
      </c>
      <c r="C2621" t="s">
        <v>25</v>
      </c>
      <c r="D2621" t="s">
        <v>81</v>
      </c>
      <c r="E2621" t="s">
        <v>339</v>
      </c>
      <c r="F2621" s="72">
        <v>100.96</v>
      </c>
      <c r="G2621" s="72">
        <v>0</v>
      </c>
    </row>
    <row r="2622" spans="2:7" x14ac:dyDescent="0.25">
      <c r="B2622" s="71">
        <v>43633</v>
      </c>
      <c r="C2622" t="s">
        <v>25</v>
      </c>
      <c r="D2622" t="s">
        <v>81</v>
      </c>
      <c r="E2622" t="s">
        <v>339</v>
      </c>
      <c r="F2622" s="72">
        <v>138.56</v>
      </c>
      <c r="G2622" s="72">
        <v>0</v>
      </c>
    </row>
    <row r="2623" spans="2:7" x14ac:dyDescent="0.25">
      <c r="B2623" s="71">
        <v>43633</v>
      </c>
      <c r="C2623" t="s">
        <v>25</v>
      </c>
      <c r="D2623" t="s">
        <v>88</v>
      </c>
      <c r="E2623" t="s">
        <v>339</v>
      </c>
      <c r="F2623" s="72">
        <v>7.1</v>
      </c>
      <c r="G2623" s="72">
        <v>0</v>
      </c>
    </row>
    <row r="2624" spans="2:7" x14ac:dyDescent="0.25">
      <c r="B2624" s="71">
        <v>43633</v>
      </c>
      <c r="C2624" t="s">
        <v>25</v>
      </c>
      <c r="D2624" t="s">
        <v>88</v>
      </c>
      <c r="E2624" t="s">
        <v>339</v>
      </c>
      <c r="F2624" s="72">
        <v>20.85</v>
      </c>
      <c r="G2624" s="72">
        <v>0</v>
      </c>
    </row>
    <row r="2625" spans="2:7" x14ac:dyDescent="0.25">
      <c r="B2625" s="71">
        <v>43633</v>
      </c>
      <c r="C2625" t="s">
        <v>25</v>
      </c>
      <c r="D2625" t="s">
        <v>88</v>
      </c>
      <c r="E2625" t="s">
        <v>339</v>
      </c>
      <c r="F2625" s="72">
        <v>33.25</v>
      </c>
      <c r="G2625" s="72">
        <v>0</v>
      </c>
    </row>
    <row r="2626" spans="2:7" x14ac:dyDescent="0.25">
      <c r="B2626" s="71">
        <v>43633</v>
      </c>
      <c r="C2626" t="s">
        <v>25</v>
      </c>
      <c r="D2626" t="s">
        <v>88</v>
      </c>
      <c r="E2626" t="s">
        <v>339</v>
      </c>
      <c r="F2626" s="72">
        <v>35.06</v>
      </c>
      <c r="G2626" s="72">
        <v>0</v>
      </c>
    </row>
    <row r="2627" spans="2:7" x14ac:dyDescent="0.25">
      <c r="B2627" s="71">
        <v>43633</v>
      </c>
      <c r="C2627" t="s">
        <v>25</v>
      </c>
      <c r="D2627" t="s">
        <v>88</v>
      </c>
      <c r="E2627" t="s">
        <v>339</v>
      </c>
      <c r="F2627" s="72">
        <v>41.83</v>
      </c>
      <c r="G2627" s="72">
        <v>0</v>
      </c>
    </row>
    <row r="2628" spans="2:7" x14ac:dyDescent="0.25">
      <c r="B2628" s="71">
        <v>43633</v>
      </c>
      <c r="C2628" t="s">
        <v>25</v>
      </c>
      <c r="D2628" t="s">
        <v>88</v>
      </c>
      <c r="E2628" t="s">
        <v>339</v>
      </c>
      <c r="F2628" s="72">
        <v>46.97</v>
      </c>
      <c r="G2628" s="72">
        <v>0</v>
      </c>
    </row>
    <row r="2629" spans="2:7" x14ac:dyDescent="0.25">
      <c r="B2629" s="71">
        <v>43633</v>
      </c>
      <c r="C2629" t="s">
        <v>25</v>
      </c>
      <c r="D2629" t="s">
        <v>88</v>
      </c>
      <c r="E2629" t="s">
        <v>339</v>
      </c>
      <c r="F2629" s="72">
        <v>73.510000000000005</v>
      </c>
      <c r="G2629" s="72">
        <v>0</v>
      </c>
    </row>
    <row r="2630" spans="2:7" x14ac:dyDescent="0.25">
      <c r="B2630" s="71">
        <v>43633</v>
      </c>
      <c r="C2630" t="s">
        <v>25</v>
      </c>
      <c r="D2630" t="s">
        <v>88</v>
      </c>
      <c r="E2630" t="s">
        <v>339</v>
      </c>
      <c r="F2630" s="72">
        <v>78</v>
      </c>
      <c r="G2630" s="72">
        <v>0</v>
      </c>
    </row>
    <row r="2631" spans="2:7" x14ac:dyDescent="0.25">
      <c r="B2631" s="71">
        <v>43633</v>
      </c>
      <c r="C2631" t="s">
        <v>25</v>
      </c>
      <c r="D2631" t="s">
        <v>88</v>
      </c>
      <c r="E2631" t="s">
        <v>339</v>
      </c>
      <c r="F2631" s="72">
        <v>79.55</v>
      </c>
      <c r="G2631" s="72">
        <v>0</v>
      </c>
    </row>
    <row r="2632" spans="2:7" x14ac:dyDescent="0.25">
      <c r="B2632" s="71">
        <v>43633</v>
      </c>
      <c r="C2632" t="s">
        <v>25</v>
      </c>
      <c r="D2632" t="s">
        <v>88</v>
      </c>
      <c r="E2632" t="s">
        <v>339</v>
      </c>
      <c r="F2632" s="72">
        <v>82.43</v>
      </c>
      <c r="G2632" s="72">
        <v>0</v>
      </c>
    </row>
    <row r="2633" spans="2:7" x14ac:dyDescent="0.25">
      <c r="B2633" s="71">
        <v>43633</v>
      </c>
      <c r="C2633" t="s">
        <v>25</v>
      </c>
      <c r="D2633" t="s">
        <v>88</v>
      </c>
      <c r="E2633" t="s">
        <v>339</v>
      </c>
      <c r="F2633" s="72">
        <v>112</v>
      </c>
      <c r="G2633" s="72">
        <v>0</v>
      </c>
    </row>
    <row r="2634" spans="2:7" x14ac:dyDescent="0.25">
      <c r="B2634" s="71">
        <v>43633</v>
      </c>
      <c r="C2634" t="s">
        <v>25</v>
      </c>
      <c r="D2634" t="s">
        <v>88</v>
      </c>
      <c r="E2634" t="s">
        <v>339</v>
      </c>
      <c r="F2634" s="72">
        <v>140.03</v>
      </c>
      <c r="G2634" s="72">
        <v>0</v>
      </c>
    </row>
    <row r="2635" spans="2:7" x14ac:dyDescent="0.25">
      <c r="B2635" s="71">
        <v>43633</v>
      </c>
      <c r="C2635" t="s">
        <v>25</v>
      </c>
      <c r="D2635" t="s">
        <v>82</v>
      </c>
      <c r="E2635" t="s">
        <v>165</v>
      </c>
      <c r="F2635" s="72">
        <v>18</v>
      </c>
      <c r="G2635" s="72">
        <v>0</v>
      </c>
    </row>
    <row r="2636" spans="2:7" x14ac:dyDescent="0.25">
      <c r="B2636" s="71">
        <v>43633</v>
      </c>
      <c r="C2636" t="s">
        <v>25</v>
      </c>
      <c r="D2636" t="s">
        <v>82</v>
      </c>
      <c r="E2636" t="s">
        <v>170</v>
      </c>
      <c r="F2636" s="72">
        <v>4.2</v>
      </c>
      <c r="G2636" s="72">
        <v>0</v>
      </c>
    </row>
    <row r="2637" spans="2:7" x14ac:dyDescent="0.25">
      <c r="B2637" s="71">
        <v>43633</v>
      </c>
      <c r="C2637" t="s">
        <v>60</v>
      </c>
      <c r="D2637" t="s">
        <v>81</v>
      </c>
      <c r="E2637" t="s">
        <v>339</v>
      </c>
      <c r="F2637" s="72">
        <v>153.63999999999999</v>
      </c>
      <c r="G2637" s="72">
        <v>0</v>
      </c>
    </row>
    <row r="2638" spans="2:7" x14ac:dyDescent="0.25">
      <c r="B2638" s="71">
        <v>43633</v>
      </c>
      <c r="C2638" t="s">
        <v>52</v>
      </c>
      <c r="D2638" t="s">
        <v>87</v>
      </c>
      <c r="E2638" t="s">
        <v>339</v>
      </c>
      <c r="F2638" s="72">
        <v>56.16</v>
      </c>
      <c r="G2638" s="72">
        <v>0</v>
      </c>
    </row>
    <row r="2639" spans="2:7" x14ac:dyDescent="0.25">
      <c r="B2639" s="71">
        <v>43633</v>
      </c>
      <c r="C2639" t="s">
        <v>45</v>
      </c>
      <c r="D2639" t="s">
        <v>88</v>
      </c>
      <c r="E2639" t="s">
        <v>339</v>
      </c>
      <c r="F2639" s="72">
        <v>27</v>
      </c>
      <c r="G2639" s="72">
        <v>0</v>
      </c>
    </row>
    <row r="2640" spans="2:7" x14ac:dyDescent="0.25">
      <c r="B2640" s="71">
        <v>43633</v>
      </c>
      <c r="C2640" t="s">
        <v>21</v>
      </c>
      <c r="D2640" t="s">
        <v>80</v>
      </c>
      <c r="E2640" t="s">
        <v>339</v>
      </c>
      <c r="F2640" s="72">
        <v>24</v>
      </c>
      <c r="G2640" s="72">
        <v>0</v>
      </c>
    </row>
    <row r="2641" spans="2:7" x14ac:dyDescent="0.25">
      <c r="B2641" s="71">
        <v>43633</v>
      </c>
      <c r="C2641" t="s">
        <v>21</v>
      </c>
      <c r="D2641" t="s">
        <v>80</v>
      </c>
      <c r="E2641" t="s">
        <v>339</v>
      </c>
      <c r="F2641" s="72">
        <v>64</v>
      </c>
      <c r="G2641" s="72">
        <v>0</v>
      </c>
    </row>
    <row r="2642" spans="2:7" x14ac:dyDescent="0.25">
      <c r="B2642" s="71">
        <v>43633</v>
      </c>
      <c r="C2642" t="s">
        <v>49</v>
      </c>
      <c r="D2642" t="s">
        <v>81</v>
      </c>
      <c r="E2642" t="s">
        <v>339</v>
      </c>
      <c r="F2642" s="72">
        <v>57.86</v>
      </c>
      <c r="G2642" s="72">
        <v>0</v>
      </c>
    </row>
    <row r="2643" spans="2:7" x14ac:dyDescent="0.25">
      <c r="B2643" s="71">
        <v>43633</v>
      </c>
      <c r="C2643" t="s">
        <v>72</v>
      </c>
      <c r="D2643" t="s">
        <v>87</v>
      </c>
      <c r="E2643" t="s">
        <v>339</v>
      </c>
      <c r="F2643" s="72">
        <v>261.10000000000002</v>
      </c>
      <c r="G2643" s="72">
        <v>0</v>
      </c>
    </row>
    <row r="2644" spans="2:7" x14ac:dyDescent="0.25">
      <c r="B2644" s="71">
        <v>43633</v>
      </c>
      <c r="C2644" t="s">
        <v>62</v>
      </c>
      <c r="D2644" t="s">
        <v>81</v>
      </c>
      <c r="E2644" t="s">
        <v>339</v>
      </c>
      <c r="F2644" s="72">
        <v>173.06</v>
      </c>
      <c r="G2644" s="72">
        <v>0</v>
      </c>
    </row>
    <row r="2645" spans="2:7" x14ac:dyDescent="0.25">
      <c r="B2645" s="71">
        <v>43633</v>
      </c>
      <c r="C2645" t="s">
        <v>62</v>
      </c>
      <c r="D2645" t="s">
        <v>88</v>
      </c>
      <c r="E2645" t="s">
        <v>339</v>
      </c>
      <c r="F2645" s="72">
        <v>157.21</v>
      </c>
      <c r="G2645" s="72">
        <v>0</v>
      </c>
    </row>
    <row r="2646" spans="2:7" x14ac:dyDescent="0.25">
      <c r="B2646" s="71">
        <v>43634</v>
      </c>
      <c r="C2646" t="s">
        <v>25</v>
      </c>
      <c r="D2646" t="s">
        <v>80</v>
      </c>
      <c r="E2646" t="s">
        <v>340</v>
      </c>
      <c r="F2646" s="72">
        <v>8</v>
      </c>
      <c r="G2646" s="72">
        <v>0</v>
      </c>
    </row>
    <row r="2647" spans="2:7" x14ac:dyDescent="0.25">
      <c r="B2647" s="71">
        <v>43634</v>
      </c>
      <c r="C2647" t="s">
        <v>25</v>
      </c>
      <c r="D2647" t="s">
        <v>86</v>
      </c>
      <c r="E2647" t="s">
        <v>340</v>
      </c>
      <c r="F2647" s="72">
        <v>25</v>
      </c>
      <c r="G2647" s="72">
        <v>0</v>
      </c>
    </row>
    <row r="2648" spans="2:7" x14ac:dyDescent="0.25">
      <c r="B2648" s="71">
        <v>43634</v>
      </c>
      <c r="C2648" t="s">
        <v>25</v>
      </c>
      <c r="D2648" t="s">
        <v>82</v>
      </c>
      <c r="E2648" t="s">
        <v>149</v>
      </c>
      <c r="F2648" s="72">
        <v>12</v>
      </c>
      <c r="G2648" s="72">
        <v>0</v>
      </c>
    </row>
    <row r="2649" spans="2:7" x14ac:dyDescent="0.25">
      <c r="B2649" s="71">
        <v>43634</v>
      </c>
      <c r="C2649" t="s">
        <v>25</v>
      </c>
      <c r="D2649" t="s">
        <v>82</v>
      </c>
      <c r="E2649" t="s">
        <v>138</v>
      </c>
      <c r="F2649" s="72">
        <v>23.25</v>
      </c>
      <c r="G2649" s="72">
        <v>0</v>
      </c>
    </row>
    <row r="2650" spans="2:7" x14ac:dyDescent="0.25">
      <c r="B2650" s="71">
        <v>43634</v>
      </c>
      <c r="C2650" t="s">
        <v>25</v>
      </c>
      <c r="D2650" t="s">
        <v>82</v>
      </c>
      <c r="E2650" t="s">
        <v>208</v>
      </c>
      <c r="F2650" s="72">
        <v>9.5500000000000007</v>
      </c>
      <c r="G2650" s="72">
        <v>0</v>
      </c>
    </row>
    <row r="2651" spans="2:7" x14ac:dyDescent="0.25">
      <c r="B2651" s="71">
        <v>43634</v>
      </c>
      <c r="C2651" t="s">
        <v>25</v>
      </c>
      <c r="D2651" t="s">
        <v>82</v>
      </c>
      <c r="E2651" t="s">
        <v>154</v>
      </c>
      <c r="F2651" s="72">
        <v>3.15</v>
      </c>
      <c r="G2651" s="72">
        <v>0</v>
      </c>
    </row>
    <row r="2652" spans="2:7" x14ac:dyDescent="0.25">
      <c r="B2652" s="71">
        <v>43634</v>
      </c>
      <c r="C2652" t="s">
        <v>25</v>
      </c>
      <c r="D2652" t="s">
        <v>85</v>
      </c>
      <c r="E2652" t="s">
        <v>340</v>
      </c>
      <c r="F2652" s="72">
        <v>12</v>
      </c>
      <c r="G2652" s="72">
        <v>0</v>
      </c>
    </row>
    <row r="2653" spans="2:7" x14ac:dyDescent="0.25">
      <c r="B2653" s="71">
        <v>43634</v>
      </c>
      <c r="C2653" t="s">
        <v>57</v>
      </c>
      <c r="D2653" t="s">
        <v>85</v>
      </c>
      <c r="E2653" t="s">
        <v>340</v>
      </c>
      <c r="F2653" s="72">
        <v>39</v>
      </c>
      <c r="G2653" s="72">
        <v>0</v>
      </c>
    </row>
    <row r="2654" spans="2:7" x14ac:dyDescent="0.25">
      <c r="B2654" s="71">
        <v>43634</v>
      </c>
      <c r="C2654" t="s">
        <v>21</v>
      </c>
      <c r="D2654" t="s">
        <v>80</v>
      </c>
      <c r="E2654" t="s">
        <v>340</v>
      </c>
      <c r="F2654" s="72">
        <v>8</v>
      </c>
      <c r="G2654" s="72">
        <v>0</v>
      </c>
    </row>
    <row r="2655" spans="2:7" x14ac:dyDescent="0.25">
      <c r="B2655" s="71">
        <v>43634</v>
      </c>
      <c r="C2655" t="s">
        <v>21</v>
      </c>
      <c r="D2655" t="s">
        <v>80</v>
      </c>
      <c r="E2655" t="s">
        <v>340</v>
      </c>
      <c r="F2655" s="72">
        <v>16</v>
      </c>
      <c r="G2655" s="72">
        <v>0</v>
      </c>
    </row>
    <row r="2656" spans="2:7" x14ac:dyDescent="0.25">
      <c r="B2656" s="71">
        <v>43634</v>
      </c>
      <c r="C2656" t="s">
        <v>21</v>
      </c>
      <c r="D2656" t="s">
        <v>80</v>
      </c>
      <c r="E2656" t="s">
        <v>340</v>
      </c>
      <c r="F2656" s="72">
        <v>24</v>
      </c>
      <c r="G2656" s="72">
        <v>0</v>
      </c>
    </row>
    <row r="2657" spans="2:7" x14ac:dyDescent="0.25">
      <c r="B2657" s="71">
        <v>43634</v>
      </c>
      <c r="C2657" t="s">
        <v>21</v>
      </c>
      <c r="D2657" t="s">
        <v>80</v>
      </c>
      <c r="E2657" t="s">
        <v>340</v>
      </c>
      <c r="F2657" s="72">
        <v>32</v>
      </c>
      <c r="G2657" s="72">
        <v>0</v>
      </c>
    </row>
    <row r="2658" spans="2:7" x14ac:dyDescent="0.25">
      <c r="B2658" s="71">
        <v>43634</v>
      </c>
      <c r="C2658" t="s">
        <v>21</v>
      </c>
      <c r="D2658" t="s">
        <v>80</v>
      </c>
      <c r="E2658" t="s">
        <v>340</v>
      </c>
      <c r="F2658" s="72">
        <v>40</v>
      </c>
      <c r="G2658" s="72">
        <v>0</v>
      </c>
    </row>
    <row r="2659" spans="2:7" x14ac:dyDescent="0.25">
      <c r="B2659" s="71">
        <v>43634</v>
      </c>
      <c r="C2659" t="s">
        <v>67</v>
      </c>
      <c r="D2659" t="s">
        <v>86</v>
      </c>
      <c r="E2659" t="s">
        <v>340</v>
      </c>
      <c r="F2659" s="72">
        <v>111.79</v>
      </c>
      <c r="G2659" s="72">
        <v>0</v>
      </c>
    </row>
    <row r="2660" spans="2:7" x14ac:dyDescent="0.25">
      <c r="B2660" s="71">
        <v>43634</v>
      </c>
      <c r="C2660" t="s">
        <v>75</v>
      </c>
      <c r="D2660" t="s">
        <v>87</v>
      </c>
      <c r="E2660" t="s">
        <v>340</v>
      </c>
      <c r="F2660" s="72">
        <v>2723.68</v>
      </c>
      <c r="G2660" s="72">
        <v>0</v>
      </c>
    </row>
    <row r="2661" spans="2:7" x14ac:dyDescent="0.25">
      <c r="B2661" s="71">
        <v>43634</v>
      </c>
      <c r="C2661" t="s">
        <v>51</v>
      </c>
      <c r="D2661" t="s">
        <v>85</v>
      </c>
      <c r="E2661" t="s">
        <v>340</v>
      </c>
      <c r="F2661" s="72">
        <v>3.13</v>
      </c>
      <c r="G2661" s="72">
        <v>0</v>
      </c>
    </row>
    <row r="2662" spans="2:7" x14ac:dyDescent="0.25">
      <c r="B2662" s="71">
        <v>43634</v>
      </c>
      <c r="C2662" t="s">
        <v>72</v>
      </c>
      <c r="D2662" t="s">
        <v>87</v>
      </c>
      <c r="E2662" t="s">
        <v>340</v>
      </c>
      <c r="F2662" s="72">
        <v>417.29</v>
      </c>
      <c r="G2662" s="72">
        <v>0</v>
      </c>
    </row>
    <row r="2663" spans="2:7" x14ac:dyDescent="0.25">
      <c r="B2663" s="71">
        <v>43634</v>
      </c>
      <c r="C2663" t="s">
        <v>61</v>
      </c>
      <c r="D2663" t="s">
        <v>86</v>
      </c>
      <c r="E2663" t="s">
        <v>340</v>
      </c>
      <c r="F2663" s="72">
        <v>37.68</v>
      </c>
      <c r="G2663" s="72">
        <v>0</v>
      </c>
    </row>
    <row r="2664" spans="2:7" x14ac:dyDescent="0.25">
      <c r="B2664" s="71">
        <v>43635</v>
      </c>
      <c r="C2664" t="s">
        <v>25</v>
      </c>
      <c r="D2664" t="s">
        <v>82</v>
      </c>
      <c r="E2664" t="s">
        <v>136</v>
      </c>
      <c r="F2664" s="72">
        <v>3</v>
      </c>
      <c r="G2664" s="72">
        <v>0</v>
      </c>
    </row>
    <row r="2665" spans="2:7" x14ac:dyDescent="0.25">
      <c r="B2665" s="71">
        <v>43635</v>
      </c>
      <c r="C2665" t="s">
        <v>25</v>
      </c>
      <c r="D2665" t="s">
        <v>82</v>
      </c>
      <c r="E2665" t="s">
        <v>214</v>
      </c>
      <c r="F2665" s="72">
        <v>22.5</v>
      </c>
      <c r="G2665" s="72">
        <v>0</v>
      </c>
    </row>
    <row r="2666" spans="2:7" x14ac:dyDescent="0.25">
      <c r="B2666" s="71">
        <v>43635</v>
      </c>
      <c r="C2666" t="s">
        <v>25</v>
      </c>
      <c r="D2666" t="s">
        <v>82</v>
      </c>
      <c r="E2666" t="s">
        <v>254</v>
      </c>
      <c r="F2666" s="72">
        <v>2.4</v>
      </c>
      <c r="G2666" s="72">
        <v>0</v>
      </c>
    </row>
    <row r="2667" spans="2:7" x14ac:dyDescent="0.25">
      <c r="B2667" s="71">
        <v>43635</v>
      </c>
      <c r="C2667" t="s">
        <v>25</v>
      </c>
      <c r="D2667" t="s">
        <v>82</v>
      </c>
      <c r="E2667" t="s">
        <v>165</v>
      </c>
      <c r="F2667" s="72">
        <v>24</v>
      </c>
      <c r="G2667" s="72">
        <v>0</v>
      </c>
    </row>
    <row r="2668" spans="2:7" x14ac:dyDescent="0.25">
      <c r="B2668" s="71">
        <v>43635</v>
      </c>
      <c r="C2668" t="s">
        <v>25</v>
      </c>
      <c r="D2668" t="s">
        <v>82</v>
      </c>
      <c r="E2668" t="s">
        <v>218</v>
      </c>
      <c r="F2668" s="72">
        <v>7.6</v>
      </c>
      <c r="G2668" s="72">
        <v>0</v>
      </c>
    </row>
    <row r="2669" spans="2:7" x14ac:dyDescent="0.25">
      <c r="B2669" s="71">
        <v>43635</v>
      </c>
      <c r="C2669" t="s">
        <v>60</v>
      </c>
      <c r="D2669" t="s">
        <v>83</v>
      </c>
      <c r="E2669" t="s">
        <v>341</v>
      </c>
      <c r="F2669" s="72">
        <v>130.16999999999999</v>
      </c>
      <c r="G2669" s="72">
        <v>0</v>
      </c>
    </row>
    <row r="2670" spans="2:7" x14ac:dyDescent="0.25">
      <c r="B2670" s="71">
        <v>43635</v>
      </c>
      <c r="C2670" t="s">
        <v>57</v>
      </c>
      <c r="D2670" t="s">
        <v>85</v>
      </c>
      <c r="E2670" t="s">
        <v>341</v>
      </c>
      <c r="F2670" s="72">
        <v>41</v>
      </c>
      <c r="G2670" s="72">
        <v>0</v>
      </c>
    </row>
    <row r="2671" spans="2:7" x14ac:dyDescent="0.25">
      <c r="B2671" s="71">
        <v>43635</v>
      </c>
      <c r="C2671" t="s">
        <v>21</v>
      </c>
      <c r="D2671" t="s">
        <v>80</v>
      </c>
      <c r="E2671" t="s">
        <v>341</v>
      </c>
      <c r="F2671" s="72">
        <v>8</v>
      </c>
      <c r="G2671" s="72">
        <v>0</v>
      </c>
    </row>
    <row r="2672" spans="2:7" x14ac:dyDescent="0.25">
      <c r="B2672" s="71">
        <v>43635</v>
      </c>
      <c r="C2672" t="s">
        <v>21</v>
      </c>
      <c r="D2672" t="s">
        <v>80</v>
      </c>
      <c r="E2672" t="s">
        <v>341</v>
      </c>
      <c r="F2672" s="72">
        <v>16</v>
      </c>
      <c r="G2672" s="72">
        <v>0</v>
      </c>
    </row>
    <row r="2673" spans="2:7" x14ac:dyDescent="0.25">
      <c r="B2673" s="71">
        <v>43635</v>
      </c>
      <c r="C2673" t="s">
        <v>21</v>
      </c>
      <c r="D2673" t="s">
        <v>80</v>
      </c>
      <c r="E2673" t="s">
        <v>341</v>
      </c>
      <c r="F2673" s="72">
        <v>24</v>
      </c>
      <c r="G2673" s="72">
        <v>0</v>
      </c>
    </row>
    <row r="2674" spans="2:7" x14ac:dyDescent="0.25">
      <c r="B2674" s="71">
        <v>43635</v>
      </c>
      <c r="C2674" t="s">
        <v>21</v>
      </c>
      <c r="D2674" t="s">
        <v>80</v>
      </c>
      <c r="E2674" t="s">
        <v>341</v>
      </c>
      <c r="F2674" s="72">
        <v>56</v>
      </c>
      <c r="G2674" s="72">
        <v>0</v>
      </c>
    </row>
    <row r="2675" spans="2:7" x14ac:dyDescent="0.25">
      <c r="B2675" s="71">
        <v>43635</v>
      </c>
      <c r="C2675" t="s">
        <v>21</v>
      </c>
      <c r="D2675" t="s">
        <v>80</v>
      </c>
      <c r="E2675" t="s">
        <v>341</v>
      </c>
      <c r="F2675" s="72">
        <v>80</v>
      </c>
      <c r="G2675" s="72">
        <v>0</v>
      </c>
    </row>
    <row r="2676" spans="2:7" x14ac:dyDescent="0.25">
      <c r="B2676" s="71">
        <v>43635</v>
      </c>
      <c r="C2676" t="s">
        <v>56</v>
      </c>
      <c r="D2676" t="s">
        <v>86</v>
      </c>
      <c r="E2676" t="s">
        <v>341</v>
      </c>
      <c r="F2676" s="72">
        <v>505.25</v>
      </c>
      <c r="G2676" s="72">
        <v>0</v>
      </c>
    </row>
    <row r="2677" spans="2:7" x14ac:dyDescent="0.25">
      <c r="B2677" s="71">
        <v>43635</v>
      </c>
      <c r="C2677" t="s">
        <v>66</v>
      </c>
      <c r="D2677" t="s">
        <v>85</v>
      </c>
      <c r="E2677" t="s">
        <v>341</v>
      </c>
      <c r="F2677" s="72">
        <v>18.149999999999999</v>
      </c>
      <c r="G2677" s="72">
        <v>0</v>
      </c>
    </row>
    <row r="2678" spans="2:7" x14ac:dyDescent="0.25">
      <c r="B2678" s="71">
        <v>43636</v>
      </c>
      <c r="C2678" t="s">
        <v>25</v>
      </c>
      <c r="D2678" t="s">
        <v>84</v>
      </c>
      <c r="E2678" t="s">
        <v>342</v>
      </c>
      <c r="F2678" s="72">
        <v>23</v>
      </c>
      <c r="G2678" s="72">
        <v>0</v>
      </c>
    </row>
    <row r="2679" spans="2:7" x14ac:dyDescent="0.25">
      <c r="B2679" s="71">
        <v>43636</v>
      </c>
      <c r="C2679" t="s">
        <v>25</v>
      </c>
      <c r="D2679" t="s">
        <v>81</v>
      </c>
      <c r="E2679" t="s">
        <v>342</v>
      </c>
      <c r="F2679" s="72">
        <v>17.989999999999998</v>
      </c>
      <c r="G2679" s="72">
        <v>0</v>
      </c>
    </row>
    <row r="2680" spans="2:7" x14ac:dyDescent="0.25">
      <c r="B2680" s="71">
        <v>43636</v>
      </c>
      <c r="C2680" t="s">
        <v>25</v>
      </c>
      <c r="D2680" t="s">
        <v>88</v>
      </c>
      <c r="E2680" t="s">
        <v>342</v>
      </c>
      <c r="F2680" s="72">
        <v>21.88</v>
      </c>
      <c r="G2680" s="72">
        <v>0</v>
      </c>
    </row>
    <row r="2681" spans="2:7" x14ac:dyDescent="0.25">
      <c r="B2681" s="71">
        <v>43636</v>
      </c>
      <c r="C2681" t="s">
        <v>25</v>
      </c>
      <c r="D2681" t="s">
        <v>88</v>
      </c>
      <c r="E2681" t="s">
        <v>342</v>
      </c>
      <c r="F2681" s="72">
        <v>29.24</v>
      </c>
      <c r="G2681" s="72">
        <v>0</v>
      </c>
    </row>
    <row r="2682" spans="2:7" x14ac:dyDescent="0.25">
      <c r="B2682" s="71">
        <v>43636</v>
      </c>
      <c r="C2682" t="s">
        <v>25</v>
      </c>
      <c r="D2682" t="s">
        <v>88</v>
      </c>
      <c r="E2682" t="s">
        <v>342</v>
      </c>
      <c r="F2682" s="72">
        <v>30.04</v>
      </c>
      <c r="G2682" s="72">
        <v>0</v>
      </c>
    </row>
    <row r="2683" spans="2:7" x14ac:dyDescent="0.25">
      <c r="B2683" s="71">
        <v>43636</v>
      </c>
      <c r="C2683" t="s">
        <v>25</v>
      </c>
      <c r="D2683" t="s">
        <v>88</v>
      </c>
      <c r="E2683" t="s">
        <v>342</v>
      </c>
      <c r="F2683" s="72">
        <v>35.5</v>
      </c>
      <c r="G2683" s="72">
        <v>0</v>
      </c>
    </row>
    <row r="2684" spans="2:7" x14ac:dyDescent="0.25">
      <c r="B2684" s="71">
        <v>43636</v>
      </c>
      <c r="C2684" t="s">
        <v>25</v>
      </c>
      <c r="D2684" t="s">
        <v>88</v>
      </c>
      <c r="E2684" t="s">
        <v>342</v>
      </c>
      <c r="F2684" s="72">
        <v>40.130000000000003</v>
      </c>
      <c r="G2684" s="72">
        <v>0</v>
      </c>
    </row>
    <row r="2685" spans="2:7" x14ac:dyDescent="0.25">
      <c r="B2685" s="71">
        <v>43636</v>
      </c>
      <c r="C2685" t="s">
        <v>25</v>
      </c>
      <c r="D2685" t="s">
        <v>88</v>
      </c>
      <c r="E2685" t="s">
        <v>342</v>
      </c>
      <c r="F2685" s="72">
        <v>84.51</v>
      </c>
      <c r="G2685" s="72">
        <v>0</v>
      </c>
    </row>
    <row r="2686" spans="2:7" x14ac:dyDescent="0.25">
      <c r="B2686" s="71">
        <v>43636</v>
      </c>
      <c r="C2686" t="s">
        <v>25</v>
      </c>
      <c r="D2686" t="s">
        <v>82</v>
      </c>
      <c r="E2686" t="s">
        <v>274</v>
      </c>
      <c r="F2686" s="72">
        <v>1.8</v>
      </c>
      <c r="G2686" s="72">
        <v>0</v>
      </c>
    </row>
    <row r="2687" spans="2:7" x14ac:dyDescent="0.25">
      <c r="B2687" s="71">
        <v>43636</v>
      </c>
      <c r="C2687" t="s">
        <v>25</v>
      </c>
      <c r="D2687" t="s">
        <v>85</v>
      </c>
      <c r="E2687" t="s">
        <v>342</v>
      </c>
      <c r="F2687" s="72">
        <v>12</v>
      </c>
      <c r="G2687" s="72">
        <v>0</v>
      </c>
    </row>
    <row r="2688" spans="2:7" x14ac:dyDescent="0.25">
      <c r="B2688" s="71">
        <v>43636</v>
      </c>
      <c r="C2688" t="s">
        <v>55</v>
      </c>
      <c r="D2688" t="s">
        <v>87</v>
      </c>
      <c r="E2688" t="s">
        <v>342</v>
      </c>
      <c r="F2688" s="72">
        <v>743.3</v>
      </c>
      <c r="G2688" s="72">
        <v>0</v>
      </c>
    </row>
    <row r="2689" spans="2:7" x14ac:dyDescent="0.25">
      <c r="B2689" s="71">
        <v>43636</v>
      </c>
      <c r="C2689" t="s">
        <v>47</v>
      </c>
      <c r="D2689" t="s">
        <v>87</v>
      </c>
      <c r="E2689" t="s">
        <v>342</v>
      </c>
      <c r="F2689" s="72">
        <v>187.45</v>
      </c>
      <c r="G2689" s="72">
        <v>0</v>
      </c>
    </row>
    <row r="2690" spans="2:7" x14ac:dyDescent="0.25">
      <c r="B2690" s="71">
        <v>43636</v>
      </c>
      <c r="C2690" t="s">
        <v>52</v>
      </c>
      <c r="D2690" t="s">
        <v>87</v>
      </c>
      <c r="E2690" t="s">
        <v>342</v>
      </c>
      <c r="F2690" s="72">
        <v>368.12</v>
      </c>
      <c r="G2690" s="72">
        <v>0</v>
      </c>
    </row>
    <row r="2691" spans="2:7" x14ac:dyDescent="0.25">
      <c r="B2691" s="71">
        <v>43636</v>
      </c>
      <c r="C2691" t="s">
        <v>58</v>
      </c>
      <c r="D2691" t="s">
        <v>87</v>
      </c>
      <c r="E2691" t="s">
        <v>342</v>
      </c>
      <c r="F2691" s="72">
        <v>4.5999999999999996</v>
      </c>
      <c r="G2691" s="72">
        <v>0</v>
      </c>
    </row>
    <row r="2692" spans="2:7" x14ac:dyDescent="0.25">
      <c r="B2692" s="71">
        <v>43636</v>
      </c>
      <c r="C2692" t="s">
        <v>21</v>
      </c>
      <c r="D2692" t="s">
        <v>80</v>
      </c>
      <c r="E2692" t="s">
        <v>342</v>
      </c>
      <c r="F2692" s="72">
        <v>8</v>
      </c>
      <c r="G2692" s="72">
        <v>0</v>
      </c>
    </row>
    <row r="2693" spans="2:7" x14ac:dyDescent="0.25">
      <c r="B2693" s="71">
        <v>43636</v>
      </c>
      <c r="C2693" t="s">
        <v>21</v>
      </c>
      <c r="D2693" t="s">
        <v>80</v>
      </c>
      <c r="E2693" t="s">
        <v>342</v>
      </c>
      <c r="F2693" s="72">
        <v>16</v>
      </c>
      <c r="G2693" s="72">
        <v>0</v>
      </c>
    </row>
    <row r="2694" spans="2:7" x14ac:dyDescent="0.25">
      <c r="B2694" s="71">
        <v>43636</v>
      </c>
      <c r="C2694" t="s">
        <v>49</v>
      </c>
      <c r="D2694" t="s">
        <v>81</v>
      </c>
      <c r="E2694" t="s">
        <v>342</v>
      </c>
      <c r="F2694" s="72">
        <v>105.34</v>
      </c>
      <c r="G2694" s="72">
        <v>0</v>
      </c>
    </row>
    <row r="2695" spans="2:7" x14ac:dyDescent="0.25">
      <c r="B2695" s="71">
        <v>43636</v>
      </c>
      <c r="C2695" t="s">
        <v>76</v>
      </c>
      <c r="D2695" t="s">
        <v>87</v>
      </c>
      <c r="E2695" t="s">
        <v>342</v>
      </c>
      <c r="F2695" s="72">
        <v>4902.58</v>
      </c>
      <c r="G2695" s="72">
        <v>0</v>
      </c>
    </row>
    <row r="2696" spans="2:7" x14ac:dyDescent="0.25">
      <c r="B2696" s="71">
        <v>43636</v>
      </c>
      <c r="C2696" t="s">
        <v>46</v>
      </c>
      <c r="D2696" t="s">
        <v>86</v>
      </c>
      <c r="E2696" t="s">
        <v>342</v>
      </c>
      <c r="F2696" s="72">
        <v>28</v>
      </c>
      <c r="G2696" s="72">
        <v>0</v>
      </c>
    </row>
    <row r="2697" spans="2:7" x14ac:dyDescent="0.25">
      <c r="B2697" s="71">
        <v>43636</v>
      </c>
      <c r="C2697" t="s">
        <v>71</v>
      </c>
      <c r="D2697" t="s">
        <v>85</v>
      </c>
      <c r="E2697" t="s">
        <v>342</v>
      </c>
      <c r="F2697" s="72">
        <v>260</v>
      </c>
      <c r="G2697" s="72">
        <v>0</v>
      </c>
    </row>
    <row r="2698" spans="2:7" x14ac:dyDescent="0.25">
      <c r="B2698" s="71">
        <v>43636</v>
      </c>
      <c r="C2698" t="s">
        <v>51</v>
      </c>
      <c r="D2698" t="s">
        <v>85</v>
      </c>
      <c r="E2698" t="s">
        <v>342</v>
      </c>
      <c r="F2698" s="72">
        <v>4.25</v>
      </c>
      <c r="G2698" s="72">
        <v>0</v>
      </c>
    </row>
    <row r="2699" spans="2:7" x14ac:dyDescent="0.25">
      <c r="B2699" s="71">
        <v>43636</v>
      </c>
      <c r="C2699" t="s">
        <v>24</v>
      </c>
      <c r="D2699" t="s">
        <v>80</v>
      </c>
      <c r="E2699" t="s">
        <v>342</v>
      </c>
      <c r="F2699" s="72">
        <v>8</v>
      </c>
      <c r="G2699" s="72">
        <v>0</v>
      </c>
    </row>
    <row r="2700" spans="2:7" x14ac:dyDescent="0.25">
      <c r="B2700" s="71">
        <v>43636</v>
      </c>
      <c r="C2700" t="s">
        <v>61</v>
      </c>
      <c r="D2700" t="s">
        <v>87</v>
      </c>
      <c r="E2700" t="s">
        <v>342</v>
      </c>
      <c r="F2700" s="72">
        <v>395.2</v>
      </c>
      <c r="G2700" s="72">
        <v>0</v>
      </c>
    </row>
    <row r="2701" spans="2:7" x14ac:dyDescent="0.25">
      <c r="B2701" s="71">
        <v>43636</v>
      </c>
      <c r="C2701" t="s">
        <v>63</v>
      </c>
      <c r="D2701" t="s">
        <v>87</v>
      </c>
      <c r="E2701" t="s">
        <v>342</v>
      </c>
      <c r="F2701" s="72">
        <v>150.44999999999999</v>
      </c>
      <c r="G2701" s="72">
        <v>0</v>
      </c>
    </row>
    <row r="2702" spans="2:7" x14ac:dyDescent="0.25">
      <c r="B2702" s="71">
        <v>43637</v>
      </c>
      <c r="C2702" t="s">
        <v>25</v>
      </c>
      <c r="D2702" t="s">
        <v>82</v>
      </c>
      <c r="E2702" t="s">
        <v>123</v>
      </c>
      <c r="F2702" s="72">
        <v>14.7</v>
      </c>
      <c r="G2702" s="72">
        <v>0</v>
      </c>
    </row>
    <row r="2703" spans="2:7" x14ac:dyDescent="0.25">
      <c r="B2703" s="71">
        <v>43637</v>
      </c>
      <c r="C2703" t="s">
        <v>25</v>
      </c>
      <c r="D2703" t="s">
        <v>82</v>
      </c>
      <c r="E2703" t="s">
        <v>217</v>
      </c>
      <c r="F2703" s="72">
        <v>3.5</v>
      </c>
      <c r="G2703" s="72">
        <v>0</v>
      </c>
    </row>
    <row r="2704" spans="2:7" x14ac:dyDescent="0.25">
      <c r="B2704" s="71">
        <v>43637</v>
      </c>
      <c r="C2704" t="s">
        <v>25</v>
      </c>
      <c r="D2704" t="s">
        <v>82</v>
      </c>
      <c r="E2704" t="s">
        <v>196</v>
      </c>
      <c r="F2704" s="72">
        <v>52</v>
      </c>
      <c r="G2704" s="72">
        <v>0</v>
      </c>
    </row>
    <row r="2705" spans="2:7" x14ac:dyDescent="0.25">
      <c r="B2705" s="71">
        <v>43637</v>
      </c>
      <c r="C2705" t="s">
        <v>25</v>
      </c>
      <c r="D2705" t="s">
        <v>82</v>
      </c>
      <c r="E2705" t="s">
        <v>134</v>
      </c>
      <c r="F2705" s="72">
        <v>12.07</v>
      </c>
      <c r="G2705" s="72">
        <v>0</v>
      </c>
    </row>
    <row r="2706" spans="2:7" x14ac:dyDescent="0.25">
      <c r="B2706" s="71">
        <v>43637</v>
      </c>
      <c r="C2706" t="s">
        <v>47</v>
      </c>
      <c r="D2706" t="s">
        <v>85</v>
      </c>
      <c r="E2706" t="s">
        <v>343</v>
      </c>
      <c r="F2706" s="72">
        <v>37</v>
      </c>
      <c r="G2706" s="72">
        <v>0</v>
      </c>
    </row>
    <row r="2707" spans="2:7" x14ac:dyDescent="0.25">
      <c r="B2707" s="71">
        <v>43637</v>
      </c>
      <c r="C2707" t="s">
        <v>60</v>
      </c>
      <c r="D2707" t="s">
        <v>83</v>
      </c>
      <c r="E2707" t="s">
        <v>343</v>
      </c>
      <c r="F2707" s="72">
        <v>1363.47</v>
      </c>
      <c r="G2707" s="72">
        <v>0</v>
      </c>
    </row>
    <row r="2708" spans="2:7" x14ac:dyDescent="0.25">
      <c r="B2708" s="71">
        <v>43637</v>
      </c>
      <c r="C2708" t="s">
        <v>60</v>
      </c>
      <c r="D2708" t="s">
        <v>85</v>
      </c>
      <c r="E2708" t="s">
        <v>343</v>
      </c>
      <c r="F2708" s="72">
        <v>606.51</v>
      </c>
      <c r="G2708" s="72">
        <v>0</v>
      </c>
    </row>
    <row r="2709" spans="2:7" x14ac:dyDescent="0.25">
      <c r="B2709" s="71">
        <v>43637</v>
      </c>
      <c r="C2709" t="s">
        <v>57</v>
      </c>
      <c r="D2709" t="s">
        <v>85</v>
      </c>
      <c r="E2709" t="s">
        <v>343</v>
      </c>
      <c r="F2709" s="72">
        <v>77</v>
      </c>
      <c r="G2709" s="72">
        <v>0</v>
      </c>
    </row>
    <row r="2710" spans="2:7" x14ac:dyDescent="0.25">
      <c r="B2710" s="71">
        <v>43637</v>
      </c>
      <c r="C2710" t="s">
        <v>52</v>
      </c>
      <c r="D2710" t="s">
        <v>85</v>
      </c>
      <c r="E2710" t="s">
        <v>343</v>
      </c>
      <c r="F2710" s="72">
        <v>34.65</v>
      </c>
      <c r="G2710" s="72">
        <v>0</v>
      </c>
    </row>
    <row r="2711" spans="2:7" x14ac:dyDescent="0.25">
      <c r="B2711" s="71">
        <v>43637</v>
      </c>
      <c r="C2711" t="s">
        <v>21</v>
      </c>
      <c r="D2711" t="s">
        <v>80</v>
      </c>
      <c r="E2711" t="s">
        <v>343</v>
      </c>
      <c r="F2711" s="72">
        <v>8</v>
      </c>
      <c r="G2711" s="72">
        <v>0</v>
      </c>
    </row>
    <row r="2712" spans="2:7" x14ac:dyDescent="0.25">
      <c r="B2712" s="71">
        <v>43637</v>
      </c>
      <c r="C2712" t="s">
        <v>21</v>
      </c>
      <c r="D2712" t="s">
        <v>80</v>
      </c>
      <c r="E2712" t="s">
        <v>343</v>
      </c>
      <c r="F2712" s="72">
        <v>16</v>
      </c>
      <c r="G2712" s="72">
        <v>0</v>
      </c>
    </row>
    <row r="2713" spans="2:7" x14ac:dyDescent="0.25">
      <c r="B2713" s="71">
        <v>43637</v>
      </c>
      <c r="C2713" t="s">
        <v>21</v>
      </c>
      <c r="D2713" t="s">
        <v>80</v>
      </c>
      <c r="E2713" t="s">
        <v>343</v>
      </c>
      <c r="F2713" s="72">
        <v>32</v>
      </c>
      <c r="G2713" s="72">
        <v>0</v>
      </c>
    </row>
    <row r="2714" spans="2:7" x14ac:dyDescent="0.25">
      <c r="B2714" s="71">
        <v>43637</v>
      </c>
      <c r="C2714" t="s">
        <v>21</v>
      </c>
      <c r="D2714" t="s">
        <v>80</v>
      </c>
      <c r="E2714" t="s">
        <v>343</v>
      </c>
      <c r="F2714" s="72">
        <v>64</v>
      </c>
      <c r="G2714" s="72">
        <v>0</v>
      </c>
    </row>
    <row r="2715" spans="2:7" x14ac:dyDescent="0.25">
      <c r="B2715" s="71">
        <v>43637</v>
      </c>
      <c r="C2715" t="s">
        <v>67</v>
      </c>
      <c r="D2715" t="s">
        <v>80</v>
      </c>
      <c r="E2715" t="s">
        <v>343</v>
      </c>
      <c r="F2715" s="72">
        <v>119.9</v>
      </c>
      <c r="G2715" s="72">
        <v>0</v>
      </c>
    </row>
    <row r="2716" spans="2:7" x14ac:dyDescent="0.25">
      <c r="B2716" s="71">
        <v>43637</v>
      </c>
      <c r="C2716" t="s">
        <v>49</v>
      </c>
      <c r="D2716" t="s">
        <v>83</v>
      </c>
      <c r="E2716" t="s">
        <v>343</v>
      </c>
      <c r="F2716" s="72">
        <v>70.23</v>
      </c>
      <c r="G2716" s="72">
        <v>0</v>
      </c>
    </row>
    <row r="2717" spans="2:7" x14ac:dyDescent="0.25">
      <c r="B2717" s="71">
        <v>43637</v>
      </c>
      <c r="C2717" t="s">
        <v>49</v>
      </c>
      <c r="D2717" t="s">
        <v>85</v>
      </c>
      <c r="E2717" t="s">
        <v>343</v>
      </c>
      <c r="F2717" s="72">
        <v>40</v>
      </c>
      <c r="G2717" s="72">
        <v>0</v>
      </c>
    </row>
    <row r="2718" spans="2:7" x14ac:dyDescent="0.25">
      <c r="B2718" s="71">
        <v>43637</v>
      </c>
      <c r="C2718" t="s">
        <v>56</v>
      </c>
      <c r="D2718" t="s">
        <v>85</v>
      </c>
      <c r="E2718" t="s">
        <v>343</v>
      </c>
      <c r="F2718" s="72">
        <v>260</v>
      </c>
      <c r="G2718" s="72">
        <v>0</v>
      </c>
    </row>
    <row r="2719" spans="2:7" x14ac:dyDescent="0.25">
      <c r="B2719" s="71">
        <v>43637</v>
      </c>
      <c r="C2719" t="s">
        <v>53</v>
      </c>
      <c r="D2719" t="s">
        <v>85</v>
      </c>
      <c r="E2719" t="s">
        <v>343</v>
      </c>
      <c r="F2719" s="72">
        <v>412.62</v>
      </c>
      <c r="G2719" s="72">
        <v>0</v>
      </c>
    </row>
    <row r="2720" spans="2:7" x14ac:dyDescent="0.25">
      <c r="B2720" s="71">
        <v>43637</v>
      </c>
      <c r="C2720" t="s">
        <v>59</v>
      </c>
      <c r="D2720" t="s">
        <v>85</v>
      </c>
      <c r="E2720" t="s">
        <v>343</v>
      </c>
      <c r="F2720" s="72">
        <v>25</v>
      </c>
      <c r="G2720" s="72">
        <v>0</v>
      </c>
    </row>
    <row r="2721" spans="2:7" x14ac:dyDescent="0.25">
      <c r="B2721" s="71">
        <v>43637</v>
      </c>
      <c r="C2721" t="s">
        <v>66</v>
      </c>
      <c r="D2721" t="s">
        <v>85</v>
      </c>
      <c r="E2721" t="s">
        <v>343</v>
      </c>
      <c r="F2721" s="72">
        <v>152.36000000000001</v>
      </c>
      <c r="G2721" s="72">
        <v>0</v>
      </c>
    </row>
    <row r="2722" spans="2:7" x14ac:dyDescent="0.25">
      <c r="B2722" s="71">
        <v>43637</v>
      </c>
      <c r="C2722" t="s">
        <v>24</v>
      </c>
      <c r="D2722" t="s">
        <v>80</v>
      </c>
      <c r="E2722" t="s">
        <v>343</v>
      </c>
      <c r="F2722" s="72">
        <v>16</v>
      </c>
      <c r="G2722" s="72">
        <v>0</v>
      </c>
    </row>
    <row r="2723" spans="2:7" x14ac:dyDescent="0.25">
      <c r="B2723" s="71">
        <v>43638</v>
      </c>
      <c r="C2723" t="s">
        <v>21</v>
      </c>
      <c r="D2723" t="s">
        <v>80</v>
      </c>
      <c r="E2723" t="s">
        <v>344</v>
      </c>
      <c r="F2723" s="72">
        <v>8</v>
      </c>
      <c r="G2723" s="72">
        <v>0</v>
      </c>
    </row>
    <row r="2724" spans="2:7" x14ac:dyDescent="0.25">
      <c r="B2724" s="71">
        <v>43638</v>
      </c>
      <c r="C2724" t="s">
        <v>21</v>
      </c>
      <c r="D2724" t="s">
        <v>80</v>
      </c>
      <c r="E2724" t="s">
        <v>344</v>
      </c>
      <c r="F2724" s="72">
        <v>16</v>
      </c>
      <c r="G2724" s="72">
        <v>0</v>
      </c>
    </row>
    <row r="2725" spans="2:7" x14ac:dyDescent="0.25">
      <c r="B2725" s="71">
        <v>43638</v>
      </c>
      <c r="C2725" t="s">
        <v>21</v>
      </c>
      <c r="D2725" t="s">
        <v>85</v>
      </c>
      <c r="E2725" t="s">
        <v>344</v>
      </c>
      <c r="F2725" s="72">
        <v>95.7</v>
      </c>
      <c r="G2725" s="72">
        <v>0</v>
      </c>
    </row>
    <row r="2726" spans="2:7" x14ac:dyDescent="0.25">
      <c r="B2726" s="71">
        <v>43638</v>
      </c>
      <c r="C2726" t="s">
        <v>49</v>
      </c>
      <c r="D2726" t="s">
        <v>85</v>
      </c>
      <c r="E2726" t="s">
        <v>344</v>
      </c>
      <c r="F2726" s="72">
        <v>30</v>
      </c>
      <c r="G2726" s="72">
        <v>0</v>
      </c>
    </row>
    <row r="2727" spans="2:7" x14ac:dyDescent="0.25">
      <c r="B2727" s="71">
        <v>43638</v>
      </c>
      <c r="C2727" t="s">
        <v>51</v>
      </c>
      <c r="D2727" t="s">
        <v>85</v>
      </c>
      <c r="E2727" t="s">
        <v>344</v>
      </c>
      <c r="F2727" s="72">
        <v>125</v>
      </c>
      <c r="G2727" s="72">
        <v>0</v>
      </c>
    </row>
    <row r="2728" spans="2:7" x14ac:dyDescent="0.25">
      <c r="B2728" s="71">
        <v>43638</v>
      </c>
      <c r="C2728" t="s">
        <v>66</v>
      </c>
      <c r="D2728" t="s">
        <v>86</v>
      </c>
      <c r="E2728" t="s">
        <v>344</v>
      </c>
      <c r="F2728" s="72">
        <v>30</v>
      </c>
      <c r="G2728" s="72">
        <v>0</v>
      </c>
    </row>
    <row r="2729" spans="2:7" x14ac:dyDescent="0.25">
      <c r="B2729" s="71">
        <v>43638</v>
      </c>
      <c r="C2729" t="s">
        <v>24</v>
      </c>
      <c r="D2729" t="s">
        <v>80</v>
      </c>
      <c r="E2729" t="s">
        <v>344</v>
      </c>
      <c r="F2729" s="72">
        <v>8</v>
      </c>
      <c r="G2729" s="72">
        <v>0</v>
      </c>
    </row>
    <row r="2730" spans="2:7" x14ac:dyDescent="0.25">
      <c r="B2730" s="71">
        <v>43638</v>
      </c>
      <c r="C2730" t="s">
        <v>61</v>
      </c>
      <c r="D2730" t="s">
        <v>86</v>
      </c>
      <c r="E2730" t="s">
        <v>344</v>
      </c>
      <c r="F2730" s="72">
        <v>26.75</v>
      </c>
      <c r="G2730" s="72">
        <v>0</v>
      </c>
    </row>
    <row r="2731" spans="2:7" x14ac:dyDescent="0.25">
      <c r="B2731" s="71">
        <v>43638</v>
      </c>
      <c r="C2731" t="s">
        <v>61</v>
      </c>
      <c r="D2731" t="s">
        <v>85</v>
      </c>
      <c r="E2731" t="s">
        <v>344</v>
      </c>
      <c r="F2731" s="72">
        <v>37.450000000000003</v>
      </c>
      <c r="G2731" s="72">
        <v>0</v>
      </c>
    </row>
    <row r="2732" spans="2:7" x14ac:dyDescent="0.25">
      <c r="B2732" s="71">
        <v>43640</v>
      </c>
      <c r="C2732" t="s">
        <v>25</v>
      </c>
      <c r="D2732" t="s">
        <v>82</v>
      </c>
      <c r="E2732" t="s">
        <v>254</v>
      </c>
      <c r="F2732" s="72">
        <v>2.25</v>
      </c>
      <c r="G2732" s="72">
        <v>0</v>
      </c>
    </row>
    <row r="2733" spans="2:7" x14ac:dyDescent="0.25">
      <c r="B2733" s="71">
        <v>43640</v>
      </c>
      <c r="C2733" t="s">
        <v>25</v>
      </c>
      <c r="D2733" t="s">
        <v>82</v>
      </c>
      <c r="E2733" t="s">
        <v>170</v>
      </c>
      <c r="F2733" s="72">
        <v>1.8</v>
      </c>
      <c r="G2733" s="72">
        <v>0</v>
      </c>
    </row>
    <row r="2734" spans="2:7" x14ac:dyDescent="0.25">
      <c r="B2734" s="71">
        <v>43640</v>
      </c>
      <c r="C2734" t="s">
        <v>21</v>
      </c>
      <c r="D2734" t="s">
        <v>80</v>
      </c>
      <c r="E2734" t="s">
        <v>345</v>
      </c>
      <c r="F2734" s="72">
        <v>24</v>
      </c>
      <c r="G2734" s="72">
        <v>0</v>
      </c>
    </row>
    <row r="2735" spans="2:7" x14ac:dyDescent="0.25">
      <c r="B2735" s="71">
        <v>43640</v>
      </c>
      <c r="C2735" t="s">
        <v>24</v>
      </c>
      <c r="D2735" t="s">
        <v>80</v>
      </c>
      <c r="E2735" t="s">
        <v>345</v>
      </c>
      <c r="F2735" s="72">
        <v>16</v>
      </c>
      <c r="G2735" s="72">
        <v>0</v>
      </c>
    </row>
    <row r="2736" spans="2:7" x14ac:dyDescent="0.25">
      <c r="B2736" s="71">
        <v>43640</v>
      </c>
      <c r="C2736" t="s">
        <v>24</v>
      </c>
      <c r="D2736" t="s">
        <v>80</v>
      </c>
      <c r="E2736" t="s">
        <v>345</v>
      </c>
      <c r="F2736" s="72">
        <v>24</v>
      </c>
      <c r="G2736" s="72">
        <v>0</v>
      </c>
    </row>
    <row r="2737" spans="2:7" x14ac:dyDescent="0.25">
      <c r="B2737" s="71">
        <v>43640</v>
      </c>
      <c r="C2737" t="s">
        <v>61</v>
      </c>
      <c r="D2737" t="s">
        <v>85</v>
      </c>
      <c r="E2737" t="s">
        <v>345</v>
      </c>
      <c r="F2737" s="72">
        <v>10.7</v>
      </c>
      <c r="G2737" s="72">
        <v>0</v>
      </c>
    </row>
    <row r="2738" spans="2:7" x14ac:dyDescent="0.25">
      <c r="B2738" s="71">
        <v>43641</v>
      </c>
      <c r="C2738" t="s">
        <v>25</v>
      </c>
      <c r="D2738" t="s">
        <v>86</v>
      </c>
      <c r="E2738" t="s">
        <v>346</v>
      </c>
      <c r="F2738" s="72">
        <v>72.459999999999994</v>
      </c>
      <c r="G2738" s="72">
        <v>0</v>
      </c>
    </row>
    <row r="2739" spans="2:7" x14ac:dyDescent="0.25">
      <c r="B2739" s="71">
        <v>43641</v>
      </c>
      <c r="C2739" t="s">
        <v>25</v>
      </c>
      <c r="D2739" t="s">
        <v>86</v>
      </c>
      <c r="E2739" t="s">
        <v>346</v>
      </c>
      <c r="F2739" s="72">
        <v>75.12</v>
      </c>
      <c r="G2739" s="72">
        <v>0</v>
      </c>
    </row>
    <row r="2740" spans="2:7" x14ac:dyDescent="0.25">
      <c r="B2740" s="71">
        <v>43641</v>
      </c>
      <c r="C2740" t="s">
        <v>25</v>
      </c>
      <c r="D2740" t="s">
        <v>81</v>
      </c>
      <c r="E2740" t="s">
        <v>346</v>
      </c>
      <c r="F2740" s="72">
        <v>18</v>
      </c>
      <c r="G2740" s="72">
        <v>0</v>
      </c>
    </row>
    <row r="2741" spans="2:7" x14ac:dyDescent="0.25">
      <c r="B2741" s="71">
        <v>43641</v>
      </c>
      <c r="C2741" t="s">
        <v>25</v>
      </c>
      <c r="D2741" t="s">
        <v>81</v>
      </c>
      <c r="E2741" t="s">
        <v>346</v>
      </c>
      <c r="F2741" s="72">
        <v>35.979999999999997</v>
      </c>
      <c r="G2741" s="72">
        <v>0</v>
      </c>
    </row>
    <row r="2742" spans="2:7" x14ac:dyDescent="0.25">
      <c r="B2742" s="71">
        <v>43641</v>
      </c>
      <c r="C2742" t="s">
        <v>25</v>
      </c>
      <c r="D2742" t="s">
        <v>88</v>
      </c>
      <c r="E2742" t="s">
        <v>346</v>
      </c>
      <c r="F2742" s="72">
        <v>11.49</v>
      </c>
      <c r="G2742" s="72">
        <v>0</v>
      </c>
    </row>
    <row r="2743" spans="2:7" x14ac:dyDescent="0.25">
      <c r="B2743" s="71">
        <v>43641</v>
      </c>
      <c r="C2743" t="s">
        <v>25</v>
      </c>
      <c r="D2743" t="s">
        <v>88</v>
      </c>
      <c r="E2743" t="s">
        <v>346</v>
      </c>
      <c r="F2743" s="72">
        <v>18</v>
      </c>
      <c r="G2743" s="72">
        <v>0</v>
      </c>
    </row>
    <row r="2744" spans="2:7" x14ac:dyDescent="0.25">
      <c r="B2744" s="71">
        <v>43641</v>
      </c>
      <c r="C2744" t="s">
        <v>25</v>
      </c>
      <c r="D2744" t="s">
        <v>88</v>
      </c>
      <c r="E2744" t="s">
        <v>346</v>
      </c>
      <c r="F2744" s="72">
        <v>22.27</v>
      </c>
      <c r="G2744" s="72">
        <v>0</v>
      </c>
    </row>
    <row r="2745" spans="2:7" x14ac:dyDescent="0.25">
      <c r="B2745" s="71">
        <v>43641</v>
      </c>
      <c r="C2745" t="s">
        <v>25</v>
      </c>
      <c r="D2745" t="s">
        <v>88</v>
      </c>
      <c r="E2745" t="s">
        <v>346</v>
      </c>
      <c r="F2745" s="72">
        <v>40.26</v>
      </c>
      <c r="G2745" s="72">
        <v>0</v>
      </c>
    </row>
    <row r="2746" spans="2:7" x14ac:dyDescent="0.25">
      <c r="B2746" s="71">
        <v>43641</v>
      </c>
      <c r="C2746" t="s">
        <v>25</v>
      </c>
      <c r="D2746" t="s">
        <v>88</v>
      </c>
      <c r="E2746" t="s">
        <v>346</v>
      </c>
      <c r="F2746" s="72">
        <v>46.99</v>
      </c>
      <c r="G2746" s="72">
        <v>0</v>
      </c>
    </row>
    <row r="2747" spans="2:7" x14ac:dyDescent="0.25">
      <c r="B2747" s="71">
        <v>43641</v>
      </c>
      <c r="C2747" t="s">
        <v>25</v>
      </c>
      <c r="D2747" t="s">
        <v>88</v>
      </c>
      <c r="E2747" t="s">
        <v>346</v>
      </c>
      <c r="F2747" s="72">
        <v>52.06</v>
      </c>
      <c r="G2747" s="72">
        <v>0</v>
      </c>
    </row>
    <row r="2748" spans="2:7" x14ac:dyDescent="0.25">
      <c r="B2748" s="71">
        <v>43641</v>
      </c>
      <c r="C2748" t="s">
        <v>25</v>
      </c>
      <c r="D2748" t="s">
        <v>88</v>
      </c>
      <c r="E2748" t="s">
        <v>346</v>
      </c>
      <c r="F2748" s="72">
        <v>95.71</v>
      </c>
      <c r="G2748" s="72">
        <v>0</v>
      </c>
    </row>
    <row r="2749" spans="2:7" x14ac:dyDescent="0.25">
      <c r="B2749" s="71">
        <v>43641</v>
      </c>
      <c r="C2749" t="s">
        <v>25</v>
      </c>
      <c r="D2749" t="s">
        <v>88</v>
      </c>
      <c r="E2749" t="s">
        <v>346</v>
      </c>
      <c r="F2749" s="72">
        <v>96.89</v>
      </c>
      <c r="G2749" s="72">
        <v>0</v>
      </c>
    </row>
    <row r="2750" spans="2:7" x14ac:dyDescent="0.25">
      <c r="B2750" s="71">
        <v>43641</v>
      </c>
      <c r="C2750" t="s">
        <v>25</v>
      </c>
      <c r="D2750" t="s">
        <v>115</v>
      </c>
      <c r="E2750" t="s">
        <v>347</v>
      </c>
      <c r="F2750" s="72">
        <v>20.86</v>
      </c>
      <c r="G2750" s="72">
        <v>0</v>
      </c>
    </row>
    <row r="2751" spans="2:7" x14ac:dyDescent="0.25">
      <c r="B2751" s="71">
        <v>43641</v>
      </c>
      <c r="C2751" t="s">
        <v>25</v>
      </c>
      <c r="D2751" t="s">
        <v>115</v>
      </c>
      <c r="E2751" t="s">
        <v>347</v>
      </c>
      <c r="F2751" s="72">
        <v>62.72</v>
      </c>
      <c r="G2751" s="72">
        <v>0</v>
      </c>
    </row>
    <row r="2752" spans="2:7" x14ac:dyDescent="0.25">
      <c r="B2752" s="71">
        <v>43641</v>
      </c>
      <c r="C2752" t="s">
        <v>25</v>
      </c>
      <c r="D2752" t="s">
        <v>115</v>
      </c>
      <c r="E2752" t="s">
        <v>347</v>
      </c>
      <c r="F2752" s="72">
        <v>65.63</v>
      </c>
      <c r="G2752" s="72">
        <v>0</v>
      </c>
    </row>
    <row r="2753" spans="2:7" x14ac:dyDescent="0.25">
      <c r="B2753" s="71">
        <v>43641</v>
      </c>
      <c r="C2753" t="s">
        <v>25</v>
      </c>
      <c r="D2753" t="s">
        <v>115</v>
      </c>
      <c r="E2753" t="s">
        <v>347</v>
      </c>
      <c r="F2753" s="72">
        <v>105.95</v>
      </c>
      <c r="G2753" s="72">
        <v>0</v>
      </c>
    </row>
    <row r="2754" spans="2:7" x14ac:dyDescent="0.25">
      <c r="B2754" s="71">
        <v>43641</v>
      </c>
      <c r="C2754" t="s">
        <v>25</v>
      </c>
      <c r="D2754" t="s">
        <v>115</v>
      </c>
      <c r="E2754" t="s">
        <v>347</v>
      </c>
      <c r="F2754" s="72">
        <v>128.72</v>
      </c>
      <c r="G2754" s="72">
        <v>0</v>
      </c>
    </row>
    <row r="2755" spans="2:7" x14ac:dyDescent="0.25">
      <c r="B2755" s="71">
        <v>43641</v>
      </c>
      <c r="C2755" t="s">
        <v>55</v>
      </c>
      <c r="D2755" t="s">
        <v>88</v>
      </c>
      <c r="E2755" t="s">
        <v>346</v>
      </c>
      <c r="F2755" s="72">
        <v>44.94</v>
      </c>
      <c r="G2755" s="72">
        <v>0</v>
      </c>
    </row>
    <row r="2756" spans="2:7" x14ac:dyDescent="0.25">
      <c r="B2756" s="71">
        <v>43641</v>
      </c>
      <c r="C2756" t="s">
        <v>55</v>
      </c>
      <c r="D2756" t="s">
        <v>115</v>
      </c>
      <c r="E2756" t="s">
        <v>347</v>
      </c>
      <c r="F2756" s="72">
        <v>944.15</v>
      </c>
      <c r="G2756" s="72">
        <v>0</v>
      </c>
    </row>
    <row r="2757" spans="2:7" x14ac:dyDescent="0.25">
      <c r="B2757" s="71">
        <v>43641</v>
      </c>
      <c r="C2757" t="s">
        <v>47</v>
      </c>
      <c r="D2757" t="s">
        <v>115</v>
      </c>
      <c r="E2757" t="s">
        <v>347</v>
      </c>
      <c r="F2757" s="72">
        <v>23.05</v>
      </c>
      <c r="G2757" s="72">
        <v>0</v>
      </c>
    </row>
    <row r="2758" spans="2:7" x14ac:dyDescent="0.25">
      <c r="B2758" s="71">
        <v>43641</v>
      </c>
      <c r="C2758" t="s">
        <v>60</v>
      </c>
      <c r="D2758" t="s">
        <v>85</v>
      </c>
      <c r="E2758" t="s">
        <v>346</v>
      </c>
      <c r="F2758" s="72">
        <v>544.79999999999995</v>
      </c>
      <c r="G2758" s="72">
        <v>0</v>
      </c>
    </row>
    <row r="2759" spans="2:7" x14ac:dyDescent="0.25">
      <c r="B2759" s="71">
        <v>43641</v>
      </c>
      <c r="C2759" t="s">
        <v>21</v>
      </c>
      <c r="D2759" t="s">
        <v>80</v>
      </c>
      <c r="E2759" t="s">
        <v>346</v>
      </c>
      <c r="F2759" s="72">
        <v>8</v>
      </c>
      <c r="G2759" s="72">
        <v>0</v>
      </c>
    </row>
    <row r="2760" spans="2:7" x14ac:dyDescent="0.25">
      <c r="B2760" s="71">
        <v>43641</v>
      </c>
      <c r="C2760" t="s">
        <v>21</v>
      </c>
      <c r="D2760" t="s">
        <v>80</v>
      </c>
      <c r="E2760" t="s">
        <v>346</v>
      </c>
      <c r="F2760" s="72">
        <v>16</v>
      </c>
      <c r="G2760" s="72">
        <v>0</v>
      </c>
    </row>
    <row r="2761" spans="2:7" x14ac:dyDescent="0.25">
      <c r="B2761" s="71">
        <v>43641</v>
      </c>
      <c r="C2761" t="s">
        <v>21</v>
      </c>
      <c r="D2761" t="s">
        <v>80</v>
      </c>
      <c r="E2761" t="s">
        <v>346</v>
      </c>
      <c r="F2761" s="72">
        <v>32</v>
      </c>
      <c r="G2761" s="72">
        <v>0</v>
      </c>
    </row>
    <row r="2762" spans="2:7" x14ac:dyDescent="0.25">
      <c r="B2762" s="71">
        <v>43641</v>
      </c>
      <c r="C2762" t="s">
        <v>21</v>
      </c>
      <c r="D2762" t="s">
        <v>80</v>
      </c>
      <c r="E2762" t="s">
        <v>346</v>
      </c>
      <c r="F2762" s="72">
        <v>48</v>
      </c>
      <c r="G2762" s="72">
        <v>0</v>
      </c>
    </row>
    <row r="2763" spans="2:7" x14ac:dyDescent="0.25">
      <c r="B2763" s="71">
        <v>43641</v>
      </c>
      <c r="C2763" t="s">
        <v>21</v>
      </c>
      <c r="D2763" t="s">
        <v>80</v>
      </c>
      <c r="E2763" t="s">
        <v>346</v>
      </c>
      <c r="F2763" s="72">
        <v>80</v>
      </c>
      <c r="G2763" s="72">
        <v>0</v>
      </c>
    </row>
    <row r="2764" spans="2:7" x14ac:dyDescent="0.25">
      <c r="B2764" s="71">
        <v>43641</v>
      </c>
      <c r="C2764" t="s">
        <v>21</v>
      </c>
      <c r="D2764" t="s">
        <v>115</v>
      </c>
      <c r="E2764" t="s">
        <v>347</v>
      </c>
      <c r="F2764" s="72">
        <v>6.79</v>
      </c>
      <c r="G2764" s="72">
        <v>0</v>
      </c>
    </row>
    <row r="2765" spans="2:7" x14ac:dyDescent="0.25">
      <c r="B2765" s="71">
        <v>43641</v>
      </c>
      <c r="C2765" t="s">
        <v>21</v>
      </c>
      <c r="D2765" t="s">
        <v>115</v>
      </c>
      <c r="E2765" t="s">
        <v>347</v>
      </c>
      <c r="F2765" s="72">
        <v>28.91</v>
      </c>
      <c r="G2765" s="72">
        <v>0</v>
      </c>
    </row>
    <row r="2766" spans="2:7" x14ac:dyDescent="0.25">
      <c r="B2766" s="71">
        <v>43641</v>
      </c>
      <c r="C2766" t="s">
        <v>21</v>
      </c>
      <c r="D2766" t="s">
        <v>115</v>
      </c>
      <c r="E2766" t="s">
        <v>347</v>
      </c>
      <c r="F2766" s="72">
        <v>32.5</v>
      </c>
      <c r="G2766" s="72">
        <v>0</v>
      </c>
    </row>
    <row r="2767" spans="2:7" x14ac:dyDescent="0.25">
      <c r="B2767" s="71">
        <v>43641</v>
      </c>
      <c r="C2767" t="s">
        <v>21</v>
      </c>
      <c r="D2767" t="s">
        <v>115</v>
      </c>
      <c r="E2767" t="s">
        <v>347</v>
      </c>
      <c r="F2767" s="72">
        <v>123.55</v>
      </c>
      <c r="G2767" s="72">
        <v>0</v>
      </c>
    </row>
    <row r="2768" spans="2:7" x14ac:dyDescent="0.25">
      <c r="B2768" s="71">
        <v>43641</v>
      </c>
      <c r="C2768" t="s">
        <v>21</v>
      </c>
      <c r="D2768" t="s">
        <v>115</v>
      </c>
      <c r="E2768" t="s">
        <v>347</v>
      </c>
      <c r="F2768" s="72">
        <v>149.97999999999999</v>
      </c>
      <c r="G2768" s="72">
        <v>0</v>
      </c>
    </row>
    <row r="2769" spans="2:7" x14ac:dyDescent="0.25">
      <c r="B2769" s="71">
        <v>43641</v>
      </c>
      <c r="C2769" t="s">
        <v>21</v>
      </c>
      <c r="D2769" t="s">
        <v>115</v>
      </c>
      <c r="E2769" t="s">
        <v>347</v>
      </c>
      <c r="F2769" s="72">
        <v>182.59</v>
      </c>
      <c r="G2769" s="72">
        <v>0</v>
      </c>
    </row>
    <row r="2770" spans="2:7" x14ac:dyDescent="0.25">
      <c r="B2770" s="71">
        <v>43641</v>
      </c>
      <c r="C2770" t="s">
        <v>21</v>
      </c>
      <c r="D2770" t="s">
        <v>115</v>
      </c>
      <c r="E2770" t="s">
        <v>347</v>
      </c>
      <c r="F2770" s="72">
        <v>241.12</v>
      </c>
      <c r="G2770" s="72">
        <v>0</v>
      </c>
    </row>
    <row r="2771" spans="2:7" x14ac:dyDescent="0.25">
      <c r="B2771" s="71">
        <v>43641</v>
      </c>
      <c r="C2771" t="s">
        <v>21</v>
      </c>
      <c r="D2771" t="s">
        <v>115</v>
      </c>
      <c r="E2771" t="s">
        <v>347</v>
      </c>
      <c r="F2771" s="72">
        <v>318.58999999999997</v>
      </c>
      <c r="G2771" s="72">
        <v>0</v>
      </c>
    </row>
    <row r="2772" spans="2:7" x14ac:dyDescent="0.25">
      <c r="B2772" s="71">
        <v>43641</v>
      </c>
      <c r="C2772" t="s">
        <v>21</v>
      </c>
      <c r="D2772" t="s">
        <v>115</v>
      </c>
      <c r="E2772" t="s">
        <v>347</v>
      </c>
      <c r="F2772" s="72">
        <v>318.88</v>
      </c>
      <c r="G2772" s="72">
        <v>0</v>
      </c>
    </row>
    <row r="2773" spans="2:7" x14ac:dyDescent="0.25">
      <c r="B2773" s="71">
        <v>43641</v>
      </c>
      <c r="C2773" t="s">
        <v>21</v>
      </c>
      <c r="D2773" t="s">
        <v>115</v>
      </c>
      <c r="E2773" t="s">
        <v>347</v>
      </c>
      <c r="F2773" s="72">
        <v>330.73</v>
      </c>
      <c r="G2773" s="72">
        <v>0</v>
      </c>
    </row>
    <row r="2774" spans="2:7" x14ac:dyDescent="0.25">
      <c r="B2774" s="71">
        <v>43641</v>
      </c>
      <c r="C2774" t="s">
        <v>21</v>
      </c>
      <c r="D2774" t="s">
        <v>115</v>
      </c>
      <c r="E2774" t="s">
        <v>347</v>
      </c>
      <c r="F2774" s="72">
        <v>351.43</v>
      </c>
      <c r="G2774" s="72">
        <v>0</v>
      </c>
    </row>
    <row r="2775" spans="2:7" x14ac:dyDescent="0.25">
      <c r="B2775" s="71">
        <v>43641</v>
      </c>
      <c r="C2775" t="s">
        <v>21</v>
      </c>
      <c r="D2775" t="s">
        <v>115</v>
      </c>
      <c r="E2775" t="s">
        <v>347</v>
      </c>
      <c r="F2775" s="72">
        <v>402.87</v>
      </c>
      <c r="G2775" s="72">
        <v>0</v>
      </c>
    </row>
    <row r="2776" spans="2:7" x14ac:dyDescent="0.25">
      <c r="B2776" s="71">
        <v>43641</v>
      </c>
      <c r="C2776" t="s">
        <v>21</v>
      </c>
      <c r="D2776" t="s">
        <v>115</v>
      </c>
      <c r="E2776" t="s">
        <v>347</v>
      </c>
      <c r="F2776" s="72">
        <v>414.36</v>
      </c>
      <c r="G2776" s="72">
        <v>0</v>
      </c>
    </row>
    <row r="2777" spans="2:7" x14ac:dyDescent="0.25">
      <c r="B2777" s="71">
        <v>43641</v>
      </c>
      <c r="C2777" t="s">
        <v>21</v>
      </c>
      <c r="D2777" t="s">
        <v>115</v>
      </c>
      <c r="E2777" t="s">
        <v>347</v>
      </c>
      <c r="F2777" s="72">
        <v>478.91</v>
      </c>
      <c r="G2777" s="72">
        <v>0</v>
      </c>
    </row>
    <row r="2778" spans="2:7" x14ac:dyDescent="0.25">
      <c r="B2778" s="71">
        <v>43641</v>
      </c>
      <c r="C2778" t="s">
        <v>21</v>
      </c>
      <c r="D2778" t="s">
        <v>115</v>
      </c>
      <c r="E2778" t="s">
        <v>347</v>
      </c>
      <c r="F2778" s="72">
        <v>507.4</v>
      </c>
      <c r="G2778" s="72">
        <v>0</v>
      </c>
    </row>
    <row r="2779" spans="2:7" x14ac:dyDescent="0.25">
      <c r="B2779" s="71">
        <v>43641</v>
      </c>
      <c r="C2779" t="s">
        <v>21</v>
      </c>
      <c r="D2779" t="s">
        <v>115</v>
      </c>
      <c r="E2779" t="s">
        <v>347</v>
      </c>
      <c r="F2779" s="72">
        <v>583.38</v>
      </c>
      <c r="G2779" s="72">
        <v>0</v>
      </c>
    </row>
    <row r="2780" spans="2:7" x14ac:dyDescent="0.25">
      <c r="B2780" s="71">
        <v>43641</v>
      </c>
      <c r="C2780" t="s">
        <v>21</v>
      </c>
      <c r="D2780" t="s">
        <v>115</v>
      </c>
      <c r="E2780" t="s">
        <v>347</v>
      </c>
      <c r="F2780" s="72">
        <v>594.01</v>
      </c>
      <c r="G2780" s="72">
        <v>0</v>
      </c>
    </row>
    <row r="2781" spans="2:7" x14ac:dyDescent="0.25">
      <c r="B2781" s="71">
        <v>43641</v>
      </c>
      <c r="C2781" t="s">
        <v>21</v>
      </c>
      <c r="D2781" t="s">
        <v>115</v>
      </c>
      <c r="E2781" t="s">
        <v>347</v>
      </c>
      <c r="F2781" s="72">
        <v>617.16</v>
      </c>
      <c r="G2781" s="72">
        <v>0</v>
      </c>
    </row>
    <row r="2782" spans="2:7" x14ac:dyDescent="0.25">
      <c r="B2782" s="71">
        <v>43641</v>
      </c>
      <c r="C2782" t="s">
        <v>21</v>
      </c>
      <c r="D2782" t="s">
        <v>115</v>
      </c>
      <c r="E2782" t="s">
        <v>347</v>
      </c>
      <c r="F2782" s="72">
        <v>635.95000000000005</v>
      </c>
      <c r="G2782" s="72">
        <v>0</v>
      </c>
    </row>
    <row r="2783" spans="2:7" x14ac:dyDescent="0.25">
      <c r="B2783" s="71">
        <v>43641</v>
      </c>
      <c r="C2783" t="s">
        <v>21</v>
      </c>
      <c r="D2783" t="s">
        <v>115</v>
      </c>
      <c r="E2783" t="s">
        <v>347</v>
      </c>
      <c r="F2783" s="72">
        <v>684.15</v>
      </c>
      <c r="G2783" s="72">
        <v>0</v>
      </c>
    </row>
    <row r="2784" spans="2:7" x14ac:dyDescent="0.25">
      <c r="B2784" s="71">
        <v>43641</v>
      </c>
      <c r="C2784" t="s">
        <v>21</v>
      </c>
      <c r="D2784" t="s">
        <v>115</v>
      </c>
      <c r="E2784" t="s">
        <v>347</v>
      </c>
      <c r="F2784" s="72">
        <v>879.61</v>
      </c>
      <c r="G2784" s="72">
        <v>0</v>
      </c>
    </row>
    <row r="2785" spans="2:7" x14ac:dyDescent="0.25">
      <c r="B2785" s="71">
        <v>43641</v>
      </c>
      <c r="C2785" t="s">
        <v>21</v>
      </c>
      <c r="D2785" t="s">
        <v>115</v>
      </c>
      <c r="E2785" t="s">
        <v>347</v>
      </c>
      <c r="F2785" s="72">
        <v>1192.95</v>
      </c>
      <c r="G2785" s="72">
        <v>0</v>
      </c>
    </row>
    <row r="2786" spans="2:7" x14ac:dyDescent="0.25">
      <c r="B2786" s="71">
        <v>43641</v>
      </c>
      <c r="C2786" t="s">
        <v>21</v>
      </c>
      <c r="D2786" t="s">
        <v>115</v>
      </c>
      <c r="E2786" t="s">
        <v>347</v>
      </c>
      <c r="F2786" s="72">
        <v>1352.47</v>
      </c>
      <c r="G2786" s="72">
        <v>0</v>
      </c>
    </row>
    <row r="2787" spans="2:7" x14ac:dyDescent="0.25">
      <c r="B2787" s="71">
        <v>43641</v>
      </c>
      <c r="C2787" t="s">
        <v>21</v>
      </c>
      <c r="D2787" t="s">
        <v>115</v>
      </c>
      <c r="E2787" t="s">
        <v>347</v>
      </c>
      <c r="F2787" s="72">
        <v>1424.84</v>
      </c>
      <c r="G2787" s="72">
        <v>0</v>
      </c>
    </row>
    <row r="2788" spans="2:7" x14ac:dyDescent="0.25">
      <c r="B2788" s="71">
        <v>43641</v>
      </c>
      <c r="C2788" t="s">
        <v>21</v>
      </c>
      <c r="D2788" t="s">
        <v>85</v>
      </c>
      <c r="E2788" t="s">
        <v>346</v>
      </c>
      <c r="F2788" s="72">
        <v>69.599999999999994</v>
      </c>
      <c r="G2788" s="72">
        <v>0</v>
      </c>
    </row>
    <row r="2789" spans="2:7" x14ac:dyDescent="0.25">
      <c r="B2789" s="71">
        <v>43641</v>
      </c>
      <c r="C2789" t="s">
        <v>67</v>
      </c>
      <c r="D2789" t="s">
        <v>85</v>
      </c>
      <c r="E2789" t="s">
        <v>346</v>
      </c>
      <c r="F2789" s="72">
        <v>27.4</v>
      </c>
      <c r="G2789" s="72">
        <v>0</v>
      </c>
    </row>
    <row r="2790" spans="2:7" x14ac:dyDescent="0.25">
      <c r="B2790" s="71">
        <v>43641</v>
      </c>
      <c r="C2790" t="s">
        <v>49</v>
      </c>
      <c r="D2790" t="s">
        <v>81</v>
      </c>
      <c r="E2790" t="s">
        <v>346</v>
      </c>
      <c r="F2790" s="72">
        <v>13.76</v>
      </c>
      <c r="G2790" s="72">
        <v>0</v>
      </c>
    </row>
    <row r="2791" spans="2:7" x14ac:dyDescent="0.25">
      <c r="B2791" s="71">
        <v>43641</v>
      </c>
      <c r="C2791" t="s">
        <v>49</v>
      </c>
      <c r="D2791" t="s">
        <v>115</v>
      </c>
      <c r="E2791" t="s">
        <v>347</v>
      </c>
      <c r="F2791" s="72">
        <v>519.55999999999995</v>
      </c>
      <c r="G2791" s="72">
        <v>0</v>
      </c>
    </row>
    <row r="2792" spans="2:7" x14ac:dyDescent="0.25">
      <c r="B2792" s="71">
        <v>43641</v>
      </c>
      <c r="C2792" t="s">
        <v>49</v>
      </c>
      <c r="D2792" t="s">
        <v>85</v>
      </c>
      <c r="E2792" t="s">
        <v>346</v>
      </c>
      <c r="F2792" s="72">
        <v>1059.9000000000001</v>
      </c>
      <c r="G2792" s="72">
        <v>0</v>
      </c>
    </row>
    <row r="2793" spans="2:7" x14ac:dyDescent="0.25">
      <c r="B2793" s="71">
        <v>43641</v>
      </c>
      <c r="C2793" t="s">
        <v>56</v>
      </c>
      <c r="D2793" t="s">
        <v>86</v>
      </c>
      <c r="E2793" t="s">
        <v>346</v>
      </c>
      <c r="F2793" s="72">
        <v>1379.52</v>
      </c>
      <c r="G2793" s="72">
        <v>0</v>
      </c>
    </row>
    <row r="2794" spans="2:7" x14ac:dyDescent="0.25">
      <c r="B2794" s="71">
        <v>43641</v>
      </c>
      <c r="C2794" t="s">
        <v>50</v>
      </c>
      <c r="D2794" t="s">
        <v>115</v>
      </c>
      <c r="E2794" t="s">
        <v>347</v>
      </c>
      <c r="F2794" s="72">
        <v>1553.8</v>
      </c>
      <c r="G2794" s="72">
        <v>0</v>
      </c>
    </row>
    <row r="2795" spans="2:7" x14ac:dyDescent="0.25">
      <c r="B2795" s="71">
        <v>43641</v>
      </c>
      <c r="C2795" t="s">
        <v>51</v>
      </c>
      <c r="D2795" t="s">
        <v>115</v>
      </c>
      <c r="E2795" t="s">
        <v>347</v>
      </c>
      <c r="F2795" s="72">
        <v>910.15</v>
      </c>
      <c r="G2795" s="72">
        <v>0</v>
      </c>
    </row>
    <row r="2796" spans="2:7" x14ac:dyDescent="0.25">
      <c r="B2796" s="71">
        <v>43641</v>
      </c>
      <c r="C2796" t="s">
        <v>53</v>
      </c>
      <c r="D2796" t="s">
        <v>115</v>
      </c>
      <c r="E2796" t="s">
        <v>347</v>
      </c>
      <c r="F2796" s="72">
        <v>683.57</v>
      </c>
      <c r="G2796" s="72">
        <v>0</v>
      </c>
    </row>
    <row r="2797" spans="2:7" x14ac:dyDescent="0.25">
      <c r="B2797" s="71">
        <v>43641</v>
      </c>
      <c r="C2797" t="s">
        <v>59</v>
      </c>
      <c r="D2797" t="s">
        <v>85</v>
      </c>
      <c r="E2797" t="s">
        <v>346</v>
      </c>
      <c r="F2797" s="72">
        <v>205.8</v>
      </c>
      <c r="G2797" s="72">
        <v>0</v>
      </c>
    </row>
    <row r="2798" spans="2:7" x14ac:dyDescent="0.25">
      <c r="B2798" s="71">
        <v>43641</v>
      </c>
      <c r="C2798" t="s">
        <v>72</v>
      </c>
      <c r="D2798" t="s">
        <v>85</v>
      </c>
      <c r="E2798" t="s">
        <v>346</v>
      </c>
      <c r="F2798" s="72">
        <v>831.18</v>
      </c>
      <c r="G2798" s="72">
        <v>0</v>
      </c>
    </row>
    <row r="2799" spans="2:7" x14ac:dyDescent="0.25">
      <c r="B2799" s="71">
        <v>43641</v>
      </c>
      <c r="C2799" t="s">
        <v>24</v>
      </c>
      <c r="D2799" t="s">
        <v>80</v>
      </c>
      <c r="E2799" t="s">
        <v>346</v>
      </c>
      <c r="F2799" s="72">
        <v>8</v>
      </c>
      <c r="G2799" s="72">
        <v>0</v>
      </c>
    </row>
    <row r="2800" spans="2:7" x14ac:dyDescent="0.25">
      <c r="B2800" s="71">
        <v>43641</v>
      </c>
      <c r="C2800" t="s">
        <v>24</v>
      </c>
      <c r="D2800" t="s">
        <v>115</v>
      </c>
      <c r="E2800" t="s">
        <v>347</v>
      </c>
      <c r="F2800" s="72">
        <v>12.15</v>
      </c>
      <c r="G2800" s="72">
        <v>0</v>
      </c>
    </row>
    <row r="2801" spans="2:7" x14ac:dyDescent="0.25">
      <c r="B2801" s="71">
        <v>43641</v>
      </c>
      <c r="C2801" t="s">
        <v>24</v>
      </c>
      <c r="D2801" t="s">
        <v>115</v>
      </c>
      <c r="E2801" t="s">
        <v>347</v>
      </c>
      <c r="F2801" s="72">
        <v>15.46</v>
      </c>
      <c r="G2801" s="72">
        <v>0</v>
      </c>
    </row>
    <row r="2802" spans="2:7" x14ac:dyDescent="0.25">
      <c r="B2802" s="71">
        <v>43641</v>
      </c>
      <c r="C2802" t="s">
        <v>24</v>
      </c>
      <c r="D2802" t="s">
        <v>115</v>
      </c>
      <c r="E2802" t="s">
        <v>347</v>
      </c>
      <c r="F2802" s="72">
        <v>22.19</v>
      </c>
      <c r="G2802" s="72">
        <v>0</v>
      </c>
    </row>
    <row r="2803" spans="2:7" x14ac:dyDescent="0.25">
      <c r="B2803" s="71">
        <v>43641</v>
      </c>
      <c r="C2803" t="s">
        <v>24</v>
      </c>
      <c r="D2803" t="s">
        <v>115</v>
      </c>
      <c r="E2803" t="s">
        <v>347</v>
      </c>
      <c r="F2803" s="72">
        <v>24.18</v>
      </c>
      <c r="G2803" s="72">
        <v>0</v>
      </c>
    </row>
    <row r="2804" spans="2:7" x14ac:dyDescent="0.25">
      <c r="B2804" s="71">
        <v>43641</v>
      </c>
      <c r="C2804" t="s">
        <v>24</v>
      </c>
      <c r="D2804" t="s">
        <v>115</v>
      </c>
      <c r="E2804" t="s">
        <v>347</v>
      </c>
      <c r="F2804" s="72">
        <v>29.05</v>
      </c>
      <c r="G2804" s="72">
        <v>0</v>
      </c>
    </row>
    <row r="2805" spans="2:7" x14ac:dyDescent="0.25">
      <c r="B2805" s="71">
        <v>43641</v>
      </c>
      <c r="C2805" t="s">
        <v>24</v>
      </c>
      <c r="D2805" t="s">
        <v>115</v>
      </c>
      <c r="E2805" t="s">
        <v>347</v>
      </c>
      <c r="F2805" s="72">
        <v>29.15</v>
      </c>
      <c r="G2805" s="72">
        <v>0</v>
      </c>
    </row>
    <row r="2806" spans="2:7" x14ac:dyDescent="0.25">
      <c r="B2806" s="71">
        <v>43641</v>
      </c>
      <c r="C2806" t="s">
        <v>24</v>
      </c>
      <c r="D2806" t="s">
        <v>115</v>
      </c>
      <c r="E2806" t="s">
        <v>347</v>
      </c>
      <c r="F2806" s="72">
        <v>30.68</v>
      </c>
      <c r="G2806" s="72">
        <v>0</v>
      </c>
    </row>
    <row r="2807" spans="2:7" x14ac:dyDescent="0.25">
      <c r="B2807" s="71">
        <v>43641</v>
      </c>
      <c r="C2807" t="s">
        <v>24</v>
      </c>
      <c r="D2807" t="s">
        <v>115</v>
      </c>
      <c r="E2807" t="s">
        <v>347</v>
      </c>
      <c r="F2807" s="72">
        <v>34.840000000000003</v>
      </c>
      <c r="G2807" s="72">
        <v>0</v>
      </c>
    </row>
    <row r="2808" spans="2:7" x14ac:dyDescent="0.25">
      <c r="B2808" s="71">
        <v>43641</v>
      </c>
      <c r="C2808" t="s">
        <v>24</v>
      </c>
      <c r="D2808" t="s">
        <v>115</v>
      </c>
      <c r="E2808" t="s">
        <v>347</v>
      </c>
      <c r="F2808" s="72">
        <v>50.33</v>
      </c>
      <c r="G2808" s="72">
        <v>0</v>
      </c>
    </row>
    <row r="2809" spans="2:7" x14ac:dyDescent="0.25">
      <c r="B2809" s="71">
        <v>43641</v>
      </c>
      <c r="C2809" t="s">
        <v>24</v>
      </c>
      <c r="D2809" t="s">
        <v>115</v>
      </c>
      <c r="E2809" t="s">
        <v>347</v>
      </c>
      <c r="F2809" s="72">
        <v>58.42</v>
      </c>
      <c r="G2809" s="72">
        <v>0</v>
      </c>
    </row>
    <row r="2810" spans="2:7" x14ac:dyDescent="0.25">
      <c r="B2810" s="71">
        <v>43641</v>
      </c>
      <c r="C2810" t="s">
        <v>24</v>
      </c>
      <c r="D2810" t="s">
        <v>115</v>
      </c>
      <c r="E2810" t="s">
        <v>347</v>
      </c>
      <c r="F2810" s="72">
        <v>81.11</v>
      </c>
      <c r="G2810" s="72">
        <v>0</v>
      </c>
    </row>
    <row r="2811" spans="2:7" x14ac:dyDescent="0.25">
      <c r="B2811" s="71">
        <v>43641</v>
      </c>
      <c r="C2811" t="s">
        <v>24</v>
      </c>
      <c r="D2811" t="s">
        <v>115</v>
      </c>
      <c r="E2811" t="s">
        <v>347</v>
      </c>
      <c r="F2811" s="72">
        <v>119.39</v>
      </c>
      <c r="G2811" s="72">
        <v>0</v>
      </c>
    </row>
    <row r="2812" spans="2:7" x14ac:dyDescent="0.25">
      <c r="B2812" s="71">
        <v>43641</v>
      </c>
      <c r="C2812" t="s">
        <v>24</v>
      </c>
      <c r="D2812" t="s">
        <v>115</v>
      </c>
      <c r="E2812" t="s">
        <v>347</v>
      </c>
      <c r="F2812" s="72">
        <v>275.07</v>
      </c>
      <c r="G2812" s="72">
        <v>0</v>
      </c>
    </row>
    <row r="2813" spans="2:7" x14ac:dyDescent="0.25">
      <c r="B2813" s="71">
        <v>43641</v>
      </c>
      <c r="C2813" t="s">
        <v>61</v>
      </c>
      <c r="D2813" t="s">
        <v>88</v>
      </c>
      <c r="E2813" t="s">
        <v>346</v>
      </c>
      <c r="F2813" s="72">
        <v>129.75</v>
      </c>
      <c r="G2813" s="72">
        <v>0</v>
      </c>
    </row>
    <row r="2814" spans="2:7" x14ac:dyDescent="0.25">
      <c r="B2814" s="71">
        <v>43641</v>
      </c>
      <c r="C2814" t="s">
        <v>62</v>
      </c>
      <c r="D2814" t="s">
        <v>115</v>
      </c>
      <c r="E2814" t="s">
        <v>347</v>
      </c>
      <c r="F2814" s="72">
        <v>83.12</v>
      </c>
      <c r="G2814" s="72">
        <v>0</v>
      </c>
    </row>
    <row r="2815" spans="2:7" x14ac:dyDescent="0.25">
      <c r="B2815" s="71">
        <v>43642</v>
      </c>
      <c r="C2815" t="s">
        <v>25</v>
      </c>
      <c r="D2815" t="s">
        <v>88</v>
      </c>
      <c r="E2815" t="s">
        <v>348</v>
      </c>
      <c r="F2815" s="72">
        <v>23.99</v>
      </c>
      <c r="G2815" s="72">
        <v>0</v>
      </c>
    </row>
    <row r="2816" spans="2:7" x14ac:dyDescent="0.25">
      <c r="B2816" s="71">
        <v>43642</v>
      </c>
      <c r="C2816" t="s">
        <v>25</v>
      </c>
      <c r="D2816" t="s">
        <v>88</v>
      </c>
      <c r="E2816" t="s">
        <v>348</v>
      </c>
      <c r="F2816" s="72">
        <v>59.88</v>
      </c>
      <c r="G2816" s="72">
        <v>0</v>
      </c>
    </row>
    <row r="2817" spans="2:7" x14ac:dyDescent="0.25">
      <c r="B2817" s="71">
        <v>43642</v>
      </c>
      <c r="C2817" t="s">
        <v>25</v>
      </c>
      <c r="D2817" t="s">
        <v>88</v>
      </c>
      <c r="E2817" t="s">
        <v>348</v>
      </c>
      <c r="F2817" s="72">
        <v>60.45</v>
      </c>
      <c r="G2817" s="72">
        <v>0</v>
      </c>
    </row>
    <row r="2818" spans="2:7" x14ac:dyDescent="0.25">
      <c r="B2818" s="71">
        <v>43642</v>
      </c>
      <c r="C2818" t="s">
        <v>25</v>
      </c>
      <c r="D2818" t="s">
        <v>82</v>
      </c>
      <c r="E2818" t="s">
        <v>125</v>
      </c>
      <c r="F2818" s="72">
        <v>14</v>
      </c>
      <c r="G2818" s="72">
        <v>0</v>
      </c>
    </row>
    <row r="2819" spans="2:7" x14ac:dyDescent="0.25">
      <c r="B2819" s="71">
        <v>43642</v>
      </c>
      <c r="C2819" t="s">
        <v>25</v>
      </c>
      <c r="D2819" t="s">
        <v>82</v>
      </c>
      <c r="E2819" t="s">
        <v>218</v>
      </c>
      <c r="F2819" s="72">
        <v>4.75</v>
      </c>
      <c r="G2819" s="72">
        <v>0</v>
      </c>
    </row>
    <row r="2820" spans="2:7" x14ac:dyDescent="0.25">
      <c r="B2820" s="71">
        <v>43642</v>
      </c>
      <c r="C2820" t="s">
        <v>44</v>
      </c>
      <c r="D2820" t="s">
        <v>85</v>
      </c>
      <c r="E2820" t="s">
        <v>348</v>
      </c>
      <c r="F2820" s="72">
        <v>2322.9</v>
      </c>
      <c r="G2820" s="72">
        <v>0</v>
      </c>
    </row>
    <row r="2821" spans="2:7" x14ac:dyDescent="0.25">
      <c r="B2821" s="71">
        <v>43642</v>
      </c>
      <c r="C2821" t="s">
        <v>45</v>
      </c>
      <c r="D2821" t="s">
        <v>81</v>
      </c>
      <c r="E2821" t="s">
        <v>348</v>
      </c>
      <c r="F2821" s="72">
        <v>137.63</v>
      </c>
      <c r="G2821" s="72">
        <v>0</v>
      </c>
    </row>
    <row r="2822" spans="2:7" x14ac:dyDescent="0.25">
      <c r="B2822" s="71">
        <v>43642</v>
      </c>
      <c r="C2822" t="s">
        <v>21</v>
      </c>
      <c r="D2822" t="s">
        <v>80</v>
      </c>
      <c r="E2822" t="s">
        <v>348</v>
      </c>
      <c r="F2822" s="72">
        <v>8</v>
      </c>
      <c r="G2822" s="72">
        <v>0</v>
      </c>
    </row>
    <row r="2823" spans="2:7" x14ac:dyDescent="0.25">
      <c r="B2823" s="71">
        <v>43642</v>
      </c>
      <c r="C2823" t="s">
        <v>21</v>
      </c>
      <c r="D2823" t="s">
        <v>80</v>
      </c>
      <c r="E2823" t="s">
        <v>348</v>
      </c>
      <c r="F2823" s="72">
        <v>24</v>
      </c>
      <c r="G2823" s="72">
        <v>0</v>
      </c>
    </row>
    <row r="2824" spans="2:7" x14ac:dyDescent="0.25">
      <c r="B2824" s="71">
        <v>43642</v>
      </c>
      <c r="C2824" t="s">
        <v>54</v>
      </c>
      <c r="D2824" t="s">
        <v>85</v>
      </c>
      <c r="E2824" t="s">
        <v>348</v>
      </c>
      <c r="F2824" s="72">
        <v>477.97</v>
      </c>
      <c r="G2824" s="72">
        <v>0</v>
      </c>
    </row>
    <row r="2825" spans="2:7" x14ac:dyDescent="0.25">
      <c r="B2825" s="71">
        <v>43643</v>
      </c>
      <c r="C2825" t="s">
        <v>25</v>
      </c>
      <c r="D2825" t="s">
        <v>86</v>
      </c>
      <c r="E2825" t="s">
        <v>349</v>
      </c>
      <c r="F2825" s="72">
        <v>75</v>
      </c>
      <c r="G2825" s="72">
        <v>0</v>
      </c>
    </row>
    <row r="2826" spans="2:7" x14ac:dyDescent="0.25">
      <c r="B2826" s="71">
        <v>43643</v>
      </c>
      <c r="C2826" t="s">
        <v>25</v>
      </c>
      <c r="D2826" t="s">
        <v>82</v>
      </c>
      <c r="E2826" t="s">
        <v>350</v>
      </c>
      <c r="F2826" s="72">
        <v>12</v>
      </c>
      <c r="G2826" s="72">
        <v>0</v>
      </c>
    </row>
    <row r="2827" spans="2:7" x14ac:dyDescent="0.25">
      <c r="B2827" s="71">
        <v>43643</v>
      </c>
      <c r="C2827" t="s">
        <v>25</v>
      </c>
      <c r="D2827" t="s">
        <v>82</v>
      </c>
      <c r="E2827" t="s">
        <v>221</v>
      </c>
      <c r="F2827" s="72">
        <v>10.25</v>
      </c>
      <c r="G2827" s="72">
        <v>0</v>
      </c>
    </row>
    <row r="2828" spans="2:7" x14ac:dyDescent="0.25">
      <c r="B2828" s="71">
        <v>43643</v>
      </c>
      <c r="C2828" t="s">
        <v>25</v>
      </c>
      <c r="D2828" t="s">
        <v>82</v>
      </c>
      <c r="E2828" t="s">
        <v>192</v>
      </c>
      <c r="F2828" s="72">
        <v>22</v>
      </c>
      <c r="G2828" s="72">
        <v>0</v>
      </c>
    </row>
    <row r="2829" spans="2:7" x14ac:dyDescent="0.25">
      <c r="B2829" s="71">
        <v>43643</v>
      </c>
      <c r="C2829" t="s">
        <v>25</v>
      </c>
      <c r="D2829" t="s">
        <v>82</v>
      </c>
      <c r="E2829" t="s">
        <v>242</v>
      </c>
      <c r="F2829" s="72">
        <v>6.4</v>
      </c>
      <c r="G2829" s="72">
        <v>0</v>
      </c>
    </row>
    <row r="2830" spans="2:7" x14ac:dyDescent="0.25">
      <c r="B2830" s="71">
        <v>43643</v>
      </c>
      <c r="C2830" t="s">
        <v>25</v>
      </c>
      <c r="D2830" t="s">
        <v>82</v>
      </c>
      <c r="E2830" t="s">
        <v>274</v>
      </c>
      <c r="F2830" s="72">
        <v>1.8</v>
      </c>
      <c r="G2830" s="72">
        <v>0</v>
      </c>
    </row>
    <row r="2831" spans="2:7" x14ac:dyDescent="0.25">
      <c r="B2831" s="71">
        <v>43643</v>
      </c>
      <c r="C2831" t="s">
        <v>25</v>
      </c>
      <c r="D2831" t="s">
        <v>85</v>
      </c>
      <c r="E2831" t="s">
        <v>349</v>
      </c>
      <c r="F2831" s="72">
        <v>10</v>
      </c>
      <c r="G2831" s="72">
        <v>0</v>
      </c>
    </row>
    <row r="2832" spans="2:7" x14ac:dyDescent="0.25">
      <c r="B2832" s="71">
        <v>43643</v>
      </c>
      <c r="C2832" t="s">
        <v>25</v>
      </c>
      <c r="D2832" t="s">
        <v>85</v>
      </c>
      <c r="E2832" t="s">
        <v>349</v>
      </c>
      <c r="F2832" s="72">
        <v>32</v>
      </c>
      <c r="G2832" s="72">
        <v>0</v>
      </c>
    </row>
    <row r="2833" spans="2:7" x14ac:dyDescent="0.25">
      <c r="B2833" s="71">
        <v>43643</v>
      </c>
      <c r="C2833" t="s">
        <v>25</v>
      </c>
      <c r="D2833" t="s">
        <v>85</v>
      </c>
      <c r="E2833" t="s">
        <v>349</v>
      </c>
      <c r="F2833" s="72">
        <v>76</v>
      </c>
      <c r="G2833" s="72">
        <v>0</v>
      </c>
    </row>
    <row r="2834" spans="2:7" x14ac:dyDescent="0.25">
      <c r="B2834" s="71">
        <v>43643</v>
      </c>
      <c r="C2834" t="s">
        <v>25</v>
      </c>
      <c r="D2834" t="s">
        <v>85</v>
      </c>
      <c r="E2834" t="s">
        <v>349</v>
      </c>
      <c r="F2834" s="72">
        <v>100</v>
      </c>
      <c r="G2834" s="72">
        <v>0</v>
      </c>
    </row>
    <row r="2835" spans="2:7" x14ac:dyDescent="0.25">
      <c r="B2835" s="71">
        <v>43643</v>
      </c>
      <c r="C2835" t="s">
        <v>25</v>
      </c>
      <c r="D2835" t="s">
        <v>85</v>
      </c>
      <c r="E2835" t="s">
        <v>349</v>
      </c>
      <c r="F2835" s="72">
        <v>114</v>
      </c>
      <c r="G2835" s="72">
        <v>0</v>
      </c>
    </row>
    <row r="2836" spans="2:7" x14ac:dyDescent="0.25">
      <c r="B2836" s="71">
        <v>43643</v>
      </c>
      <c r="C2836" t="s">
        <v>55</v>
      </c>
      <c r="D2836" t="s">
        <v>80</v>
      </c>
      <c r="E2836" t="s">
        <v>349</v>
      </c>
      <c r="F2836" s="72">
        <v>18.690000000000001</v>
      </c>
      <c r="G2836" s="72">
        <v>0</v>
      </c>
    </row>
    <row r="2837" spans="2:7" x14ac:dyDescent="0.25">
      <c r="B2837" s="71">
        <v>43643</v>
      </c>
      <c r="C2837" t="s">
        <v>55</v>
      </c>
      <c r="D2837" t="s">
        <v>86</v>
      </c>
      <c r="E2837" t="s">
        <v>349</v>
      </c>
      <c r="F2837" s="72">
        <v>22.5</v>
      </c>
      <c r="G2837" s="72">
        <v>0</v>
      </c>
    </row>
    <row r="2838" spans="2:7" x14ac:dyDescent="0.25">
      <c r="B2838" s="71">
        <v>43643</v>
      </c>
      <c r="C2838" t="s">
        <v>48</v>
      </c>
      <c r="D2838" t="s">
        <v>85</v>
      </c>
      <c r="E2838" t="s">
        <v>349</v>
      </c>
      <c r="F2838" s="72">
        <v>56.55</v>
      </c>
      <c r="G2838" s="72">
        <v>0</v>
      </c>
    </row>
    <row r="2839" spans="2:7" x14ac:dyDescent="0.25">
      <c r="B2839" s="71">
        <v>43643</v>
      </c>
      <c r="C2839" t="s">
        <v>52</v>
      </c>
      <c r="D2839" t="s">
        <v>87</v>
      </c>
      <c r="E2839" t="s">
        <v>349</v>
      </c>
      <c r="F2839" s="72">
        <v>0</v>
      </c>
      <c r="G2839" s="72">
        <v>719.44</v>
      </c>
    </row>
    <row r="2840" spans="2:7" x14ac:dyDescent="0.25">
      <c r="B2840" s="71">
        <v>43643</v>
      </c>
      <c r="C2840" t="s">
        <v>44</v>
      </c>
      <c r="D2840" t="s">
        <v>85</v>
      </c>
      <c r="E2840" t="s">
        <v>349</v>
      </c>
      <c r="F2840" s="72">
        <v>719.83</v>
      </c>
      <c r="G2840" s="72">
        <v>0</v>
      </c>
    </row>
    <row r="2841" spans="2:7" x14ac:dyDescent="0.25">
      <c r="B2841" s="71">
        <v>43643</v>
      </c>
      <c r="C2841" t="s">
        <v>21</v>
      </c>
      <c r="D2841" t="s">
        <v>80</v>
      </c>
      <c r="E2841" t="s">
        <v>349</v>
      </c>
      <c r="F2841" s="72">
        <v>8</v>
      </c>
      <c r="G2841" s="72">
        <v>0</v>
      </c>
    </row>
    <row r="2842" spans="2:7" x14ac:dyDescent="0.25">
      <c r="B2842" s="71">
        <v>43643</v>
      </c>
      <c r="C2842" t="s">
        <v>21</v>
      </c>
      <c r="D2842" t="s">
        <v>80</v>
      </c>
      <c r="E2842" t="s">
        <v>349</v>
      </c>
      <c r="F2842" s="72">
        <v>16</v>
      </c>
      <c r="G2842" s="72">
        <v>0</v>
      </c>
    </row>
    <row r="2843" spans="2:7" x14ac:dyDescent="0.25">
      <c r="B2843" s="71">
        <v>43643</v>
      </c>
      <c r="C2843" t="s">
        <v>21</v>
      </c>
      <c r="D2843" t="s">
        <v>80</v>
      </c>
      <c r="E2843" t="s">
        <v>349</v>
      </c>
      <c r="F2843" s="72">
        <v>24</v>
      </c>
      <c r="G2843" s="72">
        <v>0</v>
      </c>
    </row>
    <row r="2844" spans="2:7" x14ac:dyDescent="0.25">
      <c r="B2844" s="71">
        <v>43643</v>
      </c>
      <c r="C2844" t="s">
        <v>21</v>
      </c>
      <c r="D2844" t="s">
        <v>85</v>
      </c>
      <c r="E2844" t="s">
        <v>349</v>
      </c>
      <c r="F2844" s="72">
        <v>20</v>
      </c>
      <c r="G2844" s="72">
        <v>0</v>
      </c>
    </row>
    <row r="2845" spans="2:7" x14ac:dyDescent="0.25">
      <c r="B2845" s="71">
        <v>43643</v>
      </c>
      <c r="C2845" t="s">
        <v>21</v>
      </c>
      <c r="D2845" t="s">
        <v>85</v>
      </c>
      <c r="E2845" t="s">
        <v>349</v>
      </c>
      <c r="F2845" s="72">
        <v>32</v>
      </c>
      <c r="G2845" s="72">
        <v>0</v>
      </c>
    </row>
    <row r="2846" spans="2:7" x14ac:dyDescent="0.25">
      <c r="B2846" s="71">
        <v>43643</v>
      </c>
      <c r="C2846" t="s">
        <v>49</v>
      </c>
      <c r="D2846" t="s">
        <v>85</v>
      </c>
      <c r="E2846" t="s">
        <v>349</v>
      </c>
      <c r="F2846" s="72">
        <v>168</v>
      </c>
      <c r="G2846" s="72">
        <v>0</v>
      </c>
    </row>
    <row r="2847" spans="2:7" x14ac:dyDescent="0.25">
      <c r="B2847" s="71">
        <v>43643</v>
      </c>
      <c r="C2847" t="s">
        <v>51</v>
      </c>
      <c r="D2847" t="s">
        <v>85</v>
      </c>
      <c r="E2847" t="s">
        <v>349</v>
      </c>
      <c r="F2847" s="72">
        <v>9.3800000000000008</v>
      </c>
      <c r="G2847" s="72">
        <v>0</v>
      </c>
    </row>
    <row r="2848" spans="2:7" x14ac:dyDescent="0.25">
      <c r="B2848" s="71">
        <v>43643</v>
      </c>
      <c r="C2848" t="s">
        <v>59</v>
      </c>
      <c r="D2848" t="s">
        <v>85</v>
      </c>
      <c r="E2848" t="s">
        <v>349</v>
      </c>
      <c r="F2848" s="72">
        <v>25</v>
      </c>
      <c r="G2848" s="72">
        <v>0</v>
      </c>
    </row>
    <row r="2849" spans="2:7" x14ac:dyDescent="0.25">
      <c r="B2849" s="71">
        <v>43643</v>
      </c>
      <c r="C2849" t="s">
        <v>74</v>
      </c>
      <c r="D2849" t="s">
        <v>85</v>
      </c>
      <c r="E2849" t="s">
        <v>349</v>
      </c>
      <c r="F2849" s="72">
        <v>5</v>
      </c>
      <c r="G2849" s="72">
        <v>0</v>
      </c>
    </row>
    <row r="2850" spans="2:7" x14ac:dyDescent="0.25">
      <c r="B2850" s="71">
        <v>43643</v>
      </c>
      <c r="C2850" t="s">
        <v>24</v>
      </c>
      <c r="D2850" t="s">
        <v>80</v>
      </c>
      <c r="E2850" t="s">
        <v>349</v>
      </c>
      <c r="F2850" s="72">
        <v>8</v>
      </c>
      <c r="G2850" s="72">
        <v>0</v>
      </c>
    </row>
    <row r="2851" spans="2:7" x14ac:dyDescent="0.25">
      <c r="B2851" s="71">
        <v>43643</v>
      </c>
      <c r="C2851" t="s">
        <v>24</v>
      </c>
      <c r="D2851" t="s">
        <v>80</v>
      </c>
      <c r="E2851" t="s">
        <v>349</v>
      </c>
      <c r="F2851" s="72">
        <v>16</v>
      </c>
      <c r="G2851" s="72">
        <v>0</v>
      </c>
    </row>
    <row r="2852" spans="2:7" x14ac:dyDescent="0.25">
      <c r="B2852" s="71">
        <v>43643</v>
      </c>
      <c r="C2852" t="s">
        <v>24</v>
      </c>
      <c r="D2852" t="s">
        <v>85</v>
      </c>
      <c r="E2852" t="s">
        <v>349</v>
      </c>
      <c r="F2852" s="72">
        <v>64</v>
      </c>
      <c r="G2852" s="72">
        <v>0</v>
      </c>
    </row>
    <row r="2853" spans="2:7" x14ac:dyDescent="0.25">
      <c r="B2853" s="71">
        <v>43643</v>
      </c>
      <c r="C2853" t="s">
        <v>63</v>
      </c>
      <c r="D2853" t="s">
        <v>85</v>
      </c>
      <c r="E2853" t="s">
        <v>349</v>
      </c>
      <c r="F2853" s="72">
        <v>32</v>
      </c>
      <c r="G2853" s="72">
        <v>0</v>
      </c>
    </row>
    <row r="2854" spans="2:7" x14ac:dyDescent="0.25">
      <c r="B2854" s="71">
        <v>43644</v>
      </c>
      <c r="C2854" t="s">
        <v>25</v>
      </c>
      <c r="D2854" t="s">
        <v>82</v>
      </c>
      <c r="E2854" t="s">
        <v>351</v>
      </c>
      <c r="F2854" s="72">
        <v>16</v>
      </c>
      <c r="G2854" s="72">
        <v>0</v>
      </c>
    </row>
    <row r="2855" spans="2:7" x14ac:dyDescent="0.25">
      <c r="B2855" s="71">
        <v>43644</v>
      </c>
      <c r="C2855" t="s">
        <v>25</v>
      </c>
      <c r="D2855" t="s">
        <v>82</v>
      </c>
      <c r="E2855" t="s">
        <v>165</v>
      </c>
      <c r="F2855" s="72">
        <v>18</v>
      </c>
      <c r="G2855" s="72">
        <v>0</v>
      </c>
    </row>
    <row r="2856" spans="2:7" x14ac:dyDescent="0.25">
      <c r="B2856" s="71">
        <v>43644</v>
      </c>
      <c r="C2856" t="s">
        <v>44</v>
      </c>
      <c r="D2856" t="s">
        <v>87</v>
      </c>
      <c r="E2856" t="s">
        <v>352</v>
      </c>
      <c r="F2856" s="72">
        <v>0</v>
      </c>
      <c r="G2856" s="72">
        <v>382.02</v>
      </c>
    </row>
    <row r="2857" spans="2:7" x14ac:dyDescent="0.25">
      <c r="B2857" s="71">
        <v>43644</v>
      </c>
      <c r="C2857" t="s">
        <v>67</v>
      </c>
      <c r="D2857" t="s">
        <v>83</v>
      </c>
      <c r="E2857" t="s">
        <v>352</v>
      </c>
      <c r="F2857" s="72">
        <v>123</v>
      </c>
      <c r="G2857" s="72">
        <v>0</v>
      </c>
    </row>
    <row r="2858" spans="2:7" x14ac:dyDescent="0.25">
      <c r="B2858" s="71">
        <v>43644</v>
      </c>
      <c r="C2858" t="s">
        <v>68</v>
      </c>
      <c r="D2858" t="s">
        <v>88</v>
      </c>
      <c r="E2858" t="s">
        <v>352</v>
      </c>
      <c r="F2858" s="72">
        <v>1000</v>
      </c>
      <c r="G2858" s="72">
        <v>0</v>
      </c>
    </row>
    <row r="2859" spans="2:7" x14ac:dyDescent="0.25">
      <c r="B2859" s="71">
        <v>43645</v>
      </c>
      <c r="C2859" t="s">
        <v>25</v>
      </c>
      <c r="D2859" t="s">
        <v>82</v>
      </c>
      <c r="E2859" t="s">
        <v>213</v>
      </c>
      <c r="F2859" s="72">
        <v>9</v>
      </c>
      <c r="G2859" s="72">
        <v>0</v>
      </c>
    </row>
    <row r="2860" spans="2:7" x14ac:dyDescent="0.25">
      <c r="B2860" s="71">
        <v>43645</v>
      </c>
      <c r="C2860" t="s">
        <v>25</v>
      </c>
      <c r="D2860" t="s">
        <v>82</v>
      </c>
      <c r="E2860" t="s">
        <v>200</v>
      </c>
      <c r="F2860" s="72">
        <v>8.6999999999999993</v>
      </c>
      <c r="G2860" s="72">
        <v>0</v>
      </c>
    </row>
    <row r="2861" spans="2:7" x14ac:dyDescent="0.25">
      <c r="B2861" s="71">
        <v>43648</v>
      </c>
      <c r="C2861" t="s">
        <v>25</v>
      </c>
      <c r="D2861" t="s">
        <v>80</v>
      </c>
      <c r="E2861" t="s">
        <v>353</v>
      </c>
      <c r="F2861" s="72">
        <v>8</v>
      </c>
      <c r="G2861" s="72">
        <v>0</v>
      </c>
    </row>
    <row r="2862" spans="2:7" x14ac:dyDescent="0.25">
      <c r="B2862" s="71">
        <v>43648</v>
      </c>
      <c r="C2862" t="s">
        <v>25</v>
      </c>
      <c r="D2862" t="s">
        <v>86</v>
      </c>
      <c r="E2862" t="s">
        <v>353</v>
      </c>
      <c r="F2862" s="72">
        <v>30</v>
      </c>
      <c r="G2862" s="72">
        <v>0</v>
      </c>
    </row>
    <row r="2863" spans="2:7" x14ac:dyDescent="0.25">
      <c r="B2863" s="71">
        <v>43648</v>
      </c>
      <c r="C2863" t="s">
        <v>25</v>
      </c>
      <c r="D2863" t="s">
        <v>101</v>
      </c>
      <c r="E2863" t="s">
        <v>354</v>
      </c>
      <c r="F2863" s="72">
        <v>16</v>
      </c>
      <c r="G2863" s="72">
        <v>0</v>
      </c>
    </row>
    <row r="2864" spans="2:7" x14ac:dyDescent="0.25">
      <c r="B2864" s="71">
        <v>43648</v>
      </c>
      <c r="C2864" t="s">
        <v>25</v>
      </c>
      <c r="D2864" t="s">
        <v>82</v>
      </c>
      <c r="E2864" t="s">
        <v>173</v>
      </c>
      <c r="F2864" s="72">
        <v>4.75</v>
      </c>
      <c r="G2864" s="72">
        <v>0</v>
      </c>
    </row>
    <row r="2865" spans="2:7" x14ac:dyDescent="0.25">
      <c r="B2865" s="71">
        <v>43648</v>
      </c>
      <c r="C2865" t="s">
        <v>25</v>
      </c>
      <c r="D2865" t="s">
        <v>82</v>
      </c>
      <c r="E2865" t="s">
        <v>214</v>
      </c>
      <c r="F2865" s="72">
        <v>50</v>
      </c>
      <c r="G2865" s="72">
        <v>0</v>
      </c>
    </row>
    <row r="2866" spans="2:7" x14ac:dyDescent="0.25">
      <c r="B2866" s="71">
        <v>43648</v>
      </c>
      <c r="C2866" t="s">
        <v>25</v>
      </c>
      <c r="D2866" t="s">
        <v>85</v>
      </c>
      <c r="E2866" t="s">
        <v>353</v>
      </c>
      <c r="F2866" s="72">
        <v>120</v>
      </c>
      <c r="G2866" s="72">
        <v>0</v>
      </c>
    </row>
    <row r="2867" spans="2:7" x14ac:dyDescent="0.25">
      <c r="B2867" s="71">
        <v>43648</v>
      </c>
      <c r="C2867" t="s">
        <v>47</v>
      </c>
      <c r="D2867" t="s">
        <v>85</v>
      </c>
      <c r="E2867" t="s">
        <v>353</v>
      </c>
      <c r="F2867" s="72">
        <v>9.9</v>
      </c>
      <c r="G2867" s="72">
        <v>0</v>
      </c>
    </row>
    <row r="2868" spans="2:7" x14ac:dyDescent="0.25">
      <c r="B2868" s="71">
        <v>43648</v>
      </c>
      <c r="C2868" t="s">
        <v>48</v>
      </c>
      <c r="D2868" t="s">
        <v>86</v>
      </c>
      <c r="E2868" t="s">
        <v>353</v>
      </c>
      <c r="F2868" s="72">
        <v>35</v>
      </c>
      <c r="G2868" s="72">
        <v>0</v>
      </c>
    </row>
    <row r="2869" spans="2:7" x14ac:dyDescent="0.25">
      <c r="B2869" s="71">
        <v>43648</v>
      </c>
      <c r="C2869" t="s">
        <v>52</v>
      </c>
      <c r="D2869" t="s">
        <v>85</v>
      </c>
      <c r="E2869" t="s">
        <v>353</v>
      </c>
      <c r="F2869" s="72">
        <v>42.6</v>
      </c>
      <c r="G2869" s="72">
        <v>0</v>
      </c>
    </row>
    <row r="2870" spans="2:7" x14ac:dyDescent="0.25">
      <c r="B2870" s="71">
        <v>43648</v>
      </c>
      <c r="C2870" t="s">
        <v>21</v>
      </c>
      <c r="D2870" t="s">
        <v>80</v>
      </c>
      <c r="E2870" t="s">
        <v>353</v>
      </c>
      <c r="F2870" s="72">
        <v>16</v>
      </c>
      <c r="G2870" s="72">
        <v>0</v>
      </c>
    </row>
    <row r="2871" spans="2:7" x14ac:dyDescent="0.25">
      <c r="B2871" s="71">
        <v>43648</v>
      </c>
      <c r="C2871" t="s">
        <v>21</v>
      </c>
      <c r="D2871" t="s">
        <v>80</v>
      </c>
      <c r="E2871" t="s">
        <v>353</v>
      </c>
      <c r="F2871" s="72">
        <v>32</v>
      </c>
      <c r="G2871" s="72">
        <v>0</v>
      </c>
    </row>
    <row r="2872" spans="2:7" x14ac:dyDescent="0.25">
      <c r="B2872" s="71">
        <v>43648</v>
      </c>
      <c r="C2872" t="s">
        <v>21</v>
      </c>
      <c r="D2872" t="s">
        <v>80</v>
      </c>
      <c r="E2872" t="s">
        <v>353</v>
      </c>
      <c r="F2872" s="72">
        <v>40</v>
      </c>
      <c r="G2872" s="72">
        <v>0</v>
      </c>
    </row>
    <row r="2873" spans="2:7" x14ac:dyDescent="0.25">
      <c r="B2873" s="71">
        <v>43648</v>
      </c>
      <c r="C2873" t="s">
        <v>21</v>
      </c>
      <c r="D2873" t="s">
        <v>80</v>
      </c>
      <c r="E2873" t="s">
        <v>353</v>
      </c>
      <c r="F2873" s="72">
        <v>56</v>
      </c>
      <c r="G2873" s="72">
        <v>0</v>
      </c>
    </row>
    <row r="2874" spans="2:7" x14ac:dyDescent="0.25">
      <c r="B2874" s="71">
        <v>43648</v>
      </c>
      <c r="C2874" t="s">
        <v>21</v>
      </c>
      <c r="D2874" t="s">
        <v>85</v>
      </c>
      <c r="E2874" t="s">
        <v>353</v>
      </c>
      <c r="F2874" s="72">
        <v>182</v>
      </c>
      <c r="G2874" s="72">
        <v>0</v>
      </c>
    </row>
    <row r="2875" spans="2:7" x14ac:dyDescent="0.25">
      <c r="B2875" s="71">
        <v>43648</v>
      </c>
      <c r="C2875" t="s">
        <v>21</v>
      </c>
      <c r="D2875" t="s">
        <v>85</v>
      </c>
      <c r="E2875" t="s">
        <v>353</v>
      </c>
      <c r="F2875" s="72">
        <v>338</v>
      </c>
      <c r="G2875" s="72">
        <v>0</v>
      </c>
    </row>
    <row r="2876" spans="2:7" x14ac:dyDescent="0.25">
      <c r="B2876" s="71">
        <v>43648</v>
      </c>
      <c r="C2876" t="s">
        <v>49</v>
      </c>
      <c r="D2876" t="s">
        <v>85</v>
      </c>
      <c r="E2876" t="s">
        <v>353</v>
      </c>
      <c r="F2876" s="72">
        <v>52</v>
      </c>
      <c r="G2876" s="72">
        <v>0</v>
      </c>
    </row>
    <row r="2877" spans="2:7" x14ac:dyDescent="0.25">
      <c r="B2877" s="71">
        <v>43648</v>
      </c>
      <c r="C2877" t="s">
        <v>54</v>
      </c>
      <c r="D2877" t="s">
        <v>85</v>
      </c>
      <c r="E2877" t="s">
        <v>353</v>
      </c>
      <c r="F2877" s="72">
        <v>5</v>
      </c>
      <c r="G2877" s="72">
        <v>0</v>
      </c>
    </row>
    <row r="2878" spans="2:7" x14ac:dyDescent="0.25">
      <c r="B2878" s="71">
        <v>43648</v>
      </c>
      <c r="C2878" t="s">
        <v>24</v>
      </c>
      <c r="D2878" t="s">
        <v>80</v>
      </c>
      <c r="E2878" t="s">
        <v>353</v>
      </c>
      <c r="F2878" s="72">
        <v>8</v>
      </c>
      <c r="G2878" s="72">
        <v>0</v>
      </c>
    </row>
    <row r="2879" spans="2:7" x14ac:dyDescent="0.25">
      <c r="B2879" s="71">
        <v>43648</v>
      </c>
      <c r="C2879" t="s">
        <v>24</v>
      </c>
      <c r="D2879" t="s">
        <v>80</v>
      </c>
      <c r="E2879" t="s">
        <v>353</v>
      </c>
      <c r="F2879" s="72">
        <v>64</v>
      </c>
      <c r="G2879" s="72">
        <v>0</v>
      </c>
    </row>
    <row r="2880" spans="2:7" x14ac:dyDescent="0.25">
      <c r="B2880" s="71">
        <v>43649</v>
      </c>
      <c r="C2880" t="s">
        <v>25</v>
      </c>
      <c r="D2880" t="s">
        <v>81</v>
      </c>
      <c r="E2880" t="s">
        <v>355</v>
      </c>
      <c r="F2880" s="72">
        <v>88</v>
      </c>
      <c r="G2880" s="72">
        <v>0</v>
      </c>
    </row>
    <row r="2881" spans="2:7" x14ac:dyDescent="0.25">
      <c r="B2881" s="71">
        <v>43649</v>
      </c>
      <c r="C2881" t="s">
        <v>25</v>
      </c>
      <c r="D2881" t="s">
        <v>88</v>
      </c>
      <c r="E2881" t="s">
        <v>355</v>
      </c>
      <c r="F2881" s="72">
        <v>10.99</v>
      </c>
      <c r="G2881" s="72">
        <v>0</v>
      </c>
    </row>
    <row r="2882" spans="2:7" x14ac:dyDescent="0.25">
      <c r="B2882" s="71">
        <v>43649</v>
      </c>
      <c r="C2882" t="s">
        <v>25</v>
      </c>
      <c r="D2882" t="s">
        <v>88</v>
      </c>
      <c r="E2882" t="s">
        <v>355</v>
      </c>
      <c r="F2882" s="72">
        <v>18.690000000000001</v>
      </c>
      <c r="G2882" s="72">
        <v>0</v>
      </c>
    </row>
    <row r="2883" spans="2:7" x14ac:dyDescent="0.25">
      <c r="B2883" s="71">
        <v>43649</v>
      </c>
      <c r="C2883" t="s">
        <v>25</v>
      </c>
      <c r="D2883" t="s">
        <v>88</v>
      </c>
      <c r="E2883" t="s">
        <v>355</v>
      </c>
      <c r="F2883" s="72">
        <v>19.350000000000001</v>
      </c>
      <c r="G2883" s="72">
        <v>0</v>
      </c>
    </row>
    <row r="2884" spans="2:7" x14ac:dyDescent="0.25">
      <c r="B2884" s="71">
        <v>43649</v>
      </c>
      <c r="C2884" t="s">
        <v>25</v>
      </c>
      <c r="D2884" t="s">
        <v>88</v>
      </c>
      <c r="E2884" t="s">
        <v>355</v>
      </c>
      <c r="F2884" s="72">
        <v>61.5</v>
      </c>
      <c r="G2884" s="72">
        <v>0</v>
      </c>
    </row>
    <row r="2885" spans="2:7" x14ac:dyDescent="0.25">
      <c r="B2885" s="71">
        <v>43649</v>
      </c>
      <c r="C2885" t="s">
        <v>25</v>
      </c>
      <c r="D2885" t="s">
        <v>88</v>
      </c>
      <c r="E2885" t="s">
        <v>355</v>
      </c>
      <c r="F2885" s="72">
        <v>88.8</v>
      </c>
      <c r="G2885" s="72">
        <v>0</v>
      </c>
    </row>
    <row r="2886" spans="2:7" x14ac:dyDescent="0.25">
      <c r="B2886" s="71">
        <v>43649</v>
      </c>
      <c r="C2886" t="s">
        <v>25</v>
      </c>
      <c r="D2886" t="s">
        <v>88</v>
      </c>
      <c r="E2886" t="s">
        <v>355</v>
      </c>
      <c r="F2886" s="72">
        <v>94.23</v>
      </c>
      <c r="G2886" s="72">
        <v>0</v>
      </c>
    </row>
    <row r="2887" spans="2:7" x14ac:dyDescent="0.25">
      <c r="B2887" s="71">
        <v>43649</v>
      </c>
      <c r="C2887" t="s">
        <v>25</v>
      </c>
      <c r="D2887" t="s">
        <v>88</v>
      </c>
      <c r="E2887" t="s">
        <v>355</v>
      </c>
      <c r="F2887" s="72">
        <v>99.5</v>
      </c>
      <c r="G2887" s="72">
        <v>0</v>
      </c>
    </row>
    <row r="2888" spans="2:7" x14ac:dyDescent="0.25">
      <c r="B2888" s="71">
        <v>43649</v>
      </c>
      <c r="C2888" t="s">
        <v>25</v>
      </c>
      <c r="D2888" t="s">
        <v>88</v>
      </c>
      <c r="E2888" t="s">
        <v>355</v>
      </c>
      <c r="F2888" s="72">
        <v>102.76</v>
      </c>
      <c r="G2888" s="72">
        <v>0</v>
      </c>
    </row>
    <row r="2889" spans="2:7" x14ac:dyDescent="0.25">
      <c r="B2889" s="71">
        <v>43649</v>
      </c>
      <c r="C2889" t="s">
        <v>25</v>
      </c>
      <c r="D2889" t="s">
        <v>88</v>
      </c>
      <c r="E2889" t="s">
        <v>355</v>
      </c>
      <c r="F2889" s="72">
        <v>129.52000000000001</v>
      </c>
      <c r="G2889" s="72">
        <v>0</v>
      </c>
    </row>
    <row r="2890" spans="2:7" x14ac:dyDescent="0.25">
      <c r="B2890" s="71">
        <v>43649</v>
      </c>
      <c r="C2890" t="s">
        <v>25</v>
      </c>
      <c r="D2890" t="s">
        <v>82</v>
      </c>
      <c r="E2890" t="s">
        <v>125</v>
      </c>
      <c r="F2890" s="72">
        <v>6.6</v>
      </c>
      <c r="G2890" s="72">
        <v>0</v>
      </c>
    </row>
    <row r="2891" spans="2:7" x14ac:dyDescent="0.25">
      <c r="B2891" s="71">
        <v>43649</v>
      </c>
      <c r="C2891" t="s">
        <v>57</v>
      </c>
      <c r="D2891" t="s">
        <v>85</v>
      </c>
      <c r="E2891" t="s">
        <v>355</v>
      </c>
      <c r="F2891" s="72">
        <v>136.99</v>
      </c>
      <c r="G2891" s="72">
        <v>0</v>
      </c>
    </row>
    <row r="2892" spans="2:7" x14ac:dyDescent="0.25">
      <c r="B2892" s="71">
        <v>43649</v>
      </c>
      <c r="C2892" t="s">
        <v>52</v>
      </c>
      <c r="D2892" t="s">
        <v>85</v>
      </c>
      <c r="E2892" t="s">
        <v>355</v>
      </c>
      <c r="F2892" s="72">
        <v>213.7</v>
      </c>
      <c r="G2892" s="72">
        <v>0</v>
      </c>
    </row>
    <row r="2893" spans="2:7" x14ac:dyDescent="0.25">
      <c r="B2893" s="71">
        <v>43649</v>
      </c>
      <c r="C2893" t="s">
        <v>44</v>
      </c>
      <c r="D2893" t="s">
        <v>87</v>
      </c>
      <c r="E2893" t="s">
        <v>355</v>
      </c>
      <c r="F2893" s="72">
        <v>1578.84</v>
      </c>
      <c r="G2893" s="72">
        <v>0</v>
      </c>
    </row>
    <row r="2894" spans="2:7" x14ac:dyDescent="0.25">
      <c r="B2894" s="71">
        <v>43649</v>
      </c>
      <c r="C2894" t="s">
        <v>21</v>
      </c>
      <c r="D2894" t="s">
        <v>80</v>
      </c>
      <c r="E2894" t="s">
        <v>355</v>
      </c>
      <c r="F2894" s="72">
        <v>8</v>
      </c>
      <c r="G2894" s="72">
        <v>0</v>
      </c>
    </row>
    <row r="2895" spans="2:7" x14ac:dyDescent="0.25">
      <c r="B2895" s="71">
        <v>43649</v>
      </c>
      <c r="C2895" t="s">
        <v>21</v>
      </c>
      <c r="D2895" t="s">
        <v>80</v>
      </c>
      <c r="E2895" t="s">
        <v>355</v>
      </c>
      <c r="F2895" s="72">
        <v>24</v>
      </c>
      <c r="G2895" s="72">
        <v>0</v>
      </c>
    </row>
    <row r="2896" spans="2:7" x14ac:dyDescent="0.25">
      <c r="B2896" s="71">
        <v>43649</v>
      </c>
      <c r="C2896" t="s">
        <v>21</v>
      </c>
      <c r="D2896" t="s">
        <v>80</v>
      </c>
      <c r="E2896" t="s">
        <v>355</v>
      </c>
      <c r="F2896" s="72">
        <v>32</v>
      </c>
      <c r="G2896" s="72">
        <v>0</v>
      </c>
    </row>
    <row r="2897" spans="2:7" x14ac:dyDescent="0.25">
      <c r="B2897" s="71">
        <v>43649</v>
      </c>
      <c r="C2897" t="s">
        <v>21</v>
      </c>
      <c r="D2897" t="s">
        <v>80</v>
      </c>
      <c r="E2897" t="s">
        <v>355</v>
      </c>
      <c r="F2897" s="72">
        <v>40</v>
      </c>
      <c r="G2897" s="72">
        <v>0</v>
      </c>
    </row>
    <row r="2898" spans="2:7" x14ac:dyDescent="0.25">
      <c r="B2898" s="71">
        <v>43649</v>
      </c>
      <c r="C2898" t="s">
        <v>21</v>
      </c>
      <c r="D2898" t="s">
        <v>80</v>
      </c>
      <c r="E2898" t="s">
        <v>355</v>
      </c>
      <c r="F2898" s="72">
        <v>48</v>
      </c>
      <c r="G2898" s="72">
        <v>0</v>
      </c>
    </row>
    <row r="2899" spans="2:7" x14ac:dyDescent="0.25">
      <c r="B2899" s="71">
        <v>43649</v>
      </c>
      <c r="C2899" t="s">
        <v>21</v>
      </c>
      <c r="D2899" t="s">
        <v>80</v>
      </c>
      <c r="E2899" t="s">
        <v>355</v>
      </c>
      <c r="F2899" s="72">
        <v>56</v>
      </c>
      <c r="G2899" s="72">
        <v>0</v>
      </c>
    </row>
    <row r="2900" spans="2:7" x14ac:dyDescent="0.25">
      <c r="B2900" s="71">
        <v>43649</v>
      </c>
      <c r="C2900" t="s">
        <v>56</v>
      </c>
      <c r="D2900" t="s">
        <v>86</v>
      </c>
      <c r="E2900" t="s">
        <v>355</v>
      </c>
      <c r="F2900" s="72">
        <v>571.85</v>
      </c>
      <c r="G2900" s="72">
        <v>0</v>
      </c>
    </row>
    <row r="2901" spans="2:7" x14ac:dyDescent="0.25">
      <c r="B2901" s="71">
        <v>43649</v>
      </c>
      <c r="C2901" t="s">
        <v>56</v>
      </c>
      <c r="D2901" t="s">
        <v>88</v>
      </c>
      <c r="E2901" t="s">
        <v>355</v>
      </c>
      <c r="F2901" s="72">
        <v>249.75</v>
      </c>
      <c r="G2901" s="72">
        <v>0</v>
      </c>
    </row>
    <row r="2902" spans="2:7" x14ac:dyDescent="0.25">
      <c r="B2902" s="71">
        <v>43649</v>
      </c>
      <c r="C2902" t="s">
        <v>46</v>
      </c>
      <c r="D2902" t="s">
        <v>86</v>
      </c>
      <c r="E2902" t="s">
        <v>355</v>
      </c>
      <c r="F2902" s="72">
        <v>35</v>
      </c>
      <c r="G2902" s="72">
        <v>0</v>
      </c>
    </row>
    <row r="2903" spans="2:7" x14ac:dyDescent="0.25">
      <c r="B2903" s="71">
        <v>43649</v>
      </c>
      <c r="C2903" t="s">
        <v>51</v>
      </c>
      <c r="D2903" t="s">
        <v>86</v>
      </c>
      <c r="E2903" t="s">
        <v>355</v>
      </c>
      <c r="F2903" s="72">
        <v>22.5</v>
      </c>
      <c r="G2903" s="72">
        <v>0</v>
      </c>
    </row>
    <row r="2904" spans="2:7" x14ac:dyDescent="0.25">
      <c r="B2904" s="71">
        <v>43649</v>
      </c>
      <c r="C2904" t="s">
        <v>66</v>
      </c>
      <c r="D2904" t="s">
        <v>85</v>
      </c>
      <c r="E2904" t="s">
        <v>355</v>
      </c>
      <c r="F2904" s="72">
        <v>49</v>
      </c>
      <c r="G2904" s="72">
        <v>0</v>
      </c>
    </row>
    <row r="2905" spans="2:7" x14ac:dyDescent="0.25">
      <c r="B2905" s="71">
        <v>43649</v>
      </c>
      <c r="C2905" t="s">
        <v>74</v>
      </c>
      <c r="D2905" t="s">
        <v>85</v>
      </c>
      <c r="E2905" t="s">
        <v>355</v>
      </c>
      <c r="F2905" s="72">
        <v>119</v>
      </c>
      <c r="G2905" s="72">
        <v>0</v>
      </c>
    </row>
    <row r="2906" spans="2:7" x14ac:dyDescent="0.25">
      <c r="B2906" s="71">
        <v>43649</v>
      </c>
      <c r="C2906" t="s">
        <v>24</v>
      </c>
      <c r="D2906" t="s">
        <v>80</v>
      </c>
      <c r="E2906" t="s">
        <v>355</v>
      </c>
      <c r="F2906" s="72">
        <v>8</v>
      </c>
      <c r="G2906" s="72">
        <v>0</v>
      </c>
    </row>
    <row r="2907" spans="2:7" x14ac:dyDescent="0.25">
      <c r="B2907" s="71">
        <v>43649</v>
      </c>
      <c r="C2907" t="s">
        <v>24</v>
      </c>
      <c r="D2907" t="s">
        <v>80</v>
      </c>
      <c r="E2907" t="s">
        <v>355</v>
      </c>
      <c r="F2907" s="72">
        <v>32</v>
      </c>
      <c r="G2907" s="72">
        <v>0</v>
      </c>
    </row>
    <row r="2908" spans="2:7" x14ac:dyDescent="0.25">
      <c r="B2908" s="71">
        <v>43649</v>
      </c>
      <c r="C2908" t="s">
        <v>61</v>
      </c>
      <c r="D2908" t="s">
        <v>81</v>
      </c>
      <c r="E2908" t="s">
        <v>355</v>
      </c>
      <c r="F2908" s="72">
        <v>264.39999999999998</v>
      </c>
      <c r="G2908" s="72">
        <v>0</v>
      </c>
    </row>
    <row r="2909" spans="2:7" x14ac:dyDescent="0.25">
      <c r="B2909" s="71">
        <v>43649</v>
      </c>
      <c r="C2909" t="s">
        <v>61</v>
      </c>
      <c r="D2909" t="s">
        <v>88</v>
      </c>
      <c r="E2909" t="s">
        <v>355</v>
      </c>
      <c r="F2909" s="72">
        <v>195.78</v>
      </c>
      <c r="G2909" s="72">
        <v>0</v>
      </c>
    </row>
    <row r="2910" spans="2:7" x14ac:dyDescent="0.25">
      <c r="B2910" s="71">
        <v>43649</v>
      </c>
      <c r="C2910" t="s">
        <v>61</v>
      </c>
      <c r="D2910" t="s">
        <v>85</v>
      </c>
      <c r="E2910" t="s">
        <v>355</v>
      </c>
      <c r="F2910" s="72">
        <v>16.05</v>
      </c>
      <c r="G2910" s="72">
        <v>0</v>
      </c>
    </row>
    <row r="2911" spans="2:7" x14ac:dyDescent="0.25">
      <c r="B2911" s="71">
        <v>43650</v>
      </c>
      <c r="C2911" t="s">
        <v>25</v>
      </c>
      <c r="D2911" t="s">
        <v>82</v>
      </c>
      <c r="E2911" t="s">
        <v>145</v>
      </c>
      <c r="F2911" s="72">
        <v>7.45</v>
      </c>
      <c r="G2911" s="72">
        <v>0</v>
      </c>
    </row>
    <row r="2912" spans="2:7" x14ac:dyDescent="0.25">
      <c r="B2912" s="71">
        <v>43650</v>
      </c>
      <c r="C2912" t="s">
        <v>25</v>
      </c>
      <c r="D2912" t="s">
        <v>82</v>
      </c>
      <c r="E2912" t="s">
        <v>154</v>
      </c>
      <c r="F2912" s="72">
        <v>3.7</v>
      </c>
      <c r="G2912" s="72">
        <v>0</v>
      </c>
    </row>
    <row r="2913" spans="2:7" x14ac:dyDescent="0.25">
      <c r="B2913" s="71">
        <v>43650</v>
      </c>
      <c r="C2913" t="s">
        <v>25</v>
      </c>
      <c r="D2913" t="s">
        <v>82</v>
      </c>
      <c r="E2913" t="s">
        <v>238</v>
      </c>
      <c r="F2913">
        <v>3.7</v>
      </c>
      <c r="G2913" s="72">
        <v>0</v>
      </c>
    </row>
    <row r="2914" spans="2:7" x14ac:dyDescent="0.25">
      <c r="B2914" s="71">
        <v>43650</v>
      </c>
      <c r="C2914" t="s">
        <v>77</v>
      </c>
      <c r="D2914" t="s">
        <v>83</v>
      </c>
      <c r="E2914" t="s">
        <v>356</v>
      </c>
      <c r="F2914" s="72">
        <v>1789.9</v>
      </c>
      <c r="G2914" s="72">
        <v>0</v>
      </c>
    </row>
    <row r="2915" spans="2:7" x14ac:dyDescent="0.25">
      <c r="B2915" s="71">
        <v>43650</v>
      </c>
      <c r="C2915" t="s">
        <v>60</v>
      </c>
      <c r="D2915" t="s">
        <v>83</v>
      </c>
      <c r="E2915" t="s">
        <v>356</v>
      </c>
      <c r="F2915" s="72">
        <v>79</v>
      </c>
      <c r="G2915" s="72">
        <v>0</v>
      </c>
    </row>
    <row r="2916" spans="2:7" x14ac:dyDescent="0.25">
      <c r="B2916" s="71">
        <v>43650</v>
      </c>
      <c r="C2916" t="s">
        <v>21</v>
      </c>
      <c r="D2916" t="s">
        <v>80</v>
      </c>
      <c r="E2916" t="s">
        <v>356</v>
      </c>
      <c r="F2916" s="72">
        <v>8</v>
      </c>
      <c r="G2916" s="72">
        <v>0</v>
      </c>
    </row>
    <row r="2917" spans="2:7" x14ac:dyDescent="0.25">
      <c r="B2917" s="71">
        <v>43650</v>
      </c>
      <c r="C2917" t="s">
        <v>21</v>
      </c>
      <c r="D2917" t="s">
        <v>80</v>
      </c>
      <c r="E2917" t="s">
        <v>356</v>
      </c>
      <c r="F2917" s="72">
        <v>16</v>
      </c>
      <c r="G2917" s="72">
        <v>0</v>
      </c>
    </row>
    <row r="2918" spans="2:7" x14ac:dyDescent="0.25">
      <c r="B2918" s="71">
        <v>43650</v>
      </c>
      <c r="C2918" t="s">
        <v>21</v>
      </c>
      <c r="D2918" t="s">
        <v>80</v>
      </c>
      <c r="E2918" t="s">
        <v>356</v>
      </c>
      <c r="F2918" s="72">
        <v>24</v>
      </c>
      <c r="G2918" s="72">
        <v>0</v>
      </c>
    </row>
    <row r="2919" spans="2:7" x14ac:dyDescent="0.25">
      <c r="B2919" s="71">
        <v>43650</v>
      </c>
      <c r="C2919" t="s">
        <v>75</v>
      </c>
      <c r="D2919" t="s">
        <v>87</v>
      </c>
      <c r="E2919" t="s">
        <v>356</v>
      </c>
      <c r="F2919" s="72">
        <v>0</v>
      </c>
      <c r="G2919" s="72">
        <v>2723.68</v>
      </c>
    </row>
    <row r="2920" spans="2:7" x14ac:dyDescent="0.25">
      <c r="B2920" s="71">
        <v>43650</v>
      </c>
      <c r="C2920" t="s">
        <v>72</v>
      </c>
      <c r="D2920" t="s">
        <v>86</v>
      </c>
      <c r="E2920" t="s">
        <v>356</v>
      </c>
      <c r="F2920" s="72">
        <v>77.95</v>
      </c>
      <c r="G2920" s="72">
        <v>0</v>
      </c>
    </row>
    <row r="2921" spans="2:7" x14ac:dyDescent="0.25">
      <c r="B2921" s="71">
        <v>43650</v>
      </c>
      <c r="C2921" t="s">
        <v>24</v>
      </c>
      <c r="D2921" t="s">
        <v>80</v>
      </c>
      <c r="E2921" t="s">
        <v>356</v>
      </c>
      <c r="F2921" s="72">
        <v>8</v>
      </c>
      <c r="G2921" s="72">
        <v>0</v>
      </c>
    </row>
    <row r="2922" spans="2:7" x14ac:dyDescent="0.25">
      <c r="B2922" s="71">
        <v>43650</v>
      </c>
      <c r="C2922" t="s">
        <v>61</v>
      </c>
      <c r="D2922" t="s">
        <v>86</v>
      </c>
      <c r="E2922" t="s">
        <v>356</v>
      </c>
      <c r="F2922" s="72">
        <v>63.2</v>
      </c>
      <c r="G2922" s="72">
        <v>0</v>
      </c>
    </row>
    <row r="2923" spans="2:7" x14ac:dyDescent="0.25">
      <c r="B2923" s="71">
        <v>43651</v>
      </c>
      <c r="C2923" t="s">
        <v>25</v>
      </c>
      <c r="D2923" t="s">
        <v>80</v>
      </c>
      <c r="E2923" t="s">
        <v>357</v>
      </c>
      <c r="F2923" s="72">
        <v>8</v>
      </c>
      <c r="G2923" s="72">
        <v>0</v>
      </c>
    </row>
    <row r="2924" spans="2:7" x14ac:dyDescent="0.25">
      <c r="B2924" s="71">
        <v>43651</v>
      </c>
      <c r="C2924" t="s">
        <v>25</v>
      </c>
      <c r="D2924" t="s">
        <v>86</v>
      </c>
      <c r="E2924" t="s">
        <v>357</v>
      </c>
      <c r="F2924" s="72">
        <v>30</v>
      </c>
      <c r="G2924" s="72">
        <v>0</v>
      </c>
    </row>
    <row r="2925" spans="2:7" x14ac:dyDescent="0.25">
      <c r="B2925" s="71">
        <v>43651</v>
      </c>
      <c r="C2925" t="s">
        <v>25</v>
      </c>
      <c r="D2925" t="s">
        <v>81</v>
      </c>
      <c r="E2925" t="s">
        <v>357</v>
      </c>
      <c r="F2925" s="72">
        <v>46.2</v>
      </c>
      <c r="G2925" s="72">
        <v>0</v>
      </c>
    </row>
    <row r="2926" spans="2:7" x14ac:dyDescent="0.25">
      <c r="B2926" s="71">
        <v>43651</v>
      </c>
      <c r="C2926" t="s">
        <v>25</v>
      </c>
      <c r="D2926" t="s">
        <v>81</v>
      </c>
      <c r="E2926" t="s">
        <v>357</v>
      </c>
      <c r="F2926" s="72">
        <v>124.33</v>
      </c>
      <c r="G2926" s="72">
        <v>0</v>
      </c>
    </row>
    <row r="2927" spans="2:7" x14ac:dyDescent="0.25">
      <c r="B2927" s="71">
        <v>43651</v>
      </c>
      <c r="C2927" t="s">
        <v>25</v>
      </c>
      <c r="D2927" t="s">
        <v>88</v>
      </c>
      <c r="E2927" t="s">
        <v>357</v>
      </c>
      <c r="F2927" s="72">
        <v>23.62</v>
      </c>
      <c r="G2927" s="72">
        <v>0</v>
      </c>
    </row>
    <row r="2928" spans="2:7" x14ac:dyDescent="0.25">
      <c r="B2928" s="71">
        <v>43651</v>
      </c>
      <c r="C2928" t="s">
        <v>25</v>
      </c>
      <c r="D2928" t="s">
        <v>88</v>
      </c>
      <c r="E2928" t="s">
        <v>357</v>
      </c>
      <c r="F2928" s="72">
        <v>27.76</v>
      </c>
      <c r="G2928" s="72">
        <v>0</v>
      </c>
    </row>
    <row r="2929" spans="2:7" x14ac:dyDescent="0.25">
      <c r="B2929" s="71">
        <v>43651</v>
      </c>
      <c r="C2929" t="s">
        <v>25</v>
      </c>
      <c r="D2929" t="s">
        <v>88</v>
      </c>
      <c r="E2929" t="s">
        <v>357</v>
      </c>
      <c r="F2929" s="72">
        <v>31.71</v>
      </c>
      <c r="G2929" s="72">
        <v>0</v>
      </c>
    </row>
    <row r="2930" spans="2:7" x14ac:dyDescent="0.25">
      <c r="B2930" s="71">
        <v>43651</v>
      </c>
      <c r="C2930" t="s">
        <v>25</v>
      </c>
      <c r="D2930" t="s">
        <v>88</v>
      </c>
      <c r="E2930" t="s">
        <v>357</v>
      </c>
      <c r="F2930" s="72">
        <v>72.489999999999995</v>
      </c>
      <c r="G2930" s="72">
        <v>0</v>
      </c>
    </row>
    <row r="2931" spans="2:7" x14ac:dyDescent="0.25">
      <c r="B2931" s="71">
        <v>43651</v>
      </c>
      <c r="C2931" t="s">
        <v>25</v>
      </c>
      <c r="D2931" t="s">
        <v>88</v>
      </c>
      <c r="E2931" t="s">
        <v>357</v>
      </c>
      <c r="F2931" s="72">
        <v>73.05</v>
      </c>
      <c r="G2931" s="72">
        <v>0</v>
      </c>
    </row>
    <row r="2932" spans="2:7" x14ac:dyDescent="0.25">
      <c r="B2932" s="71">
        <v>43651</v>
      </c>
      <c r="C2932" t="s">
        <v>25</v>
      </c>
      <c r="D2932" t="s">
        <v>88</v>
      </c>
      <c r="E2932" t="s">
        <v>357</v>
      </c>
      <c r="F2932" s="72">
        <v>78.95</v>
      </c>
      <c r="G2932" s="72">
        <v>0</v>
      </c>
    </row>
    <row r="2933" spans="2:7" x14ac:dyDescent="0.25">
      <c r="B2933" s="71">
        <v>43651</v>
      </c>
      <c r="C2933" t="s">
        <v>25</v>
      </c>
      <c r="D2933" t="s">
        <v>88</v>
      </c>
      <c r="E2933" t="s">
        <v>357</v>
      </c>
      <c r="F2933" s="72">
        <v>130.54</v>
      </c>
      <c r="G2933" s="72">
        <v>0</v>
      </c>
    </row>
    <row r="2934" spans="2:7" x14ac:dyDescent="0.25">
      <c r="B2934" s="71">
        <v>43651</v>
      </c>
      <c r="C2934" t="s">
        <v>25</v>
      </c>
      <c r="D2934" t="s">
        <v>82</v>
      </c>
      <c r="E2934" t="s">
        <v>179</v>
      </c>
      <c r="F2934" s="72">
        <v>14.25</v>
      </c>
      <c r="G2934" s="72">
        <v>0</v>
      </c>
    </row>
    <row r="2935" spans="2:7" x14ac:dyDescent="0.25">
      <c r="B2935" s="71">
        <v>43651</v>
      </c>
      <c r="C2935" t="s">
        <v>25</v>
      </c>
      <c r="D2935" t="s">
        <v>82</v>
      </c>
      <c r="E2935" t="s">
        <v>209</v>
      </c>
      <c r="F2935" s="72">
        <v>11.15</v>
      </c>
      <c r="G2935" s="72">
        <v>0</v>
      </c>
    </row>
    <row r="2936" spans="2:7" x14ac:dyDescent="0.25">
      <c r="B2936" s="71">
        <v>43651</v>
      </c>
      <c r="C2936" t="s">
        <v>25</v>
      </c>
      <c r="D2936" t="s">
        <v>82</v>
      </c>
      <c r="E2936" t="s">
        <v>139</v>
      </c>
      <c r="F2936" s="72">
        <v>9.1999999999999993</v>
      </c>
      <c r="G2936" s="72">
        <v>0</v>
      </c>
    </row>
    <row r="2937" spans="2:7" x14ac:dyDescent="0.25">
      <c r="B2937" s="71">
        <v>43651</v>
      </c>
      <c r="C2937" t="s">
        <v>25</v>
      </c>
      <c r="D2937" t="s">
        <v>82</v>
      </c>
      <c r="E2937" t="s">
        <v>241</v>
      </c>
      <c r="F2937" s="72">
        <v>4</v>
      </c>
      <c r="G2937" s="72">
        <v>0</v>
      </c>
    </row>
    <row r="2938" spans="2:7" x14ac:dyDescent="0.25">
      <c r="B2938" s="71">
        <v>43651</v>
      </c>
      <c r="C2938" t="s">
        <v>25</v>
      </c>
      <c r="D2938" t="s">
        <v>85</v>
      </c>
      <c r="E2938" t="s">
        <v>357</v>
      </c>
      <c r="F2938" s="72">
        <v>306</v>
      </c>
      <c r="G2938" s="72">
        <v>0</v>
      </c>
    </row>
    <row r="2939" spans="2:7" x14ac:dyDescent="0.25">
      <c r="B2939" s="71">
        <v>43651</v>
      </c>
      <c r="C2939" t="s">
        <v>60</v>
      </c>
      <c r="D2939" t="s">
        <v>85</v>
      </c>
      <c r="E2939" t="s">
        <v>357</v>
      </c>
      <c r="F2939" s="72">
        <v>522.36</v>
      </c>
      <c r="G2939" s="72">
        <v>0</v>
      </c>
    </row>
    <row r="2940" spans="2:7" x14ac:dyDescent="0.25">
      <c r="B2940" s="71">
        <v>43651</v>
      </c>
      <c r="C2940" t="s">
        <v>52</v>
      </c>
      <c r="D2940" t="s">
        <v>85</v>
      </c>
      <c r="E2940" t="s">
        <v>357</v>
      </c>
      <c r="F2940" s="72">
        <v>70.3</v>
      </c>
      <c r="G2940" s="72">
        <v>0</v>
      </c>
    </row>
    <row r="2941" spans="2:7" x14ac:dyDescent="0.25">
      <c r="B2941" s="71">
        <v>43651</v>
      </c>
      <c r="C2941" t="s">
        <v>58</v>
      </c>
      <c r="D2941" t="s">
        <v>81</v>
      </c>
      <c r="E2941" t="s">
        <v>357</v>
      </c>
      <c r="F2941" s="72">
        <v>46.25</v>
      </c>
      <c r="G2941" s="72">
        <v>0</v>
      </c>
    </row>
    <row r="2942" spans="2:7" x14ac:dyDescent="0.25">
      <c r="B2942" s="71">
        <v>43651</v>
      </c>
      <c r="C2942" t="s">
        <v>21</v>
      </c>
      <c r="D2942" t="s">
        <v>80</v>
      </c>
      <c r="E2942" t="s">
        <v>357</v>
      </c>
      <c r="F2942" s="72">
        <v>8</v>
      </c>
      <c r="G2942" s="72">
        <v>0</v>
      </c>
    </row>
    <row r="2943" spans="2:7" x14ac:dyDescent="0.25">
      <c r="B2943" s="71">
        <v>43651</v>
      </c>
      <c r="C2943" t="s">
        <v>21</v>
      </c>
      <c r="D2943" t="s">
        <v>80</v>
      </c>
      <c r="E2943" t="s">
        <v>357</v>
      </c>
      <c r="F2943" s="72">
        <v>16</v>
      </c>
      <c r="G2943" s="72">
        <v>0</v>
      </c>
    </row>
    <row r="2944" spans="2:7" x14ac:dyDescent="0.25">
      <c r="B2944" s="71">
        <v>43651</v>
      </c>
      <c r="C2944" t="s">
        <v>21</v>
      </c>
      <c r="D2944" t="s">
        <v>80</v>
      </c>
      <c r="E2944" t="s">
        <v>357</v>
      </c>
      <c r="F2944" s="72">
        <v>24</v>
      </c>
      <c r="G2944" s="72">
        <v>0</v>
      </c>
    </row>
    <row r="2945" spans="2:7" x14ac:dyDescent="0.25">
      <c r="B2945" s="71">
        <v>43651</v>
      </c>
      <c r="C2945" t="s">
        <v>21</v>
      </c>
      <c r="D2945" t="s">
        <v>80</v>
      </c>
      <c r="E2945" t="s">
        <v>357</v>
      </c>
      <c r="F2945" s="72">
        <v>32</v>
      </c>
      <c r="G2945" s="72">
        <v>0</v>
      </c>
    </row>
    <row r="2946" spans="2:7" x14ac:dyDescent="0.25">
      <c r="B2946" s="71">
        <v>43651</v>
      </c>
      <c r="C2946" t="s">
        <v>21</v>
      </c>
      <c r="D2946" t="s">
        <v>80</v>
      </c>
      <c r="E2946" t="s">
        <v>357</v>
      </c>
      <c r="F2946" s="72">
        <v>40</v>
      </c>
      <c r="G2946" s="72">
        <v>0</v>
      </c>
    </row>
    <row r="2947" spans="2:7" x14ac:dyDescent="0.25">
      <c r="B2947" s="71">
        <v>43651</v>
      </c>
      <c r="C2947" t="s">
        <v>49</v>
      </c>
      <c r="D2947" t="s">
        <v>81</v>
      </c>
      <c r="E2947" t="s">
        <v>357</v>
      </c>
      <c r="F2947" s="72">
        <v>16.75</v>
      </c>
      <c r="G2947" s="72">
        <v>0</v>
      </c>
    </row>
    <row r="2948" spans="2:7" x14ac:dyDescent="0.25">
      <c r="B2948" s="71">
        <v>43651</v>
      </c>
      <c r="C2948" t="s">
        <v>49</v>
      </c>
      <c r="D2948" t="s">
        <v>88</v>
      </c>
      <c r="E2948" t="s">
        <v>357</v>
      </c>
      <c r="F2948" s="72">
        <v>11.26</v>
      </c>
      <c r="G2948" s="72">
        <v>0</v>
      </c>
    </row>
    <row r="2949" spans="2:7" x14ac:dyDescent="0.25">
      <c r="B2949" s="71">
        <v>43651</v>
      </c>
      <c r="C2949" t="s">
        <v>56</v>
      </c>
      <c r="D2949" t="s">
        <v>84</v>
      </c>
      <c r="E2949" t="s">
        <v>357</v>
      </c>
      <c r="F2949" s="72">
        <v>132.72</v>
      </c>
      <c r="G2949" s="72">
        <v>0</v>
      </c>
    </row>
    <row r="2950" spans="2:7" x14ac:dyDescent="0.25">
      <c r="B2950" s="71">
        <v>43651</v>
      </c>
      <c r="C2950" t="s">
        <v>56</v>
      </c>
      <c r="D2950" t="s">
        <v>87</v>
      </c>
      <c r="E2950" t="s">
        <v>357</v>
      </c>
      <c r="F2950" s="72">
        <v>1872.76</v>
      </c>
      <c r="G2950" s="72">
        <v>0</v>
      </c>
    </row>
    <row r="2951" spans="2:7" x14ac:dyDescent="0.25">
      <c r="B2951" s="71">
        <v>43651</v>
      </c>
      <c r="C2951" t="s">
        <v>51</v>
      </c>
      <c r="D2951" t="s">
        <v>85</v>
      </c>
      <c r="E2951" t="s">
        <v>357</v>
      </c>
      <c r="F2951" s="72">
        <v>8.52</v>
      </c>
      <c r="G2951" s="72">
        <v>0</v>
      </c>
    </row>
    <row r="2952" spans="2:7" x14ac:dyDescent="0.25">
      <c r="B2952" s="71">
        <v>43651</v>
      </c>
      <c r="C2952" t="s">
        <v>59</v>
      </c>
      <c r="D2952" t="s">
        <v>85</v>
      </c>
      <c r="E2952" t="s">
        <v>357</v>
      </c>
      <c r="F2952" s="72">
        <v>10</v>
      </c>
      <c r="G2952" s="72">
        <v>0</v>
      </c>
    </row>
    <row r="2953" spans="2:7" x14ac:dyDescent="0.25">
      <c r="B2953" s="71">
        <v>43651</v>
      </c>
      <c r="C2953" t="s">
        <v>54</v>
      </c>
      <c r="D2953" t="s">
        <v>86</v>
      </c>
      <c r="E2953" t="s">
        <v>357</v>
      </c>
      <c r="F2953" s="72">
        <v>455.09</v>
      </c>
      <c r="G2953" s="72">
        <v>0</v>
      </c>
    </row>
    <row r="2954" spans="2:7" x14ac:dyDescent="0.25">
      <c r="B2954" s="71">
        <v>43651</v>
      </c>
      <c r="C2954" t="s">
        <v>78</v>
      </c>
      <c r="D2954" t="s">
        <v>88</v>
      </c>
      <c r="E2954" t="s">
        <v>357</v>
      </c>
      <c r="F2954" s="72">
        <v>2550</v>
      </c>
      <c r="G2954" s="72">
        <v>0</v>
      </c>
    </row>
    <row r="2955" spans="2:7" x14ac:dyDescent="0.25">
      <c r="B2955" s="71">
        <v>43651</v>
      </c>
      <c r="C2955" t="s">
        <v>68</v>
      </c>
      <c r="D2955" t="s">
        <v>88</v>
      </c>
      <c r="E2955" t="s">
        <v>357</v>
      </c>
      <c r="F2955" s="72">
        <v>0</v>
      </c>
      <c r="G2955" s="72">
        <v>2550</v>
      </c>
    </row>
    <row r="2956" spans="2:7" x14ac:dyDescent="0.25">
      <c r="B2956" s="71">
        <v>43651</v>
      </c>
      <c r="C2956" t="s">
        <v>24</v>
      </c>
      <c r="D2956" t="s">
        <v>85</v>
      </c>
      <c r="E2956" t="s">
        <v>357</v>
      </c>
      <c r="F2956" s="72">
        <v>149.5</v>
      </c>
      <c r="G2956" s="72">
        <v>0</v>
      </c>
    </row>
    <row r="2957" spans="2:7" x14ac:dyDescent="0.25">
      <c r="B2957" s="71">
        <v>43651</v>
      </c>
      <c r="C2957" t="s">
        <v>61</v>
      </c>
      <c r="D2957" t="s">
        <v>81</v>
      </c>
      <c r="E2957" t="s">
        <v>357</v>
      </c>
      <c r="F2957" s="72">
        <v>104.05</v>
      </c>
      <c r="G2957" s="72">
        <v>0</v>
      </c>
    </row>
    <row r="2958" spans="2:7" x14ac:dyDescent="0.25">
      <c r="B2958" s="71">
        <v>43651</v>
      </c>
      <c r="C2958" t="s">
        <v>62</v>
      </c>
      <c r="D2958" t="s">
        <v>81</v>
      </c>
      <c r="E2958" t="s">
        <v>357</v>
      </c>
      <c r="F2958" s="72">
        <v>22.86</v>
      </c>
      <c r="G2958" s="72">
        <v>0</v>
      </c>
    </row>
    <row r="2959" spans="2:7" x14ac:dyDescent="0.25">
      <c r="B2959" s="71">
        <v>43651</v>
      </c>
      <c r="C2959" t="s">
        <v>62</v>
      </c>
      <c r="D2959" t="s">
        <v>88</v>
      </c>
      <c r="E2959" t="s">
        <v>357</v>
      </c>
      <c r="F2959" s="72">
        <v>256.23</v>
      </c>
      <c r="G2959" s="72">
        <v>0</v>
      </c>
    </row>
    <row r="2960" spans="2:7" x14ac:dyDescent="0.25">
      <c r="B2960" s="71">
        <v>43654</v>
      </c>
      <c r="C2960" t="s">
        <v>25</v>
      </c>
      <c r="D2960" t="s">
        <v>80</v>
      </c>
      <c r="E2960" t="s">
        <v>358</v>
      </c>
      <c r="F2960" s="72">
        <v>8</v>
      </c>
      <c r="G2960" s="72">
        <v>0</v>
      </c>
    </row>
    <row r="2961" spans="2:7" x14ac:dyDescent="0.25">
      <c r="B2961" s="71">
        <v>43654</v>
      </c>
      <c r="C2961" t="s">
        <v>25</v>
      </c>
      <c r="D2961" t="s">
        <v>88</v>
      </c>
      <c r="E2961" t="s">
        <v>358</v>
      </c>
      <c r="F2961" s="72">
        <v>35</v>
      </c>
      <c r="G2961" s="72">
        <v>0</v>
      </c>
    </row>
    <row r="2962" spans="2:7" x14ac:dyDescent="0.25">
      <c r="B2962" s="71">
        <v>43654</v>
      </c>
      <c r="C2962" t="s">
        <v>25</v>
      </c>
      <c r="D2962" t="s">
        <v>88</v>
      </c>
      <c r="E2962" t="s">
        <v>358</v>
      </c>
      <c r="F2962" s="72">
        <v>35.75</v>
      </c>
      <c r="G2962" s="72">
        <v>0</v>
      </c>
    </row>
    <row r="2963" spans="2:7" x14ac:dyDescent="0.25">
      <c r="B2963" s="71">
        <v>43654</v>
      </c>
      <c r="C2963" t="s">
        <v>25</v>
      </c>
      <c r="D2963" t="s">
        <v>88</v>
      </c>
      <c r="E2963" t="s">
        <v>358</v>
      </c>
      <c r="F2963" s="72">
        <v>82.21</v>
      </c>
      <c r="G2963" s="72">
        <v>0</v>
      </c>
    </row>
    <row r="2964" spans="2:7" x14ac:dyDescent="0.25">
      <c r="B2964" s="71">
        <v>43654</v>
      </c>
      <c r="C2964" t="s">
        <v>25</v>
      </c>
      <c r="D2964" t="s">
        <v>82</v>
      </c>
      <c r="E2964" t="s">
        <v>138</v>
      </c>
      <c r="F2964" s="72">
        <v>9</v>
      </c>
      <c r="G2964" s="72">
        <v>0</v>
      </c>
    </row>
    <row r="2965" spans="2:7" x14ac:dyDescent="0.25">
      <c r="B2965" s="71">
        <v>43654</v>
      </c>
      <c r="C2965" t="s">
        <v>25</v>
      </c>
      <c r="D2965" t="s">
        <v>82</v>
      </c>
      <c r="E2965" t="s">
        <v>173</v>
      </c>
      <c r="F2965" s="72">
        <v>3.7</v>
      </c>
      <c r="G2965" s="72">
        <v>0</v>
      </c>
    </row>
    <row r="2966" spans="2:7" x14ac:dyDescent="0.25">
      <c r="B2966" s="71">
        <v>43654</v>
      </c>
      <c r="C2966" t="s">
        <v>47</v>
      </c>
      <c r="D2966" t="s">
        <v>85</v>
      </c>
      <c r="E2966" t="s">
        <v>358</v>
      </c>
      <c r="F2966" s="72">
        <v>10</v>
      </c>
      <c r="G2966" s="72">
        <v>0</v>
      </c>
    </row>
    <row r="2967" spans="2:7" x14ac:dyDescent="0.25">
      <c r="B2967" s="71">
        <v>43654</v>
      </c>
      <c r="C2967" t="s">
        <v>60</v>
      </c>
      <c r="D2967" t="s">
        <v>87</v>
      </c>
      <c r="E2967" t="s">
        <v>358</v>
      </c>
      <c r="F2967" s="72">
        <v>190.52</v>
      </c>
      <c r="G2967" s="72">
        <v>0</v>
      </c>
    </row>
    <row r="2968" spans="2:7" x14ac:dyDescent="0.25">
      <c r="B2968" s="71">
        <v>43654</v>
      </c>
      <c r="C2968" t="s">
        <v>60</v>
      </c>
      <c r="D2968" t="s">
        <v>85</v>
      </c>
      <c r="E2968" t="s">
        <v>358</v>
      </c>
      <c r="F2968" s="72">
        <v>25</v>
      </c>
      <c r="G2968" s="72">
        <v>0</v>
      </c>
    </row>
    <row r="2969" spans="2:7" x14ac:dyDescent="0.25">
      <c r="B2969" s="71">
        <v>43654</v>
      </c>
      <c r="C2969" t="s">
        <v>57</v>
      </c>
      <c r="D2969" t="s">
        <v>85</v>
      </c>
      <c r="E2969" t="s">
        <v>358</v>
      </c>
      <c r="F2969" s="72">
        <v>72.989999999999995</v>
      </c>
      <c r="G2969" s="72">
        <v>0</v>
      </c>
    </row>
    <row r="2970" spans="2:7" x14ac:dyDescent="0.25">
      <c r="B2970" s="71">
        <v>43654</v>
      </c>
      <c r="C2970" t="s">
        <v>21</v>
      </c>
      <c r="D2970" t="s">
        <v>80</v>
      </c>
      <c r="E2970" t="s">
        <v>358</v>
      </c>
      <c r="F2970" s="72">
        <v>8</v>
      </c>
      <c r="G2970" s="72">
        <v>0</v>
      </c>
    </row>
    <row r="2971" spans="2:7" x14ac:dyDescent="0.25">
      <c r="B2971" s="71">
        <v>43654</v>
      </c>
      <c r="C2971" t="s">
        <v>21</v>
      </c>
      <c r="D2971" t="s">
        <v>80</v>
      </c>
      <c r="E2971" t="s">
        <v>358</v>
      </c>
      <c r="F2971" s="72">
        <v>24</v>
      </c>
      <c r="G2971" s="72">
        <v>0</v>
      </c>
    </row>
    <row r="2972" spans="2:7" x14ac:dyDescent="0.25">
      <c r="B2972" s="71">
        <v>43654</v>
      </c>
      <c r="C2972" t="s">
        <v>21</v>
      </c>
      <c r="D2972" t="s">
        <v>80</v>
      </c>
      <c r="E2972" t="s">
        <v>358</v>
      </c>
      <c r="F2972" s="72">
        <v>32</v>
      </c>
      <c r="G2972" s="72">
        <v>0</v>
      </c>
    </row>
    <row r="2973" spans="2:7" x14ac:dyDescent="0.25">
      <c r="B2973" s="71">
        <v>43654</v>
      </c>
      <c r="C2973" t="s">
        <v>21</v>
      </c>
      <c r="D2973" t="s">
        <v>80</v>
      </c>
      <c r="E2973" t="s">
        <v>358</v>
      </c>
      <c r="F2973" s="72">
        <v>40</v>
      </c>
      <c r="G2973" s="72">
        <v>0</v>
      </c>
    </row>
    <row r="2974" spans="2:7" x14ac:dyDescent="0.25">
      <c r="B2974" s="71">
        <v>43654</v>
      </c>
      <c r="C2974" t="s">
        <v>49</v>
      </c>
      <c r="D2974" t="s">
        <v>85</v>
      </c>
      <c r="E2974" t="s">
        <v>358</v>
      </c>
      <c r="F2974" s="72">
        <v>180</v>
      </c>
      <c r="G2974" s="72">
        <v>0</v>
      </c>
    </row>
    <row r="2975" spans="2:7" x14ac:dyDescent="0.25">
      <c r="B2975" s="71">
        <v>43654</v>
      </c>
      <c r="C2975" t="s">
        <v>50</v>
      </c>
      <c r="D2975" t="s">
        <v>85</v>
      </c>
      <c r="E2975" t="s">
        <v>358</v>
      </c>
      <c r="F2975" s="72">
        <v>150</v>
      </c>
      <c r="G2975" s="72">
        <v>0</v>
      </c>
    </row>
    <row r="2976" spans="2:7" x14ac:dyDescent="0.25">
      <c r="B2976" s="71">
        <v>43654</v>
      </c>
      <c r="C2976" t="s">
        <v>51</v>
      </c>
      <c r="D2976" t="s">
        <v>84</v>
      </c>
      <c r="E2976" t="s">
        <v>358</v>
      </c>
      <c r="F2976" s="72">
        <v>25</v>
      </c>
      <c r="G2976" s="72">
        <v>0</v>
      </c>
    </row>
    <row r="2977" spans="2:7" x14ac:dyDescent="0.25">
      <c r="B2977" s="71">
        <v>43654</v>
      </c>
      <c r="C2977" t="s">
        <v>51</v>
      </c>
      <c r="D2977" t="s">
        <v>88</v>
      </c>
      <c r="E2977" t="s">
        <v>358</v>
      </c>
      <c r="F2977" s="72">
        <v>318.62</v>
      </c>
      <c r="G2977" s="72">
        <v>0</v>
      </c>
    </row>
    <row r="2978" spans="2:7" x14ac:dyDescent="0.25">
      <c r="B2978" s="71">
        <v>43654</v>
      </c>
      <c r="C2978" t="s">
        <v>51</v>
      </c>
      <c r="D2978" t="s">
        <v>85</v>
      </c>
      <c r="E2978" t="s">
        <v>358</v>
      </c>
      <c r="F2978" s="72">
        <v>2017</v>
      </c>
      <c r="G2978" s="72">
        <v>0</v>
      </c>
    </row>
    <row r="2979" spans="2:7" x14ac:dyDescent="0.25">
      <c r="B2979" s="71">
        <v>43654</v>
      </c>
      <c r="C2979" t="s">
        <v>59</v>
      </c>
      <c r="D2979" t="s">
        <v>85</v>
      </c>
      <c r="E2979" t="s">
        <v>358</v>
      </c>
      <c r="F2979" s="72">
        <v>20</v>
      </c>
      <c r="G2979" s="72">
        <v>0</v>
      </c>
    </row>
    <row r="2980" spans="2:7" x14ac:dyDescent="0.25">
      <c r="B2980" s="71">
        <v>43654</v>
      </c>
      <c r="C2980" t="s">
        <v>66</v>
      </c>
      <c r="D2980" t="s">
        <v>88</v>
      </c>
      <c r="E2980" t="s">
        <v>358</v>
      </c>
      <c r="F2980" s="72">
        <v>96</v>
      </c>
      <c r="G2980" s="72">
        <v>0</v>
      </c>
    </row>
    <row r="2981" spans="2:7" x14ac:dyDescent="0.25">
      <c r="B2981" s="71">
        <v>43654</v>
      </c>
      <c r="C2981" t="s">
        <v>66</v>
      </c>
      <c r="D2981" t="s">
        <v>85</v>
      </c>
      <c r="E2981" t="s">
        <v>358</v>
      </c>
      <c r="F2981" s="72">
        <v>64.33</v>
      </c>
      <c r="G2981" s="72">
        <v>0</v>
      </c>
    </row>
    <row r="2982" spans="2:7" x14ac:dyDescent="0.25">
      <c r="B2982" s="71">
        <v>43654</v>
      </c>
      <c r="C2982" t="s">
        <v>24</v>
      </c>
      <c r="D2982" t="s">
        <v>80</v>
      </c>
      <c r="E2982" t="s">
        <v>358</v>
      </c>
      <c r="F2982" s="72">
        <v>8</v>
      </c>
      <c r="G2982" s="72">
        <v>0</v>
      </c>
    </row>
    <row r="2983" spans="2:7" x14ac:dyDescent="0.25">
      <c r="B2983" s="71">
        <v>43654</v>
      </c>
      <c r="C2983" t="s">
        <v>24</v>
      </c>
      <c r="D2983" t="s">
        <v>80</v>
      </c>
      <c r="E2983" t="s">
        <v>358</v>
      </c>
      <c r="F2983" s="72">
        <v>24</v>
      </c>
      <c r="G2983" s="72">
        <v>0</v>
      </c>
    </row>
    <row r="2984" spans="2:7" x14ac:dyDescent="0.25">
      <c r="B2984" s="71">
        <v>43654</v>
      </c>
      <c r="C2984" t="s">
        <v>24</v>
      </c>
      <c r="D2984" t="s">
        <v>80</v>
      </c>
      <c r="E2984" t="s">
        <v>358</v>
      </c>
      <c r="F2984" s="72">
        <v>32</v>
      </c>
      <c r="G2984" s="72">
        <v>0</v>
      </c>
    </row>
    <row r="2985" spans="2:7" x14ac:dyDescent="0.25">
      <c r="B2985" s="71">
        <v>43655</v>
      </c>
      <c r="C2985" t="s">
        <v>25</v>
      </c>
      <c r="D2985" t="s">
        <v>81</v>
      </c>
      <c r="E2985" t="s">
        <v>359</v>
      </c>
      <c r="F2985" s="72">
        <v>0</v>
      </c>
      <c r="G2985" s="72">
        <v>297.8</v>
      </c>
    </row>
    <row r="2986" spans="2:7" x14ac:dyDescent="0.25">
      <c r="B2986" s="71">
        <v>43655</v>
      </c>
      <c r="C2986" t="s">
        <v>25</v>
      </c>
      <c r="D2986" t="s">
        <v>81</v>
      </c>
      <c r="E2986" t="s">
        <v>359</v>
      </c>
      <c r="F2986" s="72">
        <v>0</v>
      </c>
      <c r="G2986" s="72">
        <v>61.6</v>
      </c>
    </row>
    <row r="2987" spans="2:7" x14ac:dyDescent="0.25">
      <c r="B2987" s="71">
        <v>43655</v>
      </c>
      <c r="C2987" t="s">
        <v>25</v>
      </c>
      <c r="D2987" t="s">
        <v>88</v>
      </c>
      <c r="E2987" t="s">
        <v>359</v>
      </c>
      <c r="F2987" s="72">
        <v>61.6</v>
      </c>
      <c r="G2987" s="72">
        <v>0</v>
      </c>
    </row>
    <row r="2988" spans="2:7" x14ac:dyDescent="0.25">
      <c r="B2988" s="71">
        <v>43655</v>
      </c>
      <c r="C2988" t="s">
        <v>25</v>
      </c>
      <c r="D2988" t="s">
        <v>88</v>
      </c>
      <c r="E2988" t="s">
        <v>359</v>
      </c>
      <c r="F2988" s="72">
        <v>297.8</v>
      </c>
      <c r="G2988" s="72">
        <v>0</v>
      </c>
    </row>
    <row r="2989" spans="2:7" x14ac:dyDescent="0.25">
      <c r="B2989" s="71">
        <v>43655</v>
      </c>
      <c r="C2989" t="s">
        <v>25</v>
      </c>
      <c r="D2989" t="s">
        <v>87</v>
      </c>
      <c r="E2989" t="s">
        <v>359</v>
      </c>
      <c r="F2989" s="72">
        <v>0</v>
      </c>
      <c r="G2989" s="72">
        <v>36</v>
      </c>
    </row>
    <row r="2990" spans="2:7" x14ac:dyDescent="0.25">
      <c r="B2990" s="71">
        <v>43655</v>
      </c>
      <c r="C2990" t="s">
        <v>25</v>
      </c>
      <c r="D2990" t="s">
        <v>82</v>
      </c>
      <c r="E2990" t="s">
        <v>180</v>
      </c>
      <c r="F2990" s="72">
        <v>2.4</v>
      </c>
      <c r="G2990" s="72">
        <v>0</v>
      </c>
    </row>
    <row r="2991" spans="2:7" x14ac:dyDescent="0.25">
      <c r="B2991" s="71">
        <v>43655</v>
      </c>
      <c r="C2991" t="s">
        <v>52</v>
      </c>
      <c r="D2991" t="s">
        <v>85</v>
      </c>
      <c r="E2991" t="s">
        <v>359</v>
      </c>
      <c r="F2991" s="72">
        <v>66.569999999999993</v>
      </c>
      <c r="G2991" s="72">
        <v>0</v>
      </c>
    </row>
    <row r="2992" spans="2:7" x14ac:dyDescent="0.25">
      <c r="B2992" s="71">
        <v>43655</v>
      </c>
      <c r="C2992" t="s">
        <v>58</v>
      </c>
      <c r="D2992" t="s">
        <v>80</v>
      </c>
      <c r="E2992" t="s">
        <v>359</v>
      </c>
      <c r="F2992" s="72">
        <v>7.44</v>
      </c>
      <c r="G2992" s="72">
        <v>0</v>
      </c>
    </row>
    <row r="2993" spans="2:7" x14ac:dyDescent="0.25">
      <c r="B2993" s="71">
        <v>43655</v>
      </c>
      <c r="C2993" t="s">
        <v>45</v>
      </c>
      <c r="D2993" t="s">
        <v>84</v>
      </c>
      <c r="E2993" t="s">
        <v>359</v>
      </c>
      <c r="F2993" s="72">
        <v>21.98</v>
      </c>
      <c r="G2993" s="72">
        <v>0</v>
      </c>
    </row>
    <row r="2994" spans="2:7" x14ac:dyDescent="0.25">
      <c r="B2994" s="71">
        <v>43655</v>
      </c>
      <c r="C2994" t="s">
        <v>45</v>
      </c>
      <c r="D2994" t="s">
        <v>81</v>
      </c>
      <c r="E2994" t="s">
        <v>359</v>
      </c>
      <c r="F2994" s="72">
        <v>0</v>
      </c>
      <c r="G2994" s="72">
        <v>21.98</v>
      </c>
    </row>
    <row r="2995" spans="2:7" x14ac:dyDescent="0.25">
      <c r="B2995" s="71">
        <v>43655</v>
      </c>
      <c r="C2995" t="s">
        <v>21</v>
      </c>
      <c r="D2995" t="s">
        <v>80</v>
      </c>
      <c r="E2995" t="s">
        <v>359</v>
      </c>
      <c r="F2995" s="72">
        <v>8</v>
      </c>
      <c r="G2995" s="72">
        <v>0</v>
      </c>
    </row>
    <row r="2996" spans="2:7" x14ac:dyDescent="0.25">
      <c r="B2996" s="71">
        <v>43655</v>
      </c>
      <c r="C2996" t="s">
        <v>21</v>
      </c>
      <c r="D2996" t="s">
        <v>80</v>
      </c>
      <c r="E2996" t="s">
        <v>359</v>
      </c>
      <c r="F2996" s="72">
        <v>16</v>
      </c>
      <c r="G2996" s="72">
        <v>0</v>
      </c>
    </row>
    <row r="2997" spans="2:7" x14ac:dyDescent="0.25">
      <c r="B2997" s="71">
        <v>43655</v>
      </c>
      <c r="C2997" t="s">
        <v>21</v>
      </c>
      <c r="D2997" t="s">
        <v>85</v>
      </c>
      <c r="E2997" t="s">
        <v>359</v>
      </c>
      <c r="F2997" s="72">
        <v>139.19999999999999</v>
      </c>
      <c r="G2997" s="72">
        <v>0</v>
      </c>
    </row>
    <row r="2998" spans="2:7" x14ac:dyDescent="0.25">
      <c r="B2998" s="71">
        <v>43655</v>
      </c>
      <c r="C2998" t="s">
        <v>67</v>
      </c>
      <c r="D2998" t="s">
        <v>81</v>
      </c>
      <c r="E2998" t="s">
        <v>359</v>
      </c>
      <c r="F2998" s="72">
        <v>0</v>
      </c>
      <c r="G2998" s="72">
        <v>119.9</v>
      </c>
    </row>
    <row r="2999" spans="2:7" x14ac:dyDescent="0.25">
      <c r="B2999" s="71">
        <v>43655</v>
      </c>
      <c r="C2999" t="s">
        <v>67</v>
      </c>
      <c r="D2999" t="s">
        <v>88</v>
      </c>
      <c r="E2999" t="s">
        <v>359</v>
      </c>
      <c r="F2999" s="72">
        <v>119.9</v>
      </c>
      <c r="G2999" s="72">
        <v>0</v>
      </c>
    </row>
    <row r="3000" spans="2:7" x14ac:dyDescent="0.25">
      <c r="B3000" s="71">
        <v>43655</v>
      </c>
      <c r="C3000" t="s">
        <v>49</v>
      </c>
      <c r="D3000" t="s">
        <v>86</v>
      </c>
      <c r="E3000" t="s">
        <v>359</v>
      </c>
      <c r="F3000" s="72">
        <v>29.95</v>
      </c>
      <c r="G3000" s="72">
        <v>0</v>
      </c>
    </row>
    <row r="3001" spans="2:7" x14ac:dyDescent="0.25">
      <c r="B3001" s="71">
        <v>43655</v>
      </c>
      <c r="C3001" t="s">
        <v>49</v>
      </c>
      <c r="D3001" t="s">
        <v>83</v>
      </c>
      <c r="E3001" t="s">
        <v>359</v>
      </c>
      <c r="F3001" s="72">
        <v>1170</v>
      </c>
      <c r="G3001" s="72">
        <v>0</v>
      </c>
    </row>
    <row r="3002" spans="2:7" x14ac:dyDescent="0.25">
      <c r="B3002" s="71">
        <v>43655</v>
      </c>
      <c r="C3002" t="s">
        <v>49</v>
      </c>
      <c r="D3002" t="s">
        <v>85</v>
      </c>
      <c r="E3002" t="s">
        <v>359</v>
      </c>
      <c r="F3002" s="72">
        <v>104</v>
      </c>
      <c r="G3002" s="72">
        <v>0</v>
      </c>
    </row>
    <row r="3003" spans="2:7" x14ac:dyDescent="0.25">
      <c r="B3003" s="71">
        <v>43656</v>
      </c>
      <c r="C3003" t="s">
        <v>25</v>
      </c>
      <c r="D3003" t="s">
        <v>82</v>
      </c>
      <c r="E3003" t="s">
        <v>132</v>
      </c>
      <c r="F3003" s="72">
        <v>2.4</v>
      </c>
      <c r="G3003" s="72">
        <v>0</v>
      </c>
    </row>
    <row r="3004" spans="2:7" x14ac:dyDescent="0.25">
      <c r="B3004" s="71">
        <v>43656</v>
      </c>
      <c r="C3004" t="s">
        <v>25</v>
      </c>
      <c r="D3004" t="s">
        <v>116</v>
      </c>
      <c r="E3004" t="s">
        <v>360</v>
      </c>
      <c r="F3004" s="72">
        <v>42.15</v>
      </c>
      <c r="G3004" s="72">
        <v>0</v>
      </c>
    </row>
    <row r="3005" spans="2:7" x14ac:dyDescent="0.25">
      <c r="B3005" s="71">
        <v>43656</v>
      </c>
      <c r="C3005" t="s">
        <v>25</v>
      </c>
      <c r="D3005" t="s">
        <v>116</v>
      </c>
      <c r="E3005" t="s">
        <v>360</v>
      </c>
      <c r="F3005" s="72">
        <v>57.16</v>
      </c>
      <c r="G3005" s="72">
        <v>0</v>
      </c>
    </row>
    <row r="3006" spans="2:7" x14ac:dyDescent="0.25">
      <c r="B3006" s="71">
        <v>43656</v>
      </c>
      <c r="C3006" t="s">
        <v>25</v>
      </c>
      <c r="D3006" t="s">
        <v>116</v>
      </c>
      <c r="E3006" t="s">
        <v>360</v>
      </c>
      <c r="F3006" s="72">
        <v>60.19</v>
      </c>
      <c r="G3006" s="72">
        <v>0</v>
      </c>
    </row>
    <row r="3007" spans="2:7" x14ac:dyDescent="0.25">
      <c r="B3007" s="71">
        <v>43656</v>
      </c>
      <c r="C3007" t="s">
        <v>25</v>
      </c>
      <c r="D3007" t="s">
        <v>116</v>
      </c>
      <c r="E3007" t="s">
        <v>360</v>
      </c>
      <c r="F3007" s="72">
        <v>138.13</v>
      </c>
      <c r="G3007" s="72">
        <v>0</v>
      </c>
    </row>
    <row r="3008" spans="2:7" x14ac:dyDescent="0.25">
      <c r="B3008" s="71">
        <v>43656</v>
      </c>
      <c r="C3008" t="s">
        <v>55</v>
      </c>
      <c r="D3008" t="s">
        <v>116</v>
      </c>
      <c r="E3008" t="s">
        <v>360</v>
      </c>
      <c r="F3008" s="72">
        <v>804.21</v>
      </c>
      <c r="G3008" s="72">
        <v>0</v>
      </c>
    </row>
    <row r="3009" spans="2:7" x14ac:dyDescent="0.25">
      <c r="B3009" s="71">
        <v>43656</v>
      </c>
      <c r="C3009" t="s">
        <v>47</v>
      </c>
      <c r="D3009" t="s">
        <v>116</v>
      </c>
      <c r="E3009" t="s">
        <v>360</v>
      </c>
      <c r="F3009" s="72">
        <v>30.39</v>
      </c>
      <c r="G3009" s="72">
        <v>0</v>
      </c>
    </row>
    <row r="3010" spans="2:7" x14ac:dyDescent="0.25">
      <c r="B3010" s="71">
        <v>43656</v>
      </c>
      <c r="C3010" t="s">
        <v>47</v>
      </c>
      <c r="D3010" t="s">
        <v>85</v>
      </c>
      <c r="E3010" t="s">
        <v>361</v>
      </c>
      <c r="F3010" s="72">
        <v>12</v>
      </c>
      <c r="G3010" s="72">
        <v>0</v>
      </c>
    </row>
    <row r="3011" spans="2:7" x14ac:dyDescent="0.25">
      <c r="B3011" s="71">
        <v>43656</v>
      </c>
      <c r="C3011" t="s">
        <v>60</v>
      </c>
      <c r="D3011" t="s">
        <v>85</v>
      </c>
      <c r="E3011" t="s">
        <v>361</v>
      </c>
      <c r="F3011" s="72">
        <v>869.85</v>
      </c>
      <c r="G3011" s="72">
        <v>0</v>
      </c>
    </row>
    <row r="3012" spans="2:7" x14ac:dyDescent="0.25">
      <c r="B3012" s="71">
        <v>43656</v>
      </c>
      <c r="C3012" t="s">
        <v>21</v>
      </c>
      <c r="D3012" t="s">
        <v>80</v>
      </c>
      <c r="E3012" t="s">
        <v>361</v>
      </c>
      <c r="F3012" s="72">
        <v>8</v>
      </c>
      <c r="G3012" s="72">
        <v>0</v>
      </c>
    </row>
    <row r="3013" spans="2:7" x14ac:dyDescent="0.25">
      <c r="B3013" s="71">
        <v>43656</v>
      </c>
      <c r="C3013" t="s">
        <v>21</v>
      </c>
      <c r="D3013" t="s">
        <v>80</v>
      </c>
      <c r="E3013" t="s">
        <v>361</v>
      </c>
      <c r="F3013" s="72">
        <v>16</v>
      </c>
      <c r="G3013" s="72">
        <v>0</v>
      </c>
    </row>
    <row r="3014" spans="2:7" x14ac:dyDescent="0.25">
      <c r="B3014" s="71">
        <v>43656</v>
      </c>
      <c r="C3014" t="s">
        <v>21</v>
      </c>
      <c r="D3014" t="s">
        <v>80</v>
      </c>
      <c r="E3014" t="s">
        <v>361</v>
      </c>
      <c r="F3014" s="72">
        <v>24</v>
      </c>
      <c r="G3014" s="72">
        <v>0</v>
      </c>
    </row>
    <row r="3015" spans="2:7" x14ac:dyDescent="0.25">
      <c r="B3015" s="71">
        <v>43656</v>
      </c>
      <c r="C3015" t="s">
        <v>21</v>
      </c>
      <c r="D3015" t="s">
        <v>116</v>
      </c>
      <c r="E3015" t="s">
        <v>360</v>
      </c>
      <c r="F3015" s="72">
        <v>28.02</v>
      </c>
      <c r="G3015" s="72">
        <v>0</v>
      </c>
    </row>
    <row r="3016" spans="2:7" x14ac:dyDescent="0.25">
      <c r="B3016" s="71">
        <v>43656</v>
      </c>
      <c r="C3016" t="s">
        <v>21</v>
      </c>
      <c r="D3016" t="s">
        <v>116</v>
      </c>
      <c r="E3016" t="s">
        <v>360</v>
      </c>
      <c r="F3016" s="72">
        <v>29.64</v>
      </c>
      <c r="G3016" s="72">
        <v>0</v>
      </c>
    </row>
    <row r="3017" spans="2:7" x14ac:dyDescent="0.25">
      <c r="B3017" s="71">
        <v>43656</v>
      </c>
      <c r="C3017" t="s">
        <v>21</v>
      </c>
      <c r="D3017" t="s">
        <v>116</v>
      </c>
      <c r="E3017" t="s">
        <v>360</v>
      </c>
      <c r="F3017" s="72">
        <v>121.62</v>
      </c>
      <c r="G3017" s="72">
        <v>0</v>
      </c>
    </row>
    <row r="3018" spans="2:7" x14ac:dyDescent="0.25">
      <c r="B3018" s="71">
        <v>43656</v>
      </c>
      <c r="C3018" t="s">
        <v>21</v>
      </c>
      <c r="D3018" t="s">
        <v>116</v>
      </c>
      <c r="E3018" t="s">
        <v>360</v>
      </c>
      <c r="F3018" s="72">
        <v>132.77000000000001</v>
      </c>
      <c r="G3018" s="72">
        <v>0</v>
      </c>
    </row>
    <row r="3019" spans="2:7" x14ac:dyDescent="0.25">
      <c r="B3019" s="71">
        <v>43656</v>
      </c>
      <c r="C3019" t="s">
        <v>21</v>
      </c>
      <c r="D3019" t="s">
        <v>116</v>
      </c>
      <c r="E3019" t="s">
        <v>360</v>
      </c>
      <c r="F3019" s="72">
        <v>170.64</v>
      </c>
      <c r="G3019" s="72">
        <v>0</v>
      </c>
    </row>
    <row r="3020" spans="2:7" x14ac:dyDescent="0.25">
      <c r="B3020" s="71">
        <v>43656</v>
      </c>
      <c r="C3020" t="s">
        <v>21</v>
      </c>
      <c r="D3020" t="s">
        <v>116</v>
      </c>
      <c r="E3020" t="s">
        <v>360</v>
      </c>
      <c r="F3020" s="72">
        <v>173.81</v>
      </c>
      <c r="G3020" s="72">
        <v>0</v>
      </c>
    </row>
    <row r="3021" spans="2:7" x14ac:dyDescent="0.25">
      <c r="B3021" s="71">
        <v>43656</v>
      </c>
      <c r="C3021" t="s">
        <v>21</v>
      </c>
      <c r="D3021" t="s">
        <v>116</v>
      </c>
      <c r="E3021" t="s">
        <v>360</v>
      </c>
      <c r="F3021" s="72">
        <v>173.93</v>
      </c>
      <c r="G3021" s="72">
        <v>0</v>
      </c>
    </row>
    <row r="3022" spans="2:7" x14ac:dyDescent="0.25">
      <c r="B3022" s="71">
        <v>43656</v>
      </c>
      <c r="C3022" t="s">
        <v>21</v>
      </c>
      <c r="D3022" t="s">
        <v>116</v>
      </c>
      <c r="E3022" t="s">
        <v>360</v>
      </c>
      <c r="F3022" s="72">
        <v>186.05</v>
      </c>
      <c r="G3022" s="72">
        <v>0</v>
      </c>
    </row>
    <row r="3023" spans="2:7" x14ac:dyDescent="0.25">
      <c r="B3023" s="71">
        <v>43656</v>
      </c>
      <c r="C3023" t="s">
        <v>21</v>
      </c>
      <c r="D3023" t="s">
        <v>116</v>
      </c>
      <c r="E3023" t="s">
        <v>360</v>
      </c>
      <c r="F3023" s="72">
        <v>217.88</v>
      </c>
      <c r="G3023" s="72">
        <v>0</v>
      </c>
    </row>
    <row r="3024" spans="2:7" x14ac:dyDescent="0.25">
      <c r="B3024" s="71">
        <v>43656</v>
      </c>
      <c r="C3024" t="s">
        <v>21</v>
      </c>
      <c r="D3024" t="s">
        <v>116</v>
      </c>
      <c r="E3024" t="s">
        <v>360</v>
      </c>
      <c r="F3024" s="72">
        <v>277.51</v>
      </c>
      <c r="G3024" s="72">
        <v>0</v>
      </c>
    </row>
    <row r="3025" spans="2:7" x14ac:dyDescent="0.25">
      <c r="B3025" s="71">
        <v>43656</v>
      </c>
      <c r="C3025" t="s">
        <v>21</v>
      </c>
      <c r="D3025" t="s">
        <v>116</v>
      </c>
      <c r="E3025" t="s">
        <v>360</v>
      </c>
      <c r="F3025" s="72">
        <v>339.11</v>
      </c>
      <c r="G3025" s="72">
        <v>0</v>
      </c>
    </row>
    <row r="3026" spans="2:7" x14ac:dyDescent="0.25">
      <c r="B3026" s="71">
        <v>43656</v>
      </c>
      <c r="C3026" t="s">
        <v>21</v>
      </c>
      <c r="D3026" t="s">
        <v>116</v>
      </c>
      <c r="E3026" t="s">
        <v>360</v>
      </c>
      <c r="F3026" s="72">
        <v>392.27</v>
      </c>
      <c r="G3026" s="72">
        <v>0</v>
      </c>
    </row>
    <row r="3027" spans="2:7" x14ac:dyDescent="0.25">
      <c r="B3027" s="71">
        <v>43656</v>
      </c>
      <c r="C3027" t="s">
        <v>21</v>
      </c>
      <c r="D3027" t="s">
        <v>116</v>
      </c>
      <c r="E3027" t="s">
        <v>360</v>
      </c>
      <c r="F3027" s="72">
        <v>453.9</v>
      </c>
      <c r="G3027" s="72">
        <v>0</v>
      </c>
    </row>
    <row r="3028" spans="2:7" x14ac:dyDescent="0.25">
      <c r="B3028" s="71">
        <v>43656</v>
      </c>
      <c r="C3028" t="s">
        <v>21</v>
      </c>
      <c r="D3028" t="s">
        <v>116</v>
      </c>
      <c r="E3028" t="s">
        <v>360</v>
      </c>
      <c r="F3028" s="72">
        <v>477.64</v>
      </c>
      <c r="G3028" s="72">
        <v>0</v>
      </c>
    </row>
    <row r="3029" spans="2:7" x14ac:dyDescent="0.25">
      <c r="B3029" s="71">
        <v>43656</v>
      </c>
      <c r="C3029" t="s">
        <v>21</v>
      </c>
      <c r="D3029" t="s">
        <v>116</v>
      </c>
      <c r="E3029" t="s">
        <v>360</v>
      </c>
      <c r="F3029" s="72">
        <v>531.46</v>
      </c>
      <c r="G3029" s="72">
        <v>0</v>
      </c>
    </row>
    <row r="3030" spans="2:7" x14ac:dyDescent="0.25">
      <c r="B3030" s="71">
        <v>43656</v>
      </c>
      <c r="C3030" t="s">
        <v>21</v>
      </c>
      <c r="D3030" t="s">
        <v>116</v>
      </c>
      <c r="E3030" t="s">
        <v>360</v>
      </c>
      <c r="F3030" s="72">
        <v>551.41</v>
      </c>
      <c r="G3030" s="72">
        <v>0</v>
      </c>
    </row>
    <row r="3031" spans="2:7" x14ac:dyDescent="0.25">
      <c r="B3031" s="71">
        <v>43656</v>
      </c>
      <c r="C3031" t="s">
        <v>21</v>
      </c>
      <c r="D3031" t="s">
        <v>116</v>
      </c>
      <c r="E3031" t="s">
        <v>360</v>
      </c>
      <c r="F3031" s="72">
        <v>562.02</v>
      </c>
      <c r="G3031" s="72">
        <v>0</v>
      </c>
    </row>
    <row r="3032" spans="2:7" x14ac:dyDescent="0.25">
      <c r="B3032" s="71">
        <v>43656</v>
      </c>
      <c r="C3032" t="s">
        <v>21</v>
      </c>
      <c r="D3032" t="s">
        <v>116</v>
      </c>
      <c r="E3032" t="s">
        <v>360</v>
      </c>
      <c r="F3032" s="72">
        <v>575.63</v>
      </c>
      <c r="G3032" s="72">
        <v>0</v>
      </c>
    </row>
    <row r="3033" spans="2:7" x14ac:dyDescent="0.25">
      <c r="B3033" s="71">
        <v>43656</v>
      </c>
      <c r="C3033" t="s">
        <v>21</v>
      </c>
      <c r="D3033" t="s">
        <v>116</v>
      </c>
      <c r="E3033" t="s">
        <v>360</v>
      </c>
      <c r="F3033" s="72">
        <v>706.08</v>
      </c>
      <c r="G3033" s="72">
        <v>0</v>
      </c>
    </row>
    <row r="3034" spans="2:7" x14ac:dyDescent="0.25">
      <c r="B3034" s="71">
        <v>43656</v>
      </c>
      <c r="C3034" t="s">
        <v>21</v>
      </c>
      <c r="D3034" t="s">
        <v>116</v>
      </c>
      <c r="E3034" t="s">
        <v>360</v>
      </c>
      <c r="F3034" s="72">
        <v>757.32</v>
      </c>
      <c r="G3034" s="72">
        <v>0</v>
      </c>
    </row>
    <row r="3035" spans="2:7" x14ac:dyDescent="0.25">
      <c r="B3035" s="71">
        <v>43656</v>
      </c>
      <c r="C3035" t="s">
        <v>21</v>
      </c>
      <c r="D3035" t="s">
        <v>116</v>
      </c>
      <c r="E3035" t="s">
        <v>360</v>
      </c>
      <c r="F3035" s="72">
        <v>828.89</v>
      </c>
      <c r="G3035" s="72">
        <v>0</v>
      </c>
    </row>
    <row r="3036" spans="2:7" x14ac:dyDescent="0.25">
      <c r="B3036" s="71">
        <v>43656</v>
      </c>
      <c r="C3036" t="s">
        <v>21</v>
      </c>
      <c r="D3036" t="s">
        <v>116</v>
      </c>
      <c r="E3036" t="s">
        <v>360</v>
      </c>
      <c r="F3036" s="72">
        <v>839.9</v>
      </c>
      <c r="G3036" s="72">
        <v>0</v>
      </c>
    </row>
    <row r="3037" spans="2:7" x14ac:dyDescent="0.25">
      <c r="B3037" s="71">
        <v>43656</v>
      </c>
      <c r="C3037" t="s">
        <v>21</v>
      </c>
      <c r="D3037" t="s">
        <v>116</v>
      </c>
      <c r="E3037" t="s">
        <v>360</v>
      </c>
      <c r="F3037" s="72">
        <v>1660.09</v>
      </c>
      <c r="G3037" s="72">
        <v>0</v>
      </c>
    </row>
    <row r="3038" spans="2:7" x14ac:dyDescent="0.25">
      <c r="B3038" s="71">
        <v>43656</v>
      </c>
      <c r="C3038" t="s">
        <v>67</v>
      </c>
      <c r="D3038" t="s">
        <v>116</v>
      </c>
      <c r="E3038" t="s">
        <v>360</v>
      </c>
      <c r="F3038" s="72">
        <v>9.9600000000000009</v>
      </c>
      <c r="G3038" s="72">
        <v>0</v>
      </c>
    </row>
    <row r="3039" spans="2:7" x14ac:dyDescent="0.25">
      <c r="B3039" s="71">
        <v>43656</v>
      </c>
      <c r="C3039" t="s">
        <v>67</v>
      </c>
      <c r="D3039" t="s">
        <v>85</v>
      </c>
      <c r="E3039" t="s">
        <v>361</v>
      </c>
      <c r="F3039" s="72">
        <v>130.18</v>
      </c>
      <c r="G3039" s="72">
        <v>0</v>
      </c>
    </row>
    <row r="3040" spans="2:7" x14ac:dyDescent="0.25">
      <c r="B3040" s="71">
        <v>43656</v>
      </c>
      <c r="C3040" t="s">
        <v>49</v>
      </c>
      <c r="D3040" t="s">
        <v>116</v>
      </c>
      <c r="E3040" t="s">
        <v>360</v>
      </c>
      <c r="F3040" s="72">
        <v>25.14</v>
      </c>
      <c r="G3040" s="72">
        <v>0</v>
      </c>
    </row>
    <row r="3041" spans="2:7" x14ac:dyDescent="0.25">
      <c r="B3041" s="71">
        <v>43656</v>
      </c>
      <c r="C3041" t="s">
        <v>46</v>
      </c>
      <c r="D3041" t="s">
        <v>85</v>
      </c>
      <c r="E3041" t="s">
        <v>361</v>
      </c>
      <c r="F3041" s="72">
        <v>20.85</v>
      </c>
      <c r="G3041" s="72">
        <v>0</v>
      </c>
    </row>
    <row r="3042" spans="2:7" x14ac:dyDescent="0.25">
      <c r="B3042" s="71">
        <v>43656</v>
      </c>
      <c r="C3042" t="s">
        <v>50</v>
      </c>
      <c r="D3042" t="s">
        <v>116</v>
      </c>
      <c r="E3042" t="s">
        <v>360</v>
      </c>
      <c r="F3042" s="72">
        <v>163.72</v>
      </c>
      <c r="G3042" s="72">
        <v>0</v>
      </c>
    </row>
    <row r="3043" spans="2:7" x14ac:dyDescent="0.25">
      <c r="B3043" s="71">
        <v>43656</v>
      </c>
      <c r="C3043" t="s">
        <v>51</v>
      </c>
      <c r="D3043" t="s">
        <v>116</v>
      </c>
      <c r="E3043" t="s">
        <v>360</v>
      </c>
      <c r="F3043" s="72">
        <v>930.71</v>
      </c>
      <c r="G3043" s="72">
        <v>0</v>
      </c>
    </row>
    <row r="3044" spans="2:7" x14ac:dyDescent="0.25">
      <c r="B3044" s="71">
        <v>43656</v>
      </c>
      <c r="C3044" t="s">
        <v>51</v>
      </c>
      <c r="D3044" t="s">
        <v>85</v>
      </c>
      <c r="E3044" t="s">
        <v>361</v>
      </c>
      <c r="F3044" s="72">
        <v>205.5</v>
      </c>
      <c r="G3044" s="72">
        <v>0</v>
      </c>
    </row>
    <row r="3045" spans="2:7" x14ac:dyDescent="0.25">
      <c r="B3045" s="71">
        <v>43656</v>
      </c>
      <c r="C3045" t="s">
        <v>53</v>
      </c>
      <c r="D3045" t="s">
        <v>116</v>
      </c>
      <c r="E3045" t="s">
        <v>360</v>
      </c>
      <c r="F3045" s="72">
        <v>254.94</v>
      </c>
      <c r="G3045" s="72">
        <v>0</v>
      </c>
    </row>
    <row r="3046" spans="2:7" x14ac:dyDescent="0.25">
      <c r="B3046" s="71">
        <v>43656</v>
      </c>
      <c r="C3046" t="s">
        <v>72</v>
      </c>
      <c r="D3046" t="s">
        <v>86</v>
      </c>
      <c r="E3046" t="s">
        <v>361</v>
      </c>
      <c r="F3046" s="72">
        <v>12.5</v>
      </c>
      <c r="G3046" s="72">
        <v>0</v>
      </c>
    </row>
    <row r="3047" spans="2:7" x14ac:dyDescent="0.25">
      <c r="B3047" s="71">
        <v>43656</v>
      </c>
      <c r="C3047" t="s">
        <v>24</v>
      </c>
      <c r="D3047" t="s">
        <v>80</v>
      </c>
      <c r="E3047" t="s">
        <v>361</v>
      </c>
      <c r="F3047" s="72">
        <v>8</v>
      </c>
      <c r="G3047" s="72">
        <v>0</v>
      </c>
    </row>
    <row r="3048" spans="2:7" x14ac:dyDescent="0.25">
      <c r="B3048" s="71">
        <v>43656</v>
      </c>
      <c r="C3048" t="s">
        <v>24</v>
      </c>
      <c r="D3048" t="s">
        <v>80</v>
      </c>
      <c r="E3048" t="s">
        <v>361</v>
      </c>
      <c r="F3048" s="72">
        <v>24</v>
      </c>
      <c r="G3048" s="72">
        <v>0</v>
      </c>
    </row>
    <row r="3049" spans="2:7" x14ac:dyDescent="0.25">
      <c r="B3049" s="71">
        <v>43656</v>
      </c>
      <c r="C3049" t="s">
        <v>24</v>
      </c>
      <c r="D3049" t="s">
        <v>116</v>
      </c>
      <c r="E3049" t="s">
        <v>360</v>
      </c>
      <c r="F3049" s="72">
        <v>7.26</v>
      </c>
      <c r="G3049" s="72">
        <v>0</v>
      </c>
    </row>
    <row r="3050" spans="2:7" x14ac:dyDescent="0.25">
      <c r="B3050" s="71">
        <v>43656</v>
      </c>
      <c r="C3050" t="s">
        <v>24</v>
      </c>
      <c r="D3050" t="s">
        <v>116</v>
      </c>
      <c r="E3050" t="s">
        <v>360</v>
      </c>
      <c r="F3050" s="72">
        <v>13.43</v>
      </c>
      <c r="G3050" s="72">
        <v>0</v>
      </c>
    </row>
    <row r="3051" spans="2:7" x14ac:dyDescent="0.25">
      <c r="B3051" s="71">
        <v>43656</v>
      </c>
      <c r="C3051" t="s">
        <v>24</v>
      </c>
      <c r="D3051" t="s">
        <v>116</v>
      </c>
      <c r="E3051" t="s">
        <v>360</v>
      </c>
      <c r="F3051" s="72">
        <v>17.600000000000001</v>
      </c>
      <c r="G3051" s="72">
        <v>0</v>
      </c>
    </row>
    <row r="3052" spans="2:7" x14ac:dyDescent="0.25">
      <c r="B3052" s="71">
        <v>43656</v>
      </c>
      <c r="C3052" t="s">
        <v>24</v>
      </c>
      <c r="D3052" t="s">
        <v>116</v>
      </c>
      <c r="E3052" t="s">
        <v>360</v>
      </c>
      <c r="F3052" s="72">
        <v>19.899999999999999</v>
      </c>
      <c r="G3052" s="72">
        <v>0</v>
      </c>
    </row>
    <row r="3053" spans="2:7" x14ac:dyDescent="0.25">
      <c r="B3053" s="71">
        <v>43656</v>
      </c>
      <c r="C3053" t="s">
        <v>24</v>
      </c>
      <c r="D3053" t="s">
        <v>116</v>
      </c>
      <c r="E3053" t="s">
        <v>360</v>
      </c>
      <c r="F3053" s="72">
        <v>20.170000000000002</v>
      </c>
      <c r="G3053" s="72">
        <v>0</v>
      </c>
    </row>
    <row r="3054" spans="2:7" x14ac:dyDescent="0.25">
      <c r="B3054" s="71">
        <v>43656</v>
      </c>
      <c r="C3054" t="s">
        <v>24</v>
      </c>
      <c r="D3054" t="s">
        <v>116</v>
      </c>
      <c r="E3054" t="s">
        <v>360</v>
      </c>
      <c r="F3054" s="72">
        <v>23.72</v>
      </c>
      <c r="G3054" s="72">
        <v>0</v>
      </c>
    </row>
    <row r="3055" spans="2:7" x14ac:dyDescent="0.25">
      <c r="B3055" s="71">
        <v>43656</v>
      </c>
      <c r="C3055" t="s">
        <v>24</v>
      </c>
      <c r="D3055" t="s">
        <v>116</v>
      </c>
      <c r="E3055" t="s">
        <v>360</v>
      </c>
      <c r="F3055" s="72">
        <v>26.03</v>
      </c>
      <c r="G3055" s="72">
        <v>0</v>
      </c>
    </row>
    <row r="3056" spans="2:7" x14ac:dyDescent="0.25">
      <c r="B3056" s="71">
        <v>43656</v>
      </c>
      <c r="C3056" t="s">
        <v>24</v>
      </c>
      <c r="D3056" t="s">
        <v>116</v>
      </c>
      <c r="E3056" t="s">
        <v>360</v>
      </c>
      <c r="F3056" s="72">
        <v>27.99</v>
      </c>
      <c r="G3056" s="72">
        <v>0</v>
      </c>
    </row>
    <row r="3057" spans="2:7" x14ac:dyDescent="0.25">
      <c r="B3057" s="71">
        <v>43656</v>
      </c>
      <c r="C3057" t="s">
        <v>24</v>
      </c>
      <c r="D3057" t="s">
        <v>116</v>
      </c>
      <c r="E3057" t="s">
        <v>360</v>
      </c>
      <c r="F3057" s="72">
        <v>29.29</v>
      </c>
      <c r="G3057" s="72">
        <v>0</v>
      </c>
    </row>
    <row r="3058" spans="2:7" x14ac:dyDescent="0.25">
      <c r="B3058" s="71">
        <v>43656</v>
      </c>
      <c r="C3058" t="s">
        <v>24</v>
      </c>
      <c r="D3058" t="s">
        <v>116</v>
      </c>
      <c r="E3058" t="s">
        <v>360</v>
      </c>
      <c r="F3058" s="72">
        <v>29.77</v>
      </c>
      <c r="G3058" s="72">
        <v>0</v>
      </c>
    </row>
    <row r="3059" spans="2:7" x14ac:dyDescent="0.25">
      <c r="B3059" s="71">
        <v>43656</v>
      </c>
      <c r="C3059" t="s">
        <v>24</v>
      </c>
      <c r="D3059" t="s">
        <v>116</v>
      </c>
      <c r="E3059" t="s">
        <v>360</v>
      </c>
      <c r="F3059" s="72">
        <v>31.77</v>
      </c>
      <c r="G3059" s="72">
        <v>0</v>
      </c>
    </row>
    <row r="3060" spans="2:7" x14ac:dyDescent="0.25">
      <c r="B3060" s="71">
        <v>43656</v>
      </c>
      <c r="C3060" t="s">
        <v>24</v>
      </c>
      <c r="D3060" t="s">
        <v>116</v>
      </c>
      <c r="E3060" t="s">
        <v>360</v>
      </c>
      <c r="F3060" s="72">
        <v>33.020000000000003</v>
      </c>
      <c r="G3060" s="72">
        <v>0</v>
      </c>
    </row>
    <row r="3061" spans="2:7" x14ac:dyDescent="0.25">
      <c r="B3061" s="71">
        <v>43656</v>
      </c>
      <c r="C3061" t="s">
        <v>24</v>
      </c>
      <c r="D3061" t="s">
        <v>116</v>
      </c>
      <c r="E3061" t="s">
        <v>360</v>
      </c>
      <c r="F3061" s="72">
        <v>54.25</v>
      </c>
      <c r="G3061" s="72">
        <v>0</v>
      </c>
    </row>
    <row r="3062" spans="2:7" x14ac:dyDescent="0.25">
      <c r="B3062" s="71">
        <v>43656</v>
      </c>
      <c r="C3062" t="s">
        <v>24</v>
      </c>
      <c r="D3062" t="s">
        <v>116</v>
      </c>
      <c r="E3062" t="s">
        <v>360</v>
      </c>
      <c r="F3062" s="72">
        <v>57.69</v>
      </c>
      <c r="G3062" s="72">
        <v>0</v>
      </c>
    </row>
    <row r="3063" spans="2:7" x14ac:dyDescent="0.25">
      <c r="B3063" s="71">
        <v>43656</v>
      </c>
      <c r="C3063" t="s">
        <v>24</v>
      </c>
      <c r="D3063" t="s">
        <v>116</v>
      </c>
      <c r="E3063" t="s">
        <v>360</v>
      </c>
      <c r="F3063" s="72">
        <v>117.15</v>
      </c>
      <c r="G3063" s="72">
        <v>0</v>
      </c>
    </row>
    <row r="3064" spans="2:7" x14ac:dyDescent="0.25">
      <c r="B3064" s="71">
        <v>43656</v>
      </c>
      <c r="C3064" t="s">
        <v>24</v>
      </c>
      <c r="D3064" t="s">
        <v>116</v>
      </c>
      <c r="E3064" t="s">
        <v>360</v>
      </c>
      <c r="F3064" s="72">
        <v>122.52</v>
      </c>
      <c r="G3064" s="72">
        <v>0</v>
      </c>
    </row>
    <row r="3065" spans="2:7" x14ac:dyDescent="0.25">
      <c r="B3065" s="71">
        <v>43656</v>
      </c>
      <c r="C3065" t="s">
        <v>24</v>
      </c>
      <c r="D3065" t="s">
        <v>116</v>
      </c>
      <c r="E3065" t="s">
        <v>360</v>
      </c>
      <c r="F3065" s="72">
        <v>136.5</v>
      </c>
      <c r="G3065" s="72">
        <v>0</v>
      </c>
    </row>
    <row r="3066" spans="2:7" x14ac:dyDescent="0.25">
      <c r="B3066" s="71">
        <v>43656</v>
      </c>
      <c r="C3066" t="s">
        <v>62</v>
      </c>
      <c r="D3066" t="s">
        <v>85</v>
      </c>
      <c r="E3066" t="s">
        <v>361</v>
      </c>
      <c r="F3066" s="72">
        <v>125.68</v>
      </c>
      <c r="G3066" s="72">
        <v>0</v>
      </c>
    </row>
    <row r="3067" spans="2:7" x14ac:dyDescent="0.25">
      <c r="B3067" s="71">
        <v>43657</v>
      </c>
      <c r="C3067" t="s">
        <v>25</v>
      </c>
      <c r="D3067" t="s">
        <v>82</v>
      </c>
      <c r="E3067" t="s">
        <v>159</v>
      </c>
      <c r="F3067" s="72">
        <v>1.8</v>
      </c>
      <c r="G3067" s="72">
        <v>0</v>
      </c>
    </row>
    <row r="3068" spans="2:7" x14ac:dyDescent="0.25">
      <c r="B3068" s="71">
        <v>43657</v>
      </c>
      <c r="C3068" t="s">
        <v>25</v>
      </c>
      <c r="D3068" t="s">
        <v>82</v>
      </c>
      <c r="E3068" t="s">
        <v>165</v>
      </c>
      <c r="F3068" s="72">
        <v>5</v>
      </c>
      <c r="G3068" s="72">
        <v>0</v>
      </c>
    </row>
    <row r="3069" spans="2:7" x14ac:dyDescent="0.25">
      <c r="B3069" s="71">
        <v>43657</v>
      </c>
      <c r="C3069" t="s">
        <v>25</v>
      </c>
      <c r="D3069" t="s">
        <v>82</v>
      </c>
      <c r="E3069" t="s">
        <v>180</v>
      </c>
      <c r="F3069" s="72">
        <v>2.4</v>
      </c>
      <c r="G3069" s="72">
        <v>0</v>
      </c>
    </row>
    <row r="3070" spans="2:7" x14ac:dyDescent="0.25">
      <c r="B3070" s="71">
        <v>43657</v>
      </c>
      <c r="C3070" t="s">
        <v>47</v>
      </c>
      <c r="D3070" t="s">
        <v>81</v>
      </c>
      <c r="E3070" t="s">
        <v>362</v>
      </c>
      <c r="F3070" s="72">
        <v>0</v>
      </c>
      <c r="G3070" s="72">
        <v>30</v>
      </c>
    </row>
    <row r="3071" spans="2:7" x14ac:dyDescent="0.25">
      <c r="B3071" s="71">
        <v>43657</v>
      </c>
      <c r="C3071" t="s">
        <v>47</v>
      </c>
      <c r="D3071" t="s">
        <v>87</v>
      </c>
      <c r="E3071" t="s">
        <v>362</v>
      </c>
      <c r="F3071" s="72">
        <v>30</v>
      </c>
      <c r="G3071" s="72">
        <v>0</v>
      </c>
    </row>
    <row r="3072" spans="2:7" x14ac:dyDescent="0.25">
      <c r="B3072" s="71">
        <v>43657</v>
      </c>
      <c r="C3072" t="s">
        <v>48</v>
      </c>
      <c r="D3072" t="s">
        <v>81</v>
      </c>
      <c r="E3072" t="s">
        <v>362</v>
      </c>
      <c r="F3072" s="72">
        <v>0</v>
      </c>
      <c r="G3072" s="72">
        <v>68.680000000000007</v>
      </c>
    </row>
    <row r="3073" spans="2:7" x14ac:dyDescent="0.25">
      <c r="B3073" s="71">
        <v>43657</v>
      </c>
      <c r="C3073" t="s">
        <v>48</v>
      </c>
      <c r="D3073" t="s">
        <v>87</v>
      </c>
      <c r="E3073" t="s">
        <v>362</v>
      </c>
      <c r="F3073" s="72">
        <v>68.680000000000007</v>
      </c>
      <c r="G3073" s="72">
        <v>0</v>
      </c>
    </row>
    <row r="3074" spans="2:7" x14ac:dyDescent="0.25">
      <c r="B3074" s="71">
        <v>43657</v>
      </c>
      <c r="C3074" t="s">
        <v>48</v>
      </c>
      <c r="D3074" t="s">
        <v>85</v>
      </c>
      <c r="E3074" t="s">
        <v>362</v>
      </c>
      <c r="F3074" s="72">
        <v>58.3</v>
      </c>
      <c r="G3074" s="72">
        <v>0</v>
      </c>
    </row>
    <row r="3075" spans="2:7" x14ac:dyDescent="0.25">
      <c r="B3075" s="71">
        <v>43657</v>
      </c>
      <c r="C3075" t="s">
        <v>44</v>
      </c>
      <c r="D3075" t="s">
        <v>86</v>
      </c>
      <c r="E3075" t="s">
        <v>362</v>
      </c>
      <c r="F3075" s="72">
        <v>147.5</v>
      </c>
      <c r="G3075" s="72">
        <v>0</v>
      </c>
    </row>
    <row r="3076" spans="2:7" x14ac:dyDescent="0.25">
      <c r="B3076" s="71">
        <v>43657</v>
      </c>
      <c r="C3076" t="s">
        <v>21</v>
      </c>
      <c r="D3076" t="s">
        <v>80</v>
      </c>
      <c r="E3076" t="s">
        <v>362</v>
      </c>
      <c r="F3076" s="72">
        <v>8</v>
      </c>
      <c r="G3076" s="72">
        <v>0</v>
      </c>
    </row>
    <row r="3077" spans="2:7" x14ac:dyDescent="0.25">
      <c r="B3077" s="71">
        <v>43657</v>
      </c>
      <c r="C3077" t="s">
        <v>21</v>
      </c>
      <c r="D3077" t="s">
        <v>80</v>
      </c>
      <c r="E3077" t="s">
        <v>362</v>
      </c>
      <c r="F3077" s="72">
        <v>16</v>
      </c>
      <c r="G3077" s="72">
        <v>0</v>
      </c>
    </row>
    <row r="3078" spans="2:7" x14ac:dyDescent="0.25">
      <c r="B3078" s="71">
        <v>43657</v>
      </c>
      <c r="C3078" t="s">
        <v>79</v>
      </c>
      <c r="D3078" t="s">
        <v>92</v>
      </c>
      <c r="E3078" t="s">
        <v>362</v>
      </c>
      <c r="F3078" s="72">
        <v>12.83</v>
      </c>
      <c r="G3078" s="72">
        <v>0</v>
      </c>
    </row>
    <row r="3079" spans="2:7" x14ac:dyDescent="0.25">
      <c r="B3079" s="71">
        <v>43657</v>
      </c>
      <c r="C3079" t="s">
        <v>67</v>
      </c>
      <c r="D3079" t="s">
        <v>81</v>
      </c>
      <c r="E3079" t="s">
        <v>362</v>
      </c>
      <c r="F3079" s="72">
        <v>0</v>
      </c>
      <c r="G3079" s="72">
        <v>10</v>
      </c>
    </row>
    <row r="3080" spans="2:7" x14ac:dyDescent="0.25">
      <c r="B3080" s="71">
        <v>43657</v>
      </c>
      <c r="C3080" t="s">
        <v>67</v>
      </c>
      <c r="D3080" t="s">
        <v>87</v>
      </c>
      <c r="E3080" t="s">
        <v>362</v>
      </c>
      <c r="F3080" s="72">
        <v>10</v>
      </c>
      <c r="G3080" s="72">
        <v>0</v>
      </c>
    </row>
    <row r="3081" spans="2:7" x14ac:dyDescent="0.25">
      <c r="B3081" s="71">
        <v>43657</v>
      </c>
      <c r="C3081" t="s">
        <v>56</v>
      </c>
      <c r="D3081" t="s">
        <v>85</v>
      </c>
      <c r="E3081" t="s">
        <v>362</v>
      </c>
      <c r="F3081" s="72">
        <v>30</v>
      </c>
      <c r="G3081" s="72">
        <v>0</v>
      </c>
    </row>
    <row r="3082" spans="2:7" x14ac:dyDescent="0.25">
      <c r="B3082" s="71">
        <v>43657</v>
      </c>
      <c r="C3082" t="s">
        <v>46</v>
      </c>
      <c r="D3082" t="s">
        <v>85</v>
      </c>
      <c r="E3082" t="s">
        <v>362</v>
      </c>
      <c r="F3082" s="72">
        <v>12.9</v>
      </c>
      <c r="G3082" s="72">
        <v>0</v>
      </c>
    </row>
    <row r="3083" spans="2:7" x14ac:dyDescent="0.25">
      <c r="B3083" s="71">
        <v>43657</v>
      </c>
      <c r="C3083" t="s">
        <v>51</v>
      </c>
      <c r="D3083" t="s">
        <v>85</v>
      </c>
      <c r="E3083" t="s">
        <v>362</v>
      </c>
      <c r="F3083" s="72">
        <v>20</v>
      </c>
      <c r="G3083" s="72">
        <v>0</v>
      </c>
    </row>
    <row r="3084" spans="2:7" x14ac:dyDescent="0.25">
      <c r="B3084" s="71">
        <v>43657</v>
      </c>
      <c r="C3084" t="s">
        <v>53</v>
      </c>
      <c r="D3084" t="s">
        <v>86</v>
      </c>
      <c r="E3084" t="s">
        <v>362</v>
      </c>
      <c r="F3084" s="72">
        <v>60.7</v>
      </c>
      <c r="G3084" s="72">
        <v>0</v>
      </c>
    </row>
    <row r="3085" spans="2:7" x14ac:dyDescent="0.25">
      <c r="B3085" s="71">
        <v>43657</v>
      </c>
      <c r="C3085" t="s">
        <v>53</v>
      </c>
      <c r="D3085" t="s">
        <v>81</v>
      </c>
      <c r="E3085" t="s">
        <v>362</v>
      </c>
      <c r="F3085" s="72">
        <v>0</v>
      </c>
      <c r="G3085" s="72">
        <v>10</v>
      </c>
    </row>
    <row r="3086" spans="2:7" x14ac:dyDescent="0.25">
      <c r="B3086" s="71">
        <v>43657</v>
      </c>
      <c r="C3086" t="s">
        <v>53</v>
      </c>
      <c r="D3086" t="s">
        <v>87</v>
      </c>
      <c r="E3086" t="s">
        <v>362</v>
      </c>
      <c r="F3086" s="72">
        <v>10</v>
      </c>
      <c r="G3086" s="72">
        <v>0</v>
      </c>
    </row>
    <row r="3087" spans="2:7" x14ac:dyDescent="0.25">
      <c r="B3087" s="71">
        <v>43657</v>
      </c>
      <c r="C3087" t="s">
        <v>64</v>
      </c>
      <c r="D3087" t="s">
        <v>81</v>
      </c>
      <c r="E3087" t="s">
        <v>362</v>
      </c>
      <c r="F3087" s="72">
        <v>0</v>
      </c>
      <c r="G3087" s="72">
        <v>93.15</v>
      </c>
    </row>
    <row r="3088" spans="2:7" x14ac:dyDescent="0.25">
      <c r="B3088" s="71">
        <v>43657</v>
      </c>
      <c r="C3088" t="s">
        <v>64</v>
      </c>
      <c r="D3088" t="s">
        <v>87</v>
      </c>
      <c r="E3088" t="s">
        <v>362</v>
      </c>
      <c r="F3088" s="72">
        <v>93.15</v>
      </c>
      <c r="G3088" s="72">
        <v>0</v>
      </c>
    </row>
    <row r="3089" spans="2:7" x14ac:dyDescent="0.25">
      <c r="B3089" s="71">
        <v>43657</v>
      </c>
      <c r="C3089" t="s">
        <v>24</v>
      </c>
      <c r="D3089" t="s">
        <v>80</v>
      </c>
      <c r="E3089" t="s">
        <v>362</v>
      </c>
      <c r="F3089" s="72">
        <v>8</v>
      </c>
      <c r="G3089" s="72">
        <v>0</v>
      </c>
    </row>
    <row r="3090" spans="2:7" x14ac:dyDescent="0.25">
      <c r="B3090" s="71">
        <v>43657</v>
      </c>
      <c r="C3090" t="s">
        <v>24</v>
      </c>
      <c r="D3090" t="s">
        <v>80</v>
      </c>
      <c r="E3090" t="s">
        <v>362</v>
      </c>
      <c r="F3090" s="72">
        <v>32</v>
      </c>
      <c r="G3090" s="72">
        <v>0</v>
      </c>
    </row>
    <row r="3091" spans="2:7" x14ac:dyDescent="0.25">
      <c r="B3091" s="71">
        <v>43657</v>
      </c>
      <c r="C3091" t="s">
        <v>62</v>
      </c>
      <c r="D3091" t="s">
        <v>81</v>
      </c>
      <c r="E3091" t="s">
        <v>362</v>
      </c>
      <c r="F3091" s="72">
        <v>0</v>
      </c>
      <c r="G3091" s="72">
        <v>20.25</v>
      </c>
    </row>
    <row r="3092" spans="2:7" x14ac:dyDescent="0.25">
      <c r="B3092" s="71">
        <v>43657</v>
      </c>
      <c r="C3092" t="s">
        <v>62</v>
      </c>
      <c r="D3092" t="s">
        <v>87</v>
      </c>
      <c r="E3092" t="s">
        <v>362</v>
      </c>
      <c r="F3092" s="72">
        <v>20.25</v>
      </c>
      <c r="G3092" s="72">
        <v>0</v>
      </c>
    </row>
    <row r="3093" spans="2:7" x14ac:dyDescent="0.25">
      <c r="B3093" s="71">
        <v>43658</v>
      </c>
      <c r="C3093" t="s">
        <v>25</v>
      </c>
      <c r="D3093" t="s">
        <v>81</v>
      </c>
      <c r="E3093" t="s">
        <v>363</v>
      </c>
      <c r="F3093" s="72">
        <v>115.77</v>
      </c>
      <c r="G3093" s="72">
        <v>0</v>
      </c>
    </row>
    <row r="3094" spans="2:7" x14ac:dyDescent="0.25">
      <c r="B3094" s="71">
        <v>43658</v>
      </c>
      <c r="C3094" t="s">
        <v>25</v>
      </c>
      <c r="D3094" t="s">
        <v>88</v>
      </c>
      <c r="E3094" t="s">
        <v>363</v>
      </c>
      <c r="F3094" s="72">
        <v>25</v>
      </c>
      <c r="G3094" s="72">
        <v>0</v>
      </c>
    </row>
    <row r="3095" spans="2:7" x14ac:dyDescent="0.25">
      <c r="B3095" s="71">
        <v>43658</v>
      </c>
      <c r="C3095" t="s">
        <v>25</v>
      </c>
      <c r="D3095" t="s">
        <v>88</v>
      </c>
      <c r="E3095" t="s">
        <v>363</v>
      </c>
      <c r="F3095" s="72">
        <v>28</v>
      </c>
      <c r="G3095" s="72">
        <v>0</v>
      </c>
    </row>
    <row r="3096" spans="2:7" x14ac:dyDescent="0.25">
      <c r="B3096" s="71">
        <v>43658</v>
      </c>
      <c r="C3096" t="s">
        <v>25</v>
      </c>
      <c r="D3096" t="s">
        <v>88</v>
      </c>
      <c r="E3096" t="s">
        <v>363</v>
      </c>
      <c r="F3096" s="72">
        <v>39.950000000000003</v>
      </c>
      <c r="G3096" s="72">
        <v>0</v>
      </c>
    </row>
    <row r="3097" spans="2:7" x14ac:dyDescent="0.25">
      <c r="B3097" s="71">
        <v>43658</v>
      </c>
      <c r="C3097" t="s">
        <v>25</v>
      </c>
      <c r="D3097" t="s">
        <v>88</v>
      </c>
      <c r="E3097" t="s">
        <v>363</v>
      </c>
      <c r="F3097" s="72">
        <v>57.78</v>
      </c>
      <c r="G3097" s="72">
        <v>0</v>
      </c>
    </row>
    <row r="3098" spans="2:7" x14ac:dyDescent="0.25">
      <c r="B3098" s="71">
        <v>43658</v>
      </c>
      <c r="C3098" t="s">
        <v>25</v>
      </c>
      <c r="D3098" t="s">
        <v>88</v>
      </c>
      <c r="E3098" t="s">
        <v>363</v>
      </c>
      <c r="F3098" s="72">
        <v>75.739999999999995</v>
      </c>
      <c r="G3098" s="72">
        <v>0</v>
      </c>
    </row>
    <row r="3099" spans="2:7" x14ac:dyDescent="0.25">
      <c r="B3099" s="71">
        <v>43658</v>
      </c>
      <c r="C3099" t="s">
        <v>25</v>
      </c>
      <c r="D3099" t="s">
        <v>82</v>
      </c>
      <c r="E3099" t="s">
        <v>208</v>
      </c>
      <c r="F3099" s="72">
        <v>9.5500000000000007</v>
      </c>
      <c r="G3099" s="72">
        <v>0</v>
      </c>
    </row>
    <row r="3100" spans="2:7" x14ac:dyDescent="0.25">
      <c r="B3100" s="71">
        <v>43658</v>
      </c>
      <c r="C3100" t="s">
        <v>25</v>
      </c>
      <c r="D3100" t="s">
        <v>82</v>
      </c>
      <c r="E3100" t="s">
        <v>173</v>
      </c>
      <c r="F3100" s="72">
        <v>5.55</v>
      </c>
      <c r="G3100" s="72">
        <v>0</v>
      </c>
    </row>
    <row r="3101" spans="2:7" x14ac:dyDescent="0.25">
      <c r="B3101" s="71">
        <v>43658</v>
      </c>
      <c r="C3101" t="s">
        <v>25</v>
      </c>
      <c r="D3101" t="s">
        <v>82</v>
      </c>
      <c r="E3101" t="s">
        <v>134</v>
      </c>
      <c r="F3101" s="72">
        <v>4.8</v>
      </c>
      <c r="G3101" s="72">
        <v>0</v>
      </c>
    </row>
    <row r="3102" spans="2:7" x14ac:dyDescent="0.25">
      <c r="B3102" s="71">
        <v>43658</v>
      </c>
      <c r="C3102" t="s">
        <v>55</v>
      </c>
      <c r="D3102" t="s">
        <v>87</v>
      </c>
      <c r="E3102" t="s">
        <v>363</v>
      </c>
      <c r="F3102" s="72">
        <v>771.1</v>
      </c>
      <c r="G3102" s="72">
        <v>0</v>
      </c>
    </row>
    <row r="3103" spans="2:7" x14ac:dyDescent="0.25">
      <c r="B3103" s="71">
        <v>43658</v>
      </c>
      <c r="C3103" t="s">
        <v>47</v>
      </c>
      <c r="D3103" t="s">
        <v>87</v>
      </c>
      <c r="E3103" t="s">
        <v>363</v>
      </c>
      <c r="F3103" s="72">
        <v>223.1</v>
      </c>
      <c r="G3103" s="72">
        <v>0</v>
      </c>
    </row>
    <row r="3104" spans="2:7" x14ac:dyDescent="0.25">
      <c r="B3104" s="71">
        <v>43658</v>
      </c>
      <c r="C3104" t="s">
        <v>48</v>
      </c>
      <c r="D3104" t="s">
        <v>81</v>
      </c>
      <c r="E3104" t="s">
        <v>363</v>
      </c>
      <c r="F3104" s="72">
        <v>49.5</v>
      </c>
      <c r="G3104" s="72">
        <v>0</v>
      </c>
    </row>
    <row r="3105" spans="2:7" x14ac:dyDescent="0.25">
      <c r="B3105" s="71">
        <v>43658</v>
      </c>
      <c r="C3105" t="s">
        <v>48</v>
      </c>
      <c r="D3105" t="s">
        <v>88</v>
      </c>
      <c r="E3105" t="s">
        <v>363</v>
      </c>
      <c r="F3105" s="72">
        <v>5.0599999999999996</v>
      </c>
      <c r="G3105" s="72">
        <v>0</v>
      </c>
    </row>
    <row r="3106" spans="2:7" x14ac:dyDescent="0.25">
      <c r="B3106" s="71">
        <v>43658</v>
      </c>
      <c r="C3106" t="s">
        <v>58</v>
      </c>
      <c r="D3106" t="s">
        <v>81</v>
      </c>
      <c r="E3106" t="s">
        <v>363</v>
      </c>
      <c r="F3106" s="72">
        <v>27.57</v>
      </c>
      <c r="G3106" s="72">
        <v>0</v>
      </c>
    </row>
    <row r="3107" spans="2:7" x14ac:dyDescent="0.25">
      <c r="B3107" s="71">
        <v>43658</v>
      </c>
      <c r="C3107" t="s">
        <v>58</v>
      </c>
      <c r="D3107" t="s">
        <v>87</v>
      </c>
      <c r="E3107" t="s">
        <v>363</v>
      </c>
      <c r="F3107" s="72">
        <v>6.9</v>
      </c>
      <c r="G3107" s="72">
        <v>0</v>
      </c>
    </row>
    <row r="3108" spans="2:7" x14ac:dyDescent="0.25">
      <c r="B3108" s="71">
        <v>43658</v>
      </c>
      <c r="C3108" t="s">
        <v>49</v>
      </c>
      <c r="D3108" t="s">
        <v>81</v>
      </c>
      <c r="E3108" t="s">
        <v>363</v>
      </c>
      <c r="F3108" s="72">
        <v>68</v>
      </c>
      <c r="G3108" s="72">
        <v>0</v>
      </c>
    </row>
    <row r="3109" spans="2:7" x14ac:dyDescent="0.25">
      <c r="B3109" s="71">
        <v>43658</v>
      </c>
      <c r="C3109" t="s">
        <v>56</v>
      </c>
      <c r="D3109" t="s">
        <v>87</v>
      </c>
      <c r="E3109" t="s">
        <v>363</v>
      </c>
      <c r="F3109" s="72">
        <v>882.45</v>
      </c>
      <c r="G3109" s="72">
        <v>0</v>
      </c>
    </row>
    <row r="3110" spans="2:7" x14ac:dyDescent="0.25">
      <c r="B3110" s="71">
        <v>43658</v>
      </c>
      <c r="C3110" t="s">
        <v>76</v>
      </c>
      <c r="D3110" t="s">
        <v>81</v>
      </c>
      <c r="E3110" t="s">
        <v>363</v>
      </c>
      <c r="F3110" s="72">
        <v>62.39</v>
      </c>
      <c r="G3110" s="72">
        <v>0</v>
      </c>
    </row>
    <row r="3111" spans="2:7" x14ac:dyDescent="0.25">
      <c r="B3111" s="71">
        <v>43658</v>
      </c>
      <c r="C3111" t="s">
        <v>53</v>
      </c>
      <c r="D3111" t="s">
        <v>88</v>
      </c>
      <c r="E3111" t="s">
        <v>363</v>
      </c>
      <c r="F3111" s="72">
        <v>186.42</v>
      </c>
      <c r="G3111" s="72">
        <v>0</v>
      </c>
    </row>
    <row r="3112" spans="2:7" x14ac:dyDescent="0.25">
      <c r="B3112" s="71">
        <v>43658</v>
      </c>
      <c r="C3112" t="s">
        <v>53</v>
      </c>
      <c r="D3112" t="s">
        <v>87</v>
      </c>
      <c r="E3112" t="s">
        <v>363</v>
      </c>
      <c r="F3112" s="72">
        <v>20.67</v>
      </c>
      <c r="G3112" s="72">
        <v>0</v>
      </c>
    </row>
    <row r="3113" spans="2:7" x14ac:dyDescent="0.25">
      <c r="B3113" s="71">
        <v>43658</v>
      </c>
      <c r="C3113" t="s">
        <v>59</v>
      </c>
      <c r="D3113" t="s">
        <v>85</v>
      </c>
      <c r="E3113" t="s">
        <v>363</v>
      </c>
      <c r="F3113" s="72">
        <v>25</v>
      </c>
      <c r="G3113" s="72">
        <v>0</v>
      </c>
    </row>
    <row r="3114" spans="2:7" x14ac:dyDescent="0.25">
      <c r="B3114" s="71">
        <v>43658</v>
      </c>
      <c r="C3114" t="s">
        <v>24</v>
      </c>
      <c r="D3114" t="s">
        <v>80</v>
      </c>
      <c r="E3114" t="s">
        <v>363</v>
      </c>
      <c r="F3114" s="72">
        <v>16</v>
      </c>
      <c r="G3114" s="72">
        <v>0</v>
      </c>
    </row>
    <row r="3115" spans="2:7" x14ac:dyDescent="0.25">
      <c r="B3115" s="71">
        <v>43658</v>
      </c>
      <c r="C3115" t="s">
        <v>61</v>
      </c>
      <c r="D3115" t="s">
        <v>87</v>
      </c>
      <c r="E3115" t="s">
        <v>363</v>
      </c>
      <c r="F3115" s="72">
        <v>344.25</v>
      </c>
      <c r="G3115" s="72">
        <v>0</v>
      </c>
    </row>
    <row r="3116" spans="2:7" x14ac:dyDescent="0.25">
      <c r="B3116" s="71">
        <v>43658</v>
      </c>
      <c r="C3116" t="s">
        <v>63</v>
      </c>
      <c r="D3116" t="s">
        <v>87</v>
      </c>
      <c r="E3116" t="s">
        <v>363</v>
      </c>
      <c r="F3116" s="72">
        <v>86.05</v>
      </c>
      <c r="G3116" s="72">
        <v>0</v>
      </c>
    </row>
    <row r="3117" spans="2:7" x14ac:dyDescent="0.25">
      <c r="B3117" s="71">
        <v>43659</v>
      </c>
      <c r="C3117" t="s">
        <v>25</v>
      </c>
      <c r="D3117" t="s">
        <v>82</v>
      </c>
      <c r="E3117" t="s">
        <v>134</v>
      </c>
      <c r="F3117" s="72">
        <v>2.4</v>
      </c>
      <c r="G3117" s="72">
        <v>0</v>
      </c>
    </row>
    <row r="3118" spans="2:7" x14ac:dyDescent="0.25">
      <c r="B3118" s="71">
        <v>43659</v>
      </c>
      <c r="C3118" t="s">
        <v>25</v>
      </c>
      <c r="D3118" t="s">
        <v>85</v>
      </c>
      <c r="E3118" t="s">
        <v>364</v>
      </c>
      <c r="F3118" s="72">
        <v>8.9499999999999993</v>
      </c>
      <c r="G3118" s="72">
        <v>0</v>
      </c>
    </row>
    <row r="3119" spans="2:7" x14ac:dyDescent="0.25">
      <c r="B3119" s="71">
        <v>43659</v>
      </c>
      <c r="C3119" t="s">
        <v>25</v>
      </c>
      <c r="D3119" t="s">
        <v>85</v>
      </c>
      <c r="E3119" t="s">
        <v>364</v>
      </c>
      <c r="F3119" s="72">
        <v>12</v>
      </c>
      <c r="G3119" s="72">
        <v>0</v>
      </c>
    </row>
    <row r="3120" spans="2:7" x14ac:dyDescent="0.25">
      <c r="B3120" s="71">
        <v>43659</v>
      </c>
      <c r="C3120" t="s">
        <v>25</v>
      </c>
      <c r="D3120" t="s">
        <v>85</v>
      </c>
      <c r="E3120" t="s">
        <v>364</v>
      </c>
      <c r="F3120" s="72">
        <v>26</v>
      </c>
      <c r="G3120" s="72">
        <v>0</v>
      </c>
    </row>
    <row r="3121" spans="2:7" x14ac:dyDescent="0.25">
      <c r="B3121" s="71">
        <v>43659</v>
      </c>
      <c r="C3121" t="s">
        <v>21</v>
      </c>
      <c r="D3121" t="s">
        <v>80</v>
      </c>
      <c r="E3121" t="s">
        <v>364</v>
      </c>
      <c r="F3121" s="72">
        <v>8</v>
      </c>
      <c r="G3121" s="72">
        <v>0</v>
      </c>
    </row>
    <row r="3122" spans="2:7" x14ac:dyDescent="0.25">
      <c r="B3122" s="71">
        <v>43659</v>
      </c>
      <c r="C3122" t="s">
        <v>21</v>
      </c>
      <c r="D3122" t="s">
        <v>80</v>
      </c>
      <c r="E3122" t="s">
        <v>364</v>
      </c>
      <c r="F3122" s="72">
        <v>16</v>
      </c>
      <c r="G3122" s="72">
        <v>0</v>
      </c>
    </row>
    <row r="3123" spans="2:7" x14ac:dyDescent="0.25">
      <c r="B3123" s="71">
        <v>43659</v>
      </c>
      <c r="C3123" t="s">
        <v>21</v>
      </c>
      <c r="D3123" t="s">
        <v>80</v>
      </c>
      <c r="E3123" t="s">
        <v>364</v>
      </c>
      <c r="F3123" s="72">
        <v>24</v>
      </c>
      <c r="G3123" s="72">
        <v>0</v>
      </c>
    </row>
    <row r="3124" spans="2:7" x14ac:dyDescent="0.25">
      <c r="B3124" s="71">
        <v>43659</v>
      </c>
      <c r="C3124" t="s">
        <v>56</v>
      </c>
      <c r="D3124" t="s">
        <v>85</v>
      </c>
      <c r="E3124" t="s">
        <v>364</v>
      </c>
      <c r="F3124" s="72">
        <v>24.65</v>
      </c>
      <c r="G3124" s="72">
        <v>0</v>
      </c>
    </row>
    <row r="3125" spans="2:7" x14ac:dyDescent="0.25">
      <c r="B3125" s="71">
        <v>43659</v>
      </c>
      <c r="C3125" t="s">
        <v>51</v>
      </c>
      <c r="D3125" t="s">
        <v>85</v>
      </c>
      <c r="E3125" t="s">
        <v>364</v>
      </c>
      <c r="F3125" s="72">
        <v>425</v>
      </c>
      <c r="G3125" s="72">
        <v>0</v>
      </c>
    </row>
    <row r="3126" spans="2:7" x14ac:dyDescent="0.25">
      <c r="B3126" s="71">
        <v>43659</v>
      </c>
      <c r="C3126" t="s">
        <v>66</v>
      </c>
      <c r="D3126" t="s">
        <v>83</v>
      </c>
      <c r="E3126" t="s">
        <v>364</v>
      </c>
      <c r="F3126" s="72">
        <v>70.23</v>
      </c>
      <c r="G3126" s="72">
        <v>0</v>
      </c>
    </row>
    <row r="3127" spans="2:7" x14ac:dyDescent="0.25">
      <c r="B3127" s="71">
        <v>43659</v>
      </c>
      <c r="C3127" t="s">
        <v>66</v>
      </c>
      <c r="D3127" t="s">
        <v>85</v>
      </c>
      <c r="E3127" t="s">
        <v>364</v>
      </c>
      <c r="F3127" s="72">
        <v>26.38</v>
      </c>
      <c r="G3127" s="72">
        <v>0</v>
      </c>
    </row>
    <row r="3128" spans="2:7" x14ac:dyDescent="0.25">
      <c r="B3128" s="71">
        <v>43659</v>
      </c>
      <c r="C3128" t="s">
        <v>24</v>
      </c>
      <c r="D3128" t="s">
        <v>80</v>
      </c>
      <c r="E3128" t="s">
        <v>364</v>
      </c>
      <c r="F3128" s="72">
        <v>8</v>
      </c>
      <c r="G3128" s="72">
        <v>0</v>
      </c>
    </row>
    <row r="3129" spans="2:7" x14ac:dyDescent="0.25">
      <c r="B3129" s="71">
        <v>43659</v>
      </c>
      <c r="C3129" t="s">
        <v>24</v>
      </c>
      <c r="D3129" t="s">
        <v>80</v>
      </c>
      <c r="E3129" t="s">
        <v>364</v>
      </c>
      <c r="F3129" s="72">
        <v>16</v>
      </c>
      <c r="G3129" s="72">
        <v>0</v>
      </c>
    </row>
    <row r="3130" spans="2:7" x14ac:dyDescent="0.25">
      <c r="B3130" s="71">
        <v>43659</v>
      </c>
      <c r="C3130" t="s">
        <v>24</v>
      </c>
      <c r="D3130" t="s">
        <v>80</v>
      </c>
      <c r="E3130" t="s">
        <v>364</v>
      </c>
      <c r="F3130" s="72">
        <v>24</v>
      </c>
      <c r="G3130" s="72">
        <v>0</v>
      </c>
    </row>
    <row r="3131" spans="2:7" x14ac:dyDescent="0.25">
      <c r="B3131" s="71">
        <v>43659</v>
      </c>
      <c r="C3131" t="s">
        <v>61</v>
      </c>
      <c r="D3131" t="s">
        <v>85</v>
      </c>
      <c r="E3131" t="s">
        <v>364</v>
      </c>
      <c r="F3131" s="72">
        <v>16.05</v>
      </c>
      <c r="G3131" s="72">
        <v>0</v>
      </c>
    </row>
    <row r="3132" spans="2:7" x14ac:dyDescent="0.25">
      <c r="B3132" s="71">
        <v>43661</v>
      </c>
      <c r="C3132" t="s">
        <v>25</v>
      </c>
      <c r="D3132" t="s">
        <v>82</v>
      </c>
      <c r="E3132" t="s">
        <v>198</v>
      </c>
      <c r="F3132" s="72">
        <v>2.5</v>
      </c>
      <c r="G3132" s="72">
        <v>0</v>
      </c>
    </row>
    <row r="3133" spans="2:7" x14ac:dyDescent="0.25">
      <c r="B3133" s="71">
        <v>43661</v>
      </c>
      <c r="C3133" t="s">
        <v>25</v>
      </c>
      <c r="D3133" t="s">
        <v>82</v>
      </c>
      <c r="E3133" t="s">
        <v>149</v>
      </c>
      <c r="F3133" s="72">
        <v>10.5</v>
      </c>
      <c r="G3133" s="72">
        <v>0</v>
      </c>
    </row>
    <row r="3134" spans="2:7" x14ac:dyDescent="0.25">
      <c r="B3134" s="71">
        <v>43661</v>
      </c>
      <c r="C3134" t="s">
        <v>25</v>
      </c>
      <c r="D3134" t="s">
        <v>82</v>
      </c>
      <c r="E3134" t="s">
        <v>173</v>
      </c>
      <c r="F3134" s="72">
        <v>4.75</v>
      </c>
      <c r="G3134" s="72">
        <v>0</v>
      </c>
    </row>
    <row r="3135" spans="2:7" x14ac:dyDescent="0.25">
      <c r="B3135" s="71">
        <v>43661</v>
      </c>
      <c r="C3135" t="s">
        <v>25</v>
      </c>
      <c r="D3135" t="s">
        <v>82</v>
      </c>
      <c r="E3135" t="s">
        <v>151</v>
      </c>
      <c r="F3135" s="72">
        <v>14</v>
      </c>
      <c r="G3135" s="72">
        <v>0</v>
      </c>
    </row>
    <row r="3136" spans="2:7" x14ac:dyDescent="0.25">
      <c r="B3136" s="71">
        <v>43661</v>
      </c>
      <c r="C3136" t="s">
        <v>25</v>
      </c>
      <c r="D3136" t="s">
        <v>85</v>
      </c>
      <c r="E3136" t="s">
        <v>365</v>
      </c>
      <c r="F3136" s="72">
        <v>122</v>
      </c>
      <c r="G3136" s="72">
        <v>0</v>
      </c>
    </row>
    <row r="3137" spans="2:7" x14ac:dyDescent="0.25">
      <c r="B3137" s="71">
        <v>43661</v>
      </c>
      <c r="C3137" t="s">
        <v>57</v>
      </c>
      <c r="D3137" t="s">
        <v>85</v>
      </c>
      <c r="E3137" t="s">
        <v>365</v>
      </c>
      <c r="F3137" s="72">
        <v>187.65</v>
      </c>
      <c r="G3137" s="72">
        <v>0</v>
      </c>
    </row>
    <row r="3138" spans="2:7" x14ac:dyDescent="0.25">
      <c r="B3138" s="71">
        <v>43661</v>
      </c>
      <c r="C3138" t="s">
        <v>21</v>
      </c>
      <c r="D3138" t="s">
        <v>80</v>
      </c>
      <c r="E3138" t="s">
        <v>365</v>
      </c>
      <c r="F3138" s="72">
        <v>8</v>
      </c>
      <c r="G3138" s="72">
        <v>0</v>
      </c>
    </row>
    <row r="3139" spans="2:7" x14ac:dyDescent="0.25">
      <c r="B3139" s="71">
        <v>43661</v>
      </c>
      <c r="C3139" t="s">
        <v>21</v>
      </c>
      <c r="D3139" t="s">
        <v>80</v>
      </c>
      <c r="E3139" t="s">
        <v>365</v>
      </c>
      <c r="F3139" s="72">
        <v>16</v>
      </c>
      <c r="G3139" s="72">
        <v>0</v>
      </c>
    </row>
    <row r="3140" spans="2:7" x14ac:dyDescent="0.25">
      <c r="B3140" s="71">
        <v>43661</v>
      </c>
      <c r="C3140" t="s">
        <v>21</v>
      </c>
      <c r="D3140" t="s">
        <v>80</v>
      </c>
      <c r="E3140" t="s">
        <v>365</v>
      </c>
      <c r="F3140" s="72">
        <v>24</v>
      </c>
      <c r="G3140" s="72">
        <v>0</v>
      </c>
    </row>
    <row r="3141" spans="2:7" x14ac:dyDescent="0.25">
      <c r="B3141" s="71">
        <v>43661</v>
      </c>
      <c r="C3141" t="s">
        <v>66</v>
      </c>
      <c r="D3141" t="s">
        <v>85</v>
      </c>
      <c r="E3141" t="s">
        <v>365</v>
      </c>
      <c r="F3141" s="72">
        <v>17.28</v>
      </c>
      <c r="G3141" s="72">
        <v>0</v>
      </c>
    </row>
    <row r="3142" spans="2:7" x14ac:dyDescent="0.25">
      <c r="B3142" s="71">
        <v>43661</v>
      </c>
      <c r="C3142" t="s">
        <v>24</v>
      </c>
      <c r="D3142" t="s">
        <v>80</v>
      </c>
      <c r="E3142" t="s">
        <v>365</v>
      </c>
      <c r="F3142" s="72">
        <v>8</v>
      </c>
      <c r="G3142" s="72">
        <v>0</v>
      </c>
    </row>
    <row r="3143" spans="2:7" x14ac:dyDescent="0.25">
      <c r="B3143" s="71">
        <v>43662</v>
      </c>
      <c r="C3143" t="s">
        <v>25</v>
      </c>
      <c r="D3143" t="s">
        <v>82</v>
      </c>
      <c r="E3143" t="s">
        <v>198</v>
      </c>
      <c r="F3143" s="72">
        <v>5</v>
      </c>
      <c r="G3143" s="72">
        <v>0</v>
      </c>
    </row>
    <row r="3144" spans="2:7" x14ac:dyDescent="0.25">
      <c r="B3144" s="71">
        <v>43662</v>
      </c>
      <c r="C3144" t="s">
        <v>25</v>
      </c>
      <c r="D3144" t="s">
        <v>82</v>
      </c>
      <c r="E3144" t="s">
        <v>196</v>
      </c>
      <c r="F3144" s="72">
        <v>26</v>
      </c>
      <c r="G3144" s="72">
        <v>0</v>
      </c>
    </row>
    <row r="3145" spans="2:7" x14ac:dyDescent="0.25">
      <c r="B3145" s="71">
        <v>43662</v>
      </c>
      <c r="C3145" t="s">
        <v>25</v>
      </c>
      <c r="D3145" t="s">
        <v>82</v>
      </c>
      <c r="E3145" t="s">
        <v>254</v>
      </c>
      <c r="F3145" s="72">
        <v>1.8</v>
      </c>
      <c r="G3145" s="72">
        <v>0</v>
      </c>
    </row>
    <row r="3146" spans="2:7" x14ac:dyDescent="0.25">
      <c r="B3146" s="71">
        <v>43662</v>
      </c>
      <c r="C3146" t="s">
        <v>25</v>
      </c>
      <c r="D3146" t="s">
        <v>85</v>
      </c>
      <c r="E3146" t="s">
        <v>366</v>
      </c>
      <c r="F3146" s="72">
        <v>12</v>
      </c>
      <c r="G3146" s="72">
        <v>0</v>
      </c>
    </row>
    <row r="3147" spans="2:7" x14ac:dyDescent="0.25">
      <c r="B3147" s="71">
        <v>43662</v>
      </c>
      <c r="C3147" t="s">
        <v>57</v>
      </c>
      <c r="D3147" t="s">
        <v>85</v>
      </c>
      <c r="E3147" t="s">
        <v>366</v>
      </c>
      <c r="F3147" s="72">
        <v>38</v>
      </c>
      <c r="G3147" s="72">
        <v>0</v>
      </c>
    </row>
    <row r="3148" spans="2:7" x14ac:dyDescent="0.25">
      <c r="B3148" s="71">
        <v>43662</v>
      </c>
      <c r="C3148" t="s">
        <v>21</v>
      </c>
      <c r="D3148" t="s">
        <v>80</v>
      </c>
      <c r="E3148" t="s">
        <v>366</v>
      </c>
      <c r="F3148" s="72">
        <v>8</v>
      </c>
      <c r="G3148" s="72">
        <v>0</v>
      </c>
    </row>
    <row r="3149" spans="2:7" x14ac:dyDescent="0.25">
      <c r="B3149" s="71">
        <v>43662</v>
      </c>
      <c r="C3149" t="s">
        <v>21</v>
      </c>
      <c r="D3149" t="s">
        <v>80</v>
      </c>
      <c r="E3149" t="s">
        <v>366</v>
      </c>
      <c r="F3149" s="72">
        <v>16</v>
      </c>
      <c r="G3149" s="72">
        <v>0</v>
      </c>
    </row>
    <row r="3150" spans="2:7" x14ac:dyDescent="0.25">
      <c r="B3150" s="71">
        <v>43662</v>
      </c>
      <c r="C3150" t="s">
        <v>21</v>
      </c>
      <c r="D3150" t="s">
        <v>80</v>
      </c>
      <c r="E3150" t="s">
        <v>366</v>
      </c>
      <c r="F3150" s="72">
        <v>32</v>
      </c>
      <c r="G3150" s="72">
        <v>0</v>
      </c>
    </row>
    <row r="3151" spans="2:7" x14ac:dyDescent="0.25">
      <c r="B3151" s="71">
        <v>43662</v>
      </c>
      <c r="C3151" t="s">
        <v>21</v>
      </c>
      <c r="D3151" t="s">
        <v>80</v>
      </c>
      <c r="E3151" t="s">
        <v>366</v>
      </c>
      <c r="F3151" s="72">
        <v>40</v>
      </c>
      <c r="G3151" s="72">
        <v>0</v>
      </c>
    </row>
    <row r="3152" spans="2:7" x14ac:dyDescent="0.25">
      <c r="B3152" s="71">
        <v>43662</v>
      </c>
      <c r="C3152" t="s">
        <v>21</v>
      </c>
      <c r="D3152" t="s">
        <v>85</v>
      </c>
      <c r="E3152" t="s">
        <v>366</v>
      </c>
      <c r="F3152" s="72">
        <v>149.5</v>
      </c>
      <c r="G3152" s="72">
        <v>0</v>
      </c>
    </row>
    <row r="3153" spans="2:7" x14ac:dyDescent="0.25">
      <c r="B3153" s="71">
        <v>43662</v>
      </c>
      <c r="C3153" t="s">
        <v>21</v>
      </c>
      <c r="D3153" t="s">
        <v>85</v>
      </c>
      <c r="E3153" t="s">
        <v>366</v>
      </c>
      <c r="F3153" s="72">
        <v>182</v>
      </c>
      <c r="G3153" s="72">
        <v>0</v>
      </c>
    </row>
    <row r="3154" spans="2:7" x14ac:dyDescent="0.25">
      <c r="B3154" s="71">
        <v>43662</v>
      </c>
      <c r="C3154" t="s">
        <v>21</v>
      </c>
      <c r="D3154" t="s">
        <v>85</v>
      </c>
      <c r="E3154" t="s">
        <v>366</v>
      </c>
      <c r="F3154" s="72">
        <v>338</v>
      </c>
      <c r="G3154" s="72">
        <v>0</v>
      </c>
    </row>
    <row r="3155" spans="2:7" x14ac:dyDescent="0.25">
      <c r="B3155" s="71">
        <v>43662</v>
      </c>
      <c r="C3155" t="s">
        <v>78</v>
      </c>
      <c r="D3155" t="s">
        <v>86</v>
      </c>
      <c r="E3155" t="s">
        <v>366</v>
      </c>
      <c r="F3155" s="72">
        <v>1000</v>
      </c>
      <c r="G3155" s="72">
        <v>0</v>
      </c>
    </row>
    <row r="3156" spans="2:7" x14ac:dyDescent="0.25">
      <c r="B3156" s="71">
        <v>43662</v>
      </c>
      <c r="C3156" t="s">
        <v>24</v>
      </c>
      <c r="D3156" t="s">
        <v>80</v>
      </c>
      <c r="E3156" t="s">
        <v>366</v>
      </c>
      <c r="F3156" s="72">
        <v>8</v>
      </c>
      <c r="G3156" s="72">
        <v>0</v>
      </c>
    </row>
    <row r="3157" spans="2:7" x14ac:dyDescent="0.25">
      <c r="B3157" s="71">
        <v>43662</v>
      </c>
      <c r="C3157" t="s">
        <v>61</v>
      </c>
      <c r="D3157" t="s">
        <v>85</v>
      </c>
      <c r="E3157" t="s">
        <v>366</v>
      </c>
      <c r="F3157" s="72">
        <v>16.05</v>
      </c>
      <c r="G3157" s="72">
        <v>0</v>
      </c>
    </row>
    <row r="3158" spans="2:7" x14ac:dyDescent="0.25">
      <c r="B3158" s="71">
        <v>43663</v>
      </c>
      <c r="C3158" t="s">
        <v>25</v>
      </c>
      <c r="D3158" t="s">
        <v>85</v>
      </c>
      <c r="E3158" t="s">
        <v>367</v>
      </c>
      <c r="F3158" s="72">
        <v>12</v>
      </c>
      <c r="G3158" s="72">
        <v>0</v>
      </c>
    </row>
    <row r="3159" spans="2:7" x14ac:dyDescent="0.25">
      <c r="B3159" s="71">
        <v>43663</v>
      </c>
      <c r="C3159" t="s">
        <v>25</v>
      </c>
      <c r="D3159" t="s">
        <v>85</v>
      </c>
      <c r="E3159" t="s">
        <v>367</v>
      </c>
      <c r="F3159" s="72">
        <v>34</v>
      </c>
      <c r="G3159" s="72">
        <v>0</v>
      </c>
    </row>
    <row r="3160" spans="2:7" x14ac:dyDescent="0.25">
      <c r="B3160" s="71">
        <v>43663</v>
      </c>
      <c r="C3160" t="s">
        <v>55</v>
      </c>
      <c r="D3160" t="s">
        <v>80</v>
      </c>
      <c r="E3160" t="s">
        <v>367</v>
      </c>
      <c r="F3160" s="72">
        <v>153.85</v>
      </c>
      <c r="G3160" s="72">
        <v>0</v>
      </c>
    </row>
    <row r="3161" spans="2:7" x14ac:dyDescent="0.25">
      <c r="B3161" s="71">
        <v>43663</v>
      </c>
      <c r="C3161" t="s">
        <v>55</v>
      </c>
      <c r="D3161" t="s">
        <v>86</v>
      </c>
      <c r="E3161" t="s">
        <v>367</v>
      </c>
      <c r="F3161" s="72">
        <v>71.94</v>
      </c>
      <c r="G3161" s="72">
        <v>0</v>
      </c>
    </row>
    <row r="3162" spans="2:7" x14ac:dyDescent="0.25">
      <c r="B3162" s="71">
        <v>43663</v>
      </c>
      <c r="C3162" t="s">
        <v>47</v>
      </c>
      <c r="D3162" t="s">
        <v>85</v>
      </c>
      <c r="E3162" t="s">
        <v>367</v>
      </c>
      <c r="F3162" s="72">
        <v>96.05</v>
      </c>
      <c r="G3162" s="72">
        <v>0</v>
      </c>
    </row>
    <row r="3163" spans="2:7" x14ac:dyDescent="0.25">
      <c r="B3163" s="71">
        <v>43663</v>
      </c>
      <c r="C3163" t="s">
        <v>48</v>
      </c>
      <c r="D3163" t="s">
        <v>85</v>
      </c>
      <c r="E3163" t="s">
        <v>367</v>
      </c>
      <c r="F3163" s="72">
        <v>855.52</v>
      </c>
      <c r="G3163" s="72">
        <v>0</v>
      </c>
    </row>
    <row r="3164" spans="2:7" x14ac:dyDescent="0.25">
      <c r="B3164" s="71">
        <v>43663</v>
      </c>
      <c r="C3164" t="s">
        <v>21</v>
      </c>
      <c r="D3164" t="s">
        <v>80</v>
      </c>
      <c r="E3164" t="s">
        <v>367</v>
      </c>
      <c r="F3164" s="72">
        <v>8</v>
      </c>
      <c r="G3164" s="72">
        <v>0</v>
      </c>
    </row>
    <row r="3165" spans="2:7" x14ac:dyDescent="0.25">
      <c r="B3165" s="71">
        <v>43663</v>
      </c>
      <c r="C3165" t="s">
        <v>21</v>
      </c>
      <c r="D3165" t="s">
        <v>80</v>
      </c>
      <c r="E3165" t="s">
        <v>367</v>
      </c>
      <c r="F3165" s="72">
        <v>16</v>
      </c>
      <c r="G3165" s="72">
        <v>0</v>
      </c>
    </row>
    <row r="3166" spans="2:7" x14ac:dyDescent="0.25">
      <c r="B3166" s="71">
        <v>43663</v>
      </c>
      <c r="C3166" t="s">
        <v>21</v>
      </c>
      <c r="D3166" t="s">
        <v>80</v>
      </c>
      <c r="E3166" t="s">
        <v>367</v>
      </c>
      <c r="F3166" s="72">
        <v>24</v>
      </c>
      <c r="G3166" s="72">
        <v>0</v>
      </c>
    </row>
    <row r="3167" spans="2:7" x14ac:dyDescent="0.25">
      <c r="B3167" s="71">
        <v>43663</v>
      </c>
      <c r="C3167" t="s">
        <v>21</v>
      </c>
      <c r="D3167" t="s">
        <v>80</v>
      </c>
      <c r="E3167" t="s">
        <v>367</v>
      </c>
      <c r="F3167" s="72">
        <v>56</v>
      </c>
      <c r="G3167" s="72">
        <v>0</v>
      </c>
    </row>
    <row r="3168" spans="2:7" x14ac:dyDescent="0.25">
      <c r="B3168" s="71">
        <v>43663</v>
      </c>
      <c r="C3168" t="s">
        <v>21</v>
      </c>
      <c r="D3168" t="s">
        <v>80</v>
      </c>
      <c r="E3168" t="s">
        <v>367</v>
      </c>
      <c r="F3168" s="72">
        <v>80</v>
      </c>
      <c r="G3168" s="72">
        <v>0</v>
      </c>
    </row>
    <row r="3169" spans="2:7" x14ac:dyDescent="0.25">
      <c r="B3169" s="71">
        <v>43663</v>
      </c>
      <c r="C3169" t="s">
        <v>56</v>
      </c>
      <c r="D3169" t="s">
        <v>85</v>
      </c>
      <c r="E3169" t="s">
        <v>367</v>
      </c>
      <c r="F3169" s="72">
        <v>609</v>
      </c>
      <c r="G3169" s="72">
        <v>0</v>
      </c>
    </row>
    <row r="3170" spans="2:7" x14ac:dyDescent="0.25">
      <c r="B3170" s="71">
        <v>43663</v>
      </c>
      <c r="C3170" t="s">
        <v>24</v>
      </c>
      <c r="D3170" t="s">
        <v>80</v>
      </c>
      <c r="E3170" t="s">
        <v>367</v>
      </c>
      <c r="F3170" s="72">
        <v>8</v>
      </c>
      <c r="G3170" s="72">
        <v>0</v>
      </c>
    </row>
    <row r="3171" spans="2:7" x14ac:dyDescent="0.25">
      <c r="B3171" s="71">
        <v>43664</v>
      </c>
      <c r="C3171" t="s">
        <v>25</v>
      </c>
      <c r="D3171" t="s">
        <v>82</v>
      </c>
      <c r="E3171" t="s">
        <v>218</v>
      </c>
      <c r="F3171" s="72">
        <v>2.25</v>
      </c>
      <c r="G3171" s="72">
        <v>0</v>
      </c>
    </row>
    <row r="3172" spans="2:7" x14ac:dyDescent="0.25">
      <c r="B3172" s="71">
        <v>43664</v>
      </c>
      <c r="C3172" t="s">
        <v>25</v>
      </c>
      <c r="D3172" t="s">
        <v>82</v>
      </c>
      <c r="E3172" t="s">
        <v>180</v>
      </c>
      <c r="F3172" s="72">
        <v>1.8</v>
      </c>
      <c r="G3172" s="72">
        <v>0</v>
      </c>
    </row>
    <row r="3173" spans="2:7" x14ac:dyDescent="0.25">
      <c r="B3173" s="71">
        <v>43664</v>
      </c>
      <c r="C3173" t="s">
        <v>60</v>
      </c>
      <c r="D3173" t="s">
        <v>87</v>
      </c>
      <c r="E3173" t="s">
        <v>368</v>
      </c>
      <c r="F3173" s="72">
        <v>179.24</v>
      </c>
      <c r="G3173" s="72">
        <v>0</v>
      </c>
    </row>
    <row r="3174" spans="2:7" x14ac:dyDescent="0.25">
      <c r="B3174" s="71">
        <v>43664</v>
      </c>
      <c r="C3174" t="s">
        <v>58</v>
      </c>
      <c r="D3174" t="s">
        <v>87</v>
      </c>
      <c r="E3174" t="s">
        <v>368</v>
      </c>
      <c r="F3174" s="72">
        <v>13.8</v>
      </c>
      <c r="G3174" s="72">
        <v>0</v>
      </c>
    </row>
    <row r="3175" spans="2:7" x14ac:dyDescent="0.25">
      <c r="B3175" s="71">
        <v>43664</v>
      </c>
      <c r="C3175" t="s">
        <v>21</v>
      </c>
      <c r="D3175" t="s">
        <v>80</v>
      </c>
      <c r="E3175" t="s">
        <v>368</v>
      </c>
      <c r="F3175" s="72">
        <v>16</v>
      </c>
      <c r="G3175" s="72">
        <v>0</v>
      </c>
    </row>
    <row r="3176" spans="2:7" x14ac:dyDescent="0.25">
      <c r="B3176" s="71">
        <v>43664</v>
      </c>
      <c r="C3176" t="s">
        <v>21</v>
      </c>
      <c r="D3176" t="s">
        <v>80</v>
      </c>
      <c r="E3176" t="s">
        <v>368</v>
      </c>
      <c r="F3176" s="72">
        <v>24</v>
      </c>
      <c r="G3176" s="72">
        <v>0</v>
      </c>
    </row>
    <row r="3177" spans="2:7" x14ac:dyDescent="0.25">
      <c r="B3177" s="71">
        <v>43664</v>
      </c>
      <c r="C3177" t="s">
        <v>21</v>
      </c>
      <c r="D3177" t="s">
        <v>80</v>
      </c>
      <c r="E3177" t="s">
        <v>368</v>
      </c>
      <c r="F3177" s="72">
        <v>32</v>
      </c>
      <c r="G3177" s="72">
        <v>0</v>
      </c>
    </row>
    <row r="3178" spans="2:7" x14ac:dyDescent="0.25">
      <c r="B3178" s="71">
        <v>43664</v>
      </c>
      <c r="C3178" t="s">
        <v>21</v>
      </c>
      <c r="D3178" t="s">
        <v>80</v>
      </c>
      <c r="E3178" t="s">
        <v>368</v>
      </c>
      <c r="F3178" s="72">
        <v>40</v>
      </c>
      <c r="G3178" s="72">
        <v>0</v>
      </c>
    </row>
    <row r="3179" spans="2:7" x14ac:dyDescent="0.25">
      <c r="B3179" s="71">
        <v>43664</v>
      </c>
      <c r="C3179" t="s">
        <v>21</v>
      </c>
      <c r="D3179" t="s">
        <v>80</v>
      </c>
      <c r="E3179" t="s">
        <v>368</v>
      </c>
      <c r="F3179" s="72">
        <v>48</v>
      </c>
      <c r="G3179" s="72">
        <v>0</v>
      </c>
    </row>
    <row r="3180" spans="2:7" x14ac:dyDescent="0.25">
      <c r="B3180" s="71">
        <v>43664</v>
      </c>
      <c r="C3180" t="s">
        <v>21</v>
      </c>
      <c r="D3180" t="s">
        <v>80</v>
      </c>
      <c r="E3180" t="s">
        <v>368</v>
      </c>
      <c r="F3180" s="72">
        <v>56</v>
      </c>
      <c r="G3180" s="72">
        <v>0</v>
      </c>
    </row>
    <row r="3181" spans="2:7" x14ac:dyDescent="0.25">
      <c r="B3181" s="71">
        <v>43664</v>
      </c>
      <c r="C3181" t="s">
        <v>49</v>
      </c>
      <c r="D3181" t="s">
        <v>87</v>
      </c>
      <c r="E3181" t="s">
        <v>368</v>
      </c>
      <c r="F3181" s="72">
        <v>1086.1400000000001</v>
      </c>
      <c r="G3181" s="72">
        <v>0</v>
      </c>
    </row>
    <row r="3182" spans="2:7" x14ac:dyDescent="0.25">
      <c r="B3182" s="71">
        <v>43664</v>
      </c>
      <c r="C3182" t="s">
        <v>49</v>
      </c>
      <c r="D3182" t="s">
        <v>85</v>
      </c>
      <c r="E3182" t="s">
        <v>368</v>
      </c>
      <c r="F3182" s="72">
        <v>40</v>
      </c>
      <c r="G3182" s="72">
        <v>0</v>
      </c>
    </row>
    <row r="3183" spans="2:7" x14ac:dyDescent="0.25">
      <c r="B3183" s="71">
        <v>43664</v>
      </c>
      <c r="C3183" t="s">
        <v>46</v>
      </c>
      <c r="D3183" t="s">
        <v>86</v>
      </c>
      <c r="E3183" t="s">
        <v>368</v>
      </c>
      <c r="F3183" s="72">
        <v>70.900000000000006</v>
      </c>
      <c r="G3183" s="72">
        <v>0</v>
      </c>
    </row>
    <row r="3184" spans="2:7" x14ac:dyDescent="0.25">
      <c r="B3184" s="71">
        <v>43664</v>
      </c>
      <c r="C3184" t="s">
        <v>51</v>
      </c>
      <c r="D3184" t="s">
        <v>80</v>
      </c>
      <c r="E3184" t="s">
        <v>368</v>
      </c>
      <c r="F3184" s="72">
        <v>49.97</v>
      </c>
      <c r="G3184" s="72">
        <v>0</v>
      </c>
    </row>
    <row r="3185" spans="2:7" x14ac:dyDescent="0.25">
      <c r="B3185" s="71">
        <v>43664</v>
      </c>
      <c r="C3185" t="s">
        <v>53</v>
      </c>
      <c r="D3185" t="s">
        <v>86</v>
      </c>
      <c r="E3185" t="s">
        <v>368</v>
      </c>
      <c r="F3185" s="72">
        <v>148.85</v>
      </c>
      <c r="G3185" s="72">
        <v>0</v>
      </c>
    </row>
    <row r="3186" spans="2:7" x14ac:dyDescent="0.25">
      <c r="B3186" s="71">
        <v>43664</v>
      </c>
      <c r="C3186" t="s">
        <v>24</v>
      </c>
      <c r="D3186" t="s">
        <v>80</v>
      </c>
      <c r="E3186" t="s">
        <v>368</v>
      </c>
      <c r="F3186" s="72">
        <v>8</v>
      </c>
      <c r="G3186" s="72">
        <v>0</v>
      </c>
    </row>
    <row r="3187" spans="2:7" x14ac:dyDescent="0.25">
      <c r="B3187" s="71">
        <v>43665</v>
      </c>
      <c r="C3187" t="s">
        <v>25</v>
      </c>
      <c r="D3187" t="s">
        <v>86</v>
      </c>
      <c r="E3187" t="s">
        <v>369</v>
      </c>
      <c r="F3187" s="72">
        <v>30</v>
      </c>
      <c r="G3187" s="72">
        <v>0</v>
      </c>
    </row>
    <row r="3188" spans="2:7" x14ac:dyDescent="0.25">
      <c r="B3188" s="71">
        <v>43665</v>
      </c>
      <c r="C3188" t="s">
        <v>25</v>
      </c>
      <c r="D3188" t="s">
        <v>86</v>
      </c>
      <c r="E3188" t="s">
        <v>369</v>
      </c>
      <c r="F3188" s="72">
        <v>182.25</v>
      </c>
      <c r="G3188" s="72">
        <v>0</v>
      </c>
    </row>
    <row r="3189" spans="2:7" x14ac:dyDescent="0.25">
      <c r="B3189" s="71">
        <v>43665</v>
      </c>
      <c r="C3189" t="s">
        <v>25</v>
      </c>
      <c r="D3189" t="s">
        <v>88</v>
      </c>
      <c r="E3189" t="s">
        <v>369</v>
      </c>
      <c r="F3189" s="72">
        <v>39.950000000000003</v>
      </c>
      <c r="G3189" s="72">
        <v>0</v>
      </c>
    </row>
    <row r="3190" spans="2:7" x14ac:dyDescent="0.25">
      <c r="B3190" s="71">
        <v>43665</v>
      </c>
      <c r="C3190" t="s">
        <v>25</v>
      </c>
      <c r="D3190" t="s">
        <v>88</v>
      </c>
      <c r="E3190" t="s">
        <v>369</v>
      </c>
      <c r="F3190" s="72">
        <v>71.94</v>
      </c>
      <c r="G3190" s="72">
        <v>0</v>
      </c>
    </row>
    <row r="3191" spans="2:7" x14ac:dyDescent="0.25">
      <c r="B3191" s="71">
        <v>43665</v>
      </c>
      <c r="C3191" t="s">
        <v>25</v>
      </c>
      <c r="D3191" t="s">
        <v>82</v>
      </c>
      <c r="E3191" t="s">
        <v>188</v>
      </c>
      <c r="F3191" s="72">
        <v>7.35</v>
      </c>
      <c r="G3191" s="72">
        <v>0</v>
      </c>
    </row>
    <row r="3192" spans="2:7" x14ac:dyDescent="0.25">
      <c r="B3192" s="71">
        <v>43665</v>
      </c>
      <c r="C3192" t="s">
        <v>21</v>
      </c>
      <c r="D3192" t="s">
        <v>80</v>
      </c>
      <c r="E3192" t="s">
        <v>369</v>
      </c>
      <c r="F3192" s="72">
        <v>8</v>
      </c>
      <c r="G3192" s="72">
        <v>0</v>
      </c>
    </row>
    <row r="3193" spans="2:7" x14ac:dyDescent="0.25">
      <c r="B3193" s="71">
        <v>43665</v>
      </c>
      <c r="C3193" t="s">
        <v>21</v>
      </c>
      <c r="D3193" t="s">
        <v>80</v>
      </c>
      <c r="E3193" t="s">
        <v>369</v>
      </c>
      <c r="F3193" s="72">
        <v>16</v>
      </c>
      <c r="G3193" s="72">
        <v>0</v>
      </c>
    </row>
    <row r="3194" spans="2:7" x14ac:dyDescent="0.25">
      <c r="B3194" s="71">
        <v>43665</v>
      </c>
      <c r="C3194" t="s">
        <v>21</v>
      </c>
      <c r="D3194" t="s">
        <v>80</v>
      </c>
      <c r="E3194" t="s">
        <v>369</v>
      </c>
      <c r="F3194" s="72">
        <v>32</v>
      </c>
      <c r="G3194" s="72">
        <v>0</v>
      </c>
    </row>
    <row r="3195" spans="2:7" x14ac:dyDescent="0.25">
      <c r="B3195" s="71">
        <v>43665</v>
      </c>
      <c r="C3195" t="s">
        <v>21</v>
      </c>
      <c r="D3195" t="s">
        <v>80</v>
      </c>
      <c r="E3195" t="s">
        <v>369</v>
      </c>
      <c r="F3195" s="72">
        <v>56</v>
      </c>
      <c r="G3195" s="72">
        <v>0</v>
      </c>
    </row>
    <row r="3196" spans="2:7" x14ac:dyDescent="0.25">
      <c r="B3196" s="71">
        <v>43665</v>
      </c>
      <c r="C3196" t="s">
        <v>21</v>
      </c>
      <c r="D3196" t="s">
        <v>81</v>
      </c>
      <c r="E3196" t="s">
        <v>369</v>
      </c>
      <c r="F3196" s="72">
        <v>0</v>
      </c>
      <c r="G3196" s="72">
        <v>8</v>
      </c>
    </row>
    <row r="3197" spans="2:7" x14ac:dyDescent="0.25">
      <c r="B3197" s="71">
        <v>43665</v>
      </c>
      <c r="C3197" t="s">
        <v>21</v>
      </c>
      <c r="D3197" t="s">
        <v>117</v>
      </c>
      <c r="E3197" t="s">
        <v>370</v>
      </c>
      <c r="F3197" s="72">
        <v>16.68</v>
      </c>
      <c r="G3197" s="72">
        <v>0</v>
      </c>
    </row>
    <row r="3198" spans="2:7" x14ac:dyDescent="0.25">
      <c r="B3198" s="71">
        <v>43665</v>
      </c>
      <c r="C3198" t="s">
        <v>49</v>
      </c>
      <c r="D3198" t="s">
        <v>87</v>
      </c>
      <c r="E3198" t="s">
        <v>369</v>
      </c>
      <c r="F3198" s="72">
        <v>224</v>
      </c>
      <c r="G3198" s="72">
        <v>0</v>
      </c>
    </row>
    <row r="3199" spans="2:7" x14ac:dyDescent="0.25">
      <c r="B3199" s="71">
        <v>43665</v>
      </c>
      <c r="C3199" t="s">
        <v>46</v>
      </c>
      <c r="D3199" t="s">
        <v>86</v>
      </c>
      <c r="E3199" t="s">
        <v>369</v>
      </c>
      <c r="F3199" s="72">
        <v>63.46</v>
      </c>
      <c r="G3199" s="72">
        <v>0</v>
      </c>
    </row>
    <row r="3200" spans="2:7" x14ac:dyDescent="0.25">
      <c r="B3200" s="71">
        <v>43665</v>
      </c>
      <c r="C3200" t="s">
        <v>66</v>
      </c>
      <c r="D3200" t="s">
        <v>86</v>
      </c>
      <c r="E3200" t="s">
        <v>369</v>
      </c>
      <c r="F3200" s="72">
        <v>30</v>
      </c>
      <c r="G3200" s="72">
        <v>0</v>
      </c>
    </row>
    <row r="3201" spans="2:7" x14ac:dyDescent="0.25">
      <c r="B3201" s="71">
        <v>43665</v>
      </c>
      <c r="C3201" t="s">
        <v>66</v>
      </c>
      <c r="D3201" t="s">
        <v>85</v>
      </c>
      <c r="E3201" t="s">
        <v>369</v>
      </c>
      <c r="F3201" s="72">
        <v>8.4</v>
      </c>
      <c r="G3201" s="72">
        <v>0</v>
      </c>
    </row>
    <row r="3202" spans="2:7" x14ac:dyDescent="0.25">
      <c r="B3202" s="71">
        <v>43665</v>
      </c>
      <c r="C3202" t="s">
        <v>24</v>
      </c>
      <c r="D3202" t="s">
        <v>80</v>
      </c>
      <c r="E3202" t="s">
        <v>369</v>
      </c>
      <c r="F3202" s="72">
        <v>8</v>
      </c>
      <c r="G3202" s="72">
        <v>0</v>
      </c>
    </row>
    <row r="3203" spans="2:7" x14ac:dyDescent="0.25">
      <c r="B3203" s="71">
        <v>43665</v>
      </c>
      <c r="C3203" t="s">
        <v>24</v>
      </c>
      <c r="D3203" t="s">
        <v>80</v>
      </c>
      <c r="E3203" t="s">
        <v>369</v>
      </c>
      <c r="F3203" s="72">
        <v>16</v>
      </c>
      <c r="G3203" s="72">
        <v>0</v>
      </c>
    </row>
    <row r="3204" spans="2:7" x14ac:dyDescent="0.25">
      <c r="B3204" s="71">
        <v>43665</v>
      </c>
      <c r="C3204" t="s">
        <v>62</v>
      </c>
      <c r="D3204" t="s">
        <v>85</v>
      </c>
      <c r="E3204" t="s">
        <v>369</v>
      </c>
      <c r="F3204" s="72">
        <v>18.68</v>
      </c>
      <c r="G3204" s="72">
        <v>0</v>
      </c>
    </row>
    <row r="3205" spans="2:7" x14ac:dyDescent="0.25">
      <c r="B3205" s="71">
        <v>43666</v>
      </c>
      <c r="C3205" t="s">
        <v>25</v>
      </c>
      <c r="D3205" t="s">
        <v>85</v>
      </c>
      <c r="E3205" t="s">
        <v>371</v>
      </c>
      <c r="F3205" s="72">
        <v>40</v>
      </c>
      <c r="G3205" s="72">
        <v>0</v>
      </c>
    </row>
    <row r="3206" spans="2:7" x14ac:dyDescent="0.25">
      <c r="B3206" s="71">
        <v>43666</v>
      </c>
      <c r="C3206" t="s">
        <v>21</v>
      </c>
      <c r="D3206" t="s">
        <v>80</v>
      </c>
      <c r="E3206" t="s">
        <v>371</v>
      </c>
      <c r="F3206" s="72">
        <v>8</v>
      </c>
      <c r="G3206" s="72">
        <v>0</v>
      </c>
    </row>
    <row r="3207" spans="2:7" x14ac:dyDescent="0.25">
      <c r="B3207" s="71">
        <v>43666</v>
      </c>
      <c r="C3207" t="s">
        <v>21</v>
      </c>
      <c r="D3207" t="s">
        <v>80</v>
      </c>
      <c r="E3207" t="s">
        <v>371</v>
      </c>
      <c r="F3207" s="72">
        <v>16</v>
      </c>
      <c r="G3207" s="72">
        <v>0</v>
      </c>
    </row>
    <row r="3208" spans="2:7" x14ac:dyDescent="0.25">
      <c r="B3208" s="71">
        <v>43666</v>
      </c>
      <c r="C3208" t="s">
        <v>21</v>
      </c>
      <c r="D3208" t="s">
        <v>80</v>
      </c>
      <c r="E3208" t="s">
        <v>371</v>
      </c>
      <c r="F3208" s="72">
        <v>24</v>
      </c>
      <c r="G3208" s="72">
        <v>0</v>
      </c>
    </row>
    <row r="3209" spans="2:7" x14ac:dyDescent="0.25">
      <c r="B3209" s="71">
        <v>43666</v>
      </c>
      <c r="C3209" t="s">
        <v>21</v>
      </c>
      <c r="D3209" t="s">
        <v>80</v>
      </c>
      <c r="E3209" t="s">
        <v>371</v>
      </c>
      <c r="F3209" s="72">
        <v>32</v>
      </c>
      <c r="G3209" s="72">
        <v>0</v>
      </c>
    </row>
    <row r="3210" spans="2:7" x14ac:dyDescent="0.25">
      <c r="B3210" s="71">
        <v>43666</v>
      </c>
      <c r="C3210" t="s">
        <v>49</v>
      </c>
      <c r="D3210" t="s">
        <v>85</v>
      </c>
      <c r="E3210" t="s">
        <v>371</v>
      </c>
      <c r="F3210" s="72">
        <v>16</v>
      </c>
      <c r="G3210" s="72">
        <v>0</v>
      </c>
    </row>
    <row r="3211" spans="2:7" x14ac:dyDescent="0.25">
      <c r="B3211" s="71">
        <v>43666</v>
      </c>
      <c r="C3211" t="s">
        <v>51</v>
      </c>
      <c r="D3211" t="s">
        <v>85</v>
      </c>
      <c r="E3211" t="s">
        <v>371</v>
      </c>
      <c r="F3211" s="72">
        <v>81</v>
      </c>
      <c r="G3211" s="72">
        <v>0</v>
      </c>
    </row>
    <row r="3212" spans="2:7" x14ac:dyDescent="0.25">
      <c r="B3212" s="71">
        <v>43666</v>
      </c>
      <c r="C3212" t="s">
        <v>24</v>
      </c>
      <c r="D3212" t="s">
        <v>80</v>
      </c>
      <c r="E3212" t="s">
        <v>371</v>
      </c>
      <c r="F3212" s="72">
        <v>8</v>
      </c>
      <c r="G3212" s="72">
        <v>0</v>
      </c>
    </row>
    <row r="3213" spans="2:7" x14ac:dyDescent="0.25">
      <c r="B3213" s="71">
        <v>43668</v>
      </c>
      <c r="C3213" t="s">
        <v>25</v>
      </c>
      <c r="D3213" t="s">
        <v>82</v>
      </c>
      <c r="E3213" t="s">
        <v>372</v>
      </c>
      <c r="F3213" s="72">
        <v>15</v>
      </c>
      <c r="G3213" s="72">
        <v>0</v>
      </c>
    </row>
    <row r="3214" spans="2:7" x14ac:dyDescent="0.25">
      <c r="B3214" s="71">
        <v>43668</v>
      </c>
      <c r="C3214" t="s">
        <v>25</v>
      </c>
      <c r="D3214" t="s">
        <v>82</v>
      </c>
      <c r="E3214" t="s">
        <v>204</v>
      </c>
      <c r="F3214" s="72">
        <v>51.2</v>
      </c>
      <c r="G3214" s="72">
        <v>0</v>
      </c>
    </row>
    <row r="3215" spans="2:7" x14ac:dyDescent="0.25">
      <c r="B3215" s="71">
        <v>43668</v>
      </c>
      <c r="C3215" t="s">
        <v>25</v>
      </c>
      <c r="D3215" t="s">
        <v>82</v>
      </c>
      <c r="E3215" t="s">
        <v>139</v>
      </c>
      <c r="F3215" s="72">
        <v>1.8</v>
      </c>
      <c r="G3215" s="72">
        <v>0</v>
      </c>
    </row>
    <row r="3216" spans="2:7" x14ac:dyDescent="0.25">
      <c r="B3216" s="71">
        <v>43668</v>
      </c>
      <c r="C3216" t="s">
        <v>25</v>
      </c>
      <c r="D3216" t="s">
        <v>82</v>
      </c>
      <c r="E3216" t="s">
        <v>141</v>
      </c>
      <c r="F3216">
        <v>1.8</v>
      </c>
      <c r="G3216" s="72">
        <v>0</v>
      </c>
    </row>
    <row r="3217" spans="2:7" x14ac:dyDescent="0.25">
      <c r="B3217" s="71">
        <v>43668</v>
      </c>
      <c r="C3217" t="s">
        <v>21</v>
      </c>
      <c r="D3217" t="s">
        <v>80</v>
      </c>
      <c r="E3217" t="s">
        <v>373</v>
      </c>
      <c r="F3217" s="72">
        <v>8</v>
      </c>
      <c r="G3217" s="72">
        <v>0</v>
      </c>
    </row>
    <row r="3218" spans="2:7" x14ac:dyDescent="0.25">
      <c r="B3218" s="71">
        <v>43668</v>
      </c>
      <c r="C3218" t="s">
        <v>21</v>
      </c>
      <c r="D3218" t="s">
        <v>80</v>
      </c>
      <c r="E3218" t="s">
        <v>373</v>
      </c>
      <c r="F3218" s="72">
        <v>16</v>
      </c>
      <c r="G3218" s="72">
        <v>0</v>
      </c>
    </row>
    <row r="3219" spans="2:7" x14ac:dyDescent="0.25">
      <c r="B3219" s="71">
        <v>43668</v>
      </c>
      <c r="C3219" t="s">
        <v>67</v>
      </c>
      <c r="D3219" t="s">
        <v>86</v>
      </c>
      <c r="E3219" t="s">
        <v>373</v>
      </c>
      <c r="F3219" s="72">
        <v>4047.41</v>
      </c>
      <c r="G3219" s="72">
        <v>0</v>
      </c>
    </row>
    <row r="3220" spans="2:7" x14ac:dyDescent="0.25">
      <c r="B3220" s="71">
        <v>43668</v>
      </c>
      <c r="C3220" t="s">
        <v>24</v>
      </c>
      <c r="D3220" t="s">
        <v>80</v>
      </c>
      <c r="E3220" t="s">
        <v>373</v>
      </c>
      <c r="F3220" s="72">
        <v>16</v>
      </c>
      <c r="G3220" s="72">
        <v>0</v>
      </c>
    </row>
    <row r="3221" spans="2:7" x14ac:dyDescent="0.25">
      <c r="B3221" s="71">
        <v>43669</v>
      </c>
      <c r="C3221" t="s">
        <v>25</v>
      </c>
      <c r="D3221" t="s">
        <v>86</v>
      </c>
      <c r="E3221" t="s">
        <v>374</v>
      </c>
      <c r="F3221" s="72">
        <v>23.29</v>
      </c>
      <c r="G3221" s="72">
        <v>0</v>
      </c>
    </row>
    <row r="3222" spans="2:7" x14ac:dyDescent="0.25">
      <c r="B3222" s="71">
        <v>43669</v>
      </c>
      <c r="C3222" t="s">
        <v>25</v>
      </c>
      <c r="D3222" t="s">
        <v>81</v>
      </c>
      <c r="E3222" t="s">
        <v>374</v>
      </c>
      <c r="F3222" s="72">
        <v>7.47</v>
      </c>
      <c r="G3222" s="72">
        <v>0</v>
      </c>
    </row>
    <row r="3223" spans="2:7" x14ac:dyDescent="0.25">
      <c r="B3223" s="71">
        <v>43669</v>
      </c>
      <c r="C3223" t="s">
        <v>25</v>
      </c>
      <c r="D3223" t="s">
        <v>81</v>
      </c>
      <c r="E3223" t="s">
        <v>374</v>
      </c>
      <c r="F3223" s="72">
        <v>64</v>
      </c>
      <c r="G3223" s="72">
        <v>0</v>
      </c>
    </row>
    <row r="3224" spans="2:7" x14ac:dyDescent="0.25">
      <c r="B3224" s="71">
        <v>43669</v>
      </c>
      <c r="C3224" t="s">
        <v>25</v>
      </c>
      <c r="D3224" t="s">
        <v>81</v>
      </c>
      <c r="E3224" t="s">
        <v>374</v>
      </c>
      <c r="F3224" s="72">
        <v>71.97</v>
      </c>
      <c r="G3224" s="72">
        <v>0</v>
      </c>
    </row>
    <row r="3225" spans="2:7" x14ac:dyDescent="0.25">
      <c r="B3225" s="71">
        <v>43669</v>
      </c>
      <c r="C3225" t="s">
        <v>25</v>
      </c>
      <c r="D3225" t="s">
        <v>88</v>
      </c>
      <c r="E3225" t="s">
        <v>374</v>
      </c>
      <c r="F3225" s="72">
        <v>10.7</v>
      </c>
      <c r="G3225" s="72">
        <v>0</v>
      </c>
    </row>
    <row r="3226" spans="2:7" x14ac:dyDescent="0.25">
      <c r="B3226" s="71">
        <v>43669</v>
      </c>
      <c r="C3226" t="s">
        <v>25</v>
      </c>
      <c r="D3226" t="s">
        <v>88</v>
      </c>
      <c r="E3226" t="s">
        <v>374</v>
      </c>
      <c r="F3226" s="72">
        <v>14.51</v>
      </c>
      <c r="G3226" s="72">
        <v>0</v>
      </c>
    </row>
    <row r="3227" spans="2:7" x14ac:dyDescent="0.25">
      <c r="B3227" s="71">
        <v>43669</v>
      </c>
      <c r="C3227" t="s">
        <v>25</v>
      </c>
      <c r="D3227" t="s">
        <v>88</v>
      </c>
      <c r="E3227" t="s">
        <v>374</v>
      </c>
      <c r="F3227" s="72">
        <v>15.36</v>
      </c>
      <c r="G3227" s="72">
        <v>0</v>
      </c>
    </row>
    <row r="3228" spans="2:7" x14ac:dyDescent="0.25">
      <c r="B3228" s="71">
        <v>43669</v>
      </c>
      <c r="C3228" t="s">
        <v>25</v>
      </c>
      <c r="D3228" t="s">
        <v>88</v>
      </c>
      <c r="E3228" t="s">
        <v>374</v>
      </c>
      <c r="F3228" s="72">
        <v>21.3</v>
      </c>
      <c r="G3228" s="72">
        <v>0</v>
      </c>
    </row>
    <row r="3229" spans="2:7" x14ac:dyDescent="0.25">
      <c r="B3229" s="71">
        <v>43669</v>
      </c>
      <c r="C3229" t="s">
        <v>25</v>
      </c>
      <c r="D3229" t="s">
        <v>88</v>
      </c>
      <c r="E3229" t="s">
        <v>374</v>
      </c>
      <c r="F3229" s="72">
        <v>32.130000000000003</v>
      </c>
      <c r="G3229" s="72">
        <v>0</v>
      </c>
    </row>
    <row r="3230" spans="2:7" x14ac:dyDescent="0.25">
      <c r="B3230" s="71">
        <v>43669</v>
      </c>
      <c r="C3230" t="s">
        <v>25</v>
      </c>
      <c r="D3230" t="s">
        <v>88</v>
      </c>
      <c r="E3230" t="s">
        <v>374</v>
      </c>
      <c r="F3230" s="72">
        <v>34</v>
      </c>
      <c r="G3230" s="72">
        <v>0</v>
      </c>
    </row>
    <row r="3231" spans="2:7" x14ac:dyDescent="0.25">
      <c r="B3231" s="71">
        <v>43669</v>
      </c>
      <c r="C3231" t="s">
        <v>25</v>
      </c>
      <c r="D3231" t="s">
        <v>88</v>
      </c>
      <c r="E3231" t="s">
        <v>374</v>
      </c>
      <c r="F3231" s="72">
        <v>35.409999999999997</v>
      </c>
      <c r="G3231" s="72">
        <v>0</v>
      </c>
    </row>
    <row r="3232" spans="2:7" x14ac:dyDescent="0.25">
      <c r="B3232" s="71">
        <v>43669</v>
      </c>
      <c r="C3232" t="s">
        <v>25</v>
      </c>
      <c r="D3232" t="s">
        <v>88</v>
      </c>
      <c r="E3232" t="s">
        <v>374</v>
      </c>
      <c r="F3232" s="72">
        <v>36</v>
      </c>
      <c r="G3232" s="72">
        <v>0</v>
      </c>
    </row>
    <row r="3233" spans="2:7" x14ac:dyDescent="0.25">
      <c r="B3233" s="71">
        <v>43669</v>
      </c>
      <c r="C3233" t="s">
        <v>25</v>
      </c>
      <c r="D3233" t="s">
        <v>88</v>
      </c>
      <c r="E3233" t="s">
        <v>374</v>
      </c>
      <c r="F3233" s="72">
        <v>85</v>
      </c>
      <c r="G3233" s="72">
        <v>0</v>
      </c>
    </row>
    <row r="3234" spans="2:7" x14ac:dyDescent="0.25">
      <c r="B3234" s="71">
        <v>43669</v>
      </c>
      <c r="C3234" t="s">
        <v>25</v>
      </c>
      <c r="D3234" t="s">
        <v>88</v>
      </c>
      <c r="E3234" t="s">
        <v>374</v>
      </c>
      <c r="F3234" s="72">
        <v>87.91</v>
      </c>
      <c r="G3234" s="72">
        <v>0</v>
      </c>
    </row>
    <row r="3235" spans="2:7" x14ac:dyDescent="0.25">
      <c r="B3235" s="71">
        <v>43669</v>
      </c>
      <c r="C3235" t="s">
        <v>47</v>
      </c>
      <c r="D3235" t="s">
        <v>81</v>
      </c>
      <c r="E3235" t="s">
        <v>374</v>
      </c>
      <c r="F3235" s="72">
        <v>66.099999999999994</v>
      </c>
      <c r="G3235" s="72">
        <v>0</v>
      </c>
    </row>
    <row r="3236" spans="2:7" x14ac:dyDescent="0.25">
      <c r="B3236" s="71">
        <v>43669</v>
      </c>
      <c r="C3236" t="s">
        <v>47</v>
      </c>
      <c r="D3236" t="s">
        <v>83</v>
      </c>
      <c r="E3236" t="s">
        <v>374</v>
      </c>
      <c r="F3236" s="72">
        <v>96</v>
      </c>
      <c r="G3236" s="72">
        <v>0</v>
      </c>
    </row>
    <row r="3237" spans="2:7" x14ac:dyDescent="0.25">
      <c r="B3237" s="71">
        <v>43669</v>
      </c>
      <c r="C3237" t="s">
        <v>47</v>
      </c>
      <c r="D3237" t="s">
        <v>85</v>
      </c>
      <c r="E3237" t="s">
        <v>374</v>
      </c>
      <c r="F3237" s="72">
        <v>10</v>
      </c>
      <c r="G3237" s="72">
        <v>0</v>
      </c>
    </row>
    <row r="3238" spans="2:7" x14ac:dyDescent="0.25">
      <c r="B3238" s="71">
        <v>43669</v>
      </c>
      <c r="C3238" t="s">
        <v>60</v>
      </c>
      <c r="D3238" t="s">
        <v>83</v>
      </c>
      <c r="E3238" t="s">
        <v>374</v>
      </c>
      <c r="F3238" s="72">
        <v>96</v>
      </c>
      <c r="G3238" s="72">
        <v>0</v>
      </c>
    </row>
    <row r="3239" spans="2:7" x14ac:dyDescent="0.25">
      <c r="B3239" s="71">
        <v>43669</v>
      </c>
      <c r="C3239" t="s">
        <v>48</v>
      </c>
      <c r="D3239" t="s">
        <v>85</v>
      </c>
      <c r="E3239" t="s">
        <v>374</v>
      </c>
      <c r="F3239" s="72">
        <v>21.4</v>
      </c>
      <c r="G3239" s="72">
        <v>0</v>
      </c>
    </row>
    <row r="3240" spans="2:7" x14ac:dyDescent="0.25">
      <c r="B3240" s="71">
        <v>43669</v>
      </c>
      <c r="C3240" t="s">
        <v>58</v>
      </c>
      <c r="D3240" t="s">
        <v>81</v>
      </c>
      <c r="E3240" t="s">
        <v>374</v>
      </c>
      <c r="F3240" s="72">
        <v>15.75</v>
      </c>
      <c r="G3240" s="72">
        <v>0</v>
      </c>
    </row>
    <row r="3241" spans="2:7" x14ac:dyDescent="0.25">
      <c r="B3241" s="71">
        <v>43669</v>
      </c>
      <c r="C3241" t="s">
        <v>45</v>
      </c>
      <c r="D3241" t="s">
        <v>88</v>
      </c>
      <c r="E3241" t="s">
        <v>374</v>
      </c>
      <c r="F3241" s="72">
        <v>27</v>
      </c>
      <c r="G3241" s="72">
        <v>0</v>
      </c>
    </row>
    <row r="3242" spans="2:7" x14ac:dyDescent="0.25">
      <c r="B3242" s="71">
        <v>43669</v>
      </c>
      <c r="C3242" t="s">
        <v>21</v>
      </c>
      <c r="D3242" t="s">
        <v>80</v>
      </c>
      <c r="E3242" t="s">
        <v>374</v>
      </c>
      <c r="F3242" s="72">
        <v>8</v>
      </c>
      <c r="G3242" s="72">
        <v>0</v>
      </c>
    </row>
    <row r="3243" spans="2:7" x14ac:dyDescent="0.25">
      <c r="B3243" s="71">
        <v>43669</v>
      </c>
      <c r="C3243" t="s">
        <v>21</v>
      </c>
      <c r="D3243" t="s">
        <v>80</v>
      </c>
      <c r="E3243" t="s">
        <v>374</v>
      </c>
      <c r="F3243" s="72">
        <v>16</v>
      </c>
      <c r="G3243" s="72">
        <v>0</v>
      </c>
    </row>
    <row r="3244" spans="2:7" x14ac:dyDescent="0.25">
      <c r="B3244" s="71">
        <v>43669</v>
      </c>
      <c r="C3244" t="s">
        <v>21</v>
      </c>
      <c r="D3244" t="s">
        <v>80</v>
      </c>
      <c r="E3244" t="s">
        <v>374</v>
      </c>
      <c r="F3244" s="72">
        <v>24</v>
      </c>
      <c r="G3244" s="72">
        <v>0</v>
      </c>
    </row>
    <row r="3245" spans="2:7" x14ac:dyDescent="0.25">
      <c r="B3245" s="71">
        <v>43669</v>
      </c>
      <c r="C3245" t="s">
        <v>67</v>
      </c>
      <c r="D3245" t="s">
        <v>85</v>
      </c>
      <c r="E3245" t="s">
        <v>374</v>
      </c>
      <c r="F3245" s="72">
        <v>13.91</v>
      </c>
      <c r="G3245" s="72">
        <v>0</v>
      </c>
    </row>
    <row r="3246" spans="2:7" x14ac:dyDescent="0.25">
      <c r="B3246" s="71">
        <v>43669</v>
      </c>
      <c r="C3246" t="s">
        <v>49</v>
      </c>
      <c r="D3246" t="s">
        <v>84</v>
      </c>
      <c r="E3246" t="s">
        <v>374</v>
      </c>
      <c r="F3246" s="72">
        <v>15.5</v>
      </c>
      <c r="G3246" s="72">
        <v>0</v>
      </c>
    </row>
    <row r="3247" spans="2:7" x14ac:dyDescent="0.25">
      <c r="B3247" s="71">
        <v>43669</v>
      </c>
      <c r="C3247" t="s">
        <v>49</v>
      </c>
      <c r="D3247" t="s">
        <v>81</v>
      </c>
      <c r="E3247" t="s">
        <v>374</v>
      </c>
      <c r="F3247" s="72">
        <v>24.16</v>
      </c>
      <c r="G3247" s="72">
        <v>0</v>
      </c>
    </row>
    <row r="3248" spans="2:7" x14ac:dyDescent="0.25">
      <c r="B3248" s="71">
        <v>43669</v>
      </c>
      <c r="C3248" t="s">
        <v>49</v>
      </c>
      <c r="D3248" t="s">
        <v>85</v>
      </c>
      <c r="E3248" t="s">
        <v>374</v>
      </c>
      <c r="F3248" s="72">
        <v>64</v>
      </c>
      <c r="G3248" s="72">
        <v>0</v>
      </c>
    </row>
    <row r="3249" spans="2:7" x14ac:dyDescent="0.25">
      <c r="B3249" s="71">
        <v>43669</v>
      </c>
      <c r="C3249" t="s">
        <v>56</v>
      </c>
      <c r="D3249" t="s">
        <v>84</v>
      </c>
      <c r="E3249" t="s">
        <v>374</v>
      </c>
      <c r="F3249" s="72">
        <v>19.75</v>
      </c>
      <c r="G3249" s="72">
        <v>0</v>
      </c>
    </row>
    <row r="3250" spans="2:7" x14ac:dyDescent="0.25">
      <c r="B3250" s="71">
        <v>43669</v>
      </c>
      <c r="C3250" t="s">
        <v>56</v>
      </c>
      <c r="D3250" t="s">
        <v>81</v>
      </c>
      <c r="E3250" t="s">
        <v>374</v>
      </c>
      <c r="F3250" s="72">
        <v>96.2</v>
      </c>
      <c r="G3250" s="72">
        <v>0</v>
      </c>
    </row>
    <row r="3251" spans="2:7" x14ac:dyDescent="0.25">
      <c r="B3251" s="71">
        <v>43669</v>
      </c>
      <c r="C3251" t="s">
        <v>51</v>
      </c>
      <c r="D3251" t="s">
        <v>86</v>
      </c>
      <c r="E3251" t="s">
        <v>374</v>
      </c>
      <c r="F3251" s="72">
        <v>20</v>
      </c>
      <c r="G3251" s="72">
        <v>0</v>
      </c>
    </row>
    <row r="3252" spans="2:7" x14ac:dyDescent="0.25">
      <c r="B3252" s="71">
        <v>43669</v>
      </c>
      <c r="C3252" t="s">
        <v>72</v>
      </c>
      <c r="D3252" t="s">
        <v>83</v>
      </c>
      <c r="E3252" t="s">
        <v>374</v>
      </c>
      <c r="F3252" s="72">
        <v>50.25</v>
      </c>
      <c r="G3252" s="72">
        <v>0</v>
      </c>
    </row>
    <row r="3253" spans="2:7" x14ac:dyDescent="0.25">
      <c r="B3253" s="71">
        <v>43669</v>
      </c>
      <c r="C3253" t="s">
        <v>66</v>
      </c>
      <c r="D3253" t="s">
        <v>81</v>
      </c>
      <c r="E3253" t="s">
        <v>374</v>
      </c>
      <c r="F3253" s="72">
        <v>98.08</v>
      </c>
      <c r="G3253" s="72">
        <v>0</v>
      </c>
    </row>
    <row r="3254" spans="2:7" x14ac:dyDescent="0.25">
      <c r="B3254" s="71">
        <v>43669</v>
      </c>
      <c r="C3254" t="s">
        <v>66</v>
      </c>
      <c r="D3254" t="s">
        <v>88</v>
      </c>
      <c r="E3254" t="s">
        <v>374</v>
      </c>
      <c r="F3254" s="72">
        <v>32</v>
      </c>
      <c r="G3254" s="72">
        <v>0</v>
      </c>
    </row>
    <row r="3255" spans="2:7" x14ac:dyDescent="0.25">
      <c r="B3255" s="71">
        <v>43669</v>
      </c>
      <c r="C3255" t="s">
        <v>24</v>
      </c>
      <c r="D3255" t="s">
        <v>80</v>
      </c>
      <c r="E3255" t="s">
        <v>374</v>
      </c>
      <c r="F3255" s="72">
        <v>8</v>
      </c>
      <c r="G3255" s="72">
        <v>0</v>
      </c>
    </row>
    <row r="3256" spans="2:7" x14ac:dyDescent="0.25">
      <c r="B3256" s="71">
        <v>43669</v>
      </c>
      <c r="C3256" t="s">
        <v>61</v>
      </c>
      <c r="D3256" t="s">
        <v>81</v>
      </c>
      <c r="E3256" t="s">
        <v>374</v>
      </c>
      <c r="F3256" s="72">
        <v>29.56</v>
      </c>
      <c r="G3256" s="72">
        <v>0</v>
      </c>
    </row>
    <row r="3257" spans="2:7" x14ac:dyDescent="0.25">
      <c r="B3257" s="71">
        <v>43670</v>
      </c>
      <c r="C3257" t="s">
        <v>25</v>
      </c>
      <c r="D3257" t="s">
        <v>81</v>
      </c>
      <c r="E3257" t="s">
        <v>375</v>
      </c>
      <c r="F3257" s="72">
        <v>0</v>
      </c>
      <c r="G3257" s="72">
        <v>64</v>
      </c>
    </row>
    <row r="3258" spans="2:7" x14ac:dyDescent="0.25">
      <c r="B3258" s="71">
        <v>43670</v>
      </c>
      <c r="C3258" t="s">
        <v>25</v>
      </c>
      <c r="D3258" t="s">
        <v>82</v>
      </c>
      <c r="E3258" t="s">
        <v>221</v>
      </c>
      <c r="F3258" s="72">
        <v>3.6</v>
      </c>
      <c r="G3258" s="72">
        <v>0</v>
      </c>
    </row>
    <row r="3259" spans="2:7" x14ac:dyDescent="0.25">
      <c r="B3259" s="71">
        <v>43670</v>
      </c>
      <c r="C3259" t="s">
        <v>25</v>
      </c>
      <c r="D3259" t="s">
        <v>82</v>
      </c>
      <c r="E3259" t="s">
        <v>192</v>
      </c>
      <c r="F3259" s="72">
        <v>44</v>
      </c>
      <c r="G3259" s="72">
        <v>0</v>
      </c>
    </row>
    <row r="3260" spans="2:7" x14ac:dyDescent="0.25">
      <c r="B3260" s="71">
        <v>43670</v>
      </c>
      <c r="C3260" t="s">
        <v>25</v>
      </c>
      <c r="D3260" t="s">
        <v>82</v>
      </c>
      <c r="E3260" t="s">
        <v>141</v>
      </c>
      <c r="F3260" s="72">
        <v>1.8</v>
      </c>
      <c r="G3260" s="72">
        <v>0</v>
      </c>
    </row>
    <row r="3261" spans="2:7" x14ac:dyDescent="0.25">
      <c r="B3261" s="71">
        <v>43670</v>
      </c>
      <c r="C3261" t="s">
        <v>25</v>
      </c>
      <c r="D3261" t="s">
        <v>82</v>
      </c>
      <c r="E3261" t="s">
        <v>133</v>
      </c>
      <c r="F3261" s="72">
        <v>7.65</v>
      </c>
      <c r="G3261" s="72">
        <v>0</v>
      </c>
    </row>
    <row r="3262" spans="2:7" x14ac:dyDescent="0.25">
      <c r="B3262" s="71">
        <v>43670</v>
      </c>
      <c r="C3262" t="s">
        <v>57</v>
      </c>
      <c r="D3262" t="s">
        <v>85</v>
      </c>
      <c r="E3262" t="s">
        <v>375</v>
      </c>
      <c r="F3262" s="72">
        <v>80.849999999999994</v>
      </c>
      <c r="G3262" s="72">
        <v>0</v>
      </c>
    </row>
    <row r="3263" spans="2:7" x14ac:dyDescent="0.25">
      <c r="B3263" s="71">
        <v>43670</v>
      </c>
      <c r="C3263" t="s">
        <v>21</v>
      </c>
      <c r="D3263" t="s">
        <v>80</v>
      </c>
      <c r="E3263" t="s">
        <v>375</v>
      </c>
      <c r="F3263" s="72">
        <v>8</v>
      </c>
      <c r="G3263" s="72">
        <v>0</v>
      </c>
    </row>
    <row r="3264" spans="2:7" x14ac:dyDescent="0.25">
      <c r="B3264" s="71">
        <v>43670</v>
      </c>
      <c r="C3264" t="s">
        <v>21</v>
      </c>
      <c r="D3264" t="s">
        <v>80</v>
      </c>
      <c r="E3264" t="s">
        <v>375</v>
      </c>
      <c r="F3264" s="72">
        <v>24</v>
      </c>
      <c r="G3264" s="72">
        <v>0</v>
      </c>
    </row>
    <row r="3265" spans="2:7" x14ac:dyDescent="0.25">
      <c r="B3265" s="71">
        <v>43670</v>
      </c>
      <c r="C3265" t="s">
        <v>46</v>
      </c>
      <c r="D3265" t="s">
        <v>83</v>
      </c>
      <c r="E3265" t="s">
        <v>375</v>
      </c>
      <c r="F3265" s="72">
        <v>265</v>
      </c>
      <c r="G3265" s="72">
        <v>0</v>
      </c>
    </row>
    <row r="3266" spans="2:7" x14ac:dyDescent="0.25">
      <c r="B3266" s="71">
        <v>43670</v>
      </c>
      <c r="C3266" t="s">
        <v>66</v>
      </c>
      <c r="D3266" t="s">
        <v>85</v>
      </c>
      <c r="E3266" t="s">
        <v>375</v>
      </c>
      <c r="F3266" s="72">
        <v>10.25</v>
      </c>
      <c r="G3266" s="72">
        <v>0</v>
      </c>
    </row>
    <row r="3267" spans="2:7" x14ac:dyDescent="0.25">
      <c r="B3267" s="71">
        <v>43671</v>
      </c>
      <c r="C3267" t="s">
        <v>25</v>
      </c>
      <c r="D3267" t="s">
        <v>82</v>
      </c>
      <c r="E3267" t="s">
        <v>207</v>
      </c>
      <c r="F3267" s="72">
        <v>12.08</v>
      </c>
      <c r="G3267" s="72">
        <v>0</v>
      </c>
    </row>
    <row r="3268" spans="2:7" x14ac:dyDescent="0.25">
      <c r="B3268" s="71">
        <v>43671</v>
      </c>
      <c r="C3268" t="s">
        <v>25</v>
      </c>
      <c r="D3268" t="s">
        <v>82</v>
      </c>
      <c r="E3268" t="s">
        <v>136</v>
      </c>
      <c r="F3268" s="72">
        <v>9.1999999999999993</v>
      </c>
      <c r="G3268" s="72">
        <v>0</v>
      </c>
    </row>
    <row r="3269" spans="2:7" x14ac:dyDescent="0.25">
      <c r="B3269" s="71">
        <v>43671</v>
      </c>
      <c r="C3269" t="s">
        <v>25</v>
      </c>
      <c r="D3269" t="s">
        <v>82</v>
      </c>
      <c r="E3269" t="s">
        <v>123</v>
      </c>
      <c r="F3269" s="72">
        <v>21.9</v>
      </c>
      <c r="G3269" s="72">
        <v>0</v>
      </c>
    </row>
    <row r="3270" spans="2:7" x14ac:dyDescent="0.25">
      <c r="B3270" s="71">
        <v>43671</v>
      </c>
      <c r="C3270" t="s">
        <v>25</v>
      </c>
      <c r="D3270" t="s">
        <v>82</v>
      </c>
      <c r="E3270" t="s">
        <v>276</v>
      </c>
      <c r="F3270" s="72">
        <v>16.399999999999999</v>
      </c>
      <c r="G3270" s="72">
        <v>0</v>
      </c>
    </row>
    <row r="3271" spans="2:7" x14ac:dyDescent="0.25">
      <c r="B3271" s="71">
        <v>43671</v>
      </c>
      <c r="C3271" t="s">
        <v>25</v>
      </c>
      <c r="D3271" t="s">
        <v>82</v>
      </c>
      <c r="E3271" t="s">
        <v>218</v>
      </c>
      <c r="F3271" s="72">
        <v>2.25</v>
      </c>
      <c r="G3271" s="72">
        <v>0</v>
      </c>
    </row>
    <row r="3272" spans="2:7" x14ac:dyDescent="0.25">
      <c r="B3272" s="71">
        <v>43671</v>
      </c>
      <c r="C3272" t="s">
        <v>25</v>
      </c>
      <c r="D3272" t="s">
        <v>82</v>
      </c>
      <c r="E3272" t="s">
        <v>238</v>
      </c>
      <c r="F3272" s="72">
        <v>9.1999999999999993</v>
      </c>
      <c r="G3272" s="72">
        <v>0</v>
      </c>
    </row>
    <row r="3273" spans="2:7" x14ac:dyDescent="0.25">
      <c r="B3273" s="71">
        <v>43671</v>
      </c>
      <c r="C3273" t="s">
        <v>25</v>
      </c>
      <c r="D3273" t="s">
        <v>82</v>
      </c>
      <c r="E3273" t="s">
        <v>128</v>
      </c>
      <c r="F3273" s="72">
        <v>11.3</v>
      </c>
      <c r="G3273" s="72">
        <v>0</v>
      </c>
    </row>
    <row r="3274" spans="2:7" x14ac:dyDescent="0.25">
      <c r="B3274" s="71">
        <v>43671</v>
      </c>
      <c r="C3274" t="s">
        <v>25</v>
      </c>
      <c r="D3274" t="s">
        <v>82</v>
      </c>
      <c r="E3274" t="s">
        <v>134</v>
      </c>
      <c r="F3274" s="72">
        <v>2.4</v>
      </c>
      <c r="G3274" s="72">
        <v>0</v>
      </c>
    </row>
    <row r="3275" spans="2:7" x14ac:dyDescent="0.25">
      <c r="B3275" s="71">
        <v>43671</v>
      </c>
      <c r="C3275" t="s">
        <v>25</v>
      </c>
      <c r="D3275" t="s">
        <v>118</v>
      </c>
      <c r="E3275" t="s">
        <v>376</v>
      </c>
      <c r="F3275" s="72">
        <v>48.33</v>
      </c>
      <c r="G3275" s="72">
        <v>0</v>
      </c>
    </row>
    <row r="3276" spans="2:7" x14ac:dyDescent="0.25">
      <c r="B3276" s="71">
        <v>43671</v>
      </c>
      <c r="C3276" t="s">
        <v>25</v>
      </c>
      <c r="D3276" t="s">
        <v>118</v>
      </c>
      <c r="E3276" t="s">
        <v>376</v>
      </c>
      <c r="F3276" s="72">
        <v>51.37</v>
      </c>
      <c r="G3276" s="72">
        <v>0</v>
      </c>
    </row>
    <row r="3277" spans="2:7" x14ac:dyDescent="0.25">
      <c r="B3277" s="71">
        <v>43671</v>
      </c>
      <c r="C3277" t="s">
        <v>25</v>
      </c>
      <c r="D3277" t="s">
        <v>118</v>
      </c>
      <c r="E3277" t="s">
        <v>376</v>
      </c>
      <c r="F3277" s="72">
        <v>52.96</v>
      </c>
      <c r="G3277" s="72">
        <v>0</v>
      </c>
    </row>
    <row r="3278" spans="2:7" x14ac:dyDescent="0.25">
      <c r="B3278" s="71">
        <v>43671</v>
      </c>
      <c r="C3278" t="s">
        <v>25</v>
      </c>
      <c r="D3278" t="s">
        <v>118</v>
      </c>
      <c r="E3278" t="s">
        <v>376</v>
      </c>
      <c r="F3278" s="72">
        <v>63.58</v>
      </c>
      <c r="G3278" s="72">
        <v>0</v>
      </c>
    </row>
    <row r="3279" spans="2:7" x14ac:dyDescent="0.25">
      <c r="B3279" s="71">
        <v>43671</v>
      </c>
      <c r="C3279" t="s">
        <v>25</v>
      </c>
      <c r="D3279" t="s">
        <v>118</v>
      </c>
      <c r="E3279" t="s">
        <v>376</v>
      </c>
      <c r="F3279" s="72">
        <v>68.180000000000007</v>
      </c>
      <c r="G3279" s="72">
        <v>0</v>
      </c>
    </row>
    <row r="3280" spans="2:7" x14ac:dyDescent="0.25">
      <c r="B3280" s="71">
        <v>43671</v>
      </c>
      <c r="C3280" t="s">
        <v>25</v>
      </c>
      <c r="D3280" t="s">
        <v>118</v>
      </c>
      <c r="E3280" t="s">
        <v>376</v>
      </c>
      <c r="F3280" s="72">
        <v>73.2</v>
      </c>
      <c r="G3280" s="72">
        <v>0</v>
      </c>
    </row>
    <row r="3281" spans="2:7" x14ac:dyDescent="0.25">
      <c r="B3281" s="71">
        <v>43671</v>
      </c>
      <c r="C3281" t="s">
        <v>25</v>
      </c>
      <c r="D3281" t="s">
        <v>85</v>
      </c>
      <c r="E3281" t="s">
        <v>377</v>
      </c>
      <c r="F3281" s="72">
        <v>19</v>
      </c>
      <c r="G3281" s="72">
        <v>0</v>
      </c>
    </row>
    <row r="3282" spans="2:7" x14ac:dyDescent="0.25">
      <c r="B3282" s="71">
        <v>43671</v>
      </c>
      <c r="C3282" t="s">
        <v>55</v>
      </c>
      <c r="D3282" t="s">
        <v>118</v>
      </c>
      <c r="E3282" t="s">
        <v>376</v>
      </c>
      <c r="F3282" s="72">
        <v>1408.96</v>
      </c>
      <c r="G3282" s="72">
        <v>0</v>
      </c>
    </row>
    <row r="3283" spans="2:7" x14ac:dyDescent="0.25">
      <c r="B3283" s="71">
        <v>43671</v>
      </c>
      <c r="C3283" t="s">
        <v>47</v>
      </c>
      <c r="D3283" t="s">
        <v>86</v>
      </c>
      <c r="E3283" t="s">
        <v>377</v>
      </c>
      <c r="F3283" s="72">
        <v>25.95</v>
      </c>
      <c r="G3283" s="72">
        <v>0</v>
      </c>
    </row>
    <row r="3284" spans="2:7" x14ac:dyDescent="0.25">
      <c r="B3284" s="71">
        <v>43671</v>
      </c>
      <c r="C3284" t="s">
        <v>47</v>
      </c>
      <c r="D3284" t="s">
        <v>118</v>
      </c>
      <c r="E3284" t="s">
        <v>376</v>
      </c>
      <c r="F3284" s="72">
        <v>50.79</v>
      </c>
      <c r="G3284" s="72">
        <v>0</v>
      </c>
    </row>
    <row r="3285" spans="2:7" x14ac:dyDescent="0.25">
      <c r="B3285" s="71">
        <v>43671</v>
      </c>
      <c r="C3285" t="s">
        <v>47</v>
      </c>
      <c r="D3285" t="s">
        <v>85</v>
      </c>
      <c r="E3285" t="s">
        <v>377</v>
      </c>
      <c r="F3285" s="72">
        <v>13.8</v>
      </c>
      <c r="G3285" s="72">
        <v>0</v>
      </c>
    </row>
    <row r="3286" spans="2:7" x14ac:dyDescent="0.25">
      <c r="B3286" s="71">
        <v>43671</v>
      </c>
      <c r="C3286" t="s">
        <v>21</v>
      </c>
      <c r="D3286" t="s">
        <v>80</v>
      </c>
      <c r="E3286" t="s">
        <v>377</v>
      </c>
      <c r="F3286" s="72">
        <v>8</v>
      </c>
      <c r="G3286" s="72">
        <v>0</v>
      </c>
    </row>
    <row r="3287" spans="2:7" x14ac:dyDescent="0.25">
      <c r="B3287" s="71">
        <v>43671</v>
      </c>
      <c r="C3287" t="s">
        <v>21</v>
      </c>
      <c r="D3287" t="s">
        <v>118</v>
      </c>
      <c r="E3287" t="s">
        <v>376</v>
      </c>
      <c r="F3287" s="72">
        <v>13.64</v>
      </c>
      <c r="G3287" s="72">
        <v>0</v>
      </c>
    </row>
    <row r="3288" spans="2:7" x14ac:dyDescent="0.25">
      <c r="B3288" s="71">
        <v>43671</v>
      </c>
      <c r="C3288" t="s">
        <v>21</v>
      </c>
      <c r="D3288" t="s">
        <v>118</v>
      </c>
      <c r="E3288" t="s">
        <v>376</v>
      </c>
      <c r="F3288" s="72">
        <v>14.35</v>
      </c>
      <c r="G3288" s="72">
        <v>0</v>
      </c>
    </row>
    <row r="3289" spans="2:7" x14ac:dyDescent="0.25">
      <c r="B3289" s="71">
        <v>43671</v>
      </c>
      <c r="C3289" t="s">
        <v>21</v>
      </c>
      <c r="D3289" t="s">
        <v>118</v>
      </c>
      <c r="E3289" t="s">
        <v>376</v>
      </c>
      <c r="F3289" s="72">
        <v>14.46</v>
      </c>
      <c r="G3289" s="72">
        <v>0</v>
      </c>
    </row>
    <row r="3290" spans="2:7" x14ac:dyDescent="0.25">
      <c r="B3290" s="71">
        <v>43671</v>
      </c>
      <c r="C3290" t="s">
        <v>21</v>
      </c>
      <c r="D3290" t="s">
        <v>118</v>
      </c>
      <c r="E3290" t="s">
        <v>376</v>
      </c>
      <c r="F3290" s="72">
        <v>16.78</v>
      </c>
      <c r="G3290" s="72">
        <v>0</v>
      </c>
    </row>
    <row r="3291" spans="2:7" x14ac:dyDescent="0.25">
      <c r="B3291" s="71">
        <v>43671</v>
      </c>
      <c r="C3291" t="s">
        <v>21</v>
      </c>
      <c r="D3291" t="s">
        <v>118</v>
      </c>
      <c r="E3291" t="s">
        <v>376</v>
      </c>
      <c r="F3291" s="72">
        <v>23.57</v>
      </c>
      <c r="G3291" s="72">
        <v>0</v>
      </c>
    </row>
    <row r="3292" spans="2:7" x14ac:dyDescent="0.25">
      <c r="B3292" s="71">
        <v>43671</v>
      </c>
      <c r="C3292" t="s">
        <v>21</v>
      </c>
      <c r="D3292" t="s">
        <v>118</v>
      </c>
      <c r="E3292" t="s">
        <v>376</v>
      </c>
      <c r="F3292" s="72">
        <v>26.02</v>
      </c>
      <c r="G3292" s="72">
        <v>0</v>
      </c>
    </row>
    <row r="3293" spans="2:7" x14ac:dyDescent="0.25">
      <c r="B3293" s="71">
        <v>43671</v>
      </c>
      <c r="C3293" t="s">
        <v>21</v>
      </c>
      <c r="D3293" t="s">
        <v>118</v>
      </c>
      <c r="E3293" t="s">
        <v>376</v>
      </c>
      <c r="F3293" s="72">
        <v>40</v>
      </c>
      <c r="G3293" s="72">
        <v>0</v>
      </c>
    </row>
    <row r="3294" spans="2:7" x14ac:dyDescent="0.25">
      <c r="B3294" s="71">
        <v>43671</v>
      </c>
      <c r="C3294" t="s">
        <v>21</v>
      </c>
      <c r="D3294" t="s">
        <v>118</v>
      </c>
      <c r="E3294" t="s">
        <v>376</v>
      </c>
      <c r="F3294" s="72">
        <v>42.2</v>
      </c>
      <c r="G3294" s="72">
        <v>0</v>
      </c>
    </row>
    <row r="3295" spans="2:7" x14ac:dyDescent="0.25">
      <c r="B3295" s="71">
        <v>43671</v>
      </c>
      <c r="C3295" t="s">
        <v>21</v>
      </c>
      <c r="D3295" t="s">
        <v>118</v>
      </c>
      <c r="E3295" t="s">
        <v>376</v>
      </c>
      <c r="F3295" s="72">
        <v>83.18</v>
      </c>
      <c r="G3295" s="72">
        <v>0</v>
      </c>
    </row>
    <row r="3296" spans="2:7" x14ac:dyDescent="0.25">
      <c r="B3296" s="71">
        <v>43671</v>
      </c>
      <c r="C3296" t="s">
        <v>21</v>
      </c>
      <c r="D3296" t="s">
        <v>118</v>
      </c>
      <c r="E3296" t="s">
        <v>376</v>
      </c>
      <c r="F3296" s="72">
        <v>85.85</v>
      </c>
      <c r="G3296" s="72">
        <v>0</v>
      </c>
    </row>
    <row r="3297" spans="2:7" x14ac:dyDescent="0.25">
      <c r="B3297" s="71">
        <v>43671</v>
      </c>
      <c r="C3297" t="s">
        <v>21</v>
      </c>
      <c r="D3297" t="s">
        <v>118</v>
      </c>
      <c r="E3297" t="s">
        <v>376</v>
      </c>
      <c r="F3297" s="72">
        <v>173.93</v>
      </c>
      <c r="G3297" s="72">
        <v>0</v>
      </c>
    </row>
    <row r="3298" spans="2:7" x14ac:dyDescent="0.25">
      <c r="B3298" s="71">
        <v>43671</v>
      </c>
      <c r="C3298" t="s">
        <v>21</v>
      </c>
      <c r="D3298" t="s">
        <v>118</v>
      </c>
      <c r="E3298" t="s">
        <v>376</v>
      </c>
      <c r="F3298" s="72">
        <v>246.93</v>
      </c>
      <c r="G3298" s="72">
        <v>0</v>
      </c>
    </row>
    <row r="3299" spans="2:7" x14ac:dyDescent="0.25">
      <c r="B3299" s="71">
        <v>43671</v>
      </c>
      <c r="C3299" t="s">
        <v>21</v>
      </c>
      <c r="D3299" t="s">
        <v>118</v>
      </c>
      <c r="E3299" t="s">
        <v>376</v>
      </c>
      <c r="F3299" s="72">
        <v>250.81</v>
      </c>
      <c r="G3299" s="72">
        <v>0</v>
      </c>
    </row>
    <row r="3300" spans="2:7" x14ac:dyDescent="0.25">
      <c r="B3300" s="71">
        <v>43671</v>
      </c>
      <c r="C3300" t="s">
        <v>21</v>
      </c>
      <c r="D3300" t="s">
        <v>118</v>
      </c>
      <c r="E3300" t="s">
        <v>376</v>
      </c>
      <c r="F3300" s="72">
        <v>253.81</v>
      </c>
      <c r="G3300" s="72">
        <v>0</v>
      </c>
    </row>
    <row r="3301" spans="2:7" x14ac:dyDescent="0.25">
      <c r="B3301" s="71">
        <v>43671</v>
      </c>
      <c r="C3301" t="s">
        <v>21</v>
      </c>
      <c r="D3301" t="s">
        <v>118</v>
      </c>
      <c r="E3301" t="s">
        <v>376</v>
      </c>
      <c r="F3301" s="72">
        <v>257.58</v>
      </c>
      <c r="G3301" s="72">
        <v>0</v>
      </c>
    </row>
    <row r="3302" spans="2:7" x14ac:dyDescent="0.25">
      <c r="B3302" s="71">
        <v>43671</v>
      </c>
      <c r="C3302" t="s">
        <v>21</v>
      </c>
      <c r="D3302" t="s">
        <v>118</v>
      </c>
      <c r="E3302" t="s">
        <v>376</v>
      </c>
      <c r="F3302" s="72">
        <v>262.45</v>
      </c>
      <c r="G3302" s="72">
        <v>0</v>
      </c>
    </row>
    <row r="3303" spans="2:7" x14ac:dyDescent="0.25">
      <c r="B3303" s="71">
        <v>43671</v>
      </c>
      <c r="C3303" t="s">
        <v>21</v>
      </c>
      <c r="D3303" t="s">
        <v>118</v>
      </c>
      <c r="E3303" t="s">
        <v>376</v>
      </c>
      <c r="F3303" s="72">
        <v>287.68</v>
      </c>
      <c r="G3303" s="72">
        <v>0</v>
      </c>
    </row>
    <row r="3304" spans="2:7" x14ac:dyDescent="0.25">
      <c r="B3304" s="71">
        <v>43671</v>
      </c>
      <c r="C3304" t="s">
        <v>21</v>
      </c>
      <c r="D3304" t="s">
        <v>118</v>
      </c>
      <c r="E3304" t="s">
        <v>376</v>
      </c>
      <c r="F3304" s="72">
        <v>402.95</v>
      </c>
      <c r="G3304" s="72">
        <v>0</v>
      </c>
    </row>
    <row r="3305" spans="2:7" x14ac:dyDescent="0.25">
      <c r="B3305" s="71">
        <v>43671</v>
      </c>
      <c r="C3305" t="s">
        <v>21</v>
      </c>
      <c r="D3305" t="s">
        <v>118</v>
      </c>
      <c r="E3305" t="s">
        <v>376</v>
      </c>
      <c r="F3305" s="72">
        <v>423.51</v>
      </c>
      <c r="G3305" s="72">
        <v>0</v>
      </c>
    </row>
    <row r="3306" spans="2:7" x14ac:dyDescent="0.25">
      <c r="B3306" s="71">
        <v>43671</v>
      </c>
      <c r="C3306" t="s">
        <v>21</v>
      </c>
      <c r="D3306" t="s">
        <v>118</v>
      </c>
      <c r="E3306" t="s">
        <v>376</v>
      </c>
      <c r="F3306" s="72">
        <v>430.45</v>
      </c>
      <c r="G3306" s="72">
        <v>0</v>
      </c>
    </row>
    <row r="3307" spans="2:7" x14ac:dyDescent="0.25">
      <c r="B3307" s="71">
        <v>43671</v>
      </c>
      <c r="C3307" t="s">
        <v>21</v>
      </c>
      <c r="D3307" t="s">
        <v>118</v>
      </c>
      <c r="E3307" t="s">
        <v>376</v>
      </c>
      <c r="F3307" s="72">
        <v>475.27</v>
      </c>
      <c r="G3307" s="72">
        <v>0</v>
      </c>
    </row>
    <row r="3308" spans="2:7" x14ac:dyDescent="0.25">
      <c r="B3308" s="71">
        <v>43671</v>
      </c>
      <c r="C3308" t="s">
        <v>21</v>
      </c>
      <c r="D3308" t="s">
        <v>118</v>
      </c>
      <c r="E3308" t="s">
        <v>376</v>
      </c>
      <c r="F3308" s="72">
        <v>481.35</v>
      </c>
      <c r="G3308" s="72">
        <v>0</v>
      </c>
    </row>
    <row r="3309" spans="2:7" x14ac:dyDescent="0.25">
      <c r="B3309" s="71">
        <v>43671</v>
      </c>
      <c r="C3309" t="s">
        <v>21</v>
      </c>
      <c r="D3309" t="s">
        <v>118</v>
      </c>
      <c r="E3309" t="s">
        <v>376</v>
      </c>
      <c r="F3309" s="72">
        <v>492.39</v>
      </c>
      <c r="G3309" s="72">
        <v>0</v>
      </c>
    </row>
    <row r="3310" spans="2:7" x14ac:dyDescent="0.25">
      <c r="B3310" s="71">
        <v>43671</v>
      </c>
      <c r="C3310" t="s">
        <v>21</v>
      </c>
      <c r="D3310" t="s">
        <v>118</v>
      </c>
      <c r="E3310" t="s">
        <v>376</v>
      </c>
      <c r="F3310" s="72">
        <v>540.30999999999995</v>
      </c>
      <c r="G3310" s="72">
        <v>0</v>
      </c>
    </row>
    <row r="3311" spans="2:7" x14ac:dyDescent="0.25">
      <c r="B3311" s="71">
        <v>43671</v>
      </c>
      <c r="C3311" t="s">
        <v>21</v>
      </c>
      <c r="D3311" t="s">
        <v>118</v>
      </c>
      <c r="E3311" t="s">
        <v>376</v>
      </c>
      <c r="F3311" s="72">
        <v>566.5</v>
      </c>
      <c r="G3311" s="72">
        <v>0</v>
      </c>
    </row>
    <row r="3312" spans="2:7" x14ac:dyDescent="0.25">
      <c r="B3312" s="71">
        <v>43671</v>
      </c>
      <c r="C3312" t="s">
        <v>21</v>
      </c>
      <c r="D3312" t="s">
        <v>118</v>
      </c>
      <c r="E3312" t="s">
        <v>376</v>
      </c>
      <c r="F3312" s="72">
        <v>635.51</v>
      </c>
      <c r="G3312" s="72">
        <v>0</v>
      </c>
    </row>
    <row r="3313" spans="2:7" x14ac:dyDescent="0.25">
      <c r="B3313" s="71">
        <v>43671</v>
      </c>
      <c r="C3313" t="s">
        <v>21</v>
      </c>
      <c r="D3313" t="s">
        <v>118</v>
      </c>
      <c r="E3313" t="s">
        <v>376</v>
      </c>
      <c r="F3313" s="72">
        <v>812.13</v>
      </c>
      <c r="G3313" s="72">
        <v>0</v>
      </c>
    </row>
    <row r="3314" spans="2:7" x14ac:dyDescent="0.25">
      <c r="B3314" s="71">
        <v>43671</v>
      </c>
      <c r="C3314" t="s">
        <v>21</v>
      </c>
      <c r="D3314" t="s">
        <v>118</v>
      </c>
      <c r="E3314" t="s">
        <v>376</v>
      </c>
      <c r="F3314" s="72">
        <v>834.96</v>
      </c>
      <c r="G3314" s="72">
        <v>0</v>
      </c>
    </row>
    <row r="3315" spans="2:7" x14ac:dyDescent="0.25">
      <c r="B3315" s="71">
        <v>43671</v>
      </c>
      <c r="C3315" t="s">
        <v>21</v>
      </c>
      <c r="D3315" t="s">
        <v>118</v>
      </c>
      <c r="E3315" t="s">
        <v>376</v>
      </c>
      <c r="F3315" s="72">
        <v>873.5</v>
      </c>
      <c r="G3315" s="72">
        <v>0</v>
      </c>
    </row>
    <row r="3316" spans="2:7" x14ac:dyDescent="0.25">
      <c r="B3316" s="71">
        <v>43671</v>
      </c>
      <c r="C3316" t="s">
        <v>21</v>
      </c>
      <c r="D3316" t="s">
        <v>118</v>
      </c>
      <c r="E3316" t="s">
        <v>376</v>
      </c>
      <c r="F3316" s="72">
        <v>1098.96</v>
      </c>
      <c r="G3316" s="72">
        <v>0</v>
      </c>
    </row>
    <row r="3317" spans="2:7" x14ac:dyDescent="0.25">
      <c r="B3317" s="71">
        <v>43671</v>
      </c>
      <c r="C3317" t="s">
        <v>21</v>
      </c>
      <c r="D3317" t="s">
        <v>85</v>
      </c>
      <c r="E3317" t="s">
        <v>377</v>
      </c>
      <c r="F3317" s="72">
        <v>1.8</v>
      </c>
      <c r="G3317" s="72">
        <v>0</v>
      </c>
    </row>
    <row r="3318" spans="2:7" x14ac:dyDescent="0.25">
      <c r="B3318" s="71">
        <v>43671</v>
      </c>
      <c r="C3318" t="s">
        <v>67</v>
      </c>
      <c r="D3318" t="s">
        <v>80</v>
      </c>
      <c r="E3318" t="s">
        <v>377</v>
      </c>
      <c r="F3318" s="72">
        <v>39.619999999999997</v>
      </c>
      <c r="G3318" s="72">
        <v>0</v>
      </c>
    </row>
    <row r="3319" spans="2:7" x14ac:dyDescent="0.25">
      <c r="B3319" s="71">
        <v>43671</v>
      </c>
      <c r="C3319" t="s">
        <v>67</v>
      </c>
      <c r="D3319" t="s">
        <v>118</v>
      </c>
      <c r="E3319" t="s">
        <v>376</v>
      </c>
      <c r="F3319" s="72">
        <v>20.9</v>
      </c>
      <c r="G3319" s="72">
        <v>0</v>
      </c>
    </row>
    <row r="3320" spans="2:7" x14ac:dyDescent="0.25">
      <c r="B3320" s="71">
        <v>43671</v>
      </c>
      <c r="C3320" t="s">
        <v>49</v>
      </c>
      <c r="D3320" t="s">
        <v>118</v>
      </c>
      <c r="E3320" t="s">
        <v>376</v>
      </c>
      <c r="F3320" s="72">
        <v>1499.58</v>
      </c>
      <c r="G3320" s="72">
        <v>0</v>
      </c>
    </row>
    <row r="3321" spans="2:7" x14ac:dyDescent="0.25">
      <c r="B3321" s="71">
        <v>43671</v>
      </c>
      <c r="C3321" t="s">
        <v>49</v>
      </c>
      <c r="D3321" t="s">
        <v>85</v>
      </c>
      <c r="E3321" t="s">
        <v>377</v>
      </c>
      <c r="F3321" s="72">
        <v>450</v>
      </c>
      <c r="G3321" s="72">
        <v>0</v>
      </c>
    </row>
    <row r="3322" spans="2:7" x14ac:dyDescent="0.25">
      <c r="B3322" s="71">
        <v>43671</v>
      </c>
      <c r="C3322" t="s">
        <v>51</v>
      </c>
      <c r="D3322" t="s">
        <v>118</v>
      </c>
      <c r="E3322" t="s">
        <v>376</v>
      </c>
      <c r="F3322" s="72">
        <v>1142.21</v>
      </c>
      <c r="G3322" s="72">
        <v>0</v>
      </c>
    </row>
    <row r="3323" spans="2:7" x14ac:dyDescent="0.25">
      <c r="B3323" s="71">
        <v>43671</v>
      </c>
      <c r="C3323" t="s">
        <v>51</v>
      </c>
      <c r="D3323" t="s">
        <v>85</v>
      </c>
      <c r="E3323" t="s">
        <v>377</v>
      </c>
      <c r="F3323" s="72">
        <v>13.15</v>
      </c>
      <c r="G3323" s="72">
        <v>0</v>
      </c>
    </row>
    <row r="3324" spans="2:7" x14ac:dyDescent="0.25">
      <c r="B3324" s="71">
        <v>43671</v>
      </c>
      <c r="C3324" t="s">
        <v>53</v>
      </c>
      <c r="D3324" t="s">
        <v>118</v>
      </c>
      <c r="E3324" t="s">
        <v>376</v>
      </c>
      <c r="F3324" s="72">
        <v>249.64</v>
      </c>
      <c r="G3324" s="72">
        <v>0</v>
      </c>
    </row>
    <row r="3325" spans="2:7" x14ac:dyDescent="0.25">
      <c r="B3325" s="71">
        <v>43671</v>
      </c>
      <c r="C3325" t="s">
        <v>66</v>
      </c>
      <c r="D3325" t="s">
        <v>85</v>
      </c>
      <c r="E3325" t="s">
        <v>377</v>
      </c>
      <c r="F3325" s="72">
        <v>35.1</v>
      </c>
      <c r="G3325" s="72">
        <v>0</v>
      </c>
    </row>
    <row r="3326" spans="2:7" x14ac:dyDescent="0.25">
      <c r="B3326" s="71">
        <v>43671</v>
      </c>
      <c r="C3326" t="s">
        <v>24</v>
      </c>
      <c r="D3326" t="s">
        <v>118</v>
      </c>
      <c r="E3326" t="s">
        <v>376</v>
      </c>
      <c r="F3326" s="72">
        <v>5.6</v>
      </c>
      <c r="G3326" s="72">
        <v>0</v>
      </c>
    </row>
    <row r="3327" spans="2:7" x14ac:dyDescent="0.25">
      <c r="B3327" s="71">
        <v>43671</v>
      </c>
      <c r="C3327" t="s">
        <v>24</v>
      </c>
      <c r="D3327" t="s">
        <v>118</v>
      </c>
      <c r="E3327" t="s">
        <v>376</v>
      </c>
      <c r="F3327" s="72">
        <v>14.12</v>
      </c>
      <c r="G3327" s="72">
        <v>0</v>
      </c>
    </row>
    <row r="3328" spans="2:7" x14ac:dyDescent="0.25">
      <c r="B3328" s="71">
        <v>43671</v>
      </c>
      <c r="C3328" t="s">
        <v>24</v>
      </c>
      <c r="D3328" t="s">
        <v>118</v>
      </c>
      <c r="E3328" t="s">
        <v>376</v>
      </c>
      <c r="F3328" s="72">
        <v>19.38</v>
      </c>
      <c r="G3328" s="72">
        <v>0</v>
      </c>
    </row>
    <row r="3329" spans="2:7" x14ac:dyDescent="0.25">
      <c r="B3329" s="71">
        <v>43671</v>
      </c>
      <c r="C3329" t="s">
        <v>24</v>
      </c>
      <c r="D3329" t="s">
        <v>118</v>
      </c>
      <c r="E3329" t="s">
        <v>376</v>
      </c>
      <c r="F3329" s="72">
        <v>20.25</v>
      </c>
      <c r="G3329" s="72">
        <v>0</v>
      </c>
    </row>
    <row r="3330" spans="2:7" x14ac:dyDescent="0.25">
      <c r="B3330" s="71">
        <v>43671</v>
      </c>
      <c r="C3330" t="s">
        <v>24</v>
      </c>
      <c r="D3330" t="s">
        <v>118</v>
      </c>
      <c r="E3330" t="s">
        <v>376</v>
      </c>
      <c r="F3330" s="72">
        <v>23.39</v>
      </c>
      <c r="G3330" s="72">
        <v>0</v>
      </c>
    </row>
    <row r="3331" spans="2:7" x14ac:dyDescent="0.25">
      <c r="B3331" s="71">
        <v>43671</v>
      </c>
      <c r="C3331" t="s">
        <v>24</v>
      </c>
      <c r="D3331" t="s">
        <v>118</v>
      </c>
      <c r="E3331" t="s">
        <v>376</v>
      </c>
      <c r="F3331" s="72">
        <v>23.73</v>
      </c>
      <c r="G3331" s="72">
        <v>0</v>
      </c>
    </row>
    <row r="3332" spans="2:7" x14ac:dyDescent="0.25">
      <c r="B3332" s="71">
        <v>43671</v>
      </c>
      <c r="C3332" t="s">
        <v>24</v>
      </c>
      <c r="D3332" t="s">
        <v>118</v>
      </c>
      <c r="E3332" t="s">
        <v>376</v>
      </c>
      <c r="F3332" s="72">
        <v>25.63</v>
      </c>
      <c r="G3332" s="72">
        <v>0</v>
      </c>
    </row>
    <row r="3333" spans="2:7" x14ac:dyDescent="0.25">
      <c r="B3333" s="71">
        <v>43671</v>
      </c>
      <c r="C3333" t="s">
        <v>24</v>
      </c>
      <c r="D3333" t="s">
        <v>118</v>
      </c>
      <c r="E3333" t="s">
        <v>376</v>
      </c>
      <c r="F3333" s="72">
        <v>27.42</v>
      </c>
      <c r="G3333" s="72">
        <v>0</v>
      </c>
    </row>
    <row r="3334" spans="2:7" x14ac:dyDescent="0.25">
      <c r="B3334" s="71">
        <v>43671</v>
      </c>
      <c r="C3334" t="s">
        <v>24</v>
      </c>
      <c r="D3334" t="s">
        <v>118</v>
      </c>
      <c r="E3334" t="s">
        <v>376</v>
      </c>
      <c r="F3334" s="72">
        <v>44.13</v>
      </c>
      <c r="G3334" s="72">
        <v>0</v>
      </c>
    </row>
    <row r="3335" spans="2:7" x14ac:dyDescent="0.25">
      <c r="B3335" s="71">
        <v>43671</v>
      </c>
      <c r="C3335" t="s">
        <v>24</v>
      </c>
      <c r="D3335" t="s">
        <v>118</v>
      </c>
      <c r="E3335" t="s">
        <v>376</v>
      </c>
      <c r="F3335" s="72">
        <v>46.01</v>
      </c>
      <c r="G3335" s="72">
        <v>0</v>
      </c>
    </row>
    <row r="3336" spans="2:7" x14ac:dyDescent="0.25">
      <c r="B3336" s="71">
        <v>43671</v>
      </c>
      <c r="C3336" t="s">
        <v>24</v>
      </c>
      <c r="D3336" t="s">
        <v>118</v>
      </c>
      <c r="E3336" t="s">
        <v>376</v>
      </c>
      <c r="F3336" s="72">
        <v>48.99</v>
      </c>
      <c r="G3336" s="72">
        <v>0</v>
      </c>
    </row>
    <row r="3337" spans="2:7" x14ac:dyDescent="0.25">
      <c r="B3337" s="71">
        <v>43671</v>
      </c>
      <c r="C3337" t="s">
        <v>24</v>
      </c>
      <c r="D3337" t="s">
        <v>118</v>
      </c>
      <c r="E3337" t="s">
        <v>376</v>
      </c>
      <c r="F3337" s="72">
        <v>60.7</v>
      </c>
      <c r="G3337" s="72">
        <v>0</v>
      </c>
    </row>
    <row r="3338" spans="2:7" x14ac:dyDescent="0.25">
      <c r="B3338" s="71">
        <v>43671</v>
      </c>
      <c r="C3338" t="s">
        <v>24</v>
      </c>
      <c r="D3338" t="s">
        <v>118</v>
      </c>
      <c r="E3338" t="s">
        <v>376</v>
      </c>
      <c r="F3338" s="72">
        <v>63.64</v>
      </c>
      <c r="G3338" s="72">
        <v>0</v>
      </c>
    </row>
    <row r="3339" spans="2:7" x14ac:dyDescent="0.25">
      <c r="B3339" s="71">
        <v>43671</v>
      </c>
      <c r="C3339" t="s">
        <v>24</v>
      </c>
      <c r="D3339" t="s">
        <v>118</v>
      </c>
      <c r="E3339" t="s">
        <v>376</v>
      </c>
      <c r="F3339" s="72">
        <v>65.59</v>
      </c>
      <c r="G3339" s="72">
        <v>0</v>
      </c>
    </row>
    <row r="3340" spans="2:7" x14ac:dyDescent="0.25">
      <c r="B3340" s="71">
        <v>43671</v>
      </c>
      <c r="C3340" t="s">
        <v>24</v>
      </c>
      <c r="D3340" t="s">
        <v>118</v>
      </c>
      <c r="E3340" t="s">
        <v>376</v>
      </c>
      <c r="F3340" s="72">
        <v>80.47</v>
      </c>
      <c r="G3340" s="72">
        <v>0</v>
      </c>
    </row>
    <row r="3341" spans="2:7" x14ac:dyDescent="0.25">
      <c r="B3341" s="71">
        <v>43671</v>
      </c>
      <c r="C3341" t="s">
        <v>24</v>
      </c>
      <c r="D3341" t="s">
        <v>118</v>
      </c>
      <c r="E3341" t="s">
        <v>376</v>
      </c>
      <c r="F3341" s="72">
        <v>85.88</v>
      </c>
      <c r="G3341" s="72">
        <v>0</v>
      </c>
    </row>
    <row r="3342" spans="2:7" x14ac:dyDescent="0.25">
      <c r="B3342" s="71">
        <v>43671</v>
      </c>
      <c r="C3342" t="s">
        <v>24</v>
      </c>
      <c r="D3342" t="s">
        <v>118</v>
      </c>
      <c r="E3342" t="s">
        <v>376</v>
      </c>
      <c r="F3342" s="72">
        <v>107.83</v>
      </c>
      <c r="G3342" s="72">
        <v>0</v>
      </c>
    </row>
    <row r="3343" spans="2:7" x14ac:dyDescent="0.25">
      <c r="B3343" s="71">
        <v>43671</v>
      </c>
      <c r="C3343" t="s">
        <v>24</v>
      </c>
      <c r="D3343" t="s">
        <v>118</v>
      </c>
      <c r="E3343" t="s">
        <v>376</v>
      </c>
      <c r="F3343" s="72">
        <v>130.29</v>
      </c>
      <c r="G3343" s="72">
        <v>0</v>
      </c>
    </row>
    <row r="3344" spans="2:7" x14ac:dyDescent="0.25">
      <c r="B3344" s="71">
        <v>43671</v>
      </c>
      <c r="C3344" t="s">
        <v>24</v>
      </c>
      <c r="D3344" t="s">
        <v>118</v>
      </c>
      <c r="E3344" t="s">
        <v>376</v>
      </c>
      <c r="F3344" s="72">
        <v>132.22</v>
      </c>
      <c r="G3344" s="72">
        <v>0</v>
      </c>
    </row>
    <row r="3345" spans="2:7" x14ac:dyDescent="0.25">
      <c r="B3345" s="71">
        <v>43671</v>
      </c>
      <c r="C3345" t="s">
        <v>24</v>
      </c>
      <c r="D3345" t="s">
        <v>118</v>
      </c>
      <c r="E3345" t="s">
        <v>376</v>
      </c>
      <c r="F3345" s="72">
        <v>144.43</v>
      </c>
      <c r="G3345" s="72">
        <v>0</v>
      </c>
    </row>
    <row r="3346" spans="2:7" x14ac:dyDescent="0.25">
      <c r="B3346" s="71">
        <v>43671</v>
      </c>
      <c r="C3346" t="s">
        <v>24</v>
      </c>
      <c r="D3346" t="s">
        <v>118</v>
      </c>
      <c r="E3346" t="s">
        <v>376</v>
      </c>
      <c r="F3346" s="72">
        <v>410.35</v>
      </c>
      <c r="G3346" s="72">
        <v>0</v>
      </c>
    </row>
    <row r="3347" spans="2:7" x14ac:dyDescent="0.25">
      <c r="B3347" s="71">
        <v>43672</v>
      </c>
      <c r="C3347" t="s">
        <v>25</v>
      </c>
      <c r="D3347" t="s">
        <v>80</v>
      </c>
      <c r="E3347" t="s">
        <v>378</v>
      </c>
      <c r="F3347" s="72">
        <v>16</v>
      </c>
      <c r="G3347" s="72">
        <v>0</v>
      </c>
    </row>
    <row r="3348" spans="2:7" x14ac:dyDescent="0.25">
      <c r="B3348" s="71">
        <v>43672</v>
      </c>
      <c r="C3348" t="s">
        <v>25</v>
      </c>
      <c r="D3348" t="s">
        <v>81</v>
      </c>
      <c r="E3348" t="s">
        <v>378</v>
      </c>
      <c r="F3348" s="72">
        <v>22.26</v>
      </c>
      <c r="G3348" s="72">
        <v>0</v>
      </c>
    </row>
    <row r="3349" spans="2:7" x14ac:dyDescent="0.25">
      <c r="B3349" s="71">
        <v>43672</v>
      </c>
      <c r="C3349" t="s">
        <v>25</v>
      </c>
      <c r="D3349" t="s">
        <v>81</v>
      </c>
      <c r="E3349" t="s">
        <v>378</v>
      </c>
      <c r="F3349" s="72">
        <v>26.2</v>
      </c>
      <c r="G3349" s="72">
        <v>0</v>
      </c>
    </row>
    <row r="3350" spans="2:7" x14ac:dyDescent="0.25">
      <c r="B3350" s="71">
        <v>43672</v>
      </c>
      <c r="C3350" t="s">
        <v>25</v>
      </c>
      <c r="D3350" t="s">
        <v>81</v>
      </c>
      <c r="E3350" t="s">
        <v>378</v>
      </c>
      <c r="F3350" s="72">
        <v>26.91</v>
      </c>
      <c r="G3350" s="72">
        <v>0</v>
      </c>
    </row>
    <row r="3351" spans="2:7" x14ac:dyDescent="0.25">
      <c r="B3351" s="71">
        <v>43672</v>
      </c>
      <c r="C3351" t="s">
        <v>25</v>
      </c>
      <c r="D3351" t="s">
        <v>81</v>
      </c>
      <c r="E3351" t="s">
        <v>378</v>
      </c>
      <c r="F3351" s="72">
        <v>35.979999999999997</v>
      </c>
      <c r="G3351" s="72">
        <v>0</v>
      </c>
    </row>
    <row r="3352" spans="2:7" x14ac:dyDescent="0.25">
      <c r="B3352" s="71">
        <v>43672</v>
      </c>
      <c r="C3352" t="s">
        <v>25</v>
      </c>
      <c r="D3352" t="s">
        <v>81</v>
      </c>
      <c r="E3352" t="s">
        <v>378</v>
      </c>
      <c r="F3352" s="72">
        <v>39.950000000000003</v>
      </c>
      <c r="G3352" s="72">
        <v>0</v>
      </c>
    </row>
    <row r="3353" spans="2:7" x14ac:dyDescent="0.25">
      <c r="B3353" s="71">
        <v>43672</v>
      </c>
      <c r="C3353" t="s">
        <v>25</v>
      </c>
      <c r="D3353" t="s">
        <v>81</v>
      </c>
      <c r="E3353" t="s">
        <v>378</v>
      </c>
      <c r="F3353" s="72">
        <v>116</v>
      </c>
      <c r="G3353" s="72">
        <v>0</v>
      </c>
    </row>
    <row r="3354" spans="2:7" x14ac:dyDescent="0.25">
      <c r="B3354" s="71">
        <v>43672</v>
      </c>
      <c r="C3354" t="s">
        <v>25</v>
      </c>
      <c r="D3354" t="s">
        <v>88</v>
      </c>
      <c r="E3354" t="s">
        <v>378</v>
      </c>
      <c r="F3354" s="72">
        <v>18</v>
      </c>
      <c r="G3354" s="72">
        <v>0</v>
      </c>
    </row>
    <row r="3355" spans="2:7" x14ac:dyDescent="0.25">
      <c r="B3355" s="71">
        <v>43672</v>
      </c>
      <c r="C3355" t="s">
        <v>25</v>
      </c>
      <c r="D3355" t="s">
        <v>88</v>
      </c>
      <c r="E3355" t="s">
        <v>378</v>
      </c>
      <c r="F3355" s="72">
        <v>30</v>
      </c>
      <c r="G3355" s="72">
        <v>0</v>
      </c>
    </row>
    <row r="3356" spans="2:7" x14ac:dyDescent="0.25">
      <c r="B3356" s="71">
        <v>43672</v>
      </c>
      <c r="C3356" t="s">
        <v>25</v>
      </c>
      <c r="D3356" t="s">
        <v>88</v>
      </c>
      <c r="E3356" t="s">
        <v>378</v>
      </c>
      <c r="F3356" s="72">
        <v>66.45</v>
      </c>
      <c r="G3356" s="72">
        <v>0</v>
      </c>
    </row>
    <row r="3357" spans="2:7" x14ac:dyDescent="0.25">
      <c r="B3357" s="71">
        <v>43672</v>
      </c>
      <c r="C3357" t="s">
        <v>25</v>
      </c>
      <c r="D3357" t="s">
        <v>88</v>
      </c>
      <c r="E3357" t="s">
        <v>378</v>
      </c>
      <c r="F3357" s="72">
        <v>69.55</v>
      </c>
      <c r="G3357" s="72">
        <v>0</v>
      </c>
    </row>
    <row r="3358" spans="2:7" x14ac:dyDescent="0.25">
      <c r="B3358" s="71">
        <v>43672</v>
      </c>
      <c r="C3358" t="s">
        <v>25</v>
      </c>
      <c r="D3358" t="s">
        <v>88</v>
      </c>
      <c r="E3358" t="s">
        <v>378</v>
      </c>
      <c r="F3358" s="72">
        <v>76.81</v>
      </c>
      <c r="G3358" s="72">
        <v>0</v>
      </c>
    </row>
    <row r="3359" spans="2:7" x14ac:dyDescent="0.25">
      <c r="B3359" s="71">
        <v>43672</v>
      </c>
      <c r="C3359" t="s">
        <v>25</v>
      </c>
      <c r="D3359" t="s">
        <v>88</v>
      </c>
      <c r="E3359" t="s">
        <v>378</v>
      </c>
      <c r="F3359" s="72">
        <v>90</v>
      </c>
      <c r="G3359" s="72">
        <v>0</v>
      </c>
    </row>
    <row r="3360" spans="2:7" x14ac:dyDescent="0.25">
      <c r="B3360" s="71">
        <v>43672</v>
      </c>
      <c r="C3360" t="s">
        <v>25</v>
      </c>
      <c r="D3360" t="s">
        <v>88</v>
      </c>
      <c r="E3360" t="s">
        <v>378</v>
      </c>
      <c r="F3360" s="72">
        <v>107.29</v>
      </c>
      <c r="G3360" s="72">
        <v>0</v>
      </c>
    </row>
    <row r="3361" spans="2:7" x14ac:dyDescent="0.25">
      <c r="B3361" s="71">
        <v>43672</v>
      </c>
      <c r="C3361" t="s">
        <v>25</v>
      </c>
      <c r="D3361" t="s">
        <v>88</v>
      </c>
      <c r="E3361" t="s">
        <v>378</v>
      </c>
      <c r="F3361" s="72">
        <v>138</v>
      </c>
      <c r="G3361" s="72">
        <v>0</v>
      </c>
    </row>
    <row r="3362" spans="2:7" x14ac:dyDescent="0.25">
      <c r="B3362" s="71">
        <v>43672</v>
      </c>
      <c r="C3362" t="s">
        <v>25</v>
      </c>
      <c r="D3362" t="s">
        <v>82</v>
      </c>
      <c r="E3362" t="s">
        <v>379</v>
      </c>
      <c r="F3362" s="72">
        <v>8.4</v>
      </c>
      <c r="G3362" s="72">
        <v>0</v>
      </c>
    </row>
    <row r="3363" spans="2:7" x14ac:dyDescent="0.25">
      <c r="B3363" s="71">
        <v>43672</v>
      </c>
      <c r="C3363" t="s">
        <v>25</v>
      </c>
      <c r="D3363" t="s">
        <v>82</v>
      </c>
      <c r="E3363" t="s">
        <v>350</v>
      </c>
      <c r="F3363" s="72">
        <v>12</v>
      </c>
      <c r="G3363" s="72">
        <v>0</v>
      </c>
    </row>
    <row r="3364" spans="2:7" x14ac:dyDescent="0.25">
      <c r="B3364" s="71">
        <v>43672</v>
      </c>
      <c r="C3364" t="s">
        <v>25</v>
      </c>
      <c r="D3364" t="s">
        <v>82</v>
      </c>
      <c r="E3364" t="s">
        <v>173</v>
      </c>
      <c r="F3364" s="72">
        <v>14.35</v>
      </c>
      <c r="G3364" s="72">
        <v>0</v>
      </c>
    </row>
    <row r="3365" spans="2:7" x14ac:dyDescent="0.25">
      <c r="B3365" s="71">
        <v>43672</v>
      </c>
      <c r="C3365" t="s">
        <v>25</v>
      </c>
      <c r="D3365" t="s">
        <v>82</v>
      </c>
      <c r="E3365" t="s">
        <v>159</v>
      </c>
      <c r="F3365" s="72">
        <v>7.35</v>
      </c>
      <c r="G3365" s="72">
        <v>0</v>
      </c>
    </row>
    <row r="3366" spans="2:7" x14ac:dyDescent="0.25">
      <c r="B3366" s="71">
        <v>43672</v>
      </c>
      <c r="C3366" t="s">
        <v>25</v>
      </c>
      <c r="D3366" t="s">
        <v>85</v>
      </c>
      <c r="E3366" t="s">
        <v>378</v>
      </c>
      <c r="F3366" s="72">
        <v>1.8</v>
      </c>
      <c r="G3366" s="72">
        <v>0</v>
      </c>
    </row>
    <row r="3367" spans="2:7" x14ac:dyDescent="0.25">
      <c r="B3367" s="71">
        <v>43672</v>
      </c>
      <c r="C3367" t="s">
        <v>25</v>
      </c>
      <c r="D3367" t="s">
        <v>85</v>
      </c>
      <c r="E3367" t="s">
        <v>378</v>
      </c>
      <c r="F3367" s="72">
        <v>12</v>
      </c>
      <c r="G3367" s="72">
        <v>0</v>
      </c>
    </row>
    <row r="3368" spans="2:7" x14ac:dyDescent="0.25">
      <c r="B3368" s="71">
        <v>43672</v>
      </c>
      <c r="C3368" t="s">
        <v>25</v>
      </c>
      <c r="D3368" t="s">
        <v>85</v>
      </c>
      <c r="E3368" t="s">
        <v>378</v>
      </c>
      <c r="F3368" s="72">
        <v>46</v>
      </c>
      <c r="G3368" s="72">
        <v>0</v>
      </c>
    </row>
    <row r="3369" spans="2:7" x14ac:dyDescent="0.25">
      <c r="B3369" s="71">
        <v>43672</v>
      </c>
      <c r="C3369" t="s">
        <v>25</v>
      </c>
      <c r="D3369" t="s">
        <v>85</v>
      </c>
      <c r="E3369" t="s">
        <v>378</v>
      </c>
      <c r="F3369" s="72">
        <v>1350</v>
      </c>
      <c r="G3369" s="72">
        <v>0</v>
      </c>
    </row>
    <row r="3370" spans="2:7" x14ac:dyDescent="0.25">
      <c r="B3370" s="71">
        <v>43672</v>
      </c>
      <c r="C3370" t="s">
        <v>55</v>
      </c>
      <c r="D3370" t="s">
        <v>86</v>
      </c>
      <c r="E3370" t="s">
        <v>378</v>
      </c>
      <c r="F3370" s="72">
        <v>44.84</v>
      </c>
      <c r="G3370" s="72">
        <v>0</v>
      </c>
    </row>
    <row r="3371" spans="2:7" x14ac:dyDescent="0.25">
      <c r="B3371" s="71">
        <v>43672</v>
      </c>
      <c r="C3371" t="s">
        <v>57</v>
      </c>
      <c r="D3371" t="s">
        <v>85</v>
      </c>
      <c r="E3371" t="s">
        <v>378</v>
      </c>
      <c r="F3371" s="72">
        <v>54.29</v>
      </c>
      <c r="G3371" s="72">
        <v>0</v>
      </c>
    </row>
    <row r="3372" spans="2:7" x14ac:dyDescent="0.25">
      <c r="B3372" s="71">
        <v>43672</v>
      </c>
      <c r="C3372" t="s">
        <v>21</v>
      </c>
      <c r="D3372" t="s">
        <v>80</v>
      </c>
      <c r="E3372" t="s">
        <v>378</v>
      </c>
      <c r="F3372" s="72">
        <v>8</v>
      </c>
      <c r="G3372" s="72">
        <v>0</v>
      </c>
    </row>
    <row r="3373" spans="2:7" x14ac:dyDescent="0.25">
      <c r="B3373" s="71">
        <v>43672</v>
      </c>
      <c r="C3373" t="s">
        <v>21</v>
      </c>
      <c r="D3373" t="s">
        <v>80</v>
      </c>
      <c r="E3373" t="s">
        <v>378</v>
      </c>
      <c r="F3373" s="72">
        <v>16</v>
      </c>
      <c r="G3373" s="72">
        <v>0</v>
      </c>
    </row>
    <row r="3374" spans="2:7" x14ac:dyDescent="0.25">
      <c r="B3374" s="71">
        <v>43672</v>
      </c>
      <c r="C3374" t="s">
        <v>21</v>
      </c>
      <c r="D3374" t="s">
        <v>80</v>
      </c>
      <c r="E3374" t="s">
        <v>378</v>
      </c>
      <c r="F3374" s="72">
        <v>32</v>
      </c>
      <c r="G3374" s="72">
        <v>0</v>
      </c>
    </row>
    <row r="3375" spans="2:7" x14ac:dyDescent="0.25">
      <c r="B3375" s="71">
        <v>43672</v>
      </c>
      <c r="C3375" t="s">
        <v>21</v>
      </c>
      <c r="D3375" t="s">
        <v>85</v>
      </c>
      <c r="E3375" t="s">
        <v>378</v>
      </c>
      <c r="F3375" s="72">
        <v>1.8</v>
      </c>
      <c r="G3375" s="72">
        <v>0</v>
      </c>
    </row>
    <row r="3376" spans="2:7" x14ac:dyDescent="0.25">
      <c r="B3376" s="71">
        <v>43672</v>
      </c>
      <c r="C3376" t="s">
        <v>21</v>
      </c>
      <c r="D3376" t="s">
        <v>85</v>
      </c>
      <c r="E3376" t="s">
        <v>378</v>
      </c>
      <c r="F3376" s="72">
        <v>6</v>
      </c>
      <c r="G3376" s="72">
        <v>0</v>
      </c>
    </row>
    <row r="3377" spans="2:7" x14ac:dyDescent="0.25">
      <c r="B3377" s="71">
        <v>43672</v>
      </c>
      <c r="C3377" t="s">
        <v>67</v>
      </c>
      <c r="D3377" t="s">
        <v>85</v>
      </c>
      <c r="E3377" t="s">
        <v>378</v>
      </c>
      <c r="F3377" s="72">
        <v>75.599999999999994</v>
      </c>
      <c r="G3377" s="72">
        <v>0</v>
      </c>
    </row>
    <row r="3378" spans="2:7" x14ac:dyDescent="0.25">
      <c r="B3378" s="71">
        <v>43672</v>
      </c>
      <c r="C3378" t="s">
        <v>49</v>
      </c>
      <c r="D3378" t="s">
        <v>86</v>
      </c>
      <c r="E3378" t="s">
        <v>378</v>
      </c>
      <c r="F3378" s="72">
        <v>27</v>
      </c>
      <c r="G3378" s="72">
        <v>0</v>
      </c>
    </row>
    <row r="3379" spans="2:7" x14ac:dyDescent="0.25">
      <c r="B3379" s="71">
        <v>43672</v>
      </c>
      <c r="C3379" t="s">
        <v>49</v>
      </c>
      <c r="D3379" t="s">
        <v>88</v>
      </c>
      <c r="E3379" t="s">
        <v>378</v>
      </c>
      <c r="F3379" s="72">
        <v>91.5</v>
      </c>
      <c r="G3379" s="72">
        <v>0</v>
      </c>
    </row>
    <row r="3380" spans="2:7" x14ac:dyDescent="0.25">
      <c r="B3380" s="71">
        <v>43672</v>
      </c>
      <c r="C3380" t="s">
        <v>49</v>
      </c>
      <c r="D3380" t="s">
        <v>85</v>
      </c>
      <c r="E3380" t="s">
        <v>378</v>
      </c>
      <c r="F3380" s="72">
        <v>106</v>
      </c>
      <c r="G3380" s="72">
        <v>0</v>
      </c>
    </row>
    <row r="3381" spans="2:7" x14ac:dyDescent="0.25">
      <c r="B3381" s="71">
        <v>43672</v>
      </c>
      <c r="C3381" t="s">
        <v>64</v>
      </c>
      <c r="D3381" t="s">
        <v>80</v>
      </c>
      <c r="E3381" t="s">
        <v>378</v>
      </c>
      <c r="F3381" s="72">
        <v>18.190000000000001</v>
      </c>
      <c r="G3381" s="72">
        <v>0</v>
      </c>
    </row>
    <row r="3382" spans="2:7" x14ac:dyDescent="0.25">
      <c r="B3382" s="71">
        <v>43672</v>
      </c>
      <c r="C3382" t="s">
        <v>24</v>
      </c>
      <c r="D3382" t="s">
        <v>80</v>
      </c>
      <c r="E3382" t="s">
        <v>378</v>
      </c>
      <c r="F3382" s="72">
        <v>16</v>
      </c>
      <c r="G3382" s="72">
        <v>0</v>
      </c>
    </row>
    <row r="3383" spans="2:7" x14ac:dyDescent="0.25">
      <c r="B3383" s="71">
        <v>43672</v>
      </c>
      <c r="C3383" t="s">
        <v>24</v>
      </c>
      <c r="D3383" t="s">
        <v>80</v>
      </c>
      <c r="E3383" t="s">
        <v>378</v>
      </c>
      <c r="F3383" s="72">
        <v>24</v>
      </c>
      <c r="G3383" s="72">
        <v>0</v>
      </c>
    </row>
    <row r="3384" spans="2:7" x14ac:dyDescent="0.25">
      <c r="B3384" s="71">
        <v>43673</v>
      </c>
      <c r="C3384" t="s">
        <v>25</v>
      </c>
      <c r="D3384" t="s">
        <v>82</v>
      </c>
      <c r="E3384" t="s">
        <v>179</v>
      </c>
      <c r="F3384" s="72">
        <v>9</v>
      </c>
      <c r="G3384" s="72">
        <v>0</v>
      </c>
    </row>
    <row r="3385" spans="2:7" x14ac:dyDescent="0.25">
      <c r="B3385" s="71">
        <v>43673</v>
      </c>
      <c r="C3385" t="s">
        <v>25</v>
      </c>
      <c r="D3385" t="s">
        <v>82</v>
      </c>
      <c r="E3385" t="s">
        <v>170</v>
      </c>
      <c r="F3385" s="72">
        <v>7.35</v>
      </c>
      <c r="G3385" s="72">
        <v>0</v>
      </c>
    </row>
    <row r="3386" spans="2:7" x14ac:dyDescent="0.25">
      <c r="B3386" s="71">
        <v>43673</v>
      </c>
      <c r="C3386" t="s">
        <v>21</v>
      </c>
      <c r="D3386" t="s">
        <v>80</v>
      </c>
      <c r="E3386" t="s">
        <v>380</v>
      </c>
      <c r="F3386" s="72">
        <v>8</v>
      </c>
      <c r="G3386" s="72">
        <v>0</v>
      </c>
    </row>
    <row r="3387" spans="2:7" x14ac:dyDescent="0.25">
      <c r="B3387" s="71">
        <v>43673</v>
      </c>
      <c r="C3387" t="s">
        <v>21</v>
      </c>
      <c r="D3387" t="s">
        <v>80</v>
      </c>
      <c r="E3387" t="s">
        <v>380</v>
      </c>
      <c r="F3387" s="72">
        <v>16</v>
      </c>
      <c r="G3387" s="72">
        <v>0</v>
      </c>
    </row>
    <row r="3388" spans="2:7" x14ac:dyDescent="0.25">
      <c r="B3388" s="71">
        <v>43673</v>
      </c>
      <c r="C3388" t="s">
        <v>21</v>
      </c>
      <c r="D3388" t="s">
        <v>80</v>
      </c>
      <c r="E3388" t="s">
        <v>380</v>
      </c>
      <c r="F3388" s="72">
        <v>24</v>
      </c>
      <c r="G3388" s="72">
        <v>0</v>
      </c>
    </row>
    <row r="3389" spans="2:7" x14ac:dyDescent="0.25">
      <c r="B3389" s="71">
        <v>43673</v>
      </c>
      <c r="C3389" t="s">
        <v>24</v>
      </c>
      <c r="D3389" t="s">
        <v>80</v>
      </c>
      <c r="E3389" t="s">
        <v>380</v>
      </c>
      <c r="F3389" s="72">
        <v>8</v>
      </c>
      <c r="G3389" s="72">
        <v>0</v>
      </c>
    </row>
    <row r="3390" spans="2:7" x14ac:dyDescent="0.25">
      <c r="B3390" s="71">
        <v>43675</v>
      </c>
      <c r="C3390" t="s">
        <v>25</v>
      </c>
      <c r="D3390" t="s">
        <v>81</v>
      </c>
      <c r="E3390" t="s">
        <v>381</v>
      </c>
      <c r="F3390" s="72">
        <v>128</v>
      </c>
      <c r="G3390" s="72">
        <v>0</v>
      </c>
    </row>
    <row r="3391" spans="2:7" x14ac:dyDescent="0.25">
      <c r="B3391" s="71">
        <v>43675</v>
      </c>
      <c r="C3391" t="s">
        <v>25</v>
      </c>
      <c r="D3391" t="s">
        <v>87</v>
      </c>
      <c r="E3391" t="s">
        <v>381</v>
      </c>
      <c r="F3391" s="72">
        <v>0</v>
      </c>
      <c r="G3391" s="72">
        <v>40</v>
      </c>
    </row>
    <row r="3392" spans="2:7" x14ac:dyDescent="0.25">
      <c r="B3392" s="71">
        <v>43675</v>
      </c>
      <c r="C3392" t="s">
        <v>25</v>
      </c>
      <c r="D3392" t="s">
        <v>82</v>
      </c>
      <c r="E3392" t="s">
        <v>179</v>
      </c>
      <c r="F3392" s="72">
        <v>9</v>
      </c>
      <c r="G3392" s="72">
        <v>0</v>
      </c>
    </row>
    <row r="3393" spans="2:7" x14ac:dyDescent="0.25">
      <c r="B3393" s="71">
        <v>43675</v>
      </c>
      <c r="C3393" t="s">
        <v>25</v>
      </c>
      <c r="D3393" t="s">
        <v>82</v>
      </c>
      <c r="E3393" t="s">
        <v>138</v>
      </c>
      <c r="F3393" s="72">
        <v>12</v>
      </c>
      <c r="G3393" s="72">
        <v>0</v>
      </c>
    </row>
    <row r="3394" spans="2:7" x14ac:dyDescent="0.25">
      <c r="B3394" s="71">
        <v>43675</v>
      </c>
      <c r="C3394" t="s">
        <v>25</v>
      </c>
      <c r="D3394" t="s">
        <v>82</v>
      </c>
      <c r="E3394" t="s">
        <v>199</v>
      </c>
      <c r="F3394" s="72">
        <v>9.1999999999999993</v>
      </c>
      <c r="G3394" s="72">
        <v>0</v>
      </c>
    </row>
    <row r="3395" spans="2:7" x14ac:dyDescent="0.25">
      <c r="B3395" s="71">
        <v>43675</v>
      </c>
      <c r="C3395" t="s">
        <v>25</v>
      </c>
      <c r="D3395" t="s">
        <v>82</v>
      </c>
      <c r="E3395" t="s">
        <v>139</v>
      </c>
      <c r="F3395" s="72">
        <v>1.8</v>
      </c>
      <c r="G3395" s="72">
        <v>0</v>
      </c>
    </row>
    <row r="3396" spans="2:7" x14ac:dyDescent="0.25">
      <c r="B3396" s="71">
        <v>43675</v>
      </c>
      <c r="C3396" t="s">
        <v>25</v>
      </c>
      <c r="D3396" t="s">
        <v>82</v>
      </c>
      <c r="E3396" t="s">
        <v>151</v>
      </c>
      <c r="F3396" s="72">
        <v>7</v>
      </c>
      <c r="G3396" s="72">
        <v>0</v>
      </c>
    </row>
    <row r="3397" spans="2:7" x14ac:dyDescent="0.25">
      <c r="B3397" s="71">
        <v>43675</v>
      </c>
      <c r="C3397" t="s">
        <v>25</v>
      </c>
      <c r="D3397" t="s">
        <v>82</v>
      </c>
      <c r="E3397" t="s">
        <v>180</v>
      </c>
      <c r="F3397" s="72">
        <v>7.35</v>
      </c>
      <c r="G3397" s="72">
        <v>0</v>
      </c>
    </row>
    <row r="3398" spans="2:7" x14ac:dyDescent="0.25">
      <c r="B3398" s="71">
        <v>43675</v>
      </c>
      <c r="C3398" t="s">
        <v>60</v>
      </c>
      <c r="D3398" t="s">
        <v>83</v>
      </c>
      <c r="E3398" t="s">
        <v>381</v>
      </c>
      <c r="F3398" s="72">
        <v>149.46</v>
      </c>
      <c r="G3398" s="72">
        <v>0</v>
      </c>
    </row>
    <row r="3399" spans="2:7" x14ac:dyDescent="0.25">
      <c r="B3399" s="71">
        <v>43675</v>
      </c>
      <c r="C3399" t="s">
        <v>60</v>
      </c>
      <c r="D3399" t="s">
        <v>85</v>
      </c>
      <c r="E3399" t="s">
        <v>381</v>
      </c>
      <c r="F3399" s="72">
        <v>40</v>
      </c>
      <c r="G3399" s="72">
        <v>0</v>
      </c>
    </row>
    <row r="3400" spans="2:7" x14ac:dyDescent="0.25">
      <c r="B3400" s="71">
        <v>43675</v>
      </c>
      <c r="C3400" t="s">
        <v>57</v>
      </c>
      <c r="D3400" t="s">
        <v>85</v>
      </c>
      <c r="E3400" t="s">
        <v>381</v>
      </c>
      <c r="F3400" s="72">
        <v>36</v>
      </c>
      <c r="G3400" s="72">
        <v>0</v>
      </c>
    </row>
    <row r="3401" spans="2:7" x14ac:dyDescent="0.25">
      <c r="B3401" s="71">
        <v>43675</v>
      </c>
      <c r="C3401" t="s">
        <v>21</v>
      </c>
      <c r="D3401" t="s">
        <v>80</v>
      </c>
      <c r="E3401" t="s">
        <v>381</v>
      </c>
      <c r="F3401" s="72">
        <v>8</v>
      </c>
      <c r="G3401" s="72">
        <v>0</v>
      </c>
    </row>
    <row r="3402" spans="2:7" x14ac:dyDescent="0.25">
      <c r="B3402" s="71">
        <v>43675</v>
      </c>
      <c r="C3402" t="s">
        <v>67</v>
      </c>
      <c r="D3402" t="s">
        <v>86</v>
      </c>
      <c r="E3402" t="s">
        <v>381</v>
      </c>
      <c r="F3402" s="72">
        <v>990</v>
      </c>
      <c r="G3402" s="72">
        <v>0</v>
      </c>
    </row>
    <row r="3403" spans="2:7" x14ac:dyDescent="0.25">
      <c r="B3403" s="71">
        <v>43675</v>
      </c>
      <c r="C3403" t="s">
        <v>67</v>
      </c>
      <c r="D3403" t="s">
        <v>117</v>
      </c>
      <c r="E3403" t="s">
        <v>382</v>
      </c>
      <c r="F3403" s="72">
        <v>123.3</v>
      </c>
      <c r="G3403" s="72">
        <v>0</v>
      </c>
    </row>
    <row r="3404" spans="2:7" x14ac:dyDescent="0.25">
      <c r="B3404" s="71">
        <v>43675</v>
      </c>
      <c r="C3404" t="s">
        <v>49</v>
      </c>
      <c r="D3404" t="s">
        <v>87</v>
      </c>
      <c r="E3404" t="s">
        <v>381</v>
      </c>
      <c r="F3404" s="72">
        <v>0</v>
      </c>
      <c r="G3404" s="72">
        <v>40</v>
      </c>
    </row>
    <row r="3405" spans="2:7" x14ac:dyDescent="0.25">
      <c r="B3405" s="71">
        <v>43675</v>
      </c>
      <c r="C3405" t="s">
        <v>66</v>
      </c>
      <c r="D3405" t="s">
        <v>83</v>
      </c>
      <c r="E3405" t="s">
        <v>381</v>
      </c>
      <c r="F3405" s="72">
        <v>130.18</v>
      </c>
      <c r="G3405" s="72">
        <v>0</v>
      </c>
    </row>
    <row r="3406" spans="2:7" x14ac:dyDescent="0.25">
      <c r="B3406" s="71">
        <v>43675</v>
      </c>
      <c r="C3406" t="s">
        <v>24</v>
      </c>
      <c r="D3406" t="s">
        <v>80</v>
      </c>
      <c r="E3406" t="s">
        <v>381</v>
      </c>
      <c r="F3406" s="72">
        <v>8</v>
      </c>
      <c r="G3406" s="72">
        <v>0</v>
      </c>
    </row>
    <row r="3407" spans="2:7" x14ac:dyDescent="0.25">
      <c r="B3407" s="71">
        <v>43676</v>
      </c>
      <c r="C3407" t="s">
        <v>25</v>
      </c>
      <c r="D3407" t="s">
        <v>80</v>
      </c>
      <c r="E3407" t="s">
        <v>383</v>
      </c>
      <c r="F3407">
        <v>8</v>
      </c>
      <c r="G3407" s="72">
        <v>0</v>
      </c>
    </row>
    <row r="3408" spans="2:7" x14ac:dyDescent="0.25">
      <c r="B3408" s="71">
        <v>43676</v>
      </c>
      <c r="C3408" t="s">
        <v>25</v>
      </c>
      <c r="D3408" t="s">
        <v>101</v>
      </c>
      <c r="E3408" t="s">
        <v>256</v>
      </c>
      <c r="F3408" s="72">
        <v>42</v>
      </c>
      <c r="G3408" s="72">
        <v>0</v>
      </c>
    </row>
    <row r="3409" spans="2:7" x14ac:dyDescent="0.25">
      <c r="B3409" s="71">
        <v>43676</v>
      </c>
      <c r="C3409" t="s">
        <v>25</v>
      </c>
      <c r="D3409" t="s">
        <v>82</v>
      </c>
      <c r="E3409" t="s">
        <v>372</v>
      </c>
      <c r="F3409" s="72">
        <v>5</v>
      </c>
      <c r="G3409" s="72">
        <v>0</v>
      </c>
    </row>
    <row r="3410" spans="2:7" x14ac:dyDescent="0.25">
      <c r="B3410" s="71">
        <v>43676</v>
      </c>
      <c r="C3410" t="s">
        <v>25</v>
      </c>
      <c r="D3410" t="s">
        <v>82</v>
      </c>
      <c r="E3410" t="s">
        <v>254</v>
      </c>
      <c r="F3410" s="72">
        <v>10.25</v>
      </c>
      <c r="G3410" s="72">
        <v>0</v>
      </c>
    </row>
    <row r="3411" spans="2:7" x14ac:dyDescent="0.25">
      <c r="B3411" s="71">
        <v>43676</v>
      </c>
      <c r="C3411" t="s">
        <v>25</v>
      </c>
      <c r="D3411" t="s">
        <v>82</v>
      </c>
      <c r="E3411" t="s">
        <v>238</v>
      </c>
      <c r="F3411" s="72">
        <v>9.1999999999999993</v>
      </c>
      <c r="G3411" s="72">
        <v>0</v>
      </c>
    </row>
    <row r="3412" spans="2:7" x14ac:dyDescent="0.25">
      <c r="B3412" s="71">
        <v>43676</v>
      </c>
      <c r="C3412" t="s">
        <v>25</v>
      </c>
      <c r="D3412" t="s">
        <v>82</v>
      </c>
      <c r="E3412" t="s">
        <v>180</v>
      </c>
      <c r="F3412" s="72">
        <v>14.55</v>
      </c>
      <c r="G3412" s="72">
        <v>0</v>
      </c>
    </row>
    <row r="3413" spans="2:7" x14ac:dyDescent="0.25">
      <c r="B3413" s="71">
        <v>43676</v>
      </c>
      <c r="C3413" t="s">
        <v>25</v>
      </c>
      <c r="D3413" t="s">
        <v>85</v>
      </c>
      <c r="E3413" t="s">
        <v>383</v>
      </c>
      <c r="F3413" s="72">
        <v>19</v>
      </c>
      <c r="G3413" s="72">
        <v>0</v>
      </c>
    </row>
    <row r="3414" spans="2:7" x14ac:dyDescent="0.25">
      <c r="B3414" s="71">
        <v>43676</v>
      </c>
      <c r="C3414" t="s">
        <v>25</v>
      </c>
      <c r="D3414" t="s">
        <v>85</v>
      </c>
      <c r="E3414" t="s">
        <v>383</v>
      </c>
      <c r="F3414" s="72">
        <v>110.5</v>
      </c>
      <c r="G3414" s="72">
        <v>0</v>
      </c>
    </row>
    <row r="3415" spans="2:7" x14ac:dyDescent="0.25">
      <c r="B3415" s="71">
        <v>43676</v>
      </c>
      <c r="C3415" t="s">
        <v>25</v>
      </c>
      <c r="D3415" t="s">
        <v>85</v>
      </c>
      <c r="E3415" t="s">
        <v>383</v>
      </c>
      <c r="F3415" s="72">
        <v>182</v>
      </c>
      <c r="G3415" s="72">
        <v>0</v>
      </c>
    </row>
    <row r="3416" spans="2:7" x14ac:dyDescent="0.25">
      <c r="B3416" s="71">
        <v>43676</v>
      </c>
      <c r="C3416" t="s">
        <v>47</v>
      </c>
      <c r="D3416" t="s">
        <v>85</v>
      </c>
      <c r="E3416" t="s">
        <v>383</v>
      </c>
      <c r="F3416" s="72">
        <v>109</v>
      </c>
      <c r="G3416" s="72">
        <v>0</v>
      </c>
    </row>
    <row r="3417" spans="2:7" x14ac:dyDescent="0.25">
      <c r="B3417" s="71">
        <v>43676</v>
      </c>
      <c r="C3417" t="s">
        <v>21</v>
      </c>
      <c r="D3417" t="s">
        <v>80</v>
      </c>
      <c r="E3417" t="s">
        <v>383</v>
      </c>
      <c r="F3417" s="72">
        <v>8</v>
      </c>
      <c r="G3417" s="72">
        <v>0</v>
      </c>
    </row>
    <row r="3418" spans="2:7" x14ac:dyDescent="0.25">
      <c r="B3418" s="71">
        <v>43676</v>
      </c>
      <c r="C3418" t="s">
        <v>21</v>
      </c>
      <c r="D3418" t="s">
        <v>80</v>
      </c>
      <c r="E3418" t="s">
        <v>383</v>
      </c>
      <c r="F3418" s="72">
        <v>16</v>
      </c>
      <c r="G3418" s="72">
        <v>0</v>
      </c>
    </row>
    <row r="3419" spans="2:7" x14ac:dyDescent="0.25">
      <c r="B3419" s="71">
        <v>43676</v>
      </c>
      <c r="C3419" t="s">
        <v>21</v>
      </c>
      <c r="D3419" t="s">
        <v>80</v>
      </c>
      <c r="E3419" t="s">
        <v>383</v>
      </c>
      <c r="F3419" s="72">
        <v>24</v>
      </c>
      <c r="G3419" s="72">
        <v>0</v>
      </c>
    </row>
    <row r="3420" spans="2:7" x14ac:dyDescent="0.25">
      <c r="B3420" s="71">
        <v>43676</v>
      </c>
      <c r="C3420" t="s">
        <v>21</v>
      </c>
      <c r="D3420" t="s">
        <v>80</v>
      </c>
      <c r="E3420" t="s">
        <v>383</v>
      </c>
      <c r="F3420" s="72">
        <v>32</v>
      </c>
      <c r="G3420" s="72">
        <v>0</v>
      </c>
    </row>
    <row r="3421" spans="2:7" x14ac:dyDescent="0.25">
      <c r="B3421" s="71">
        <v>43676</v>
      </c>
      <c r="C3421" t="s">
        <v>21</v>
      </c>
      <c r="D3421" t="s">
        <v>80</v>
      </c>
      <c r="E3421" t="s">
        <v>383</v>
      </c>
      <c r="F3421" s="72">
        <v>40</v>
      </c>
      <c r="G3421" s="72">
        <v>0</v>
      </c>
    </row>
    <row r="3422" spans="2:7" x14ac:dyDescent="0.25">
      <c r="B3422" s="71">
        <v>43676</v>
      </c>
      <c r="C3422" t="s">
        <v>21</v>
      </c>
      <c r="D3422" t="s">
        <v>85</v>
      </c>
      <c r="E3422" t="s">
        <v>383</v>
      </c>
      <c r="F3422" s="72">
        <v>572</v>
      </c>
      <c r="G3422" s="72">
        <v>0</v>
      </c>
    </row>
    <row r="3423" spans="2:7" x14ac:dyDescent="0.25">
      <c r="B3423" s="71">
        <v>43676</v>
      </c>
      <c r="C3423" t="s">
        <v>67</v>
      </c>
      <c r="D3423" t="s">
        <v>86</v>
      </c>
      <c r="E3423" t="s">
        <v>383</v>
      </c>
      <c r="F3423" s="72">
        <v>990</v>
      </c>
      <c r="G3423" s="72">
        <v>0</v>
      </c>
    </row>
    <row r="3424" spans="2:7" x14ac:dyDescent="0.25">
      <c r="B3424" s="71">
        <v>43676</v>
      </c>
      <c r="C3424" t="s">
        <v>67</v>
      </c>
      <c r="D3424" t="s">
        <v>88</v>
      </c>
      <c r="E3424" t="s">
        <v>383</v>
      </c>
      <c r="F3424" s="72">
        <v>0</v>
      </c>
      <c r="G3424" s="72">
        <v>990</v>
      </c>
    </row>
    <row r="3425" spans="2:7" x14ac:dyDescent="0.25">
      <c r="B3425" s="71">
        <v>43676</v>
      </c>
      <c r="C3425" t="s">
        <v>67</v>
      </c>
      <c r="D3425" t="s">
        <v>117</v>
      </c>
      <c r="E3425" t="s">
        <v>384</v>
      </c>
      <c r="F3425" s="72">
        <v>138.41</v>
      </c>
      <c r="G3425" s="72">
        <v>0</v>
      </c>
    </row>
    <row r="3426" spans="2:7" x14ac:dyDescent="0.25">
      <c r="B3426" s="71">
        <v>43676</v>
      </c>
      <c r="C3426" t="s">
        <v>49</v>
      </c>
      <c r="D3426" t="s">
        <v>92</v>
      </c>
      <c r="E3426" t="s">
        <v>383</v>
      </c>
      <c r="F3426" s="72">
        <v>81.84</v>
      </c>
      <c r="G3426" s="72">
        <v>0</v>
      </c>
    </row>
    <row r="3427" spans="2:7" x14ac:dyDescent="0.25">
      <c r="B3427" s="71">
        <v>43676</v>
      </c>
      <c r="C3427" t="s">
        <v>49</v>
      </c>
      <c r="D3427" t="s">
        <v>85</v>
      </c>
      <c r="E3427" t="s">
        <v>383</v>
      </c>
      <c r="F3427" s="72">
        <v>32</v>
      </c>
      <c r="G3427" s="72">
        <v>0</v>
      </c>
    </row>
    <row r="3428" spans="2:7" x14ac:dyDescent="0.25">
      <c r="B3428" s="71">
        <v>43676</v>
      </c>
      <c r="C3428" t="s">
        <v>59</v>
      </c>
      <c r="D3428" t="s">
        <v>85</v>
      </c>
      <c r="E3428" t="s">
        <v>383</v>
      </c>
      <c r="F3428" s="72">
        <v>50</v>
      </c>
      <c r="G3428" s="72">
        <v>0</v>
      </c>
    </row>
    <row r="3429" spans="2:7" x14ac:dyDescent="0.25">
      <c r="B3429" s="71">
        <v>43677</v>
      </c>
      <c r="C3429" t="s">
        <v>25</v>
      </c>
      <c r="D3429" t="s">
        <v>82</v>
      </c>
      <c r="E3429" t="s">
        <v>179</v>
      </c>
      <c r="F3429" s="72">
        <v>4.5</v>
      </c>
      <c r="G3429" s="72">
        <v>0</v>
      </c>
    </row>
    <row r="3430" spans="2:7" x14ac:dyDescent="0.25">
      <c r="B3430" s="71">
        <v>43677</v>
      </c>
      <c r="C3430" t="s">
        <v>25</v>
      </c>
      <c r="D3430" t="s">
        <v>82</v>
      </c>
      <c r="E3430" t="s">
        <v>203</v>
      </c>
      <c r="F3430" s="72">
        <v>22.05</v>
      </c>
      <c r="G3430" s="72">
        <v>0</v>
      </c>
    </row>
    <row r="3431" spans="2:7" x14ac:dyDescent="0.25">
      <c r="B3431" s="71">
        <v>43677</v>
      </c>
      <c r="C3431" t="s">
        <v>25</v>
      </c>
      <c r="D3431" t="s">
        <v>82</v>
      </c>
      <c r="E3431" t="s">
        <v>200</v>
      </c>
      <c r="F3431" s="72">
        <v>8.35</v>
      </c>
      <c r="G3431" s="72">
        <v>0</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BD2F01F-9E3F-4A87-92EA-1A2F6A3EE4D1}">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Dashboard (2)</vt:lpstr>
      <vt:lpstr>Infosheet</vt:lpstr>
      <vt:lpstr>Dashboard</vt:lpstr>
      <vt:lpstr>Leyenda</vt:lpstr>
      <vt:lpstr>Data</vt:lpstr>
      <vt:lpstr>Tabla</vt:lpstr>
      <vt:lpstr>CeldaMax</vt:lpstr>
      <vt:lpstr>ranrowgrid</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Axel Amaya</dc:creator>
  <cp:lastModifiedBy>Axel Amaya</cp:lastModifiedBy>
  <dcterms:created xsi:type="dcterms:W3CDTF">2019-08-01T19:35:56Z</dcterms:created>
  <dcterms:modified xsi:type="dcterms:W3CDTF">2019-08-20T21:58:27Z</dcterms:modified>
</cp:coreProperties>
</file>